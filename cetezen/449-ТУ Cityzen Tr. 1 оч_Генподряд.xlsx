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r.ru\dfs\Тендерный\!Newcomers\01_ТЕНДЕРЫ\ТУШИНО 8 (ТРЕУГОЛЬНИК 1-й этап)\1_Генподряд_UB8b\05_Доп материалы для ГП\20260513_Доп7(Пакет для СУ-10)\"/>
    </mc:Choice>
  </mc:AlternateContent>
  <xr:revisionPtr revIDLastSave="0" documentId="13_ncr:1_{53AC3491-BA07-47E4-8A6F-F14A900478FB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Лист1" sheetId="1" r:id="rId1"/>
  </sheets>
  <calcPr calcId="191029" iterateDelta="1E-4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586" i="1" l="1"/>
  <c r="L2586" i="1"/>
  <c r="K2586" i="1"/>
  <c r="H2586" i="1"/>
  <c r="H2585" i="1"/>
  <c r="R2584" i="1"/>
  <c r="M2584" i="1"/>
  <c r="L2584" i="1"/>
  <c r="N2584" i="1" s="1"/>
  <c r="K2584" i="1"/>
  <c r="H2584" i="1"/>
  <c r="M2583" i="1"/>
  <c r="N2583" i="1" s="1"/>
  <c r="L2583" i="1"/>
  <c r="K2583" i="1"/>
  <c r="H2583" i="1"/>
  <c r="M2581" i="1"/>
  <c r="L2581" i="1"/>
  <c r="K2581" i="1"/>
  <c r="H2581" i="1"/>
  <c r="M2579" i="1"/>
  <c r="L2579" i="1"/>
  <c r="K2579" i="1"/>
  <c r="H2579" i="1"/>
  <c r="Q2578" i="1"/>
  <c r="M2578" i="1"/>
  <c r="L2578" i="1"/>
  <c r="P2578" i="1" s="1"/>
  <c r="K2578" i="1"/>
  <c r="H2578" i="1"/>
  <c r="Q2576" i="1"/>
  <c r="M2576" i="1"/>
  <c r="L2576" i="1"/>
  <c r="K2576" i="1"/>
  <c r="H2576" i="1"/>
  <c r="P2576" i="1" s="1"/>
  <c r="M2575" i="1"/>
  <c r="L2575" i="1"/>
  <c r="K2575" i="1"/>
  <c r="H2575" i="1"/>
  <c r="M2573" i="1"/>
  <c r="L2573" i="1"/>
  <c r="K2573" i="1"/>
  <c r="H2573" i="1"/>
  <c r="M2572" i="1"/>
  <c r="N2572" i="1" s="1"/>
  <c r="L2572" i="1"/>
  <c r="K2572" i="1"/>
  <c r="H2572" i="1"/>
  <c r="M2571" i="1"/>
  <c r="N2571" i="1" s="1"/>
  <c r="L2571" i="1"/>
  <c r="P2571" i="1" s="1"/>
  <c r="K2571" i="1"/>
  <c r="O2571" i="1" s="1"/>
  <c r="H2571" i="1"/>
  <c r="O2570" i="1"/>
  <c r="M2570" i="1"/>
  <c r="L2570" i="1"/>
  <c r="K2570" i="1"/>
  <c r="H2570" i="1"/>
  <c r="M2569" i="1"/>
  <c r="L2569" i="1"/>
  <c r="K2569" i="1"/>
  <c r="H2569" i="1"/>
  <c r="M2567" i="1"/>
  <c r="L2567" i="1"/>
  <c r="K2567" i="1"/>
  <c r="H2567" i="1"/>
  <c r="M2566" i="1"/>
  <c r="L2566" i="1"/>
  <c r="K2566" i="1"/>
  <c r="H2566" i="1"/>
  <c r="P2566" i="1" s="1"/>
  <c r="Q2564" i="1"/>
  <c r="M2564" i="1"/>
  <c r="N2564" i="1" s="1"/>
  <c r="L2564" i="1"/>
  <c r="K2564" i="1"/>
  <c r="H2564" i="1"/>
  <c r="M2563" i="1"/>
  <c r="L2563" i="1"/>
  <c r="K2563" i="1"/>
  <c r="H2563" i="1"/>
  <c r="P2562" i="1"/>
  <c r="M2562" i="1"/>
  <c r="L2562" i="1"/>
  <c r="K2562" i="1"/>
  <c r="H2562" i="1"/>
  <c r="O2559" i="1"/>
  <c r="O2558" i="1" s="1"/>
  <c r="M2559" i="1"/>
  <c r="L2559" i="1"/>
  <c r="N2559" i="1" s="1"/>
  <c r="R2559" i="1" s="1"/>
  <c r="R2558" i="1" s="1"/>
  <c r="K2559" i="1"/>
  <c r="H2559" i="1"/>
  <c r="O2557" i="1"/>
  <c r="O2556" i="1" s="1"/>
  <c r="O2555" i="1" s="1"/>
  <c r="M2557" i="1"/>
  <c r="Q2557" i="1" s="1"/>
  <c r="Q2556" i="1" s="1"/>
  <c r="L2557" i="1"/>
  <c r="K2557" i="1"/>
  <c r="H2557" i="1"/>
  <c r="P2554" i="1"/>
  <c r="P2553" i="1" s="1"/>
  <c r="M2554" i="1"/>
  <c r="Q2554" i="1" s="1"/>
  <c r="Q2553" i="1" s="1"/>
  <c r="L2554" i="1"/>
  <c r="K2554" i="1"/>
  <c r="H2554" i="1"/>
  <c r="M2552" i="1"/>
  <c r="Q2552" i="1" s="1"/>
  <c r="Q2551" i="1" s="1"/>
  <c r="L2552" i="1"/>
  <c r="P2552" i="1" s="1"/>
  <c r="P2551" i="1" s="1"/>
  <c r="K2552" i="1"/>
  <c r="O2552" i="1" s="1"/>
  <c r="O2551" i="1" s="1"/>
  <c r="H2552" i="1"/>
  <c r="M2549" i="1"/>
  <c r="N2549" i="1" s="1"/>
  <c r="L2549" i="1"/>
  <c r="K2549" i="1"/>
  <c r="H2549" i="1"/>
  <c r="P2549" i="1" s="1"/>
  <c r="P2548" i="1" s="1"/>
  <c r="M2547" i="1"/>
  <c r="L2547" i="1"/>
  <c r="K2547" i="1"/>
  <c r="H2547" i="1"/>
  <c r="M2544" i="1"/>
  <c r="L2544" i="1"/>
  <c r="K2544" i="1"/>
  <c r="H2544" i="1"/>
  <c r="O2544" i="1" s="1"/>
  <c r="O2543" i="1" s="1"/>
  <c r="M2542" i="1"/>
  <c r="L2542" i="1"/>
  <c r="K2542" i="1"/>
  <c r="H2542" i="1"/>
  <c r="M2538" i="1"/>
  <c r="L2538" i="1"/>
  <c r="K2538" i="1"/>
  <c r="H2538" i="1"/>
  <c r="M2536" i="1"/>
  <c r="L2536" i="1"/>
  <c r="K2536" i="1"/>
  <c r="H2536" i="1"/>
  <c r="M2535" i="1"/>
  <c r="L2535" i="1"/>
  <c r="P2535" i="1" s="1"/>
  <c r="K2535" i="1"/>
  <c r="H2535" i="1"/>
  <c r="M2532" i="1"/>
  <c r="L2532" i="1"/>
  <c r="K2532" i="1"/>
  <c r="H2532" i="1"/>
  <c r="M2530" i="1"/>
  <c r="L2530" i="1"/>
  <c r="K2530" i="1"/>
  <c r="H2530" i="1"/>
  <c r="Q2529" i="1"/>
  <c r="P2529" i="1"/>
  <c r="M2529" i="1"/>
  <c r="L2529" i="1"/>
  <c r="K2529" i="1"/>
  <c r="H2529" i="1"/>
  <c r="M2526" i="1"/>
  <c r="L2526" i="1"/>
  <c r="K2526" i="1"/>
  <c r="H2526" i="1"/>
  <c r="M2524" i="1"/>
  <c r="L2524" i="1"/>
  <c r="K2524" i="1"/>
  <c r="H2524" i="1"/>
  <c r="M2523" i="1"/>
  <c r="L2523" i="1"/>
  <c r="K2523" i="1"/>
  <c r="H2523" i="1"/>
  <c r="Q2523" i="1" s="1"/>
  <c r="M2520" i="1"/>
  <c r="L2520" i="1"/>
  <c r="K2520" i="1"/>
  <c r="H2520" i="1"/>
  <c r="P2518" i="1"/>
  <c r="M2518" i="1"/>
  <c r="L2518" i="1"/>
  <c r="K2518" i="1"/>
  <c r="H2518" i="1"/>
  <c r="P2517" i="1"/>
  <c r="N2517" i="1"/>
  <c r="M2517" i="1"/>
  <c r="L2517" i="1"/>
  <c r="K2517" i="1"/>
  <c r="O2517" i="1" s="1"/>
  <c r="H2517" i="1"/>
  <c r="Q2517" i="1" s="1"/>
  <c r="Q2512" i="1"/>
  <c r="Q2511" i="1" s="1"/>
  <c r="P2512" i="1"/>
  <c r="P2511" i="1" s="1"/>
  <c r="M2512" i="1"/>
  <c r="L2512" i="1"/>
  <c r="K2512" i="1"/>
  <c r="H2512" i="1"/>
  <c r="M2510" i="1"/>
  <c r="Q2510" i="1" s="1"/>
  <c r="L2510" i="1"/>
  <c r="P2510" i="1" s="1"/>
  <c r="K2510" i="1"/>
  <c r="O2510" i="1" s="1"/>
  <c r="H2510" i="1"/>
  <c r="M2509" i="1"/>
  <c r="L2509" i="1"/>
  <c r="K2509" i="1"/>
  <c r="H2509" i="1"/>
  <c r="M2508" i="1"/>
  <c r="N2508" i="1" s="1"/>
  <c r="L2508" i="1"/>
  <c r="K2508" i="1"/>
  <c r="H2508" i="1"/>
  <c r="P2508" i="1" s="1"/>
  <c r="Q2507" i="1"/>
  <c r="M2507" i="1"/>
  <c r="N2507" i="1" s="1"/>
  <c r="L2507" i="1"/>
  <c r="K2507" i="1"/>
  <c r="H2507" i="1"/>
  <c r="M2505" i="1"/>
  <c r="L2505" i="1"/>
  <c r="K2505" i="1"/>
  <c r="H2505" i="1"/>
  <c r="M2504" i="1"/>
  <c r="L2504" i="1"/>
  <c r="K2504" i="1"/>
  <c r="H2504" i="1"/>
  <c r="O2504" i="1" s="1"/>
  <c r="M2503" i="1"/>
  <c r="L2503" i="1"/>
  <c r="K2503" i="1"/>
  <c r="H2503" i="1"/>
  <c r="M2501" i="1"/>
  <c r="N2501" i="1" s="1"/>
  <c r="L2501" i="1"/>
  <c r="K2501" i="1"/>
  <c r="H2501" i="1"/>
  <c r="P2501" i="1" s="1"/>
  <c r="P2500" i="1" s="1"/>
  <c r="M2499" i="1"/>
  <c r="L2499" i="1"/>
  <c r="K2499" i="1"/>
  <c r="H2499" i="1"/>
  <c r="M2498" i="1"/>
  <c r="L2498" i="1"/>
  <c r="K2498" i="1"/>
  <c r="H2498" i="1"/>
  <c r="O2497" i="1"/>
  <c r="M2497" i="1"/>
  <c r="Q2497" i="1" s="1"/>
  <c r="L2497" i="1"/>
  <c r="K2497" i="1"/>
  <c r="H2497" i="1"/>
  <c r="M2496" i="1"/>
  <c r="Q2496" i="1" s="1"/>
  <c r="L2496" i="1"/>
  <c r="K2496" i="1"/>
  <c r="H2496" i="1"/>
  <c r="M2495" i="1"/>
  <c r="Q2495" i="1" s="1"/>
  <c r="L2495" i="1"/>
  <c r="K2495" i="1"/>
  <c r="H2495" i="1"/>
  <c r="O2495" i="1" s="1"/>
  <c r="M2494" i="1"/>
  <c r="L2494" i="1"/>
  <c r="K2494" i="1"/>
  <c r="H2494" i="1"/>
  <c r="Q2494" i="1" s="1"/>
  <c r="M2493" i="1"/>
  <c r="L2493" i="1"/>
  <c r="P2493" i="1" s="1"/>
  <c r="K2493" i="1"/>
  <c r="H2493" i="1"/>
  <c r="Q2493" i="1" s="1"/>
  <c r="M2492" i="1"/>
  <c r="L2492" i="1"/>
  <c r="K2492" i="1"/>
  <c r="N2492" i="1" s="1"/>
  <c r="H2492" i="1"/>
  <c r="M2491" i="1"/>
  <c r="L2491" i="1"/>
  <c r="K2491" i="1"/>
  <c r="N2491" i="1" s="1"/>
  <c r="H2491" i="1"/>
  <c r="M2490" i="1"/>
  <c r="L2490" i="1"/>
  <c r="K2490" i="1"/>
  <c r="H2490" i="1"/>
  <c r="Q2489" i="1"/>
  <c r="M2489" i="1"/>
  <c r="N2489" i="1" s="1"/>
  <c r="L2489" i="1"/>
  <c r="K2489" i="1"/>
  <c r="H2489" i="1"/>
  <c r="O2489" i="1" s="1"/>
  <c r="Q2488" i="1"/>
  <c r="M2488" i="1"/>
  <c r="L2488" i="1"/>
  <c r="K2488" i="1"/>
  <c r="H2488" i="1"/>
  <c r="P2487" i="1"/>
  <c r="O2487" i="1"/>
  <c r="M2487" i="1"/>
  <c r="L2487" i="1"/>
  <c r="K2487" i="1"/>
  <c r="H2487" i="1"/>
  <c r="M2486" i="1"/>
  <c r="Q2486" i="1" s="1"/>
  <c r="L2486" i="1"/>
  <c r="K2486" i="1"/>
  <c r="H2486" i="1"/>
  <c r="M2485" i="1"/>
  <c r="Q2485" i="1" s="1"/>
  <c r="L2485" i="1"/>
  <c r="K2485" i="1"/>
  <c r="H2485" i="1"/>
  <c r="O2485" i="1" s="1"/>
  <c r="M2484" i="1"/>
  <c r="L2484" i="1"/>
  <c r="K2484" i="1"/>
  <c r="H2484" i="1"/>
  <c r="Q2484" i="1" s="1"/>
  <c r="M2481" i="1"/>
  <c r="L2481" i="1"/>
  <c r="K2481" i="1"/>
  <c r="H2481" i="1"/>
  <c r="M2480" i="1"/>
  <c r="L2480" i="1"/>
  <c r="K2480" i="1"/>
  <c r="H2480" i="1"/>
  <c r="O2480" i="1" s="1"/>
  <c r="M2479" i="1"/>
  <c r="L2479" i="1"/>
  <c r="K2479" i="1"/>
  <c r="H2479" i="1"/>
  <c r="M2478" i="1"/>
  <c r="L2478" i="1"/>
  <c r="K2478" i="1"/>
  <c r="O2478" i="1" s="1"/>
  <c r="H2478" i="1"/>
  <c r="M2477" i="1"/>
  <c r="L2477" i="1"/>
  <c r="K2477" i="1"/>
  <c r="H2477" i="1"/>
  <c r="N2476" i="1"/>
  <c r="M2476" i="1"/>
  <c r="L2476" i="1"/>
  <c r="K2476" i="1"/>
  <c r="H2476" i="1"/>
  <c r="O2476" i="1" s="1"/>
  <c r="M2475" i="1"/>
  <c r="Q2475" i="1" s="1"/>
  <c r="L2475" i="1"/>
  <c r="K2475" i="1"/>
  <c r="H2475" i="1"/>
  <c r="M2474" i="1"/>
  <c r="L2474" i="1"/>
  <c r="K2474" i="1"/>
  <c r="H2474" i="1"/>
  <c r="O2474" i="1" s="1"/>
  <c r="M2473" i="1"/>
  <c r="L2473" i="1"/>
  <c r="K2473" i="1"/>
  <c r="N2473" i="1" s="1"/>
  <c r="H2473" i="1"/>
  <c r="P2473" i="1" s="1"/>
  <c r="M2472" i="1"/>
  <c r="L2472" i="1"/>
  <c r="K2472" i="1"/>
  <c r="H2472" i="1"/>
  <c r="M2471" i="1"/>
  <c r="L2471" i="1"/>
  <c r="K2471" i="1"/>
  <c r="H2471" i="1"/>
  <c r="M2470" i="1"/>
  <c r="L2470" i="1"/>
  <c r="K2470" i="1"/>
  <c r="H2470" i="1"/>
  <c r="M2469" i="1"/>
  <c r="L2469" i="1"/>
  <c r="K2469" i="1"/>
  <c r="H2469" i="1"/>
  <c r="M2468" i="1"/>
  <c r="L2468" i="1"/>
  <c r="K2468" i="1"/>
  <c r="H2468" i="1"/>
  <c r="O2468" i="1" s="1"/>
  <c r="M2467" i="1"/>
  <c r="L2467" i="1"/>
  <c r="K2467" i="1"/>
  <c r="H2467" i="1"/>
  <c r="M2465" i="1"/>
  <c r="L2465" i="1"/>
  <c r="P2465" i="1" s="1"/>
  <c r="K2465" i="1"/>
  <c r="N2465" i="1" s="1"/>
  <c r="H2465" i="1"/>
  <c r="M2464" i="1"/>
  <c r="L2464" i="1"/>
  <c r="K2464" i="1"/>
  <c r="H2464" i="1"/>
  <c r="M2462" i="1"/>
  <c r="L2462" i="1"/>
  <c r="N2462" i="1" s="1"/>
  <c r="K2462" i="1"/>
  <c r="H2462" i="1"/>
  <c r="M2461" i="1"/>
  <c r="L2461" i="1"/>
  <c r="K2461" i="1"/>
  <c r="H2461" i="1"/>
  <c r="M2459" i="1"/>
  <c r="L2459" i="1"/>
  <c r="K2459" i="1"/>
  <c r="H2459" i="1"/>
  <c r="O2459" i="1" s="1"/>
  <c r="M2458" i="1"/>
  <c r="L2458" i="1"/>
  <c r="K2458" i="1"/>
  <c r="H2458" i="1"/>
  <c r="M2457" i="1"/>
  <c r="L2457" i="1"/>
  <c r="K2457" i="1"/>
  <c r="N2457" i="1" s="1"/>
  <c r="H2457" i="1"/>
  <c r="M2456" i="1"/>
  <c r="N2456" i="1" s="1"/>
  <c r="L2456" i="1"/>
  <c r="K2456" i="1"/>
  <c r="H2456" i="1"/>
  <c r="N2455" i="1"/>
  <c r="M2455" i="1"/>
  <c r="L2455" i="1"/>
  <c r="K2455" i="1"/>
  <c r="H2455" i="1"/>
  <c r="O2455" i="1" s="1"/>
  <c r="Q2454" i="1"/>
  <c r="P2454" i="1"/>
  <c r="M2454" i="1"/>
  <c r="L2454" i="1"/>
  <c r="K2454" i="1"/>
  <c r="H2454" i="1"/>
  <c r="P2453" i="1"/>
  <c r="N2453" i="1"/>
  <c r="M2453" i="1"/>
  <c r="L2453" i="1"/>
  <c r="K2453" i="1"/>
  <c r="H2453" i="1"/>
  <c r="Q2452" i="1"/>
  <c r="M2452" i="1"/>
  <c r="L2452" i="1"/>
  <c r="K2452" i="1"/>
  <c r="H2452" i="1"/>
  <c r="P2451" i="1"/>
  <c r="N2451" i="1"/>
  <c r="M2451" i="1"/>
  <c r="L2451" i="1"/>
  <c r="K2451" i="1"/>
  <c r="H2451" i="1"/>
  <c r="P2450" i="1"/>
  <c r="M2450" i="1"/>
  <c r="L2450" i="1"/>
  <c r="K2450" i="1"/>
  <c r="H2450" i="1"/>
  <c r="Q2449" i="1"/>
  <c r="N2449" i="1"/>
  <c r="M2449" i="1"/>
  <c r="L2449" i="1"/>
  <c r="K2449" i="1"/>
  <c r="H2449" i="1"/>
  <c r="Q2448" i="1"/>
  <c r="M2448" i="1"/>
  <c r="L2448" i="1"/>
  <c r="N2448" i="1" s="1"/>
  <c r="R2448" i="1" s="1"/>
  <c r="K2448" i="1"/>
  <c r="O2448" i="1" s="1"/>
  <c r="H2448" i="1"/>
  <c r="O2447" i="1"/>
  <c r="M2447" i="1"/>
  <c r="L2447" i="1"/>
  <c r="N2447" i="1" s="1"/>
  <c r="R2447" i="1" s="1"/>
  <c r="K2447" i="1"/>
  <c r="H2447" i="1"/>
  <c r="O2445" i="1"/>
  <c r="M2445" i="1"/>
  <c r="L2445" i="1"/>
  <c r="K2445" i="1"/>
  <c r="H2445" i="1"/>
  <c r="P2444" i="1"/>
  <c r="M2444" i="1"/>
  <c r="L2444" i="1"/>
  <c r="K2444" i="1"/>
  <c r="H2444" i="1"/>
  <c r="Q2444" i="1" s="1"/>
  <c r="O2443" i="1"/>
  <c r="N2443" i="1"/>
  <c r="M2443" i="1"/>
  <c r="L2443" i="1"/>
  <c r="K2443" i="1"/>
  <c r="H2443" i="1"/>
  <c r="O2442" i="1"/>
  <c r="M2442" i="1"/>
  <c r="L2442" i="1"/>
  <c r="K2442" i="1"/>
  <c r="H2442" i="1"/>
  <c r="P2441" i="1"/>
  <c r="M2441" i="1"/>
  <c r="L2441" i="1"/>
  <c r="K2441" i="1"/>
  <c r="H2441" i="1"/>
  <c r="Q2441" i="1" s="1"/>
  <c r="O2440" i="1"/>
  <c r="M2440" i="1"/>
  <c r="L2440" i="1"/>
  <c r="K2440" i="1"/>
  <c r="H2440" i="1"/>
  <c r="M2439" i="1"/>
  <c r="L2439" i="1"/>
  <c r="K2439" i="1"/>
  <c r="H2439" i="1"/>
  <c r="O2439" i="1" s="1"/>
  <c r="M2438" i="1"/>
  <c r="L2438" i="1"/>
  <c r="K2438" i="1"/>
  <c r="H2438" i="1"/>
  <c r="Q2438" i="1" s="1"/>
  <c r="M2437" i="1"/>
  <c r="L2437" i="1"/>
  <c r="N2437" i="1" s="1"/>
  <c r="K2437" i="1"/>
  <c r="H2437" i="1"/>
  <c r="M2436" i="1"/>
  <c r="L2436" i="1"/>
  <c r="K2436" i="1"/>
  <c r="H2436" i="1"/>
  <c r="Q2436" i="1" s="1"/>
  <c r="M2435" i="1"/>
  <c r="L2435" i="1"/>
  <c r="K2435" i="1"/>
  <c r="H2435" i="1"/>
  <c r="Q2435" i="1" s="1"/>
  <c r="M2434" i="1"/>
  <c r="L2434" i="1"/>
  <c r="K2434" i="1"/>
  <c r="H2434" i="1"/>
  <c r="Q2434" i="1" s="1"/>
  <c r="M2433" i="1"/>
  <c r="L2433" i="1"/>
  <c r="P2433" i="1" s="1"/>
  <c r="K2433" i="1"/>
  <c r="O2433" i="1" s="1"/>
  <c r="H2433" i="1"/>
  <c r="O2432" i="1"/>
  <c r="N2432" i="1"/>
  <c r="M2432" i="1"/>
  <c r="L2432" i="1"/>
  <c r="K2432" i="1"/>
  <c r="H2432" i="1"/>
  <c r="Q2432" i="1" s="1"/>
  <c r="M2431" i="1"/>
  <c r="Q2431" i="1" s="1"/>
  <c r="L2431" i="1"/>
  <c r="K2431" i="1"/>
  <c r="H2431" i="1"/>
  <c r="M2430" i="1"/>
  <c r="L2430" i="1"/>
  <c r="K2430" i="1"/>
  <c r="O2430" i="1" s="1"/>
  <c r="H2430" i="1"/>
  <c r="Q2430" i="1" s="1"/>
  <c r="M2429" i="1"/>
  <c r="L2429" i="1"/>
  <c r="K2429" i="1"/>
  <c r="H2429" i="1"/>
  <c r="Q2429" i="1" s="1"/>
  <c r="M2428" i="1"/>
  <c r="L2428" i="1"/>
  <c r="K2428" i="1"/>
  <c r="H2428" i="1"/>
  <c r="Q2428" i="1" s="1"/>
  <c r="M2427" i="1"/>
  <c r="L2427" i="1"/>
  <c r="K2427" i="1"/>
  <c r="H2427" i="1"/>
  <c r="Q2426" i="1"/>
  <c r="M2426" i="1"/>
  <c r="L2426" i="1"/>
  <c r="K2426" i="1"/>
  <c r="N2426" i="1" s="1"/>
  <c r="H2426" i="1"/>
  <c r="M2425" i="1"/>
  <c r="Q2425" i="1" s="1"/>
  <c r="L2425" i="1"/>
  <c r="K2425" i="1"/>
  <c r="H2425" i="1"/>
  <c r="O2424" i="1"/>
  <c r="M2424" i="1"/>
  <c r="L2424" i="1"/>
  <c r="P2424" i="1" s="1"/>
  <c r="K2424" i="1"/>
  <c r="H2424" i="1"/>
  <c r="O2423" i="1"/>
  <c r="N2423" i="1"/>
  <c r="M2423" i="1"/>
  <c r="L2423" i="1"/>
  <c r="K2423" i="1"/>
  <c r="H2423" i="1"/>
  <c r="Q2423" i="1" s="1"/>
  <c r="M2422" i="1"/>
  <c r="Q2422" i="1" s="1"/>
  <c r="L2422" i="1"/>
  <c r="K2422" i="1"/>
  <c r="O2422" i="1" s="1"/>
  <c r="H2422" i="1"/>
  <c r="O2421" i="1"/>
  <c r="M2421" i="1"/>
  <c r="L2421" i="1"/>
  <c r="K2421" i="1"/>
  <c r="H2421" i="1"/>
  <c r="P2421" i="1" s="1"/>
  <c r="M2420" i="1"/>
  <c r="L2420" i="1"/>
  <c r="K2420" i="1"/>
  <c r="H2420" i="1"/>
  <c r="M2419" i="1"/>
  <c r="L2419" i="1"/>
  <c r="K2419" i="1"/>
  <c r="H2419" i="1"/>
  <c r="M2418" i="1"/>
  <c r="L2418" i="1"/>
  <c r="K2418" i="1"/>
  <c r="N2418" i="1" s="1"/>
  <c r="H2418" i="1"/>
  <c r="M2417" i="1"/>
  <c r="L2417" i="1"/>
  <c r="K2417" i="1"/>
  <c r="H2417" i="1"/>
  <c r="Q2417" i="1" s="1"/>
  <c r="Q2416" i="1"/>
  <c r="M2416" i="1"/>
  <c r="N2416" i="1" s="1"/>
  <c r="L2416" i="1"/>
  <c r="K2416" i="1"/>
  <c r="H2416" i="1"/>
  <c r="M2415" i="1"/>
  <c r="L2415" i="1"/>
  <c r="K2415" i="1"/>
  <c r="H2415" i="1"/>
  <c r="Q2412" i="1"/>
  <c r="M2412" i="1"/>
  <c r="L2412" i="1"/>
  <c r="K2412" i="1"/>
  <c r="H2412" i="1"/>
  <c r="M2411" i="1"/>
  <c r="L2411" i="1"/>
  <c r="K2411" i="1"/>
  <c r="H2411" i="1"/>
  <c r="M2409" i="1"/>
  <c r="N2409" i="1" s="1"/>
  <c r="L2409" i="1"/>
  <c r="K2409" i="1"/>
  <c r="H2409" i="1"/>
  <c r="O2409" i="1" s="1"/>
  <c r="O2408" i="1" s="1"/>
  <c r="M2407" i="1"/>
  <c r="L2407" i="1"/>
  <c r="K2407" i="1"/>
  <c r="H2407" i="1"/>
  <c r="P2407" i="1" s="1"/>
  <c r="M2406" i="1"/>
  <c r="L2406" i="1"/>
  <c r="K2406" i="1"/>
  <c r="H2406" i="1"/>
  <c r="M2404" i="1"/>
  <c r="L2404" i="1"/>
  <c r="K2404" i="1"/>
  <c r="H2404" i="1"/>
  <c r="M2403" i="1"/>
  <c r="N2403" i="1" s="1"/>
  <c r="L2403" i="1"/>
  <c r="K2403" i="1"/>
  <c r="H2403" i="1"/>
  <c r="P2403" i="1" s="1"/>
  <c r="M2402" i="1"/>
  <c r="N2402" i="1" s="1"/>
  <c r="L2402" i="1"/>
  <c r="K2402" i="1"/>
  <c r="H2402" i="1"/>
  <c r="P2402" i="1" s="1"/>
  <c r="M2400" i="1"/>
  <c r="L2400" i="1"/>
  <c r="P2400" i="1" s="1"/>
  <c r="K2400" i="1"/>
  <c r="O2400" i="1" s="1"/>
  <c r="H2400" i="1"/>
  <c r="O2399" i="1"/>
  <c r="O2398" i="1" s="1"/>
  <c r="N2399" i="1"/>
  <c r="M2399" i="1"/>
  <c r="L2399" i="1"/>
  <c r="K2399" i="1"/>
  <c r="H2399" i="1"/>
  <c r="Q2399" i="1" s="1"/>
  <c r="M2397" i="1"/>
  <c r="Q2397" i="1" s="1"/>
  <c r="Q2396" i="1" s="1"/>
  <c r="L2397" i="1"/>
  <c r="N2397" i="1" s="1"/>
  <c r="K2397" i="1"/>
  <c r="H2397" i="1"/>
  <c r="N2394" i="1"/>
  <c r="M2394" i="1"/>
  <c r="L2394" i="1"/>
  <c r="K2394" i="1"/>
  <c r="H2394" i="1"/>
  <c r="R2394" i="1" s="1"/>
  <c r="M2393" i="1"/>
  <c r="L2393" i="1"/>
  <c r="P2393" i="1" s="1"/>
  <c r="K2393" i="1"/>
  <c r="H2393" i="1"/>
  <c r="M2392" i="1"/>
  <c r="L2392" i="1"/>
  <c r="K2392" i="1"/>
  <c r="H2392" i="1"/>
  <c r="M2391" i="1"/>
  <c r="L2391" i="1"/>
  <c r="K2391" i="1"/>
  <c r="H2391" i="1"/>
  <c r="Q2391" i="1" s="1"/>
  <c r="M2390" i="1"/>
  <c r="N2390" i="1" s="1"/>
  <c r="L2390" i="1"/>
  <c r="K2390" i="1"/>
  <c r="H2390" i="1"/>
  <c r="M2388" i="1"/>
  <c r="N2388" i="1" s="1"/>
  <c r="L2388" i="1"/>
  <c r="K2388" i="1"/>
  <c r="H2388" i="1"/>
  <c r="O2387" i="1"/>
  <c r="M2387" i="1"/>
  <c r="L2387" i="1"/>
  <c r="K2387" i="1"/>
  <c r="H2387" i="1"/>
  <c r="Q2387" i="1" s="1"/>
  <c r="O2385" i="1"/>
  <c r="N2385" i="1"/>
  <c r="R2385" i="1" s="1"/>
  <c r="M2385" i="1"/>
  <c r="L2385" i="1"/>
  <c r="K2385" i="1"/>
  <c r="H2385" i="1"/>
  <c r="Q2385" i="1" s="1"/>
  <c r="O2384" i="1"/>
  <c r="M2384" i="1"/>
  <c r="L2384" i="1"/>
  <c r="K2384" i="1"/>
  <c r="H2384" i="1"/>
  <c r="M2382" i="1"/>
  <c r="L2382" i="1"/>
  <c r="K2382" i="1"/>
  <c r="H2382" i="1"/>
  <c r="Q2382" i="1" s="1"/>
  <c r="M2381" i="1"/>
  <c r="L2381" i="1"/>
  <c r="K2381" i="1"/>
  <c r="N2381" i="1" s="1"/>
  <c r="H2381" i="1"/>
  <c r="O2381" i="1" s="1"/>
  <c r="M2380" i="1"/>
  <c r="L2380" i="1"/>
  <c r="K2380" i="1"/>
  <c r="H2380" i="1"/>
  <c r="M2379" i="1"/>
  <c r="L2379" i="1"/>
  <c r="K2379" i="1"/>
  <c r="H2379" i="1"/>
  <c r="O2378" i="1"/>
  <c r="M2378" i="1"/>
  <c r="L2378" i="1"/>
  <c r="K2378" i="1"/>
  <c r="H2378" i="1"/>
  <c r="O2377" i="1"/>
  <c r="N2377" i="1"/>
  <c r="R2377" i="1" s="1"/>
  <c r="M2377" i="1"/>
  <c r="L2377" i="1"/>
  <c r="K2377" i="1"/>
  <c r="H2377" i="1"/>
  <c r="M2376" i="1"/>
  <c r="L2376" i="1"/>
  <c r="P2376" i="1" s="1"/>
  <c r="K2376" i="1"/>
  <c r="H2376" i="1"/>
  <c r="M2375" i="1"/>
  <c r="L2375" i="1"/>
  <c r="K2375" i="1"/>
  <c r="H2375" i="1"/>
  <c r="O2375" i="1" s="1"/>
  <c r="M2374" i="1"/>
  <c r="L2374" i="1"/>
  <c r="K2374" i="1"/>
  <c r="H2374" i="1"/>
  <c r="M2373" i="1"/>
  <c r="L2373" i="1"/>
  <c r="P2373" i="1" s="1"/>
  <c r="K2373" i="1"/>
  <c r="N2373" i="1" s="1"/>
  <c r="H2373" i="1"/>
  <c r="M2372" i="1"/>
  <c r="L2372" i="1"/>
  <c r="K2372" i="1"/>
  <c r="H2372" i="1"/>
  <c r="Q2372" i="1" s="1"/>
  <c r="M2371" i="1"/>
  <c r="L2371" i="1"/>
  <c r="K2371" i="1"/>
  <c r="N2371" i="1" s="1"/>
  <c r="H2371" i="1"/>
  <c r="P2371" i="1" s="1"/>
  <c r="M2369" i="1"/>
  <c r="L2369" i="1"/>
  <c r="K2369" i="1"/>
  <c r="H2369" i="1"/>
  <c r="Q2369" i="1" s="1"/>
  <c r="Q2368" i="1" s="1"/>
  <c r="M2367" i="1"/>
  <c r="N2367" i="1" s="1"/>
  <c r="L2367" i="1"/>
  <c r="K2367" i="1"/>
  <c r="H2367" i="1"/>
  <c r="M2366" i="1"/>
  <c r="L2366" i="1"/>
  <c r="K2366" i="1"/>
  <c r="H2366" i="1"/>
  <c r="M2365" i="1"/>
  <c r="L2365" i="1"/>
  <c r="K2365" i="1"/>
  <c r="N2365" i="1" s="1"/>
  <c r="H2365" i="1"/>
  <c r="M2364" i="1"/>
  <c r="N2364" i="1" s="1"/>
  <c r="L2364" i="1"/>
  <c r="K2364" i="1"/>
  <c r="H2364" i="1"/>
  <c r="Q2363" i="1"/>
  <c r="M2363" i="1"/>
  <c r="L2363" i="1"/>
  <c r="K2363" i="1"/>
  <c r="H2363" i="1"/>
  <c r="O2362" i="1"/>
  <c r="N2362" i="1"/>
  <c r="M2362" i="1"/>
  <c r="L2362" i="1"/>
  <c r="K2362" i="1"/>
  <c r="H2362" i="1"/>
  <c r="M2360" i="1"/>
  <c r="Q2360" i="1" s="1"/>
  <c r="L2360" i="1"/>
  <c r="K2360" i="1"/>
  <c r="H2360" i="1"/>
  <c r="M2359" i="1"/>
  <c r="L2359" i="1"/>
  <c r="K2359" i="1"/>
  <c r="N2359" i="1" s="1"/>
  <c r="H2359" i="1"/>
  <c r="M2358" i="1"/>
  <c r="L2358" i="1"/>
  <c r="K2358" i="1"/>
  <c r="N2358" i="1" s="1"/>
  <c r="H2358" i="1"/>
  <c r="M2354" i="1"/>
  <c r="L2354" i="1"/>
  <c r="K2354" i="1"/>
  <c r="N2354" i="1" s="1"/>
  <c r="H2354" i="1"/>
  <c r="P2354" i="1" s="1"/>
  <c r="M2353" i="1"/>
  <c r="L2353" i="1"/>
  <c r="K2353" i="1"/>
  <c r="H2353" i="1"/>
  <c r="M2352" i="1"/>
  <c r="Q2352" i="1" s="1"/>
  <c r="L2352" i="1"/>
  <c r="K2352" i="1"/>
  <c r="H2352" i="1"/>
  <c r="N2350" i="1"/>
  <c r="M2350" i="1"/>
  <c r="Q2350" i="1" s="1"/>
  <c r="L2350" i="1"/>
  <c r="K2350" i="1"/>
  <c r="H2350" i="1"/>
  <c r="O2350" i="1" s="1"/>
  <c r="M2349" i="1"/>
  <c r="L2349" i="1"/>
  <c r="K2349" i="1"/>
  <c r="H2349" i="1"/>
  <c r="M2348" i="1"/>
  <c r="L2348" i="1"/>
  <c r="K2348" i="1"/>
  <c r="N2348" i="1" s="1"/>
  <c r="H2348" i="1"/>
  <c r="M2346" i="1"/>
  <c r="N2346" i="1" s="1"/>
  <c r="L2346" i="1"/>
  <c r="K2346" i="1"/>
  <c r="H2346" i="1"/>
  <c r="Q2345" i="1"/>
  <c r="M2345" i="1"/>
  <c r="L2345" i="1"/>
  <c r="K2345" i="1"/>
  <c r="H2345" i="1"/>
  <c r="O2344" i="1"/>
  <c r="N2344" i="1"/>
  <c r="M2344" i="1"/>
  <c r="L2344" i="1"/>
  <c r="K2344" i="1"/>
  <c r="H2344" i="1"/>
  <c r="M2342" i="1"/>
  <c r="Q2342" i="1" s="1"/>
  <c r="L2342" i="1"/>
  <c r="K2342" i="1"/>
  <c r="H2342" i="1"/>
  <c r="M2341" i="1"/>
  <c r="L2341" i="1"/>
  <c r="K2341" i="1"/>
  <c r="N2341" i="1" s="1"/>
  <c r="H2341" i="1"/>
  <c r="M2340" i="1"/>
  <c r="L2340" i="1"/>
  <c r="K2340" i="1"/>
  <c r="N2340" i="1" s="1"/>
  <c r="H2340" i="1"/>
  <c r="M2337" i="1"/>
  <c r="L2337" i="1"/>
  <c r="K2337" i="1"/>
  <c r="H2337" i="1"/>
  <c r="M2336" i="1"/>
  <c r="L2336" i="1"/>
  <c r="K2336" i="1"/>
  <c r="N2336" i="1" s="1"/>
  <c r="H2336" i="1"/>
  <c r="M2335" i="1"/>
  <c r="L2335" i="1"/>
  <c r="K2335" i="1"/>
  <c r="H2335" i="1"/>
  <c r="Q2335" i="1" s="1"/>
  <c r="Q2334" i="1"/>
  <c r="M2334" i="1"/>
  <c r="L2334" i="1"/>
  <c r="K2334" i="1"/>
  <c r="H2334" i="1"/>
  <c r="M2332" i="1"/>
  <c r="L2332" i="1"/>
  <c r="P2332" i="1" s="1"/>
  <c r="K2332" i="1"/>
  <c r="H2332" i="1"/>
  <c r="O2332" i="1" s="1"/>
  <c r="M2331" i="1"/>
  <c r="L2331" i="1"/>
  <c r="K2331" i="1"/>
  <c r="H2331" i="1"/>
  <c r="P2331" i="1" s="1"/>
  <c r="P2330" i="1" s="1"/>
  <c r="M2328" i="1"/>
  <c r="L2328" i="1"/>
  <c r="P2328" i="1" s="1"/>
  <c r="K2328" i="1"/>
  <c r="H2328" i="1"/>
  <c r="M2327" i="1"/>
  <c r="L2327" i="1"/>
  <c r="K2327" i="1"/>
  <c r="H2327" i="1"/>
  <c r="Q2327" i="1" s="1"/>
  <c r="M2326" i="1"/>
  <c r="L2326" i="1"/>
  <c r="K2326" i="1"/>
  <c r="N2326" i="1" s="1"/>
  <c r="H2326" i="1"/>
  <c r="O2326" i="1" s="1"/>
  <c r="M2325" i="1"/>
  <c r="L2325" i="1"/>
  <c r="P2325" i="1" s="1"/>
  <c r="K2325" i="1"/>
  <c r="H2325" i="1"/>
  <c r="Q2324" i="1"/>
  <c r="O2324" i="1"/>
  <c r="M2324" i="1"/>
  <c r="L2324" i="1"/>
  <c r="K2324" i="1"/>
  <c r="N2324" i="1" s="1"/>
  <c r="R2324" i="1" s="1"/>
  <c r="H2324" i="1"/>
  <c r="M2323" i="1"/>
  <c r="L2323" i="1"/>
  <c r="K2323" i="1"/>
  <c r="H2323" i="1"/>
  <c r="M2322" i="1"/>
  <c r="L2322" i="1"/>
  <c r="K2322" i="1"/>
  <c r="N2322" i="1" s="1"/>
  <c r="H2322" i="1"/>
  <c r="P2322" i="1" s="1"/>
  <c r="M2320" i="1"/>
  <c r="N2320" i="1" s="1"/>
  <c r="L2320" i="1"/>
  <c r="K2320" i="1"/>
  <c r="H2320" i="1"/>
  <c r="M2319" i="1"/>
  <c r="Q2319" i="1" s="1"/>
  <c r="L2319" i="1"/>
  <c r="K2319" i="1"/>
  <c r="H2319" i="1"/>
  <c r="O2319" i="1" s="1"/>
  <c r="M2318" i="1"/>
  <c r="L2318" i="1"/>
  <c r="K2318" i="1"/>
  <c r="H2318" i="1"/>
  <c r="M2317" i="1"/>
  <c r="L2317" i="1"/>
  <c r="K2317" i="1"/>
  <c r="N2317" i="1" s="1"/>
  <c r="H2317" i="1"/>
  <c r="O2317" i="1" s="1"/>
  <c r="M2316" i="1"/>
  <c r="L2316" i="1"/>
  <c r="K2316" i="1"/>
  <c r="H2316" i="1"/>
  <c r="N2312" i="1"/>
  <c r="M2312" i="1"/>
  <c r="L2312" i="1"/>
  <c r="K2312" i="1"/>
  <c r="H2312" i="1"/>
  <c r="O2312" i="1" s="1"/>
  <c r="Q2311" i="1"/>
  <c r="M2311" i="1"/>
  <c r="L2311" i="1"/>
  <c r="K2311" i="1"/>
  <c r="N2311" i="1" s="1"/>
  <c r="R2311" i="1" s="1"/>
  <c r="H2311" i="1"/>
  <c r="M2310" i="1"/>
  <c r="N2310" i="1" s="1"/>
  <c r="L2310" i="1"/>
  <c r="K2310" i="1"/>
  <c r="H2310" i="1"/>
  <c r="O2310" i="1" s="1"/>
  <c r="M2309" i="1"/>
  <c r="L2309" i="1"/>
  <c r="P2309" i="1" s="1"/>
  <c r="K2309" i="1"/>
  <c r="H2309" i="1"/>
  <c r="M2307" i="1"/>
  <c r="L2307" i="1"/>
  <c r="K2307" i="1"/>
  <c r="H2307" i="1"/>
  <c r="Q2307" i="1" s="1"/>
  <c r="M2306" i="1"/>
  <c r="L2306" i="1"/>
  <c r="K2306" i="1"/>
  <c r="N2306" i="1" s="1"/>
  <c r="H2306" i="1"/>
  <c r="Q2306" i="1" s="1"/>
  <c r="M2305" i="1"/>
  <c r="L2305" i="1"/>
  <c r="K2305" i="1"/>
  <c r="H2305" i="1"/>
  <c r="Q2305" i="1" s="1"/>
  <c r="M2304" i="1"/>
  <c r="L2304" i="1"/>
  <c r="K2304" i="1"/>
  <c r="N2304" i="1" s="1"/>
  <c r="H2304" i="1"/>
  <c r="M2302" i="1"/>
  <c r="L2302" i="1"/>
  <c r="N2302" i="1" s="1"/>
  <c r="K2302" i="1"/>
  <c r="H2302" i="1"/>
  <c r="M2301" i="1"/>
  <c r="L2301" i="1"/>
  <c r="K2301" i="1"/>
  <c r="H2301" i="1"/>
  <c r="O2301" i="1" s="1"/>
  <c r="M2300" i="1"/>
  <c r="L2300" i="1"/>
  <c r="N2300" i="1" s="1"/>
  <c r="K2300" i="1"/>
  <c r="H2300" i="1"/>
  <c r="M2299" i="1"/>
  <c r="L2299" i="1"/>
  <c r="K2299" i="1"/>
  <c r="H2299" i="1"/>
  <c r="M2296" i="1"/>
  <c r="L2296" i="1"/>
  <c r="K2296" i="1"/>
  <c r="H2296" i="1"/>
  <c r="O2296" i="1" s="1"/>
  <c r="O2295" i="1"/>
  <c r="M2295" i="1"/>
  <c r="L2295" i="1"/>
  <c r="N2295" i="1" s="1"/>
  <c r="K2295" i="1"/>
  <c r="H2295" i="1"/>
  <c r="P2295" i="1" s="1"/>
  <c r="M2294" i="1"/>
  <c r="L2294" i="1"/>
  <c r="P2294" i="1" s="1"/>
  <c r="K2294" i="1"/>
  <c r="H2294" i="1"/>
  <c r="O2294" i="1" s="1"/>
  <c r="M2293" i="1"/>
  <c r="L2293" i="1"/>
  <c r="N2293" i="1" s="1"/>
  <c r="K2293" i="1"/>
  <c r="H2293" i="1"/>
  <c r="M2292" i="1"/>
  <c r="L2292" i="1"/>
  <c r="K2292" i="1"/>
  <c r="H2292" i="1"/>
  <c r="O2292" i="1" s="1"/>
  <c r="M2291" i="1"/>
  <c r="L2291" i="1"/>
  <c r="K2291" i="1"/>
  <c r="H2291" i="1"/>
  <c r="O2290" i="1"/>
  <c r="M2290" i="1"/>
  <c r="L2290" i="1"/>
  <c r="K2290" i="1"/>
  <c r="H2290" i="1"/>
  <c r="P2289" i="1"/>
  <c r="M2289" i="1"/>
  <c r="L2289" i="1"/>
  <c r="K2289" i="1"/>
  <c r="H2289" i="1"/>
  <c r="O2289" i="1" s="1"/>
  <c r="M2287" i="1"/>
  <c r="L2287" i="1"/>
  <c r="K2287" i="1"/>
  <c r="H2287" i="1"/>
  <c r="Q2287" i="1" s="1"/>
  <c r="M2286" i="1"/>
  <c r="N2286" i="1" s="1"/>
  <c r="L2286" i="1"/>
  <c r="K2286" i="1"/>
  <c r="H2286" i="1"/>
  <c r="P2286" i="1" s="1"/>
  <c r="M2285" i="1"/>
  <c r="L2285" i="1"/>
  <c r="K2285" i="1"/>
  <c r="H2285" i="1"/>
  <c r="O2285" i="1" s="1"/>
  <c r="M2284" i="1"/>
  <c r="L2284" i="1"/>
  <c r="K2284" i="1"/>
  <c r="N2284" i="1" s="1"/>
  <c r="H2284" i="1"/>
  <c r="M2283" i="1"/>
  <c r="L2283" i="1"/>
  <c r="K2283" i="1"/>
  <c r="H2283" i="1"/>
  <c r="O2283" i="1" s="1"/>
  <c r="M2282" i="1"/>
  <c r="L2282" i="1"/>
  <c r="K2282" i="1"/>
  <c r="H2282" i="1"/>
  <c r="M2281" i="1"/>
  <c r="L2281" i="1"/>
  <c r="K2281" i="1"/>
  <c r="N2281" i="1" s="1"/>
  <c r="H2281" i="1"/>
  <c r="M2280" i="1"/>
  <c r="L2280" i="1"/>
  <c r="K2280" i="1"/>
  <c r="N2280" i="1" s="1"/>
  <c r="H2280" i="1"/>
  <c r="M2278" i="1"/>
  <c r="L2278" i="1"/>
  <c r="K2278" i="1"/>
  <c r="H2278" i="1"/>
  <c r="Q2278" i="1" s="1"/>
  <c r="P2277" i="1"/>
  <c r="M2277" i="1"/>
  <c r="L2277" i="1"/>
  <c r="N2277" i="1" s="1"/>
  <c r="K2277" i="1"/>
  <c r="H2277" i="1"/>
  <c r="O2277" i="1" s="1"/>
  <c r="N2276" i="1"/>
  <c r="M2276" i="1"/>
  <c r="L2276" i="1"/>
  <c r="K2276" i="1"/>
  <c r="H2276" i="1"/>
  <c r="Q2275" i="1"/>
  <c r="M2275" i="1"/>
  <c r="L2275" i="1"/>
  <c r="K2275" i="1"/>
  <c r="H2275" i="1"/>
  <c r="O2274" i="1"/>
  <c r="M2274" i="1"/>
  <c r="L2274" i="1"/>
  <c r="K2274" i="1"/>
  <c r="H2274" i="1"/>
  <c r="P2274" i="1" s="1"/>
  <c r="M2271" i="1"/>
  <c r="L2271" i="1"/>
  <c r="K2271" i="1"/>
  <c r="H2271" i="1"/>
  <c r="M2270" i="1"/>
  <c r="L2270" i="1"/>
  <c r="N2270" i="1" s="1"/>
  <c r="K2270" i="1"/>
  <c r="H2270" i="1"/>
  <c r="M2269" i="1"/>
  <c r="L2269" i="1"/>
  <c r="K2269" i="1"/>
  <c r="N2269" i="1" s="1"/>
  <c r="H2269" i="1"/>
  <c r="M2268" i="1"/>
  <c r="L2268" i="1"/>
  <c r="K2268" i="1"/>
  <c r="H2268" i="1"/>
  <c r="Q2268" i="1" s="1"/>
  <c r="M2266" i="1"/>
  <c r="L2266" i="1"/>
  <c r="K2266" i="1"/>
  <c r="H2266" i="1"/>
  <c r="O2266" i="1" s="1"/>
  <c r="M2265" i="1"/>
  <c r="L2265" i="1"/>
  <c r="K2265" i="1"/>
  <c r="H2265" i="1"/>
  <c r="M2264" i="1"/>
  <c r="L2264" i="1"/>
  <c r="K2264" i="1"/>
  <c r="N2264" i="1" s="1"/>
  <c r="H2264" i="1"/>
  <c r="Q2263" i="1"/>
  <c r="O2263" i="1"/>
  <c r="M2263" i="1"/>
  <c r="L2263" i="1"/>
  <c r="K2263" i="1"/>
  <c r="N2263" i="1" s="1"/>
  <c r="H2263" i="1"/>
  <c r="P2263" i="1" s="1"/>
  <c r="O2262" i="1"/>
  <c r="M2262" i="1"/>
  <c r="L2262" i="1"/>
  <c r="K2262" i="1"/>
  <c r="H2262" i="1"/>
  <c r="P2261" i="1"/>
  <c r="M2261" i="1"/>
  <c r="L2261" i="1"/>
  <c r="K2261" i="1"/>
  <c r="H2261" i="1"/>
  <c r="Q2261" i="1" s="1"/>
  <c r="M2259" i="1"/>
  <c r="L2259" i="1"/>
  <c r="K2259" i="1"/>
  <c r="H2259" i="1"/>
  <c r="M2258" i="1"/>
  <c r="L2258" i="1"/>
  <c r="K2258" i="1"/>
  <c r="H2258" i="1"/>
  <c r="Q2258" i="1" s="1"/>
  <c r="M2257" i="1"/>
  <c r="L2257" i="1"/>
  <c r="K2257" i="1"/>
  <c r="H2257" i="1"/>
  <c r="O2257" i="1" s="1"/>
  <c r="M2256" i="1"/>
  <c r="N2256" i="1" s="1"/>
  <c r="L2256" i="1"/>
  <c r="K2256" i="1"/>
  <c r="H2256" i="1"/>
  <c r="M2255" i="1"/>
  <c r="L2255" i="1"/>
  <c r="K2255" i="1"/>
  <c r="H2255" i="1"/>
  <c r="Q2255" i="1" s="1"/>
  <c r="M2254" i="1"/>
  <c r="L2254" i="1"/>
  <c r="K2254" i="1"/>
  <c r="H2254" i="1"/>
  <c r="M2252" i="1"/>
  <c r="L2252" i="1"/>
  <c r="K2252" i="1"/>
  <c r="H2252" i="1"/>
  <c r="Q2251" i="1"/>
  <c r="M2251" i="1"/>
  <c r="L2251" i="1"/>
  <c r="P2251" i="1" s="1"/>
  <c r="K2251" i="1"/>
  <c r="N2251" i="1" s="1"/>
  <c r="H2251" i="1"/>
  <c r="M2250" i="1"/>
  <c r="L2250" i="1"/>
  <c r="K2250" i="1"/>
  <c r="N2250" i="1" s="1"/>
  <c r="H2250" i="1"/>
  <c r="O2250" i="1" s="1"/>
  <c r="M2249" i="1"/>
  <c r="L2249" i="1"/>
  <c r="K2249" i="1"/>
  <c r="H2249" i="1"/>
  <c r="Q2249" i="1" s="1"/>
  <c r="M2248" i="1"/>
  <c r="L2248" i="1"/>
  <c r="K2248" i="1"/>
  <c r="H2248" i="1"/>
  <c r="N2246" i="1"/>
  <c r="M2246" i="1"/>
  <c r="L2246" i="1"/>
  <c r="K2246" i="1"/>
  <c r="H2246" i="1"/>
  <c r="M2245" i="1"/>
  <c r="Q2245" i="1" s="1"/>
  <c r="L2245" i="1"/>
  <c r="K2245" i="1"/>
  <c r="H2245" i="1"/>
  <c r="O2244" i="1"/>
  <c r="M2244" i="1"/>
  <c r="L2244" i="1"/>
  <c r="K2244" i="1"/>
  <c r="H2244" i="1"/>
  <c r="P2244" i="1" s="1"/>
  <c r="M2243" i="1"/>
  <c r="L2243" i="1"/>
  <c r="K2243" i="1"/>
  <c r="N2243" i="1" s="1"/>
  <c r="H2243" i="1"/>
  <c r="M2241" i="1"/>
  <c r="L2241" i="1"/>
  <c r="P2241" i="1" s="1"/>
  <c r="K2241" i="1"/>
  <c r="N2241" i="1" s="1"/>
  <c r="H2241" i="1"/>
  <c r="Q2241" i="1" s="1"/>
  <c r="M2240" i="1"/>
  <c r="L2240" i="1"/>
  <c r="K2240" i="1"/>
  <c r="N2240" i="1" s="1"/>
  <c r="H2240" i="1"/>
  <c r="O2240" i="1" s="1"/>
  <c r="M2239" i="1"/>
  <c r="L2239" i="1"/>
  <c r="K2239" i="1"/>
  <c r="O2239" i="1" s="1"/>
  <c r="H2239" i="1"/>
  <c r="Q2239" i="1" s="1"/>
  <c r="M2238" i="1"/>
  <c r="L2238" i="1"/>
  <c r="K2238" i="1"/>
  <c r="H2238" i="1"/>
  <c r="Q2237" i="1"/>
  <c r="M2237" i="1"/>
  <c r="L2237" i="1"/>
  <c r="K2237" i="1"/>
  <c r="N2237" i="1" s="1"/>
  <c r="H2237" i="1"/>
  <c r="M2235" i="1"/>
  <c r="L2235" i="1"/>
  <c r="K2235" i="1"/>
  <c r="H2235" i="1"/>
  <c r="Q2235" i="1" s="1"/>
  <c r="P2234" i="1"/>
  <c r="M2234" i="1"/>
  <c r="L2234" i="1"/>
  <c r="N2234" i="1" s="1"/>
  <c r="K2234" i="1"/>
  <c r="H2234" i="1"/>
  <c r="M2233" i="1"/>
  <c r="L2233" i="1"/>
  <c r="K2233" i="1"/>
  <c r="H2233" i="1"/>
  <c r="Q2232" i="1"/>
  <c r="M2232" i="1"/>
  <c r="L2232" i="1"/>
  <c r="K2232" i="1"/>
  <c r="H2232" i="1"/>
  <c r="M2231" i="1"/>
  <c r="L2231" i="1"/>
  <c r="K2231" i="1"/>
  <c r="H2231" i="1"/>
  <c r="M2227" i="1"/>
  <c r="L2227" i="1"/>
  <c r="K2227" i="1"/>
  <c r="N2227" i="1" s="1"/>
  <c r="H2227" i="1"/>
  <c r="M2226" i="1"/>
  <c r="L2226" i="1"/>
  <c r="K2226" i="1"/>
  <c r="N2226" i="1" s="1"/>
  <c r="H2226" i="1"/>
  <c r="M2224" i="1"/>
  <c r="L2224" i="1"/>
  <c r="K2224" i="1"/>
  <c r="H2224" i="1"/>
  <c r="P2224" i="1" s="1"/>
  <c r="O2223" i="1"/>
  <c r="M2223" i="1"/>
  <c r="L2223" i="1"/>
  <c r="K2223" i="1"/>
  <c r="H2223" i="1"/>
  <c r="P2222" i="1"/>
  <c r="M2222" i="1"/>
  <c r="N2222" i="1" s="1"/>
  <c r="L2222" i="1"/>
  <c r="K2222" i="1"/>
  <c r="H2222" i="1"/>
  <c r="M2221" i="1"/>
  <c r="N2221" i="1" s="1"/>
  <c r="R2221" i="1" s="1"/>
  <c r="L2221" i="1"/>
  <c r="K2221" i="1"/>
  <c r="O2221" i="1" s="1"/>
  <c r="H2221" i="1"/>
  <c r="P2221" i="1" s="1"/>
  <c r="O2220" i="1"/>
  <c r="M2220" i="1"/>
  <c r="L2220" i="1"/>
  <c r="K2220" i="1"/>
  <c r="H2220" i="1"/>
  <c r="P2220" i="1" s="1"/>
  <c r="M2219" i="1"/>
  <c r="L2219" i="1"/>
  <c r="K2219" i="1"/>
  <c r="H2219" i="1"/>
  <c r="P2219" i="1" s="1"/>
  <c r="M2217" i="1"/>
  <c r="L2217" i="1"/>
  <c r="K2217" i="1"/>
  <c r="H2217" i="1"/>
  <c r="P2217" i="1" s="1"/>
  <c r="M2216" i="1"/>
  <c r="L2216" i="1"/>
  <c r="K2216" i="1"/>
  <c r="H2216" i="1"/>
  <c r="M2215" i="1"/>
  <c r="L2215" i="1"/>
  <c r="K2215" i="1"/>
  <c r="N2215" i="1" s="1"/>
  <c r="H2215" i="1"/>
  <c r="M2214" i="1"/>
  <c r="L2214" i="1"/>
  <c r="K2214" i="1"/>
  <c r="H2214" i="1"/>
  <c r="M2213" i="1"/>
  <c r="Q2213" i="1" s="1"/>
  <c r="L2213" i="1"/>
  <c r="K2213" i="1"/>
  <c r="H2213" i="1"/>
  <c r="M2209" i="1"/>
  <c r="L2209" i="1"/>
  <c r="K2209" i="1"/>
  <c r="H2209" i="1"/>
  <c r="O2209" i="1" s="1"/>
  <c r="M2208" i="1"/>
  <c r="L2208" i="1"/>
  <c r="K2208" i="1"/>
  <c r="H2208" i="1"/>
  <c r="P2208" i="1" s="1"/>
  <c r="M2206" i="1"/>
  <c r="L2206" i="1"/>
  <c r="K2206" i="1"/>
  <c r="H2206" i="1"/>
  <c r="P2206" i="1" s="1"/>
  <c r="P2205" i="1" s="1"/>
  <c r="P2203" i="1"/>
  <c r="M2203" i="1"/>
  <c r="L2203" i="1"/>
  <c r="K2203" i="1"/>
  <c r="H2203" i="1"/>
  <c r="O2203" i="1" s="1"/>
  <c r="M2202" i="1"/>
  <c r="L2202" i="1"/>
  <c r="K2202" i="1"/>
  <c r="H2202" i="1"/>
  <c r="M2200" i="1"/>
  <c r="L2200" i="1"/>
  <c r="K2200" i="1"/>
  <c r="H2200" i="1"/>
  <c r="Q2200" i="1" s="1"/>
  <c r="Q2199" i="1" s="1"/>
  <c r="M2198" i="1"/>
  <c r="L2198" i="1"/>
  <c r="K2198" i="1"/>
  <c r="H2198" i="1"/>
  <c r="M2196" i="1"/>
  <c r="L2196" i="1"/>
  <c r="K2196" i="1"/>
  <c r="N2196" i="1" s="1"/>
  <c r="H2196" i="1"/>
  <c r="M2194" i="1"/>
  <c r="L2194" i="1"/>
  <c r="K2194" i="1"/>
  <c r="H2194" i="1"/>
  <c r="P2194" i="1" s="1"/>
  <c r="P2193" i="1" s="1"/>
  <c r="M2192" i="1"/>
  <c r="L2192" i="1"/>
  <c r="K2192" i="1"/>
  <c r="H2192" i="1"/>
  <c r="P2192" i="1" s="1"/>
  <c r="P2191" i="1" s="1"/>
  <c r="Q2190" i="1"/>
  <c r="M2190" i="1"/>
  <c r="L2190" i="1"/>
  <c r="K2190" i="1"/>
  <c r="H2190" i="1"/>
  <c r="Q2189" i="1"/>
  <c r="O2189" i="1"/>
  <c r="M2189" i="1"/>
  <c r="L2189" i="1"/>
  <c r="K2189" i="1"/>
  <c r="H2189" i="1"/>
  <c r="P2188" i="1"/>
  <c r="O2188" i="1"/>
  <c r="M2188" i="1"/>
  <c r="L2188" i="1"/>
  <c r="K2188" i="1"/>
  <c r="H2188" i="1"/>
  <c r="M2185" i="1"/>
  <c r="Q2185" i="1" s="1"/>
  <c r="L2185" i="1"/>
  <c r="K2185" i="1"/>
  <c r="H2185" i="1"/>
  <c r="M2184" i="1"/>
  <c r="L2184" i="1"/>
  <c r="K2184" i="1"/>
  <c r="H2184" i="1"/>
  <c r="O2184" i="1" s="1"/>
  <c r="M2183" i="1"/>
  <c r="L2183" i="1"/>
  <c r="K2183" i="1"/>
  <c r="N2183" i="1" s="1"/>
  <c r="R2183" i="1" s="1"/>
  <c r="H2183" i="1"/>
  <c r="M2182" i="1"/>
  <c r="L2182" i="1"/>
  <c r="K2182" i="1"/>
  <c r="H2182" i="1"/>
  <c r="O2182" i="1" s="1"/>
  <c r="M2181" i="1"/>
  <c r="L2181" i="1"/>
  <c r="K2181" i="1"/>
  <c r="O2181" i="1" s="1"/>
  <c r="H2181" i="1"/>
  <c r="Q2181" i="1" s="1"/>
  <c r="M2179" i="1"/>
  <c r="L2179" i="1"/>
  <c r="K2179" i="1"/>
  <c r="H2179" i="1"/>
  <c r="O2179" i="1" s="1"/>
  <c r="M2178" i="1"/>
  <c r="L2178" i="1"/>
  <c r="K2178" i="1"/>
  <c r="H2178" i="1"/>
  <c r="M2176" i="1"/>
  <c r="L2176" i="1"/>
  <c r="K2176" i="1"/>
  <c r="H2176" i="1"/>
  <c r="M2175" i="1"/>
  <c r="N2175" i="1" s="1"/>
  <c r="L2175" i="1"/>
  <c r="K2175" i="1"/>
  <c r="H2175" i="1"/>
  <c r="P2175" i="1" s="1"/>
  <c r="M2173" i="1"/>
  <c r="L2173" i="1"/>
  <c r="K2173" i="1"/>
  <c r="H2173" i="1"/>
  <c r="Q2173" i="1" s="1"/>
  <c r="M2172" i="1"/>
  <c r="L2172" i="1"/>
  <c r="K2172" i="1"/>
  <c r="H2172" i="1"/>
  <c r="M2170" i="1"/>
  <c r="L2170" i="1"/>
  <c r="K2170" i="1"/>
  <c r="N2170" i="1" s="1"/>
  <c r="H2170" i="1"/>
  <c r="O2170" i="1" s="1"/>
  <c r="M2169" i="1"/>
  <c r="L2169" i="1"/>
  <c r="K2169" i="1"/>
  <c r="N2169" i="1" s="1"/>
  <c r="H2169" i="1"/>
  <c r="M2167" i="1"/>
  <c r="L2167" i="1"/>
  <c r="K2167" i="1"/>
  <c r="H2167" i="1"/>
  <c r="M2166" i="1"/>
  <c r="Q2166" i="1" s="1"/>
  <c r="L2166" i="1"/>
  <c r="K2166" i="1"/>
  <c r="H2166" i="1"/>
  <c r="M2163" i="1"/>
  <c r="L2163" i="1"/>
  <c r="K2163" i="1"/>
  <c r="H2163" i="1"/>
  <c r="Q2161" i="1"/>
  <c r="M2161" i="1"/>
  <c r="L2161" i="1"/>
  <c r="P2161" i="1" s="1"/>
  <c r="K2161" i="1"/>
  <c r="N2161" i="1" s="1"/>
  <c r="H2161" i="1"/>
  <c r="M2160" i="1"/>
  <c r="L2160" i="1"/>
  <c r="K2160" i="1"/>
  <c r="H2160" i="1"/>
  <c r="O2160" i="1" s="1"/>
  <c r="M2159" i="1"/>
  <c r="L2159" i="1"/>
  <c r="K2159" i="1"/>
  <c r="O2159" i="1" s="1"/>
  <c r="H2159" i="1"/>
  <c r="Q2159" i="1" s="1"/>
  <c r="M2157" i="1"/>
  <c r="L2157" i="1"/>
  <c r="K2157" i="1"/>
  <c r="H2157" i="1"/>
  <c r="M2156" i="1"/>
  <c r="L2156" i="1"/>
  <c r="K2156" i="1"/>
  <c r="H2156" i="1"/>
  <c r="Q2154" i="1"/>
  <c r="P2154" i="1"/>
  <c r="M2154" i="1"/>
  <c r="L2154" i="1"/>
  <c r="K2154" i="1"/>
  <c r="H2154" i="1"/>
  <c r="O2153" i="1"/>
  <c r="M2153" i="1"/>
  <c r="L2153" i="1"/>
  <c r="N2153" i="1" s="1"/>
  <c r="K2153" i="1"/>
  <c r="H2153" i="1"/>
  <c r="P2153" i="1" s="1"/>
  <c r="Q2151" i="1"/>
  <c r="M2151" i="1"/>
  <c r="L2151" i="1"/>
  <c r="K2151" i="1"/>
  <c r="H2151" i="1"/>
  <c r="P2150" i="1"/>
  <c r="O2150" i="1"/>
  <c r="M2150" i="1"/>
  <c r="L2150" i="1"/>
  <c r="N2150" i="1" s="1"/>
  <c r="K2150" i="1"/>
  <c r="H2150" i="1"/>
  <c r="M2147" i="1"/>
  <c r="Q2147" i="1" s="1"/>
  <c r="L2147" i="1"/>
  <c r="K2147" i="1"/>
  <c r="H2147" i="1"/>
  <c r="O2146" i="1"/>
  <c r="M2146" i="1"/>
  <c r="L2146" i="1"/>
  <c r="K2146" i="1"/>
  <c r="H2146" i="1"/>
  <c r="P2146" i="1" s="1"/>
  <c r="M2144" i="1"/>
  <c r="L2144" i="1"/>
  <c r="K2144" i="1"/>
  <c r="H2144" i="1"/>
  <c r="O2144" i="1" s="1"/>
  <c r="M2143" i="1"/>
  <c r="L2143" i="1"/>
  <c r="K2143" i="1"/>
  <c r="N2143" i="1" s="1"/>
  <c r="H2143" i="1"/>
  <c r="M2141" i="1"/>
  <c r="L2141" i="1"/>
  <c r="K2141" i="1"/>
  <c r="N2141" i="1" s="1"/>
  <c r="H2141" i="1"/>
  <c r="Q2140" i="1"/>
  <c r="M2140" i="1"/>
  <c r="L2140" i="1"/>
  <c r="K2140" i="1"/>
  <c r="H2140" i="1"/>
  <c r="P2139" i="1"/>
  <c r="O2139" i="1"/>
  <c r="M2139" i="1"/>
  <c r="L2139" i="1"/>
  <c r="N2139" i="1" s="1"/>
  <c r="K2139" i="1"/>
  <c r="H2139" i="1"/>
  <c r="M2138" i="1"/>
  <c r="N2138" i="1" s="1"/>
  <c r="L2138" i="1"/>
  <c r="K2138" i="1"/>
  <c r="H2138" i="1"/>
  <c r="M2137" i="1"/>
  <c r="L2137" i="1"/>
  <c r="K2137" i="1"/>
  <c r="H2137" i="1"/>
  <c r="Q2137" i="1" s="1"/>
  <c r="M2136" i="1"/>
  <c r="L2136" i="1"/>
  <c r="N2136" i="1" s="1"/>
  <c r="K2136" i="1"/>
  <c r="H2136" i="1"/>
  <c r="M2135" i="1"/>
  <c r="L2135" i="1"/>
  <c r="K2135" i="1"/>
  <c r="N2135" i="1" s="1"/>
  <c r="H2135" i="1"/>
  <c r="M2133" i="1"/>
  <c r="L2133" i="1"/>
  <c r="K2133" i="1"/>
  <c r="H2133" i="1"/>
  <c r="M2132" i="1"/>
  <c r="L2132" i="1"/>
  <c r="K2132" i="1"/>
  <c r="N2132" i="1" s="1"/>
  <c r="H2132" i="1"/>
  <c r="Q2132" i="1" s="1"/>
  <c r="M2130" i="1"/>
  <c r="L2130" i="1"/>
  <c r="K2130" i="1"/>
  <c r="H2130" i="1"/>
  <c r="P2130" i="1" s="1"/>
  <c r="M2129" i="1"/>
  <c r="L2129" i="1"/>
  <c r="K2129" i="1"/>
  <c r="H2129" i="1"/>
  <c r="M2127" i="1"/>
  <c r="L2127" i="1"/>
  <c r="K2127" i="1"/>
  <c r="H2127" i="1"/>
  <c r="O2127" i="1" s="1"/>
  <c r="M2126" i="1"/>
  <c r="L2126" i="1"/>
  <c r="K2126" i="1"/>
  <c r="N2126" i="1" s="1"/>
  <c r="H2126" i="1"/>
  <c r="Q2126" i="1" s="1"/>
  <c r="M2124" i="1"/>
  <c r="L2124" i="1"/>
  <c r="K2124" i="1"/>
  <c r="N2124" i="1" s="1"/>
  <c r="H2124" i="1"/>
  <c r="M2123" i="1"/>
  <c r="L2123" i="1"/>
  <c r="K2123" i="1"/>
  <c r="H2123" i="1"/>
  <c r="P2123" i="1" s="1"/>
  <c r="Q2121" i="1"/>
  <c r="M2121" i="1"/>
  <c r="L2121" i="1"/>
  <c r="K2121" i="1"/>
  <c r="N2121" i="1" s="1"/>
  <c r="H2121" i="1"/>
  <c r="M2120" i="1"/>
  <c r="L2120" i="1"/>
  <c r="K2120" i="1"/>
  <c r="H2120" i="1"/>
  <c r="Q2120" i="1" s="1"/>
  <c r="M2117" i="1"/>
  <c r="L2117" i="1"/>
  <c r="K2117" i="1"/>
  <c r="N2117" i="1" s="1"/>
  <c r="H2117" i="1"/>
  <c r="M2115" i="1"/>
  <c r="L2115" i="1"/>
  <c r="K2115" i="1"/>
  <c r="H2115" i="1"/>
  <c r="Q2115" i="1" s="1"/>
  <c r="Q2114" i="1" s="1"/>
  <c r="M2113" i="1"/>
  <c r="L2113" i="1"/>
  <c r="K2113" i="1"/>
  <c r="N2113" i="1" s="1"/>
  <c r="H2113" i="1"/>
  <c r="M2111" i="1"/>
  <c r="L2111" i="1"/>
  <c r="K2111" i="1"/>
  <c r="H2111" i="1"/>
  <c r="Q2111" i="1" s="1"/>
  <c r="Q2110" i="1" s="1"/>
  <c r="M2109" i="1"/>
  <c r="L2109" i="1"/>
  <c r="K2109" i="1"/>
  <c r="N2109" i="1" s="1"/>
  <c r="H2109" i="1"/>
  <c r="O2109" i="1" s="1"/>
  <c r="O2108" i="1" s="1"/>
  <c r="M2107" i="1"/>
  <c r="L2107" i="1"/>
  <c r="K2107" i="1"/>
  <c r="H2107" i="1"/>
  <c r="M2105" i="1"/>
  <c r="L2105" i="1"/>
  <c r="K2105" i="1"/>
  <c r="H2105" i="1"/>
  <c r="M2103" i="1"/>
  <c r="L2103" i="1"/>
  <c r="K2103" i="1"/>
  <c r="H2103" i="1"/>
  <c r="Q2103" i="1" s="1"/>
  <c r="M2102" i="1"/>
  <c r="L2102" i="1"/>
  <c r="K2102" i="1"/>
  <c r="H2102" i="1"/>
  <c r="O2102" i="1" s="1"/>
  <c r="M2101" i="1"/>
  <c r="L2101" i="1"/>
  <c r="K2101" i="1"/>
  <c r="H2101" i="1"/>
  <c r="M2099" i="1"/>
  <c r="L2099" i="1"/>
  <c r="K2099" i="1"/>
  <c r="H2099" i="1"/>
  <c r="M2097" i="1"/>
  <c r="N2097" i="1" s="1"/>
  <c r="L2097" i="1"/>
  <c r="K2097" i="1"/>
  <c r="H2097" i="1"/>
  <c r="Q2096" i="1"/>
  <c r="N2096" i="1"/>
  <c r="R2096" i="1" s="1"/>
  <c r="M2096" i="1"/>
  <c r="L2096" i="1"/>
  <c r="K2096" i="1"/>
  <c r="O2096" i="1" s="1"/>
  <c r="H2096" i="1"/>
  <c r="Q2094" i="1"/>
  <c r="O2094" i="1"/>
  <c r="M2094" i="1"/>
  <c r="L2094" i="1"/>
  <c r="K2094" i="1"/>
  <c r="N2094" i="1" s="1"/>
  <c r="H2094" i="1"/>
  <c r="P2094" i="1" s="1"/>
  <c r="O2093" i="1"/>
  <c r="M2093" i="1"/>
  <c r="L2093" i="1"/>
  <c r="K2093" i="1"/>
  <c r="H2093" i="1"/>
  <c r="O2088" i="1"/>
  <c r="O2087" i="1" s="1"/>
  <c r="M2088" i="1"/>
  <c r="L2088" i="1"/>
  <c r="K2088" i="1"/>
  <c r="H2088" i="1"/>
  <c r="M2086" i="1"/>
  <c r="L2086" i="1"/>
  <c r="N2086" i="1" s="1"/>
  <c r="K2086" i="1"/>
  <c r="H2086" i="1"/>
  <c r="M2084" i="1"/>
  <c r="L2084" i="1"/>
  <c r="K2084" i="1"/>
  <c r="H2084" i="1"/>
  <c r="Q2084" i="1" s="1"/>
  <c r="Q2083" i="1" s="1"/>
  <c r="M2082" i="1"/>
  <c r="L2082" i="1"/>
  <c r="K2082" i="1"/>
  <c r="H2082" i="1"/>
  <c r="M2080" i="1"/>
  <c r="L2080" i="1"/>
  <c r="K2080" i="1"/>
  <c r="N2080" i="1" s="1"/>
  <c r="H2080" i="1"/>
  <c r="P2079" i="1"/>
  <c r="M2079" i="1"/>
  <c r="L2079" i="1"/>
  <c r="K2079" i="1"/>
  <c r="N2079" i="1" s="1"/>
  <c r="H2079" i="1"/>
  <c r="Q2076" i="1"/>
  <c r="P2076" i="1"/>
  <c r="M2076" i="1"/>
  <c r="L2076" i="1"/>
  <c r="K2076" i="1"/>
  <c r="H2076" i="1"/>
  <c r="O2075" i="1"/>
  <c r="M2075" i="1"/>
  <c r="L2075" i="1"/>
  <c r="K2075" i="1"/>
  <c r="H2075" i="1"/>
  <c r="O2074" i="1"/>
  <c r="M2074" i="1"/>
  <c r="L2074" i="1"/>
  <c r="K2074" i="1"/>
  <c r="H2074" i="1"/>
  <c r="P2074" i="1" s="1"/>
  <c r="M2073" i="1"/>
  <c r="L2073" i="1"/>
  <c r="K2073" i="1"/>
  <c r="H2073" i="1"/>
  <c r="P2073" i="1" s="1"/>
  <c r="M2072" i="1"/>
  <c r="L2072" i="1"/>
  <c r="K2072" i="1"/>
  <c r="H2072" i="1"/>
  <c r="P2072" i="1" s="1"/>
  <c r="M2070" i="1"/>
  <c r="L2070" i="1"/>
  <c r="K2070" i="1"/>
  <c r="N2070" i="1" s="1"/>
  <c r="H2070" i="1"/>
  <c r="R2070" i="1" s="1"/>
  <c r="N2069" i="1"/>
  <c r="M2069" i="1"/>
  <c r="L2069" i="1"/>
  <c r="K2069" i="1"/>
  <c r="H2069" i="1"/>
  <c r="P2069" i="1" s="1"/>
  <c r="P2066" i="1"/>
  <c r="M2066" i="1"/>
  <c r="L2066" i="1"/>
  <c r="K2066" i="1"/>
  <c r="H2066" i="1"/>
  <c r="O2066" i="1" s="1"/>
  <c r="M2065" i="1"/>
  <c r="L2065" i="1"/>
  <c r="K2065" i="1"/>
  <c r="H2065" i="1"/>
  <c r="M2064" i="1"/>
  <c r="L2064" i="1"/>
  <c r="K2064" i="1"/>
  <c r="H2064" i="1"/>
  <c r="O2064" i="1" s="1"/>
  <c r="M2062" i="1"/>
  <c r="L2062" i="1"/>
  <c r="K2062" i="1"/>
  <c r="H2062" i="1"/>
  <c r="O2062" i="1" s="1"/>
  <c r="P2061" i="1"/>
  <c r="M2061" i="1"/>
  <c r="L2061" i="1"/>
  <c r="K2061" i="1"/>
  <c r="H2061" i="1"/>
  <c r="M2060" i="1"/>
  <c r="L2060" i="1"/>
  <c r="K2060" i="1"/>
  <c r="O2060" i="1" s="1"/>
  <c r="H2060" i="1"/>
  <c r="M2057" i="1"/>
  <c r="L2057" i="1"/>
  <c r="K2057" i="1"/>
  <c r="H2057" i="1"/>
  <c r="P2057" i="1" s="1"/>
  <c r="M2056" i="1"/>
  <c r="Q2056" i="1" s="1"/>
  <c r="L2056" i="1"/>
  <c r="K2056" i="1"/>
  <c r="H2056" i="1"/>
  <c r="O2055" i="1"/>
  <c r="M2055" i="1"/>
  <c r="L2055" i="1"/>
  <c r="K2055" i="1"/>
  <c r="H2055" i="1"/>
  <c r="M2054" i="1"/>
  <c r="L2054" i="1"/>
  <c r="K2054" i="1"/>
  <c r="H2054" i="1"/>
  <c r="P2054" i="1" s="1"/>
  <c r="M2052" i="1"/>
  <c r="L2052" i="1"/>
  <c r="P2052" i="1" s="1"/>
  <c r="K2052" i="1"/>
  <c r="N2052" i="1" s="1"/>
  <c r="R2052" i="1" s="1"/>
  <c r="H2052" i="1"/>
  <c r="M2051" i="1"/>
  <c r="L2051" i="1"/>
  <c r="K2051" i="1"/>
  <c r="N2051" i="1" s="1"/>
  <c r="R2051" i="1" s="1"/>
  <c r="H2051" i="1"/>
  <c r="Q2051" i="1" s="1"/>
  <c r="M2050" i="1"/>
  <c r="L2050" i="1"/>
  <c r="K2050" i="1"/>
  <c r="H2050" i="1"/>
  <c r="M2049" i="1"/>
  <c r="L2049" i="1"/>
  <c r="K2049" i="1"/>
  <c r="N2049" i="1" s="1"/>
  <c r="H2049" i="1"/>
  <c r="P2049" i="1" s="1"/>
  <c r="M2048" i="1"/>
  <c r="L2048" i="1"/>
  <c r="K2048" i="1"/>
  <c r="H2048" i="1"/>
  <c r="Q2048" i="1" s="1"/>
  <c r="M2046" i="1"/>
  <c r="L2046" i="1"/>
  <c r="K2046" i="1"/>
  <c r="N2046" i="1" s="1"/>
  <c r="H2046" i="1"/>
  <c r="O2046" i="1" s="1"/>
  <c r="M2045" i="1"/>
  <c r="L2045" i="1"/>
  <c r="K2045" i="1"/>
  <c r="H2045" i="1"/>
  <c r="M2042" i="1"/>
  <c r="Q2042" i="1" s="1"/>
  <c r="L2042" i="1"/>
  <c r="K2042" i="1"/>
  <c r="H2042" i="1"/>
  <c r="O2042" i="1" s="1"/>
  <c r="M2041" i="1"/>
  <c r="L2041" i="1"/>
  <c r="K2041" i="1"/>
  <c r="H2041" i="1"/>
  <c r="Q2041" i="1" s="1"/>
  <c r="Q2040" i="1" s="1"/>
  <c r="M2039" i="1"/>
  <c r="L2039" i="1"/>
  <c r="K2039" i="1"/>
  <c r="H2039" i="1"/>
  <c r="P2039" i="1" s="1"/>
  <c r="M2038" i="1"/>
  <c r="L2038" i="1"/>
  <c r="K2038" i="1"/>
  <c r="H2038" i="1"/>
  <c r="M2036" i="1"/>
  <c r="L2036" i="1"/>
  <c r="K2036" i="1"/>
  <c r="H2036" i="1"/>
  <c r="M2035" i="1"/>
  <c r="L2035" i="1"/>
  <c r="K2035" i="1"/>
  <c r="H2035" i="1"/>
  <c r="Q2035" i="1" s="1"/>
  <c r="M2032" i="1"/>
  <c r="L2032" i="1"/>
  <c r="K2032" i="1"/>
  <c r="H2032" i="1"/>
  <c r="P2032" i="1" s="1"/>
  <c r="M2031" i="1"/>
  <c r="L2031" i="1"/>
  <c r="K2031" i="1"/>
  <c r="N2031" i="1" s="1"/>
  <c r="H2031" i="1"/>
  <c r="Q2031" i="1" s="1"/>
  <c r="M2030" i="1"/>
  <c r="L2030" i="1"/>
  <c r="K2030" i="1"/>
  <c r="H2030" i="1"/>
  <c r="O2030" i="1" s="1"/>
  <c r="P2029" i="1"/>
  <c r="M2029" i="1"/>
  <c r="L2029" i="1"/>
  <c r="K2029" i="1"/>
  <c r="H2029" i="1"/>
  <c r="Q2028" i="1"/>
  <c r="M2028" i="1"/>
  <c r="L2028" i="1"/>
  <c r="K2028" i="1"/>
  <c r="N2028" i="1" s="1"/>
  <c r="H2028" i="1"/>
  <c r="P2028" i="1" s="1"/>
  <c r="M2027" i="1"/>
  <c r="L2027" i="1"/>
  <c r="P2027" i="1" s="1"/>
  <c r="K2027" i="1"/>
  <c r="H2027" i="1"/>
  <c r="O2027" i="1" s="1"/>
  <c r="M2026" i="1"/>
  <c r="L2026" i="1"/>
  <c r="K2026" i="1"/>
  <c r="H2026" i="1"/>
  <c r="P2026" i="1" s="1"/>
  <c r="O2025" i="1"/>
  <c r="M2025" i="1"/>
  <c r="L2025" i="1"/>
  <c r="K2025" i="1"/>
  <c r="H2025" i="1"/>
  <c r="M2024" i="1"/>
  <c r="L2024" i="1"/>
  <c r="K2024" i="1"/>
  <c r="N2024" i="1" s="1"/>
  <c r="H2024" i="1"/>
  <c r="M2022" i="1"/>
  <c r="L2022" i="1"/>
  <c r="N2022" i="1" s="1"/>
  <c r="K2022" i="1"/>
  <c r="H2022" i="1"/>
  <c r="M2021" i="1"/>
  <c r="N2021" i="1" s="1"/>
  <c r="L2021" i="1"/>
  <c r="K2021" i="1"/>
  <c r="H2021" i="1"/>
  <c r="P2021" i="1" s="1"/>
  <c r="O2020" i="1"/>
  <c r="N2020" i="1"/>
  <c r="R2020" i="1" s="1"/>
  <c r="M2020" i="1"/>
  <c r="L2020" i="1"/>
  <c r="K2020" i="1"/>
  <c r="H2020" i="1"/>
  <c r="P2020" i="1" s="1"/>
  <c r="O2018" i="1"/>
  <c r="M2018" i="1"/>
  <c r="L2018" i="1"/>
  <c r="K2018" i="1"/>
  <c r="N2018" i="1" s="1"/>
  <c r="H2018" i="1"/>
  <c r="P2018" i="1" s="1"/>
  <c r="M2017" i="1"/>
  <c r="L2017" i="1"/>
  <c r="K2017" i="1"/>
  <c r="H2017" i="1"/>
  <c r="M2016" i="1"/>
  <c r="L2016" i="1"/>
  <c r="K2016" i="1"/>
  <c r="N2016" i="1" s="1"/>
  <c r="H2016" i="1"/>
  <c r="M2013" i="1"/>
  <c r="L2013" i="1"/>
  <c r="K2013" i="1"/>
  <c r="H2013" i="1"/>
  <c r="M2011" i="1"/>
  <c r="L2011" i="1"/>
  <c r="K2011" i="1"/>
  <c r="H2011" i="1"/>
  <c r="M2010" i="1"/>
  <c r="L2010" i="1"/>
  <c r="K2010" i="1"/>
  <c r="N2010" i="1" s="1"/>
  <c r="H2010" i="1"/>
  <c r="M2009" i="1"/>
  <c r="L2009" i="1"/>
  <c r="K2009" i="1"/>
  <c r="H2009" i="1"/>
  <c r="Q2009" i="1" s="1"/>
  <c r="P2008" i="1"/>
  <c r="M2008" i="1"/>
  <c r="L2008" i="1"/>
  <c r="K2008" i="1"/>
  <c r="H2008" i="1"/>
  <c r="O2008" i="1" s="1"/>
  <c r="P2007" i="1"/>
  <c r="M2007" i="1"/>
  <c r="L2007" i="1"/>
  <c r="K2007" i="1"/>
  <c r="N2007" i="1" s="1"/>
  <c r="H2007" i="1"/>
  <c r="Q2007" i="1" s="1"/>
  <c r="M2006" i="1"/>
  <c r="Q2006" i="1" s="1"/>
  <c r="L2006" i="1"/>
  <c r="K2006" i="1"/>
  <c r="H2006" i="1"/>
  <c r="O2005" i="1"/>
  <c r="M2005" i="1"/>
  <c r="L2005" i="1"/>
  <c r="K2005" i="1"/>
  <c r="H2005" i="1"/>
  <c r="P2005" i="1" s="1"/>
  <c r="P2004" i="1"/>
  <c r="M2004" i="1"/>
  <c r="L2004" i="1"/>
  <c r="K2004" i="1"/>
  <c r="H2004" i="1"/>
  <c r="Q2004" i="1" s="1"/>
  <c r="M2003" i="1"/>
  <c r="L2003" i="1"/>
  <c r="K2003" i="1"/>
  <c r="H2003" i="1"/>
  <c r="Q2003" i="1" s="1"/>
  <c r="M2002" i="1"/>
  <c r="L2002" i="1"/>
  <c r="K2002" i="1"/>
  <c r="H2002" i="1"/>
  <c r="P2002" i="1" s="1"/>
  <c r="M2001" i="1"/>
  <c r="L2001" i="1"/>
  <c r="K2001" i="1"/>
  <c r="N2001" i="1" s="1"/>
  <c r="H2001" i="1"/>
  <c r="M1998" i="1"/>
  <c r="L1998" i="1"/>
  <c r="N1998" i="1" s="1"/>
  <c r="K1998" i="1"/>
  <c r="H1998" i="1"/>
  <c r="P1997" i="1"/>
  <c r="N1997" i="1"/>
  <c r="M1997" i="1"/>
  <c r="L1997" i="1"/>
  <c r="K1997" i="1"/>
  <c r="H1997" i="1"/>
  <c r="M1996" i="1"/>
  <c r="Q1996" i="1" s="1"/>
  <c r="L1996" i="1"/>
  <c r="K1996" i="1"/>
  <c r="H1996" i="1"/>
  <c r="P1996" i="1" s="1"/>
  <c r="M1994" i="1"/>
  <c r="L1994" i="1"/>
  <c r="K1994" i="1"/>
  <c r="H1994" i="1"/>
  <c r="Q1994" i="1" s="1"/>
  <c r="M1993" i="1"/>
  <c r="L1993" i="1"/>
  <c r="K1993" i="1"/>
  <c r="H1993" i="1"/>
  <c r="P1993" i="1" s="1"/>
  <c r="M1992" i="1"/>
  <c r="L1992" i="1"/>
  <c r="K1992" i="1"/>
  <c r="N1992" i="1" s="1"/>
  <c r="H1992" i="1"/>
  <c r="P1992" i="1" s="1"/>
  <c r="M1991" i="1"/>
  <c r="L1991" i="1"/>
  <c r="K1991" i="1"/>
  <c r="N1991" i="1" s="1"/>
  <c r="H1991" i="1"/>
  <c r="M1990" i="1"/>
  <c r="L1990" i="1"/>
  <c r="K1990" i="1"/>
  <c r="H1990" i="1"/>
  <c r="P1990" i="1" s="1"/>
  <c r="N1989" i="1"/>
  <c r="M1989" i="1"/>
  <c r="L1989" i="1"/>
  <c r="K1989" i="1"/>
  <c r="H1989" i="1"/>
  <c r="P1989" i="1" s="1"/>
  <c r="M1988" i="1"/>
  <c r="L1988" i="1"/>
  <c r="K1988" i="1"/>
  <c r="H1988" i="1"/>
  <c r="M1987" i="1"/>
  <c r="L1987" i="1"/>
  <c r="K1987" i="1"/>
  <c r="H1987" i="1"/>
  <c r="P1987" i="1" s="1"/>
  <c r="M1986" i="1"/>
  <c r="L1986" i="1"/>
  <c r="K1986" i="1"/>
  <c r="N1986" i="1" s="1"/>
  <c r="H1986" i="1"/>
  <c r="P1986" i="1" s="1"/>
  <c r="M1985" i="1"/>
  <c r="L1985" i="1"/>
  <c r="K1985" i="1"/>
  <c r="N1985" i="1" s="1"/>
  <c r="H1985" i="1"/>
  <c r="M1984" i="1"/>
  <c r="L1984" i="1"/>
  <c r="K1984" i="1"/>
  <c r="H1984" i="1"/>
  <c r="P1984" i="1" s="1"/>
  <c r="O1981" i="1"/>
  <c r="N1981" i="1"/>
  <c r="M1981" i="1"/>
  <c r="L1981" i="1"/>
  <c r="K1981" i="1"/>
  <c r="H1981" i="1"/>
  <c r="P1981" i="1" s="1"/>
  <c r="M1980" i="1"/>
  <c r="L1980" i="1"/>
  <c r="K1980" i="1"/>
  <c r="H1980" i="1"/>
  <c r="M1978" i="1"/>
  <c r="L1978" i="1"/>
  <c r="P1978" i="1" s="1"/>
  <c r="K1978" i="1"/>
  <c r="H1978" i="1"/>
  <c r="M1977" i="1"/>
  <c r="L1977" i="1"/>
  <c r="K1977" i="1"/>
  <c r="H1977" i="1"/>
  <c r="M1976" i="1"/>
  <c r="L1976" i="1"/>
  <c r="K1976" i="1"/>
  <c r="N1976" i="1" s="1"/>
  <c r="H1976" i="1"/>
  <c r="O1976" i="1" s="1"/>
  <c r="M1975" i="1"/>
  <c r="L1975" i="1"/>
  <c r="K1975" i="1"/>
  <c r="H1975" i="1"/>
  <c r="M1974" i="1"/>
  <c r="L1974" i="1"/>
  <c r="K1974" i="1"/>
  <c r="H1974" i="1"/>
  <c r="M1973" i="1"/>
  <c r="L1973" i="1"/>
  <c r="K1973" i="1"/>
  <c r="H1973" i="1"/>
  <c r="Q1973" i="1" s="1"/>
  <c r="M1972" i="1"/>
  <c r="L1972" i="1"/>
  <c r="K1972" i="1"/>
  <c r="H1972" i="1"/>
  <c r="P1972" i="1" s="1"/>
  <c r="M1971" i="1"/>
  <c r="L1971" i="1"/>
  <c r="K1971" i="1"/>
  <c r="H1971" i="1"/>
  <c r="M1970" i="1"/>
  <c r="L1970" i="1"/>
  <c r="N1970" i="1" s="1"/>
  <c r="K1970" i="1"/>
  <c r="H1970" i="1"/>
  <c r="O1970" i="1" s="1"/>
  <c r="P1969" i="1"/>
  <c r="M1969" i="1"/>
  <c r="L1969" i="1"/>
  <c r="N1969" i="1" s="1"/>
  <c r="K1969" i="1"/>
  <c r="H1969" i="1"/>
  <c r="M1968" i="1"/>
  <c r="L1968" i="1"/>
  <c r="K1968" i="1"/>
  <c r="H1968" i="1"/>
  <c r="M1967" i="1"/>
  <c r="L1967" i="1"/>
  <c r="K1967" i="1"/>
  <c r="H1967" i="1"/>
  <c r="O1967" i="1" s="1"/>
  <c r="M1966" i="1"/>
  <c r="L1966" i="1"/>
  <c r="K1966" i="1"/>
  <c r="H1966" i="1"/>
  <c r="O1966" i="1" s="1"/>
  <c r="P1965" i="1"/>
  <c r="M1965" i="1"/>
  <c r="L1965" i="1"/>
  <c r="K1965" i="1"/>
  <c r="H1965" i="1"/>
  <c r="Q1964" i="1"/>
  <c r="O1964" i="1"/>
  <c r="M1964" i="1"/>
  <c r="L1964" i="1"/>
  <c r="K1964" i="1"/>
  <c r="H1964" i="1"/>
  <c r="P1963" i="1"/>
  <c r="M1963" i="1"/>
  <c r="L1963" i="1"/>
  <c r="K1963" i="1"/>
  <c r="H1963" i="1"/>
  <c r="M1958" i="1"/>
  <c r="L1958" i="1"/>
  <c r="K1958" i="1"/>
  <c r="N1958" i="1" s="1"/>
  <c r="H1958" i="1"/>
  <c r="M1956" i="1"/>
  <c r="L1956" i="1"/>
  <c r="P1956" i="1" s="1"/>
  <c r="P1955" i="1" s="1"/>
  <c r="K1956" i="1"/>
  <c r="O1956" i="1" s="1"/>
  <c r="O1955" i="1" s="1"/>
  <c r="H1956" i="1"/>
  <c r="M1954" i="1"/>
  <c r="L1954" i="1"/>
  <c r="N1954" i="1" s="1"/>
  <c r="K1954" i="1"/>
  <c r="O1954" i="1" s="1"/>
  <c r="H1954" i="1"/>
  <c r="Q1953" i="1"/>
  <c r="M1953" i="1"/>
  <c r="L1953" i="1"/>
  <c r="P1953" i="1" s="1"/>
  <c r="K1953" i="1"/>
  <c r="H1953" i="1"/>
  <c r="M1950" i="1"/>
  <c r="L1950" i="1"/>
  <c r="K1950" i="1"/>
  <c r="N1950" i="1" s="1"/>
  <c r="H1950" i="1"/>
  <c r="O1950" i="1" s="1"/>
  <c r="O1949" i="1" s="1"/>
  <c r="M1948" i="1"/>
  <c r="L1948" i="1"/>
  <c r="N1948" i="1" s="1"/>
  <c r="K1948" i="1"/>
  <c r="H1948" i="1"/>
  <c r="M1946" i="1"/>
  <c r="L1946" i="1"/>
  <c r="K1946" i="1"/>
  <c r="H1946" i="1"/>
  <c r="P1946" i="1" s="1"/>
  <c r="O1945" i="1"/>
  <c r="M1945" i="1"/>
  <c r="L1945" i="1"/>
  <c r="K1945" i="1"/>
  <c r="H1945" i="1"/>
  <c r="P1941" i="1"/>
  <c r="P1940" i="1" s="1"/>
  <c r="M1941" i="1"/>
  <c r="L1941" i="1"/>
  <c r="K1941" i="1"/>
  <c r="H1941" i="1"/>
  <c r="N1939" i="1"/>
  <c r="M1939" i="1"/>
  <c r="L1939" i="1"/>
  <c r="K1939" i="1"/>
  <c r="H1939" i="1"/>
  <c r="O1938" i="1"/>
  <c r="M1938" i="1"/>
  <c r="Q1938" i="1" s="1"/>
  <c r="L1938" i="1"/>
  <c r="K1938" i="1"/>
  <c r="H1938" i="1"/>
  <c r="P1938" i="1" s="1"/>
  <c r="M1936" i="1"/>
  <c r="L1936" i="1"/>
  <c r="K1936" i="1"/>
  <c r="H1936" i="1"/>
  <c r="Q1936" i="1" s="1"/>
  <c r="M1935" i="1"/>
  <c r="L1935" i="1"/>
  <c r="K1935" i="1"/>
  <c r="N1935" i="1" s="1"/>
  <c r="H1935" i="1"/>
  <c r="Q1935" i="1" s="1"/>
  <c r="M1933" i="1"/>
  <c r="L1933" i="1"/>
  <c r="K1933" i="1"/>
  <c r="N1933" i="1" s="1"/>
  <c r="R1933" i="1" s="1"/>
  <c r="H1933" i="1"/>
  <c r="P1933" i="1" s="1"/>
  <c r="M1932" i="1"/>
  <c r="L1932" i="1"/>
  <c r="N1932" i="1" s="1"/>
  <c r="K1932" i="1"/>
  <c r="H1932" i="1"/>
  <c r="O1932" i="1" s="1"/>
  <c r="O1931" i="1"/>
  <c r="M1931" i="1"/>
  <c r="Q1931" i="1" s="1"/>
  <c r="L1931" i="1"/>
  <c r="K1931" i="1"/>
  <c r="H1931" i="1"/>
  <c r="O1930" i="1"/>
  <c r="M1930" i="1"/>
  <c r="L1930" i="1"/>
  <c r="K1930" i="1"/>
  <c r="H1930" i="1"/>
  <c r="M1927" i="1"/>
  <c r="L1927" i="1"/>
  <c r="K1927" i="1"/>
  <c r="H1927" i="1"/>
  <c r="M1926" i="1"/>
  <c r="L1926" i="1"/>
  <c r="K1926" i="1"/>
  <c r="H1926" i="1"/>
  <c r="O1926" i="1" s="1"/>
  <c r="M1925" i="1"/>
  <c r="L1925" i="1"/>
  <c r="K1925" i="1"/>
  <c r="H1925" i="1"/>
  <c r="Q1925" i="1" s="1"/>
  <c r="M1923" i="1"/>
  <c r="L1923" i="1"/>
  <c r="K1923" i="1"/>
  <c r="H1923" i="1"/>
  <c r="O1922" i="1"/>
  <c r="M1922" i="1"/>
  <c r="L1922" i="1"/>
  <c r="K1922" i="1"/>
  <c r="H1922" i="1"/>
  <c r="Q1922" i="1" s="1"/>
  <c r="M1921" i="1"/>
  <c r="L1921" i="1"/>
  <c r="N1921" i="1" s="1"/>
  <c r="K1921" i="1"/>
  <c r="H1921" i="1"/>
  <c r="Q1921" i="1" s="1"/>
  <c r="M1920" i="1"/>
  <c r="L1920" i="1"/>
  <c r="K1920" i="1"/>
  <c r="N1920" i="1" s="1"/>
  <c r="R1920" i="1" s="1"/>
  <c r="H1920" i="1"/>
  <c r="P1920" i="1" s="1"/>
  <c r="M1918" i="1"/>
  <c r="L1918" i="1"/>
  <c r="K1918" i="1"/>
  <c r="N1918" i="1" s="1"/>
  <c r="H1918" i="1"/>
  <c r="P1918" i="1" s="1"/>
  <c r="P1917" i="1" s="1"/>
  <c r="M1916" i="1"/>
  <c r="L1916" i="1"/>
  <c r="K1916" i="1"/>
  <c r="N1916" i="1" s="1"/>
  <c r="H1916" i="1"/>
  <c r="R1916" i="1" s="1"/>
  <c r="M1915" i="1"/>
  <c r="N1915" i="1" s="1"/>
  <c r="L1915" i="1"/>
  <c r="K1915" i="1"/>
  <c r="H1915" i="1"/>
  <c r="O1915" i="1" s="1"/>
  <c r="O1913" i="1"/>
  <c r="O1912" i="1" s="1"/>
  <c r="M1913" i="1"/>
  <c r="Q1913" i="1" s="1"/>
  <c r="Q1912" i="1" s="1"/>
  <c r="L1913" i="1"/>
  <c r="K1913" i="1"/>
  <c r="H1913" i="1"/>
  <c r="O1909" i="1"/>
  <c r="O1908" i="1" s="1"/>
  <c r="M1909" i="1"/>
  <c r="L1909" i="1"/>
  <c r="K1909" i="1"/>
  <c r="H1909" i="1"/>
  <c r="M1907" i="1"/>
  <c r="L1907" i="1"/>
  <c r="K1907" i="1"/>
  <c r="H1907" i="1"/>
  <c r="O1907" i="1" s="1"/>
  <c r="M1906" i="1"/>
  <c r="L1906" i="1"/>
  <c r="K1906" i="1"/>
  <c r="H1906" i="1"/>
  <c r="Q1906" i="1" s="1"/>
  <c r="M1905" i="1"/>
  <c r="L1905" i="1"/>
  <c r="K1905" i="1"/>
  <c r="N1905" i="1" s="1"/>
  <c r="H1905" i="1"/>
  <c r="O1905" i="1" s="1"/>
  <c r="M1904" i="1"/>
  <c r="L1904" i="1"/>
  <c r="K1904" i="1"/>
  <c r="H1904" i="1"/>
  <c r="M1903" i="1"/>
  <c r="L1903" i="1"/>
  <c r="K1903" i="1"/>
  <c r="N1903" i="1" s="1"/>
  <c r="H1903" i="1"/>
  <c r="M1902" i="1"/>
  <c r="L1902" i="1"/>
  <c r="K1902" i="1"/>
  <c r="H1902" i="1"/>
  <c r="P1902" i="1" s="1"/>
  <c r="M1900" i="1"/>
  <c r="L1900" i="1"/>
  <c r="K1900" i="1"/>
  <c r="H1900" i="1"/>
  <c r="Q1900" i="1" s="1"/>
  <c r="P1899" i="1"/>
  <c r="M1899" i="1"/>
  <c r="L1899" i="1"/>
  <c r="N1899" i="1" s="1"/>
  <c r="K1899" i="1"/>
  <c r="H1899" i="1"/>
  <c r="P1898" i="1"/>
  <c r="M1898" i="1"/>
  <c r="L1898" i="1"/>
  <c r="K1898" i="1"/>
  <c r="H1898" i="1"/>
  <c r="M1897" i="1"/>
  <c r="L1897" i="1"/>
  <c r="K1897" i="1"/>
  <c r="H1897" i="1"/>
  <c r="P1897" i="1" s="1"/>
  <c r="M1896" i="1"/>
  <c r="L1896" i="1"/>
  <c r="K1896" i="1"/>
  <c r="H1896" i="1"/>
  <c r="O1896" i="1" s="1"/>
  <c r="M1895" i="1"/>
  <c r="L1895" i="1"/>
  <c r="K1895" i="1"/>
  <c r="H1895" i="1"/>
  <c r="P1895" i="1" s="1"/>
  <c r="M1893" i="1"/>
  <c r="N1893" i="1" s="1"/>
  <c r="L1893" i="1"/>
  <c r="K1893" i="1"/>
  <c r="H1893" i="1"/>
  <c r="M1892" i="1"/>
  <c r="L1892" i="1"/>
  <c r="K1892" i="1"/>
  <c r="H1892" i="1"/>
  <c r="M1891" i="1"/>
  <c r="L1891" i="1"/>
  <c r="K1891" i="1"/>
  <c r="H1891" i="1"/>
  <c r="P1891" i="1" s="1"/>
  <c r="M1890" i="1"/>
  <c r="L1890" i="1"/>
  <c r="K1890" i="1"/>
  <c r="N1890" i="1" s="1"/>
  <c r="H1890" i="1"/>
  <c r="M1889" i="1"/>
  <c r="L1889" i="1"/>
  <c r="K1889" i="1"/>
  <c r="H1889" i="1"/>
  <c r="Q1889" i="1" s="1"/>
  <c r="P1888" i="1"/>
  <c r="M1888" i="1"/>
  <c r="L1888" i="1"/>
  <c r="N1888" i="1" s="1"/>
  <c r="K1888" i="1"/>
  <c r="H1888" i="1"/>
  <c r="N1887" i="1"/>
  <c r="M1887" i="1"/>
  <c r="L1887" i="1"/>
  <c r="K1887" i="1"/>
  <c r="H1887" i="1"/>
  <c r="M1885" i="1"/>
  <c r="L1885" i="1"/>
  <c r="K1885" i="1"/>
  <c r="H1885" i="1"/>
  <c r="Q1885" i="1" s="1"/>
  <c r="M1884" i="1"/>
  <c r="L1884" i="1"/>
  <c r="K1884" i="1"/>
  <c r="H1884" i="1"/>
  <c r="Q1884" i="1" s="1"/>
  <c r="M1883" i="1"/>
  <c r="L1883" i="1"/>
  <c r="K1883" i="1"/>
  <c r="H1883" i="1"/>
  <c r="O1883" i="1" s="1"/>
  <c r="M1882" i="1"/>
  <c r="L1882" i="1"/>
  <c r="K1882" i="1"/>
  <c r="H1882" i="1"/>
  <c r="P1882" i="1" s="1"/>
  <c r="M1881" i="1"/>
  <c r="L1881" i="1"/>
  <c r="K1881" i="1"/>
  <c r="N1881" i="1" s="1"/>
  <c r="H1881" i="1"/>
  <c r="Q1881" i="1" s="1"/>
  <c r="M1879" i="1"/>
  <c r="L1879" i="1"/>
  <c r="N1879" i="1" s="1"/>
  <c r="R1879" i="1" s="1"/>
  <c r="K1879" i="1"/>
  <c r="H1879" i="1"/>
  <c r="P1878" i="1"/>
  <c r="M1878" i="1"/>
  <c r="L1878" i="1"/>
  <c r="K1878" i="1"/>
  <c r="H1878" i="1"/>
  <c r="M1877" i="1"/>
  <c r="L1877" i="1"/>
  <c r="K1877" i="1"/>
  <c r="N1877" i="1" s="1"/>
  <c r="H1877" i="1"/>
  <c r="M1876" i="1"/>
  <c r="L1876" i="1"/>
  <c r="K1876" i="1"/>
  <c r="H1876" i="1"/>
  <c r="Q1876" i="1" s="1"/>
  <c r="M1875" i="1"/>
  <c r="L1875" i="1"/>
  <c r="K1875" i="1"/>
  <c r="H1875" i="1"/>
  <c r="P1875" i="1" s="1"/>
  <c r="M1872" i="1"/>
  <c r="L1872" i="1"/>
  <c r="N1872" i="1" s="1"/>
  <c r="R1872" i="1" s="1"/>
  <c r="R1871" i="1" s="1"/>
  <c r="K1872" i="1"/>
  <c r="H1872" i="1"/>
  <c r="Q1870" i="1"/>
  <c r="O1870" i="1"/>
  <c r="M1870" i="1"/>
  <c r="L1870" i="1"/>
  <c r="K1870" i="1"/>
  <c r="H1870" i="1"/>
  <c r="M1869" i="1"/>
  <c r="Q1869" i="1" s="1"/>
  <c r="L1869" i="1"/>
  <c r="K1869" i="1"/>
  <c r="H1869" i="1"/>
  <c r="P1869" i="1" s="1"/>
  <c r="M1868" i="1"/>
  <c r="L1868" i="1"/>
  <c r="K1868" i="1"/>
  <c r="H1868" i="1"/>
  <c r="M1867" i="1"/>
  <c r="L1867" i="1"/>
  <c r="K1867" i="1"/>
  <c r="H1867" i="1"/>
  <c r="M1866" i="1"/>
  <c r="L1866" i="1"/>
  <c r="K1866" i="1"/>
  <c r="H1866" i="1"/>
  <c r="O1866" i="1" s="1"/>
  <c r="Q1865" i="1"/>
  <c r="M1865" i="1"/>
  <c r="L1865" i="1"/>
  <c r="K1865" i="1"/>
  <c r="H1865" i="1"/>
  <c r="P1865" i="1" s="1"/>
  <c r="O1864" i="1"/>
  <c r="M1864" i="1"/>
  <c r="L1864" i="1"/>
  <c r="K1864" i="1"/>
  <c r="N1864" i="1" s="1"/>
  <c r="H1864" i="1"/>
  <c r="Q1864" i="1" s="1"/>
  <c r="M1863" i="1"/>
  <c r="Q1863" i="1" s="1"/>
  <c r="L1863" i="1"/>
  <c r="K1863" i="1"/>
  <c r="H1863" i="1"/>
  <c r="P1863" i="1" s="1"/>
  <c r="M1861" i="1"/>
  <c r="L1861" i="1"/>
  <c r="K1861" i="1"/>
  <c r="H1861" i="1"/>
  <c r="M1860" i="1"/>
  <c r="L1860" i="1"/>
  <c r="K1860" i="1"/>
  <c r="N1860" i="1" s="1"/>
  <c r="H1860" i="1"/>
  <c r="M1859" i="1"/>
  <c r="L1859" i="1"/>
  <c r="N1859" i="1" s="1"/>
  <c r="K1859" i="1"/>
  <c r="H1859" i="1"/>
  <c r="Q1859" i="1" s="1"/>
  <c r="M1858" i="1"/>
  <c r="L1858" i="1"/>
  <c r="K1858" i="1"/>
  <c r="H1858" i="1"/>
  <c r="P1858" i="1" s="1"/>
  <c r="M1857" i="1"/>
  <c r="L1857" i="1"/>
  <c r="N1857" i="1" s="1"/>
  <c r="K1857" i="1"/>
  <c r="H1857" i="1"/>
  <c r="M1856" i="1"/>
  <c r="L1856" i="1"/>
  <c r="K1856" i="1"/>
  <c r="H1856" i="1"/>
  <c r="M1853" i="1"/>
  <c r="L1853" i="1"/>
  <c r="K1853" i="1"/>
  <c r="N1853" i="1" s="1"/>
  <c r="H1853" i="1"/>
  <c r="M1851" i="1"/>
  <c r="L1851" i="1"/>
  <c r="K1851" i="1"/>
  <c r="H1851" i="1"/>
  <c r="Q1851" i="1" s="1"/>
  <c r="Q1850" i="1"/>
  <c r="M1850" i="1"/>
  <c r="L1850" i="1"/>
  <c r="K1850" i="1"/>
  <c r="H1850" i="1"/>
  <c r="O1850" i="1" s="1"/>
  <c r="O1849" i="1"/>
  <c r="M1849" i="1"/>
  <c r="L1849" i="1"/>
  <c r="K1849" i="1"/>
  <c r="N1849" i="1" s="1"/>
  <c r="H1849" i="1"/>
  <c r="M1848" i="1"/>
  <c r="L1848" i="1"/>
  <c r="K1848" i="1"/>
  <c r="H1848" i="1"/>
  <c r="P1848" i="1" s="1"/>
  <c r="M1846" i="1"/>
  <c r="L1846" i="1"/>
  <c r="N1846" i="1" s="1"/>
  <c r="K1846" i="1"/>
  <c r="H1846" i="1"/>
  <c r="M1845" i="1"/>
  <c r="L1845" i="1"/>
  <c r="K1845" i="1"/>
  <c r="H1845" i="1"/>
  <c r="Q1845" i="1" s="1"/>
  <c r="M1844" i="1"/>
  <c r="L1844" i="1"/>
  <c r="N1844" i="1" s="1"/>
  <c r="K1844" i="1"/>
  <c r="H1844" i="1"/>
  <c r="P1844" i="1" s="1"/>
  <c r="M1841" i="1"/>
  <c r="L1841" i="1"/>
  <c r="K1841" i="1"/>
  <c r="H1841" i="1"/>
  <c r="Q1841" i="1" s="1"/>
  <c r="M1840" i="1"/>
  <c r="L1840" i="1"/>
  <c r="K1840" i="1"/>
  <c r="H1840" i="1"/>
  <c r="P1840" i="1" s="1"/>
  <c r="M1839" i="1"/>
  <c r="L1839" i="1"/>
  <c r="N1839" i="1" s="1"/>
  <c r="K1839" i="1"/>
  <c r="H1839" i="1"/>
  <c r="M1838" i="1"/>
  <c r="L1838" i="1"/>
  <c r="K1838" i="1"/>
  <c r="H1838" i="1"/>
  <c r="Q1838" i="1" s="1"/>
  <c r="M1836" i="1"/>
  <c r="L1836" i="1"/>
  <c r="K1836" i="1"/>
  <c r="H1836" i="1"/>
  <c r="M1835" i="1"/>
  <c r="L1835" i="1"/>
  <c r="K1835" i="1"/>
  <c r="H1835" i="1"/>
  <c r="O1835" i="1" s="1"/>
  <c r="Q1834" i="1"/>
  <c r="M1834" i="1"/>
  <c r="L1834" i="1"/>
  <c r="K1834" i="1"/>
  <c r="N1834" i="1" s="1"/>
  <c r="H1834" i="1"/>
  <c r="P1834" i="1" s="1"/>
  <c r="M1832" i="1"/>
  <c r="N1832" i="1" s="1"/>
  <c r="L1832" i="1"/>
  <c r="K1832" i="1"/>
  <c r="H1832" i="1"/>
  <c r="O1831" i="1"/>
  <c r="M1831" i="1"/>
  <c r="L1831" i="1"/>
  <c r="N1831" i="1" s="1"/>
  <c r="R1831" i="1" s="1"/>
  <c r="K1831" i="1"/>
  <c r="H1831" i="1"/>
  <c r="P1830" i="1"/>
  <c r="M1830" i="1"/>
  <c r="L1830" i="1"/>
  <c r="K1830" i="1"/>
  <c r="N1830" i="1" s="1"/>
  <c r="H1830" i="1"/>
  <c r="M1829" i="1"/>
  <c r="L1829" i="1"/>
  <c r="K1829" i="1"/>
  <c r="N1829" i="1" s="1"/>
  <c r="H1829" i="1"/>
  <c r="Q1829" i="1" s="1"/>
  <c r="M1826" i="1"/>
  <c r="L1826" i="1"/>
  <c r="K1826" i="1"/>
  <c r="H1826" i="1"/>
  <c r="P1826" i="1" s="1"/>
  <c r="P1825" i="1" s="1"/>
  <c r="M1824" i="1"/>
  <c r="L1824" i="1"/>
  <c r="K1824" i="1"/>
  <c r="N1824" i="1" s="1"/>
  <c r="H1824" i="1"/>
  <c r="M1823" i="1"/>
  <c r="L1823" i="1"/>
  <c r="K1823" i="1"/>
  <c r="H1823" i="1"/>
  <c r="M1822" i="1"/>
  <c r="L1822" i="1"/>
  <c r="K1822" i="1"/>
  <c r="H1822" i="1"/>
  <c r="M1820" i="1"/>
  <c r="L1820" i="1"/>
  <c r="K1820" i="1"/>
  <c r="H1820" i="1"/>
  <c r="M1819" i="1"/>
  <c r="L1819" i="1"/>
  <c r="K1819" i="1"/>
  <c r="N1819" i="1" s="1"/>
  <c r="H1819" i="1"/>
  <c r="N1818" i="1"/>
  <c r="M1818" i="1"/>
  <c r="L1818" i="1"/>
  <c r="K1818" i="1"/>
  <c r="H1818" i="1"/>
  <c r="Q1818" i="1" s="1"/>
  <c r="M1817" i="1"/>
  <c r="L1817" i="1"/>
  <c r="K1817" i="1"/>
  <c r="H1817" i="1"/>
  <c r="M1815" i="1"/>
  <c r="L1815" i="1"/>
  <c r="K1815" i="1"/>
  <c r="O1815" i="1" s="1"/>
  <c r="H1815" i="1"/>
  <c r="M1814" i="1"/>
  <c r="L1814" i="1"/>
  <c r="K1814" i="1"/>
  <c r="H1814" i="1"/>
  <c r="Q1813" i="1"/>
  <c r="M1813" i="1"/>
  <c r="L1813" i="1"/>
  <c r="K1813" i="1"/>
  <c r="H1813" i="1"/>
  <c r="O1812" i="1"/>
  <c r="M1812" i="1"/>
  <c r="L1812" i="1"/>
  <c r="K1812" i="1"/>
  <c r="N1812" i="1" s="1"/>
  <c r="R1812" i="1" s="1"/>
  <c r="H1812" i="1"/>
  <c r="M1809" i="1"/>
  <c r="L1809" i="1"/>
  <c r="K1809" i="1"/>
  <c r="H1809" i="1"/>
  <c r="M1808" i="1"/>
  <c r="L1808" i="1"/>
  <c r="K1808" i="1"/>
  <c r="H1808" i="1"/>
  <c r="O1808" i="1" s="1"/>
  <c r="M1807" i="1"/>
  <c r="L1807" i="1"/>
  <c r="K1807" i="1"/>
  <c r="H1807" i="1"/>
  <c r="M1806" i="1"/>
  <c r="L1806" i="1"/>
  <c r="N1806" i="1" s="1"/>
  <c r="K1806" i="1"/>
  <c r="H1806" i="1"/>
  <c r="O1805" i="1"/>
  <c r="M1805" i="1"/>
  <c r="L1805" i="1"/>
  <c r="K1805" i="1"/>
  <c r="H1805" i="1"/>
  <c r="O1803" i="1"/>
  <c r="M1803" i="1"/>
  <c r="L1803" i="1"/>
  <c r="K1803" i="1"/>
  <c r="H1803" i="1"/>
  <c r="M1802" i="1"/>
  <c r="L1802" i="1"/>
  <c r="K1802" i="1"/>
  <c r="H1802" i="1"/>
  <c r="P1802" i="1" s="1"/>
  <c r="M1801" i="1"/>
  <c r="L1801" i="1"/>
  <c r="K1801" i="1"/>
  <c r="H1801" i="1"/>
  <c r="Q1801" i="1" s="1"/>
  <c r="Q1800" i="1"/>
  <c r="M1800" i="1"/>
  <c r="L1800" i="1"/>
  <c r="K1800" i="1"/>
  <c r="H1800" i="1"/>
  <c r="O1800" i="1" s="1"/>
  <c r="O1799" i="1"/>
  <c r="M1799" i="1"/>
  <c r="L1799" i="1"/>
  <c r="K1799" i="1"/>
  <c r="H1799" i="1"/>
  <c r="M1798" i="1"/>
  <c r="L1798" i="1"/>
  <c r="K1798" i="1"/>
  <c r="H1798" i="1"/>
  <c r="M1797" i="1"/>
  <c r="L1797" i="1"/>
  <c r="K1797" i="1"/>
  <c r="H1797" i="1"/>
  <c r="O1796" i="1"/>
  <c r="M1796" i="1"/>
  <c r="L1796" i="1"/>
  <c r="K1796" i="1"/>
  <c r="H1796" i="1"/>
  <c r="P1794" i="1"/>
  <c r="M1794" i="1"/>
  <c r="L1794" i="1"/>
  <c r="K1794" i="1"/>
  <c r="H1794" i="1"/>
  <c r="M1793" i="1"/>
  <c r="L1793" i="1"/>
  <c r="K1793" i="1"/>
  <c r="H1793" i="1"/>
  <c r="M1792" i="1"/>
  <c r="L1792" i="1"/>
  <c r="K1792" i="1"/>
  <c r="H1792" i="1"/>
  <c r="Q1792" i="1" s="1"/>
  <c r="M1791" i="1"/>
  <c r="L1791" i="1"/>
  <c r="K1791" i="1"/>
  <c r="H1791" i="1"/>
  <c r="P1791" i="1" s="1"/>
  <c r="M1790" i="1"/>
  <c r="L1790" i="1"/>
  <c r="N1790" i="1" s="1"/>
  <c r="K1790" i="1"/>
  <c r="H1790" i="1"/>
  <c r="M1789" i="1"/>
  <c r="L1789" i="1"/>
  <c r="K1789" i="1"/>
  <c r="H1789" i="1"/>
  <c r="Q1789" i="1" s="1"/>
  <c r="M1787" i="1"/>
  <c r="L1787" i="1"/>
  <c r="K1787" i="1"/>
  <c r="H1787" i="1"/>
  <c r="M1786" i="1"/>
  <c r="L1786" i="1"/>
  <c r="K1786" i="1"/>
  <c r="H1786" i="1"/>
  <c r="O1786" i="1" s="1"/>
  <c r="Q1785" i="1"/>
  <c r="M1785" i="1"/>
  <c r="L1785" i="1"/>
  <c r="K1785" i="1"/>
  <c r="H1785" i="1"/>
  <c r="P1785" i="1" s="1"/>
  <c r="M1784" i="1"/>
  <c r="L1784" i="1"/>
  <c r="K1784" i="1"/>
  <c r="N1784" i="1" s="1"/>
  <c r="H1784" i="1"/>
  <c r="P1784" i="1" s="1"/>
  <c r="M1783" i="1"/>
  <c r="L1783" i="1"/>
  <c r="K1783" i="1"/>
  <c r="H1783" i="1"/>
  <c r="O1783" i="1" s="1"/>
  <c r="Q1782" i="1"/>
  <c r="M1782" i="1"/>
  <c r="L1782" i="1"/>
  <c r="K1782" i="1"/>
  <c r="H1782" i="1"/>
  <c r="Q1781" i="1"/>
  <c r="O1781" i="1"/>
  <c r="M1781" i="1"/>
  <c r="L1781" i="1"/>
  <c r="K1781" i="1"/>
  <c r="H1781" i="1"/>
  <c r="O1780" i="1"/>
  <c r="M1780" i="1"/>
  <c r="L1780" i="1"/>
  <c r="K1780" i="1"/>
  <c r="N1780" i="1" s="1"/>
  <c r="H1780" i="1"/>
  <c r="M1777" i="1"/>
  <c r="L1777" i="1"/>
  <c r="K1777" i="1"/>
  <c r="N1777" i="1" s="1"/>
  <c r="H1777" i="1"/>
  <c r="P1777" i="1" s="1"/>
  <c r="M1776" i="1"/>
  <c r="L1776" i="1"/>
  <c r="K1776" i="1"/>
  <c r="H1776" i="1"/>
  <c r="Q1775" i="1"/>
  <c r="M1775" i="1"/>
  <c r="L1775" i="1"/>
  <c r="K1775" i="1"/>
  <c r="H1775" i="1"/>
  <c r="Q1774" i="1"/>
  <c r="M1774" i="1"/>
  <c r="L1774" i="1"/>
  <c r="K1774" i="1"/>
  <c r="H1774" i="1"/>
  <c r="O1774" i="1" s="1"/>
  <c r="O1773" i="1"/>
  <c r="M1773" i="1"/>
  <c r="L1773" i="1"/>
  <c r="K1773" i="1"/>
  <c r="H1773" i="1"/>
  <c r="M1771" i="1"/>
  <c r="L1771" i="1"/>
  <c r="N1771" i="1" s="1"/>
  <c r="K1771" i="1"/>
  <c r="H1771" i="1"/>
  <c r="M1770" i="1"/>
  <c r="L1770" i="1"/>
  <c r="K1770" i="1"/>
  <c r="N1770" i="1" s="1"/>
  <c r="H1770" i="1"/>
  <c r="M1769" i="1"/>
  <c r="L1769" i="1"/>
  <c r="K1769" i="1"/>
  <c r="H1769" i="1"/>
  <c r="M1767" i="1"/>
  <c r="L1767" i="1"/>
  <c r="K1767" i="1"/>
  <c r="H1767" i="1"/>
  <c r="M1766" i="1"/>
  <c r="L1766" i="1"/>
  <c r="K1766" i="1"/>
  <c r="H1766" i="1"/>
  <c r="O1766" i="1" s="1"/>
  <c r="Q1765" i="1"/>
  <c r="M1765" i="1"/>
  <c r="L1765" i="1"/>
  <c r="K1765" i="1"/>
  <c r="H1765" i="1"/>
  <c r="P1765" i="1" s="1"/>
  <c r="O1764" i="1"/>
  <c r="M1764" i="1"/>
  <c r="L1764" i="1"/>
  <c r="K1764" i="1"/>
  <c r="N1764" i="1" s="1"/>
  <c r="H1764" i="1"/>
  <c r="P1764" i="1" s="1"/>
  <c r="M1763" i="1"/>
  <c r="L1763" i="1"/>
  <c r="K1763" i="1"/>
  <c r="H1763" i="1"/>
  <c r="O1763" i="1" s="1"/>
  <c r="Q1762" i="1"/>
  <c r="M1762" i="1"/>
  <c r="L1762" i="1"/>
  <c r="K1762" i="1"/>
  <c r="H1762" i="1"/>
  <c r="Q1761" i="1"/>
  <c r="O1761" i="1"/>
  <c r="M1761" i="1"/>
  <c r="L1761" i="1"/>
  <c r="K1761" i="1"/>
  <c r="H1761" i="1"/>
  <c r="M1760" i="1"/>
  <c r="L1760" i="1"/>
  <c r="K1760" i="1"/>
  <c r="O1760" i="1" s="1"/>
  <c r="H1760" i="1"/>
  <c r="M1759" i="1"/>
  <c r="L1759" i="1"/>
  <c r="K1759" i="1"/>
  <c r="H1759" i="1"/>
  <c r="M1758" i="1"/>
  <c r="L1758" i="1"/>
  <c r="K1758" i="1"/>
  <c r="H1758" i="1"/>
  <c r="M1756" i="1"/>
  <c r="L1756" i="1"/>
  <c r="K1756" i="1"/>
  <c r="H1756" i="1"/>
  <c r="Q1756" i="1" s="1"/>
  <c r="M1755" i="1"/>
  <c r="L1755" i="1"/>
  <c r="K1755" i="1"/>
  <c r="H1755" i="1"/>
  <c r="P1755" i="1" s="1"/>
  <c r="M1754" i="1"/>
  <c r="L1754" i="1"/>
  <c r="N1754" i="1" s="1"/>
  <c r="K1754" i="1"/>
  <c r="H1754" i="1"/>
  <c r="M1753" i="1"/>
  <c r="L1753" i="1"/>
  <c r="K1753" i="1"/>
  <c r="H1753" i="1"/>
  <c r="Q1753" i="1" s="1"/>
  <c r="M1752" i="1"/>
  <c r="L1752" i="1"/>
  <c r="N1752" i="1" s="1"/>
  <c r="K1752" i="1"/>
  <c r="H1752" i="1"/>
  <c r="N1751" i="1"/>
  <c r="M1751" i="1"/>
  <c r="L1751" i="1"/>
  <c r="K1751" i="1"/>
  <c r="H1751" i="1"/>
  <c r="M1750" i="1"/>
  <c r="L1750" i="1"/>
  <c r="N1750" i="1" s="1"/>
  <c r="R1750" i="1" s="1"/>
  <c r="K1750" i="1"/>
  <c r="H1750" i="1"/>
  <c r="Q1750" i="1" s="1"/>
  <c r="P1749" i="1"/>
  <c r="M1749" i="1"/>
  <c r="L1749" i="1"/>
  <c r="K1749" i="1"/>
  <c r="H1749" i="1"/>
  <c r="M1745" i="1"/>
  <c r="L1745" i="1"/>
  <c r="K1745" i="1"/>
  <c r="H1745" i="1"/>
  <c r="M1744" i="1"/>
  <c r="Q1744" i="1" s="1"/>
  <c r="L1744" i="1"/>
  <c r="K1744" i="1"/>
  <c r="H1744" i="1"/>
  <c r="O1744" i="1" s="1"/>
  <c r="M1743" i="1"/>
  <c r="L1743" i="1"/>
  <c r="K1743" i="1"/>
  <c r="H1743" i="1"/>
  <c r="Q1742" i="1"/>
  <c r="M1742" i="1"/>
  <c r="L1742" i="1"/>
  <c r="K1742" i="1"/>
  <c r="H1742" i="1"/>
  <c r="N1740" i="1"/>
  <c r="R1740" i="1" s="1"/>
  <c r="M1740" i="1"/>
  <c r="L1740" i="1"/>
  <c r="K1740" i="1"/>
  <c r="H1740" i="1"/>
  <c r="M1739" i="1"/>
  <c r="L1739" i="1"/>
  <c r="K1739" i="1"/>
  <c r="H1739" i="1"/>
  <c r="M1738" i="1"/>
  <c r="L1738" i="1"/>
  <c r="K1738" i="1"/>
  <c r="H1738" i="1"/>
  <c r="M1736" i="1"/>
  <c r="L1736" i="1"/>
  <c r="K1736" i="1"/>
  <c r="H1736" i="1"/>
  <c r="Q1735" i="1"/>
  <c r="M1735" i="1"/>
  <c r="L1735" i="1"/>
  <c r="K1735" i="1"/>
  <c r="N1735" i="1" s="1"/>
  <c r="H1735" i="1"/>
  <c r="P1735" i="1" s="1"/>
  <c r="M1734" i="1"/>
  <c r="L1734" i="1"/>
  <c r="K1734" i="1"/>
  <c r="H1734" i="1"/>
  <c r="M1733" i="1"/>
  <c r="L1733" i="1"/>
  <c r="K1733" i="1"/>
  <c r="N1733" i="1" s="1"/>
  <c r="H1733" i="1"/>
  <c r="O1730" i="1"/>
  <c r="O1729" i="1" s="1"/>
  <c r="M1730" i="1"/>
  <c r="L1730" i="1"/>
  <c r="K1730" i="1"/>
  <c r="N1730" i="1" s="1"/>
  <c r="H1730" i="1"/>
  <c r="O1728" i="1"/>
  <c r="M1728" i="1"/>
  <c r="L1728" i="1"/>
  <c r="K1728" i="1"/>
  <c r="H1728" i="1"/>
  <c r="M1727" i="1"/>
  <c r="L1727" i="1"/>
  <c r="K1727" i="1"/>
  <c r="H1727" i="1"/>
  <c r="P1727" i="1" s="1"/>
  <c r="N1726" i="1"/>
  <c r="M1726" i="1"/>
  <c r="L1726" i="1"/>
  <c r="K1726" i="1"/>
  <c r="H1726" i="1"/>
  <c r="R1725" i="1"/>
  <c r="O1725" i="1"/>
  <c r="M1725" i="1"/>
  <c r="L1725" i="1"/>
  <c r="N1725" i="1" s="1"/>
  <c r="K1725" i="1"/>
  <c r="H1725" i="1"/>
  <c r="Q1725" i="1" s="1"/>
  <c r="Q1723" i="1"/>
  <c r="O1723" i="1"/>
  <c r="M1723" i="1"/>
  <c r="L1723" i="1"/>
  <c r="K1723" i="1"/>
  <c r="H1723" i="1"/>
  <c r="M1722" i="1"/>
  <c r="L1722" i="1"/>
  <c r="K1722" i="1"/>
  <c r="H1722" i="1"/>
  <c r="M1721" i="1"/>
  <c r="L1721" i="1"/>
  <c r="K1721" i="1"/>
  <c r="N1721" i="1" s="1"/>
  <c r="H1721" i="1"/>
  <c r="Q1721" i="1" s="1"/>
  <c r="M1718" i="1"/>
  <c r="L1718" i="1"/>
  <c r="K1718" i="1"/>
  <c r="H1718" i="1"/>
  <c r="P1716" i="1"/>
  <c r="M1716" i="1"/>
  <c r="L1716" i="1"/>
  <c r="N1716" i="1" s="1"/>
  <c r="K1716" i="1"/>
  <c r="H1716" i="1"/>
  <c r="M1715" i="1"/>
  <c r="N1715" i="1" s="1"/>
  <c r="L1715" i="1"/>
  <c r="K1715" i="1"/>
  <c r="H1715" i="1"/>
  <c r="O1714" i="1"/>
  <c r="M1714" i="1"/>
  <c r="L1714" i="1"/>
  <c r="K1714" i="1"/>
  <c r="H1714" i="1"/>
  <c r="M1712" i="1"/>
  <c r="L1712" i="1"/>
  <c r="K1712" i="1"/>
  <c r="N1712" i="1" s="1"/>
  <c r="H1712" i="1"/>
  <c r="P1712" i="1" s="1"/>
  <c r="M1711" i="1"/>
  <c r="L1711" i="1"/>
  <c r="K1711" i="1"/>
  <c r="N1711" i="1" s="1"/>
  <c r="H1711" i="1"/>
  <c r="Q1710" i="1"/>
  <c r="M1710" i="1"/>
  <c r="L1710" i="1"/>
  <c r="K1710" i="1"/>
  <c r="H1710" i="1"/>
  <c r="P1710" i="1" s="1"/>
  <c r="O1709" i="1"/>
  <c r="M1709" i="1"/>
  <c r="L1709" i="1"/>
  <c r="K1709" i="1"/>
  <c r="N1709" i="1" s="1"/>
  <c r="H1709" i="1"/>
  <c r="O1707" i="1"/>
  <c r="M1707" i="1"/>
  <c r="L1707" i="1"/>
  <c r="K1707" i="1"/>
  <c r="H1707" i="1"/>
  <c r="M1706" i="1"/>
  <c r="L1706" i="1"/>
  <c r="N1706" i="1" s="1"/>
  <c r="K1706" i="1"/>
  <c r="H1706" i="1"/>
  <c r="M1705" i="1"/>
  <c r="L1705" i="1"/>
  <c r="K1705" i="1"/>
  <c r="N1705" i="1" s="1"/>
  <c r="H1705" i="1"/>
  <c r="O1704" i="1"/>
  <c r="M1704" i="1"/>
  <c r="L1704" i="1"/>
  <c r="K1704" i="1"/>
  <c r="H1704" i="1"/>
  <c r="M1701" i="1"/>
  <c r="L1701" i="1"/>
  <c r="K1701" i="1"/>
  <c r="H1701" i="1"/>
  <c r="M1700" i="1"/>
  <c r="L1700" i="1"/>
  <c r="N1700" i="1" s="1"/>
  <c r="R1700" i="1" s="1"/>
  <c r="K1700" i="1"/>
  <c r="H1700" i="1"/>
  <c r="Q1700" i="1" s="1"/>
  <c r="P1699" i="1"/>
  <c r="M1699" i="1"/>
  <c r="L1699" i="1"/>
  <c r="K1699" i="1"/>
  <c r="H1699" i="1"/>
  <c r="M1698" i="1"/>
  <c r="L1698" i="1"/>
  <c r="K1698" i="1"/>
  <c r="H1698" i="1"/>
  <c r="O1697" i="1"/>
  <c r="M1697" i="1"/>
  <c r="L1697" i="1"/>
  <c r="N1697" i="1" s="1"/>
  <c r="R1697" i="1" s="1"/>
  <c r="K1697" i="1"/>
  <c r="H1697" i="1"/>
  <c r="Q1697" i="1" s="1"/>
  <c r="Q1695" i="1"/>
  <c r="O1695" i="1"/>
  <c r="M1695" i="1"/>
  <c r="L1695" i="1"/>
  <c r="K1695" i="1"/>
  <c r="H1695" i="1"/>
  <c r="M1694" i="1"/>
  <c r="L1694" i="1"/>
  <c r="K1694" i="1"/>
  <c r="N1694" i="1" s="1"/>
  <c r="H1694" i="1"/>
  <c r="M1693" i="1"/>
  <c r="L1693" i="1"/>
  <c r="K1693" i="1"/>
  <c r="H1693" i="1"/>
  <c r="M1692" i="1"/>
  <c r="L1692" i="1"/>
  <c r="K1692" i="1"/>
  <c r="H1692" i="1"/>
  <c r="M1691" i="1"/>
  <c r="L1691" i="1"/>
  <c r="K1691" i="1"/>
  <c r="N1691" i="1" s="1"/>
  <c r="H1691" i="1"/>
  <c r="M1690" i="1"/>
  <c r="L1690" i="1"/>
  <c r="K1690" i="1"/>
  <c r="H1690" i="1"/>
  <c r="P1690" i="1" s="1"/>
  <c r="M1689" i="1"/>
  <c r="L1689" i="1"/>
  <c r="K1689" i="1"/>
  <c r="H1689" i="1"/>
  <c r="P1689" i="1" s="1"/>
  <c r="M1688" i="1"/>
  <c r="L1688" i="1"/>
  <c r="K1688" i="1"/>
  <c r="O1688" i="1" s="1"/>
  <c r="H1688" i="1"/>
  <c r="M1686" i="1"/>
  <c r="L1686" i="1"/>
  <c r="K1686" i="1"/>
  <c r="H1686" i="1"/>
  <c r="M1685" i="1"/>
  <c r="L1685" i="1"/>
  <c r="N1685" i="1" s="1"/>
  <c r="K1685" i="1"/>
  <c r="H1685" i="1"/>
  <c r="M1684" i="1"/>
  <c r="L1684" i="1"/>
  <c r="K1684" i="1"/>
  <c r="H1684" i="1"/>
  <c r="M1683" i="1"/>
  <c r="L1683" i="1"/>
  <c r="K1683" i="1"/>
  <c r="H1683" i="1"/>
  <c r="N1682" i="1"/>
  <c r="M1682" i="1"/>
  <c r="L1682" i="1"/>
  <c r="K1682" i="1"/>
  <c r="H1682" i="1"/>
  <c r="M1681" i="1"/>
  <c r="L1681" i="1"/>
  <c r="K1681" i="1"/>
  <c r="H1681" i="1"/>
  <c r="O1679" i="1"/>
  <c r="M1679" i="1"/>
  <c r="Q1679" i="1" s="1"/>
  <c r="L1679" i="1"/>
  <c r="K1679" i="1"/>
  <c r="H1679" i="1"/>
  <c r="O1678" i="1"/>
  <c r="M1678" i="1"/>
  <c r="L1678" i="1"/>
  <c r="K1678" i="1"/>
  <c r="H1678" i="1"/>
  <c r="M1677" i="1"/>
  <c r="L1677" i="1"/>
  <c r="K1677" i="1"/>
  <c r="N1677" i="1" s="1"/>
  <c r="H1677" i="1"/>
  <c r="P1677" i="1" s="1"/>
  <c r="M1676" i="1"/>
  <c r="L1676" i="1"/>
  <c r="K1676" i="1"/>
  <c r="N1676" i="1" s="1"/>
  <c r="H1676" i="1"/>
  <c r="P1676" i="1" s="1"/>
  <c r="M1675" i="1"/>
  <c r="L1675" i="1"/>
  <c r="K1675" i="1"/>
  <c r="H1675" i="1"/>
  <c r="Q1674" i="1"/>
  <c r="M1674" i="1"/>
  <c r="L1674" i="1"/>
  <c r="K1674" i="1"/>
  <c r="H1674" i="1"/>
  <c r="P1674" i="1" s="1"/>
  <c r="O1673" i="1"/>
  <c r="M1673" i="1"/>
  <c r="L1673" i="1"/>
  <c r="K1673" i="1"/>
  <c r="H1673" i="1"/>
  <c r="P1673" i="1" s="1"/>
  <c r="M1672" i="1"/>
  <c r="L1672" i="1"/>
  <c r="K1672" i="1"/>
  <c r="H1672" i="1"/>
  <c r="M1669" i="1"/>
  <c r="Q1669" i="1" s="1"/>
  <c r="L1669" i="1"/>
  <c r="K1669" i="1"/>
  <c r="N1669" i="1" s="1"/>
  <c r="H1669" i="1"/>
  <c r="P1669" i="1" s="1"/>
  <c r="M1668" i="1"/>
  <c r="L1668" i="1"/>
  <c r="K1668" i="1"/>
  <c r="N1668" i="1" s="1"/>
  <c r="H1668" i="1"/>
  <c r="Q1667" i="1"/>
  <c r="M1667" i="1"/>
  <c r="L1667" i="1"/>
  <c r="K1667" i="1"/>
  <c r="H1667" i="1"/>
  <c r="P1667" i="1" s="1"/>
  <c r="O1666" i="1"/>
  <c r="M1666" i="1"/>
  <c r="Q1666" i="1" s="1"/>
  <c r="L1666" i="1"/>
  <c r="K1666" i="1"/>
  <c r="H1666" i="1"/>
  <c r="M1665" i="1"/>
  <c r="L1665" i="1"/>
  <c r="K1665" i="1"/>
  <c r="N1665" i="1" s="1"/>
  <c r="H1665" i="1"/>
  <c r="M1663" i="1"/>
  <c r="L1663" i="1"/>
  <c r="N1663" i="1" s="1"/>
  <c r="K1663" i="1"/>
  <c r="H1663" i="1"/>
  <c r="P1663" i="1" s="1"/>
  <c r="M1662" i="1"/>
  <c r="L1662" i="1"/>
  <c r="K1662" i="1"/>
  <c r="N1662" i="1" s="1"/>
  <c r="H1662" i="1"/>
  <c r="M1661" i="1"/>
  <c r="L1661" i="1"/>
  <c r="K1661" i="1"/>
  <c r="H1661" i="1"/>
  <c r="O1659" i="1"/>
  <c r="M1659" i="1"/>
  <c r="Q1659" i="1" s="1"/>
  <c r="L1659" i="1"/>
  <c r="K1659" i="1"/>
  <c r="H1659" i="1"/>
  <c r="M1658" i="1"/>
  <c r="L1658" i="1"/>
  <c r="K1658" i="1"/>
  <c r="H1658" i="1"/>
  <c r="Q1657" i="1"/>
  <c r="M1657" i="1"/>
  <c r="L1657" i="1"/>
  <c r="K1657" i="1"/>
  <c r="H1657" i="1"/>
  <c r="P1657" i="1" s="1"/>
  <c r="O1656" i="1"/>
  <c r="M1656" i="1"/>
  <c r="L1656" i="1"/>
  <c r="K1656" i="1"/>
  <c r="H1656" i="1"/>
  <c r="P1656" i="1" s="1"/>
  <c r="M1655" i="1"/>
  <c r="Q1655" i="1" s="1"/>
  <c r="L1655" i="1"/>
  <c r="K1655" i="1"/>
  <c r="O1655" i="1" s="1"/>
  <c r="H1655" i="1"/>
  <c r="M1654" i="1"/>
  <c r="L1654" i="1"/>
  <c r="K1654" i="1"/>
  <c r="N1654" i="1" s="1"/>
  <c r="H1654" i="1"/>
  <c r="P1654" i="1" s="1"/>
  <c r="M1653" i="1"/>
  <c r="L1653" i="1"/>
  <c r="K1653" i="1"/>
  <c r="H1653" i="1"/>
  <c r="P1653" i="1" s="1"/>
  <c r="M1652" i="1"/>
  <c r="L1652" i="1"/>
  <c r="K1652" i="1"/>
  <c r="H1652" i="1"/>
  <c r="P1652" i="1" s="1"/>
  <c r="M1651" i="1"/>
  <c r="Q1651" i="1" s="1"/>
  <c r="L1651" i="1"/>
  <c r="K1651" i="1"/>
  <c r="H1651" i="1"/>
  <c r="O1650" i="1"/>
  <c r="M1650" i="1"/>
  <c r="Q1650" i="1" s="1"/>
  <c r="L1650" i="1"/>
  <c r="N1650" i="1" s="1"/>
  <c r="K1650" i="1"/>
  <c r="H1650" i="1"/>
  <c r="M1648" i="1"/>
  <c r="L1648" i="1"/>
  <c r="K1648" i="1"/>
  <c r="H1648" i="1"/>
  <c r="M1647" i="1"/>
  <c r="L1647" i="1"/>
  <c r="N1647" i="1" s="1"/>
  <c r="K1647" i="1"/>
  <c r="H1647" i="1"/>
  <c r="P1647" i="1" s="1"/>
  <c r="M1646" i="1"/>
  <c r="L1646" i="1"/>
  <c r="K1646" i="1"/>
  <c r="N1646" i="1" s="1"/>
  <c r="H1646" i="1"/>
  <c r="M1645" i="1"/>
  <c r="L1645" i="1"/>
  <c r="K1645" i="1"/>
  <c r="H1645" i="1"/>
  <c r="P1644" i="1"/>
  <c r="M1644" i="1"/>
  <c r="L1644" i="1"/>
  <c r="N1644" i="1" s="1"/>
  <c r="K1644" i="1"/>
  <c r="H1644" i="1"/>
  <c r="M1643" i="1"/>
  <c r="L1643" i="1"/>
  <c r="N1643" i="1" s="1"/>
  <c r="R1643" i="1" s="1"/>
  <c r="K1643" i="1"/>
  <c r="H1643" i="1"/>
  <c r="M1642" i="1"/>
  <c r="L1642" i="1"/>
  <c r="K1642" i="1"/>
  <c r="H1642" i="1"/>
  <c r="Q1642" i="1" s="1"/>
  <c r="M1641" i="1"/>
  <c r="L1641" i="1"/>
  <c r="K1641" i="1"/>
  <c r="N1641" i="1" s="1"/>
  <c r="H1641" i="1"/>
  <c r="P1641" i="1" s="1"/>
  <c r="Q1637" i="1"/>
  <c r="Q1636" i="1" s="1"/>
  <c r="M1637" i="1"/>
  <c r="L1637" i="1"/>
  <c r="K1637" i="1"/>
  <c r="N1637" i="1" s="1"/>
  <c r="H1637" i="1"/>
  <c r="P1637" i="1" s="1"/>
  <c r="P1636" i="1" s="1"/>
  <c r="N1635" i="1"/>
  <c r="M1635" i="1"/>
  <c r="L1635" i="1"/>
  <c r="K1635" i="1"/>
  <c r="H1635" i="1"/>
  <c r="M1634" i="1"/>
  <c r="L1634" i="1"/>
  <c r="K1634" i="1"/>
  <c r="H1634" i="1"/>
  <c r="M1633" i="1"/>
  <c r="L1633" i="1"/>
  <c r="N1633" i="1" s="1"/>
  <c r="K1633" i="1"/>
  <c r="H1633" i="1"/>
  <c r="P1633" i="1" s="1"/>
  <c r="M1632" i="1"/>
  <c r="L1632" i="1"/>
  <c r="K1632" i="1"/>
  <c r="N1632" i="1" s="1"/>
  <c r="H1632" i="1"/>
  <c r="M1630" i="1"/>
  <c r="L1630" i="1"/>
  <c r="K1630" i="1"/>
  <c r="H1630" i="1"/>
  <c r="P1630" i="1" s="1"/>
  <c r="M1629" i="1"/>
  <c r="L1629" i="1"/>
  <c r="K1629" i="1"/>
  <c r="N1629" i="1" s="1"/>
  <c r="H1629" i="1"/>
  <c r="M1628" i="1"/>
  <c r="L1628" i="1"/>
  <c r="K1628" i="1"/>
  <c r="H1628" i="1"/>
  <c r="O1625" i="1"/>
  <c r="M1625" i="1"/>
  <c r="L1625" i="1"/>
  <c r="K1625" i="1"/>
  <c r="H1625" i="1"/>
  <c r="M1624" i="1"/>
  <c r="L1624" i="1"/>
  <c r="K1624" i="1"/>
  <c r="H1624" i="1"/>
  <c r="Q1623" i="1"/>
  <c r="M1623" i="1"/>
  <c r="L1623" i="1"/>
  <c r="K1623" i="1"/>
  <c r="N1623" i="1" s="1"/>
  <c r="H1623" i="1"/>
  <c r="P1623" i="1" s="1"/>
  <c r="O1622" i="1"/>
  <c r="M1622" i="1"/>
  <c r="L1622" i="1"/>
  <c r="K1622" i="1"/>
  <c r="H1622" i="1"/>
  <c r="M1621" i="1"/>
  <c r="L1621" i="1"/>
  <c r="K1621" i="1"/>
  <c r="H1621" i="1"/>
  <c r="M1620" i="1"/>
  <c r="L1620" i="1"/>
  <c r="K1620" i="1"/>
  <c r="N1620" i="1" s="1"/>
  <c r="H1620" i="1"/>
  <c r="P1620" i="1" s="1"/>
  <c r="M1618" i="1"/>
  <c r="L1618" i="1"/>
  <c r="K1618" i="1"/>
  <c r="N1618" i="1" s="1"/>
  <c r="H1618" i="1"/>
  <c r="M1617" i="1"/>
  <c r="L1617" i="1"/>
  <c r="K1617" i="1"/>
  <c r="H1617" i="1"/>
  <c r="Q1617" i="1" s="1"/>
  <c r="M1616" i="1"/>
  <c r="L1616" i="1"/>
  <c r="P1616" i="1" s="1"/>
  <c r="K1616" i="1"/>
  <c r="H1616" i="1"/>
  <c r="M1615" i="1"/>
  <c r="L1615" i="1"/>
  <c r="N1615" i="1" s="1"/>
  <c r="K1615" i="1"/>
  <c r="H1615" i="1"/>
  <c r="M1614" i="1"/>
  <c r="L1614" i="1"/>
  <c r="K1614" i="1"/>
  <c r="H1614" i="1"/>
  <c r="Q1614" i="1" s="1"/>
  <c r="M1613" i="1"/>
  <c r="L1613" i="1"/>
  <c r="K1613" i="1"/>
  <c r="H1613" i="1"/>
  <c r="P1613" i="1" s="1"/>
  <c r="M1612" i="1"/>
  <c r="L1612" i="1"/>
  <c r="N1612" i="1" s="1"/>
  <c r="K1612" i="1"/>
  <c r="H1612" i="1"/>
  <c r="M1611" i="1"/>
  <c r="L1611" i="1"/>
  <c r="K1611" i="1"/>
  <c r="N1611" i="1" s="1"/>
  <c r="R1611" i="1" s="1"/>
  <c r="H1611" i="1"/>
  <c r="M1609" i="1"/>
  <c r="L1609" i="1"/>
  <c r="K1609" i="1"/>
  <c r="H1609" i="1"/>
  <c r="O1609" i="1" s="1"/>
  <c r="M1608" i="1"/>
  <c r="L1608" i="1"/>
  <c r="K1608" i="1"/>
  <c r="H1608" i="1"/>
  <c r="M1607" i="1"/>
  <c r="Q1607" i="1" s="1"/>
  <c r="L1607" i="1"/>
  <c r="K1607" i="1"/>
  <c r="H1607" i="1"/>
  <c r="O1606" i="1"/>
  <c r="M1606" i="1"/>
  <c r="L1606" i="1"/>
  <c r="K1606" i="1"/>
  <c r="H1606" i="1"/>
  <c r="M1605" i="1"/>
  <c r="L1605" i="1"/>
  <c r="K1605" i="1"/>
  <c r="H1605" i="1"/>
  <c r="Q1604" i="1"/>
  <c r="M1604" i="1"/>
  <c r="L1604" i="1"/>
  <c r="K1604" i="1"/>
  <c r="N1604" i="1" s="1"/>
  <c r="H1604" i="1"/>
  <c r="P1604" i="1" s="1"/>
  <c r="N1602" i="1"/>
  <c r="M1602" i="1"/>
  <c r="L1602" i="1"/>
  <c r="K1602" i="1"/>
  <c r="H1602" i="1"/>
  <c r="M1601" i="1"/>
  <c r="L1601" i="1"/>
  <c r="K1601" i="1"/>
  <c r="H1601" i="1"/>
  <c r="M1600" i="1"/>
  <c r="L1600" i="1"/>
  <c r="K1600" i="1"/>
  <c r="N1600" i="1" s="1"/>
  <c r="H1600" i="1"/>
  <c r="P1600" i="1" s="1"/>
  <c r="M1599" i="1"/>
  <c r="L1599" i="1"/>
  <c r="K1599" i="1"/>
  <c r="N1599" i="1" s="1"/>
  <c r="H1599" i="1"/>
  <c r="M1598" i="1"/>
  <c r="L1598" i="1"/>
  <c r="K1598" i="1"/>
  <c r="H1598" i="1"/>
  <c r="Q1598" i="1" s="1"/>
  <c r="M1597" i="1"/>
  <c r="L1597" i="1"/>
  <c r="N1597" i="1" s="1"/>
  <c r="K1597" i="1"/>
  <c r="H1597" i="1"/>
  <c r="M1596" i="1"/>
  <c r="L1596" i="1"/>
  <c r="K1596" i="1"/>
  <c r="N1596" i="1" s="1"/>
  <c r="H1596" i="1"/>
  <c r="M1595" i="1"/>
  <c r="L1595" i="1"/>
  <c r="K1595" i="1"/>
  <c r="N1595" i="1" s="1"/>
  <c r="R1595" i="1" s="1"/>
  <c r="H1595" i="1"/>
  <c r="Q1595" i="1" s="1"/>
  <c r="N1592" i="1"/>
  <c r="M1592" i="1"/>
  <c r="L1592" i="1"/>
  <c r="K1592" i="1"/>
  <c r="H1592" i="1"/>
  <c r="M1591" i="1"/>
  <c r="L1591" i="1"/>
  <c r="K1591" i="1"/>
  <c r="H1591" i="1"/>
  <c r="M1590" i="1"/>
  <c r="L1590" i="1"/>
  <c r="K1590" i="1"/>
  <c r="N1590" i="1" s="1"/>
  <c r="H1590" i="1"/>
  <c r="P1590" i="1" s="1"/>
  <c r="M1588" i="1"/>
  <c r="L1588" i="1"/>
  <c r="K1588" i="1"/>
  <c r="H1588" i="1"/>
  <c r="Q1587" i="1"/>
  <c r="M1587" i="1"/>
  <c r="L1587" i="1"/>
  <c r="K1587" i="1"/>
  <c r="H1587" i="1"/>
  <c r="P1587" i="1" s="1"/>
  <c r="O1586" i="1"/>
  <c r="M1586" i="1"/>
  <c r="L1586" i="1"/>
  <c r="K1586" i="1"/>
  <c r="H1586" i="1"/>
  <c r="M1584" i="1"/>
  <c r="L1584" i="1"/>
  <c r="K1584" i="1"/>
  <c r="N1584" i="1" s="1"/>
  <c r="R1584" i="1" s="1"/>
  <c r="H1584" i="1"/>
  <c r="M1583" i="1"/>
  <c r="L1583" i="1"/>
  <c r="K1583" i="1"/>
  <c r="N1583" i="1" s="1"/>
  <c r="H1583" i="1"/>
  <c r="N1582" i="1"/>
  <c r="M1582" i="1"/>
  <c r="L1582" i="1"/>
  <c r="K1582" i="1"/>
  <c r="H1582" i="1"/>
  <c r="M1581" i="1"/>
  <c r="L1581" i="1"/>
  <c r="K1581" i="1"/>
  <c r="H1581" i="1"/>
  <c r="M1578" i="1"/>
  <c r="L1578" i="1"/>
  <c r="N1578" i="1" s="1"/>
  <c r="K1578" i="1"/>
  <c r="H1578" i="1"/>
  <c r="M1577" i="1"/>
  <c r="L1577" i="1"/>
  <c r="K1577" i="1"/>
  <c r="H1577" i="1"/>
  <c r="Q1577" i="1" s="1"/>
  <c r="M1576" i="1"/>
  <c r="L1576" i="1"/>
  <c r="K1576" i="1"/>
  <c r="H1576" i="1"/>
  <c r="P1576" i="1" s="1"/>
  <c r="M1575" i="1"/>
  <c r="L1575" i="1"/>
  <c r="N1575" i="1" s="1"/>
  <c r="K1575" i="1"/>
  <c r="H1575" i="1"/>
  <c r="M1574" i="1"/>
  <c r="L1574" i="1"/>
  <c r="N1574" i="1" s="1"/>
  <c r="R1574" i="1" s="1"/>
  <c r="K1574" i="1"/>
  <c r="H1574" i="1"/>
  <c r="M1572" i="1"/>
  <c r="L1572" i="1"/>
  <c r="K1572" i="1"/>
  <c r="N1572" i="1" s="1"/>
  <c r="H1572" i="1"/>
  <c r="O1572" i="1" s="1"/>
  <c r="M1571" i="1"/>
  <c r="L1571" i="1"/>
  <c r="K1571" i="1"/>
  <c r="H1571" i="1"/>
  <c r="Q1570" i="1"/>
  <c r="M1570" i="1"/>
  <c r="L1570" i="1"/>
  <c r="K1570" i="1"/>
  <c r="H1570" i="1"/>
  <c r="P1570" i="1" s="1"/>
  <c r="O1569" i="1"/>
  <c r="M1569" i="1"/>
  <c r="L1569" i="1"/>
  <c r="K1569" i="1"/>
  <c r="H1569" i="1"/>
  <c r="M1568" i="1"/>
  <c r="L1568" i="1"/>
  <c r="K1568" i="1"/>
  <c r="H1568" i="1"/>
  <c r="M1567" i="1"/>
  <c r="L1567" i="1"/>
  <c r="K1567" i="1"/>
  <c r="H1567" i="1"/>
  <c r="P1567" i="1" s="1"/>
  <c r="M1566" i="1"/>
  <c r="L1566" i="1"/>
  <c r="K1566" i="1"/>
  <c r="N1566" i="1" s="1"/>
  <c r="H1566" i="1"/>
  <c r="M1565" i="1"/>
  <c r="N1565" i="1" s="1"/>
  <c r="L1565" i="1"/>
  <c r="K1565" i="1"/>
  <c r="H1565" i="1"/>
  <c r="M1563" i="1"/>
  <c r="L1563" i="1"/>
  <c r="K1563" i="1"/>
  <c r="N1563" i="1" s="1"/>
  <c r="H1563" i="1"/>
  <c r="M1562" i="1"/>
  <c r="L1562" i="1"/>
  <c r="K1562" i="1"/>
  <c r="N1562" i="1" s="1"/>
  <c r="H1562" i="1"/>
  <c r="M1561" i="1"/>
  <c r="L1561" i="1"/>
  <c r="K1561" i="1"/>
  <c r="H1561" i="1"/>
  <c r="Q1561" i="1" s="1"/>
  <c r="M1560" i="1"/>
  <c r="L1560" i="1"/>
  <c r="N1560" i="1" s="1"/>
  <c r="K1560" i="1"/>
  <c r="H1560" i="1"/>
  <c r="M1559" i="1"/>
  <c r="L1559" i="1"/>
  <c r="K1559" i="1"/>
  <c r="N1559" i="1" s="1"/>
  <c r="H1559" i="1"/>
  <c r="M1558" i="1"/>
  <c r="L1558" i="1"/>
  <c r="K1558" i="1"/>
  <c r="N1558" i="1" s="1"/>
  <c r="R1558" i="1" s="1"/>
  <c r="H1558" i="1"/>
  <c r="Q1558" i="1" s="1"/>
  <c r="O1556" i="1"/>
  <c r="M1556" i="1"/>
  <c r="L1556" i="1"/>
  <c r="K1556" i="1"/>
  <c r="N1556" i="1" s="1"/>
  <c r="H1556" i="1"/>
  <c r="M1555" i="1"/>
  <c r="L1555" i="1"/>
  <c r="K1555" i="1"/>
  <c r="H1555" i="1"/>
  <c r="M1554" i="1"/>
  <c r="Q1554" i="1" s="1"/>
  <c r="L1554" i="1"/>
  <c r="K1554" i="1"/>
  <c r="N1554" i="1" s="1"/>
  <c r="H1554" i="1"/>
  <c r="P1554" i="1" s="1"/>
  <c r="M1553" i="1"/>
  <c r="L1553" i="1"/>
  <c r="K1553" i="1"/>
  <c r="H1553" i="1"/>
  <c r="O1553" i="1" s="1"/>
  <c r="M1552" i="1"/>
  <c r="L1552" i="1"/>
  <c r="K1552" i="1"/>
  <c r="H1552" i="1"/>
  <c r="M1551" i="1"/>
  <c r="L1551" i="1"/>
  <c r="K1551" i="1"/>
  <c r="H1551" i="1"/>
  <c r="P1551" i="1" s="1"/>
  <c r="O1550" i="1"/>
  <c r="M1550" i="1"/>
  <c r="L1550" i="1"/>
  <c r="K1550" i="1"/>
  <c r="H1550" i="1"/>
  <c r="M1549" i="1"/>
  <c r="L1549" i="1"/>
  <c r="K1549" i="1"/>
  <c r="H1549" i="1"/>
  <c r="M1546" i="1"/>
  <c r="L1546" i="1"/>
  <c r="K1546" i="1"/>
  <c r="N1546" i="1" s="1"/>
  <c r="H1546" i="1"/>
  <c r="O1546" i="1" s="1"/>
  <c r="M1545" i="1"/>
  <c r="L1545" i="1"/>
  <c r="K1545" i="1"/>
  <c r="H1545" i="1"/>
  <c r="Q1544" i="1"/>
  <c r="M1544" i="1"/>
  <c r="L1544" i="1"/>
  <c r="K1544" i="1"/>
  <c r="H1544" i="1"/>
  <c r="M1543" i="1"/>
  <c r="L1543" i="1"/>
  <c r="K1543" i="1"/>
  <c r="N1543" i="1" s="1"/>
  <c r="H1543" i="1"/>
  <c r="O1543" i="1" s="1"/>
  <c r="M1542" i="1"/>
  <c r="L1542" i="1"/>
  <c r="K1542" i="1"/>
  <c r="H1542" i="1"/>
  <c r="M1540" i="1"/>
  <c r="L1540" i="1"/>
  <c r="K1540" i="1"/>
  <c r="H1540" i="1"/>
  <c r="P1540" i="1" s="1"/>
  <c r="M1539" i="1"/>
  <c r="L1539" i="1"/>
  <c r="N1539" i="1" s="1"/>
  <c r="K1539" i="1"/>
  <c r="H1539" i="1"/>
  <c r="M1538" i="1"/>
  <c r="L1538" i="1"/>
  <c r="K1538" i="1"/>
  <c r="H1538" i="1"/>
  <c r="Q1538" i="1" s="1"/>
  <c r="M1536" i="1"/>
  <c r="L1536" i="1"/>
  <c r="K1536" i="1"/>
  <c r="N1536" i="1" s="1"/>
  <c r="H1536" i="1"/>
  <c r="O1536" i="1" s="1"/>
  <c r="M1535" i="1"/>
  <c r="L1535" i="1"/>
  <c r="K1535" i="1"/>
  <c r="H1535" i="1"/>
  <c r="M1534" i="1"/>
  <c r="L1534" i="1"/>
  <c r="K1534" i="1"/>
  <c r="H1534" i="1"/>
  <c r="Q1534" i="1" s="1"/>
  <c r="M1533" i="1"/>
  <c r="L1533" i="1"/>
  <c r="K1533" i="1"/>
  <c r="N1533" i="1" s="1"/>
  <c r="H1533" i="1"/>
  <c r="O1533" i="1" s="1"/>
  <c r="M1532" i="1"/>
  <c r="N1532" i="1" s="1"/>
  <c r="L1532" i="1"/>
  <c r="K1532" i="1"/>
  <c r="H1532" i="1"/>
  <c r="Q1531" i="1"/>
  <c r="M1531" i="1"/>
  <c r="L1531" i="1"/>
  <c r="K1531" i="1"/>
  <c r="N1531" i="1" s="1"/>
  <c r="H1531" i="1"/>
  <c r="P1531" i="1" s="1"/>
  <c r="M1530" i="1"/>
  <c r="L1530" i="1"/>
  <c r="K1530" i="1"/>
  <c r="H1530" i="1"/>
  <c r="O1530" i="1" s="1"/>
  <c r="M1529" i="1"/>
  <c r="L1529" i="1"/>
  <c r="K1529" i="1"/>
  <c r="H1529" i="1"/>
  <c r="M1528" i="1"/>
  <c r="L1528" i="1"/>
  <c r="K1528" i="1"/>
  <c r="H1528" i="1"/>
  <c r="P1528" i="1" s="1"/>
  <c r="M1527" i="1"/>
  <c r="L1527" i="1"/>
  <c r="K1527" i="1"/>
  <c r="N1527" i="1" s="1"/>
  <c r="H1527" i="1"/>
  <c r="O1527" i="1" s="1"/>
  <c r="M1525" i="1"/>
  <c r="L1525" i="1"/>
  <c r="K1525" i="1"/>
  <c r="H1525" i="1"/>
  <c r="M1524" i="1"/>
  <c r="L1524" i="1"/>
  <c r="K1524" i="1"/>
  <c r="N1524" i="1" s="1"/>
  <c r="H1524" i="1"/>
  <c r="M1523" i="1"/>
  <c r="L1523" i="1"/>
  <c r="N1523" i="1" s="1"/>
  <c r="K1523" i="1"/>
  <c r="H1523" i="1"/>
  <c r="M1522" i="1"/>
  <c r="L1522" i="1"/>
  <c r="K1522" i="1"/>
  <c r="N1522" i="1" s="1"/>
  <c r="R1522" i="1" s="1"/>
  <c r="H1522" i="1"/>
  <c r="Q1522" i="1" s="1"/>
  <c r="M1521" i="1"/>
  <c r="L1521" i="1"/>
  <c r="K1521" i="1"/>
  <c r="H1521" i="1"/>
  <c r="M1520" i="1"/>
  <c r="L1520" i="1"/>
  <c r="K1520" i="1"/>
  <c r="N1520" i="1" s="1"/>
  <c r="H1520" i="1"/>
  <c r="M1519" i="1"/>
  <c r="L1519" i="1"/>
  <c r="K1519" i="1"/>
  <c r="H1519" i="1"/>
  <c r="Q1519" i="1" s="1"/>
  <c r="M1518" i="1"/>
  <c r="L1518" i="1"/>
  <c r="K1518" i="1"/>
  <c r="H1518" i="1"/>
  <c r="P1518" i="1" s="1"/>
  <c r="M1514" i="1"/>
  <c r="L1514" i="1"/>
  <c r="K1514" i="1"/>
  <c r="H1514" i="1"/>
  <c r="Q1514" i="1" s="1"/>
  <c r="Q1513" i="1" s="1"/>
  <c r="M1512" i="1"/>
  <c r="L1512" i="1"/>
  <c r="K1512" i="1"/>
  <c r="N1512" i="1" s="1"/>
  <c r="H1512" i="1"/>
  <c r="M1511" i="1"/>
  <c r="L1511" i="1"/>
  <c r="K1511" i="1"/>
  <c r="H1511" i="1"/>
  <c r="Q1511" i="1" s="1"/>
  <c r="P1510" i="1"/>
  <c r="M1510" i="1"/>
  <c r="L1510" i="1"/>
  <c r="K1510" i="1"/>
  <c r="N1510" i="1" s="1"/>
  <c r="H1510" i="1"/>
  <c r="M1509" i="1"/>
  <c r="N1509" i="1" s="1"/>
  <c r="L1509" i="1"/>
  <c r="K1509" i="1"/>
  <c r="H1509" i="1"/>
  <c r="M1507" i="1"/>
  <c r="L1507" i="1"/>
  <c r="K1507" i="1"/>
  <c r="H1507" i="1"/>
  <c r="Q1507" i="1" s="1"/>
  <c r="M1506" i="1"/>
  <c r="L1506" i="1"/>
  <c r="K1506" i="1"/>
  <c r="N1506" i="1" s="1"/>
  <c r="H1506" i="1"/>
  <c r="M1505" i="1"/>
  <c r="L1505" i="1"/>
  <c r="K1505" i="1"/>
  <c r="N1505" i="1" s="1"/>
  <c r="H1505" i="1"/>
  <c r="O1502" i="1"/>
  <c r="O1501" i="1" s="1"/>
  <c r="M1502" i="1"/>
  <c r="L1502" i="1"/>
  <c r="K1502" i="1"/>
  <c r="N1502" i="1" s="1"/>
  <c r="H1502" i="1"/>
  <c r="M1500" i="1"/>
  <c r="L1500" i="1"/>
  <c r="K1500" i="1"/>
  <c r="H1500" i="1"/>
  <c r="Q1500" i="1" s="1"/>
  <c r="P1499" i="1"/>
  <c r="M1499" i="1"/>
  <c r="L1499" i="1"/>
  <c r="K1499" i="1"/>
  <c r="N1499" i="1" s="1"/>
  <c r="H1499" i="1"/>
  <c r="N1498" i="1"/>
  <c r="M1498" i="1"/>
  <c r="L1498" i="1"/>
  <c r="K1498" i="1"/>
  <c r="H1498" i="1"/>
  <c r="M1496" i="1"/>
  <c r="L1496" i="1"/>
  <c r="K1496" i="1"/>
  <c r="H1496" i="1"/>
  <c r="O1495" i="1"/>
  <c r="M1495" i="1"/>
  <c r="L1495" i="1"/>
  <c r="K1495" i="1"/>
  <c r="N1495" i="1" s="1"/>
  <c r="H1495" i="1"/>
  <c r="M1494" i="1"/>
  <c r="L1494" i="1"/>
  <c r="K1494" i="1"/>
  <c r="H1494" i="1"/>
  <c r="M1492" i="1"/>
  <c r="L1492" i="1"/>
  <c r="K1492" i="1"/>
  <c r="N1492" i="1" s="1"/>
  <c r="H1492" i="1"/>
  <c r="P1492" i="1" s="1"/>
  <c r="N1491" i="1"/>
  <c r="M1491" i="1"/>
  <c r="L1491" i="1"/>
  <c r="K1491" i="1"/>
  <c r="H1491" i="1"/>
  <c r="M1490" i="1"/>
  <c r="L1490" i="1"/>
  <c r="N1490" i="1" s="1"/>
  <c r="R1490" i="1" s="1"/>
  <c r="K1490" i="1"/>
  <c r="H1490" i="1"/>
  <c r="Q1490" i="1" s="1"/>
  <c r="M1489" i="1"/>
  <c r="L1489" i="1"/>
  <c r="K1489" i="1"/>
  <c r="H1489" i="1"/>
  <c r="P1489" i="1" s="1"/>
  <c r="M1486" i="1"/>
  <c r="L1486" i="1"/>
  <c r="K1486" i="1"/>
  <c r="N1486" i="1" s="1"/>
  <c r="R1486" i="1" s="1"/>
  <c r="H1486" i="1"/>
  <c r="Q1486" i="1" s="1"/>
  <c r="M1485" i="1"/>
  <c r="L1485" i="1"/>
  <c r="K1485" i="1"/>
  <c r="H1485" i="1"/>
  <c r="P1485" i="1" s="1"/>
  <c r="M1484" i="1"/>
  <c r="L1484" i="1"/>
  <c r="K1484" i="1"/>
  <c r="H1484" i="1"/>
  <c r="Q1484" i="1" s="1"/>
  <c r="N1483" i="1"/>
  <c r="M1483" i="1"/>
  <c r="L1483" i="1"/>
  <c r="K1483" i="1"/>
  <c r="H1483" i="1"/>
  <c r="M1482" i="1"/>
  <c r="L1482" i="1"/>
  <c r="N1482" i="1" s="1"/>
  <c r="R1482" i="1" s="1"/>
  <c r="K1482" i="1"/>
  <c r="H1482" i="1"/>
  <c r="Q1482" i="1" s="1"/>
  <c r="M1480" i="1"/>
  <c r="L1480" i="1"/>
  <c r="K1480" i="1"/>
  <c r="H1480" i="1"/>
  <c r="Q1480" i="1" s="1"/>
  <c r="M1479" i="1"/>
  <c r="L1479" i="1"/>
  <c r="K1479" i="1"/>
  <c r="N1479" i="1" s="1"/>
  <c r="H1479" i="1"/>
  <c r="P1479" i="1" s="1"/>
  <c r="M1478" i="1"/>
  <c r="L1478" i="1"/>
  <c r="K1478" i="1"/>
  <c r="H1478" i="1"/>
  <c r="P1478" i="1" s="1"/>
  <c r="M1477" i="1"/>
  <c r="L1477" i="1"/>
  <c r="K1477" i="1"/>
  <c r="N1477" i="1" s="1"/>
  <c r="H1477" i="1"/>
  <c r="P1477" i="1" s="1"/>
  <c r="M1476" i="1"/>
  <c r="L1476" i="1"/>
  <c r="K1476" i="1"/>
  <c r="H1476" i="1"/>
  <c r="O1476" i="1" s="1"/>
  <c r="Q1475" i="1"/>
  <c r="M1475" i="1"/>
  <c r="L1475" i="1"/>
  <c r="K1475" i="1"/>
  <c r="N1475" i="1" s="1"/>
  <c r="H1475" i="1"/>
  <c r="O1474" i="1"/>
  <c r="M1474" i="1"/>
  <c r="L1474" i="1"/>
  <c r="K1474" i="1"/>
  <c r="N1474" i="1" s="1"/>
  <c r="H1474" i="1"/>
  <c r="P1474" i="1" s="1"/>
  <c r="M1473" i="1"/>
  <c r="L1473" i="1"/>
  <c r="K1473" i="1"/>
  <c r="H1473" i="1"/>
  <c r="O1473" i="1" s="1"/>
  <c r="M1471" i="1"/>
  <c r="L1471" i="1"/>
  <c r="N1471" i="1" s="1"/>
  <c r="K1471" i="1"/>
  <c r="H1471" i="1"/>
  <c r="P1471" i="1" s="1"/>
  <c r="M1470" i="1"/>
  <c r="L1470" i="1"/>
  <c r="K1470" i="1"/>
  <c r="N1470" i="1" s="1"/>
  <c r="H1470" i="1"/>
  <c r="M1469" i="1"/>
  <c r="L1469" i="1"/>
  <c r="N1469" i="1" s="1"/>
  <c r="R1469" i="1" s="1"/>
  <c r="K1469" i="1"/>
  <c r="H1469" i="1"/>
  <c r="Q1469" i="1" s="1"/>
  <c r="P1468" i="1"/>
  <c r="M1468" i="1"/>
  <c r="L1468" i="1"/>
  <c r="K1468" i="1"/>
  <c r="H1468" i="1"/>
  <c r="M1467" i="1"/>
  <c r="L1467" i="1"/>
  <c r="K1467" i="1"/>
  <c r="N1467" i="1" s="1"/>
  <c r="H1467" i="1"/>
  <c r="M1466" i="1"/>
  <c r="L1466" i="1"/>
  <c r="K1466" i="1"/>
  <c r="H1466" i="1"/>
  <c r="Q1466" i="1" s="1"/>
  <c r="M1464" i="1"/>
  <c r="L1464" i="1"/>
  <c r="K1464" i="1"/>
  <c r="N1464" i="1" s="1"/>
  <c r="H1464" i="1"/>
  <c r="Q1464" i="1" s="1"/>
  <c r="M1463" i="1"/>
  <c r="L1463" i="1"/>
  <c r="K1463" i="1"/>
  <c r="N1463" i="1" s="1"/>
  <c r="H1463" i="1"/>
  <c r="O1463" i="1" s="1"/>
  <c r="M1462" i="1"/>
  <c r="L1462" i="1"/>
  <c r="K1462" i="1"/>
  <c r="H1462" i="1"/>
  <c r="P1462" i="1" s="1"/>
  <c r="Q1461" i="1"/>
  <c r="M1461" i="1"/>
  <c r="L1461" i="1"/>
  <c r="K1461" i="1"/>
  <c r="N1461" i="1" s="1"/>
  <c r="H1461" i="1"/>
  <c r="P1461" i="1" s="1"/>
  <c r="O1460" i="1"/>
  <c r="M1460" i="1"/>
  <c r="L1460" i="1"/>
  <c r="K1460" i="1"/>
  <c r="H1460" i="1"/>
  <c r="M1459" i="1"/>
  <c r="Q1459" i="1" s="1"/>
  <c r="L1459" i="1"/>
  <c r="K1459" i="1"/>
  <c r="H1459" i="1"/>
  <c r="P1459" i="1" s="1"/>
  <c r="M1458" i="1"/>
  <c r="L1458" i="1"/>
  <c r="K1458" i="1"/>
  <c r="H1458" i="1"/>
  <c r="P1458" i="1" s="1"/>
  <c r="M1457" i="1"/>
  <c r="L1457" i="1"/>
  <c r="K1457" i="1"/>
  <c r="H1457" i="1"/>
  <c r="O1457" i="1" s="1"/>
  <c r="M1454" i="1"/>
  <c r="L1454" i="1"/>
  <c r="K1454" i="1"/>
  <c r="H1454" i="1"/>
  <c r="Q1454" i="1" s="1"/>
  <c r="M1453" i="1"/>
  <c r="L1453" i="1"/>
  <c r="K1453" i="1"/>
  <c r="N1453" i="1" s="1"/>
  <c r="H1453" i="1"/>
  <c r="O1453" i="1" s="1"/>
  <c r="M1452" i="1"/>
  <c r="L1452" i="1"/>
  <c r="K1452" i="1"/>
  <c r="N1452" i="1" s="1"/>
  <c r="H1452" i="1"/>
  <c r="P1452" i="1" s="1"/>
  <c r="M1451" i="1"/>
  <c r="L1451" i="1"/>
  <c r="K1451" i="1"/>
  <c r="N1451" i="1" s="1"/>
  <c r="H1451" i="1"/>
  <c r="P1451" i="1" s="1"/>
  <c r="M1450" i="1"/>
  <c r="L1450" i="1"/>
  <c r="K1450" i="1"/>
  <c r="H1450" i="1"/>
  <c r="O1450" i="1" s="1"/>
  <c r="M1448" i="1"/>
  <c r="L1448" i="1"/>
  <c r="K1448" i="1"/>
  <c r="H1448" i="1"/>
  <c r="M1447" i="1"/>
  <c r="L1447" i="1"/>
  <c r="K1447" i="1"/>
  <c r="N1447" i="1" s="1"/>
  <c r="H1447" i="1"/>
  <c r="M1446" i="1"/>
  <c r="L1446" i="1"/>
  <c r="K1446" i="1"/>
  <c r="N1446" i="1" s="1"/>
  <c r="H1446" i="1"/>
  <c r="Q1446" i="1" s="1"/>
  <c r="M1444" i="1"/>
  <c r="L1444" i="1"/>
  <c r="K1444" i="1"/>
  <c r="N1444" i="1" s="1"/>
  <c r="H1444" i="1"/>
  <c r="M1443" i="1"/>
  <c r="Q1443" i="1" s="1"/>
  <c r="L1443" i="1"/>
  <c r="K1443" i="1"/>
  <c r="O1443" i="1" s="1"/>
  <c r="H1443" i="1"/>
  <c r="P1443" i="1" s="1"/>
  <c r="M1442" i="1"/>
  <c r="L1442" i="1"/>
  <c r="K1442" i="1"/>
  <c r="H1442" i="1"/>
  <c r="M1441" i="1"/>
  <c r="L1441" i="1"/>
  <c r="K1441" i="1"/>
  <c r="H1441" i="1"/>
  <c r="O1441" i="1" s="1"/>
  <c r="M1440" i="1"/>
  <c r="L1440" i="1"/>
  <c r="K1440" i="1"/>
  <c r="H1440" i="1"/>
  <c r="P1440" i="1" s="1"/>
  <c r="M1439" i="1"/>
  <c r="L1439" i="1"/>
  <c r="K1439" i="1"/>
  <c r="H1439" i="1"/>
  <c r="P1439" i="1" s="1"/>
  <c r="O1438" i="1"/>
  <c r="M1438" i="1"/>
  <c r="L1438" i="1"/>
  <c r="K1438" i="1"/>
  <c r="N1438" i="1" s="1"/>
  <c r="H1438" i="1"/>
  <c r="P1438" i="1" s="1"/>
  <c r="M1437" i="1"/>
  <c r="Q1437" i="1" s="1"/>
  <c r="L1437" i="1"/>
  <c r="K1437" i="1"/>
  <c r="O1437" i="1" s="1"/>
  <c r="H1437" i="1"/>
  <c r="P1437" i="1" s="1"/>
  <c r="M1436" i="1"/>
  <c r="L1436" i="1"/>
  <c r="K1436" i="1"/>
  <c r="H1436" i="1"/>
  <c r="Q1436" i="1" s="1"/>
  <c r="M1435" i="1"/>
  <c r="L1435" i="1"/>
  <c r="K1435" i="1"/>
  <c r="N1435" i="1" s="1"/>
  <c r="H1435" i="1"/>
  <c r="O1435" i="1" s="1"/>
  <c r="M1433" i="1"/>
  <c r="L1433" i="1"/>
  <c r="K1433" i="1"/>
  <c r="N1433" i="1" s="1"/>
  <c r="R1433" i="1" s="1"/>
  <c r="H1433" i="1"/>
  <c r="P1433" i="1" s="1"/>
  <c r="N1432" i="1"/>
  <c r="M1432" i="1"/>
  <c r="L1432" i="1"/>
  <c r="K1432" i="1"/>
  <c r="H1432" i="1"/>
  <c r="P1432" i="1" s="1"/>
  <c r="M1431" i="1"/>
  <c r="N1431" i="1" s="1"/>
  <c r="L1431" i="1"/>
  <c r="K1431" i="1"/>
  <c r="H1431" i="1"/>
  <c r="Q1430" i="1"/>
  <c r="M1430" i="1"/>
  <c r="L1430" i="1"/>
  <c r="K1430" i="1"/>
  <c r="H1430" i="1"/>
  <c r="M1429" i="1"/>
  <c r="L1429" i="1"/>
  <c r="K1429" i="1"/>
  <c r="N1429" i="1" s="1"/>
  <c r="H1429" i="1"/>
  <c r="P1429" i="1" s="1"/>
  <c r="M1428" i="1"/>
  <c r="L1428" i="1"/>
  <c r="K1428" i="1"/>
  <c r="N1428" i="1" s="1"/>
  <c r="H1428" i="1"/>
  <c r="M1427" i="1"/>
  <c r="L1427" i="1"/>
  <c r="K1427" i="1"/>
  <c r="H1427" i="1"/>
  <c r="Q1427" i="1" s="1"/>
  <c r="M1426" i="1"/>
  <c r="L1426" i="1"/>
  <c r="K1426" i="1"/>
  <c r="N1426" i="1" s="1"/>
  <c r="H1426" i="1"/>
  <c r="P1426" i="1" s="1"/>
  <c r="M1422" i="1"/>
  <c r="L1422" i="1"/>
  <c r="K1422" i="1"/>
  <c r="N1422" i="1" s="1"/>
  <c r="H1422" i="1"/>
  <c r="Q1422" i="1" s="1"/>
  <c r="O1421" i="1"/>
  <c r="M1421" i="1"/>
  <c r="L1421" i="1"/>
  <c r="K1421" i="1"/>
  <c r="N1421" i="1" s="1"/>
  <c r="H1421" i="1"/>
  <c r="P1421" i="1" s="1"/>
  <c r="M1420" i="1"/>
  <c r="Q1420" i="1" s="1"/>
  <c r="L1420" i="1"/>
  <c r="K1420" i="1"/>
  <c r="O1420" i="1" s="1"/>
  <c r="H1420" i="1"/>
  <c r="P1420" i="1" s="1"/>
  <c r="M1419" i="1"/>
  <c r="L1419" i="1"/>
  <c r="K1419" i="1"/>
  <c r="N1419" i="1" s="1"/>
  <c r="H1419" i="1"/>
  <c r="M1418" i="1"/>
  <c r="Q1418" i="1" s="1"/>
  <c r="L1418" i="1"/>
  <c r="K1418" i="1"/>
  <c r="N1418" i="1" s="1"/>
  <c r="H1418" i="1"/>
  <c r="P1418" i="1" s="1"/>
  <c r="M1416" i="1"/>
  <c r="L1416" i="1"/>
  <c r="K1416" i="1"/>
  <c r="H1416" i="1"/>
  <c r="Q1416" i="1" s="1"/>
  <c r="M1415" i="1"/>
  <c r="L1415" i="1"/>
  <c r="K1415" i="1"/>
  <c r="N1415" i="1" s="1"/>
  <c r="H1415" i="1"/>
  <c r="M1414" i="1"/>
  <c r="N1414" i="1" s="1"/>
  <c r="L1414" i="1"/>
  <c r="K1414" i="1"/>
  <c r="H1414" i="1"/>
  <c r="M1413" i="1"/>
  <c r="L1413" i="1"/>
  <c r="K1413" i="1"/>
  <c r="H1413" i="1"/>
  <c r="Q1413" i="1" s="1"/>
  <c r="M1412" i="1"/>
  <c r="L1412" i="1"/>
  <c r="K1412" i="1"/>
  <c r="N1412" i="1" s="1"/>
  <c r="H1412" i="1"/>
  <c r="M1411" i="1"/>
  <c r="L1411" i="1"/>
  <c r="K1411" i="1"/>
  <c r="N1411" i="1" s="1"/>
  <c r="H1411" i="1"/>
  <c r="M1410" i="1"/>
  <c r="L1410" i="1"/>
  <c r="K1410" i="1"/>
  <c r="N1410" i="1" s="1"/>
  <c r="R1410" i="1" s="1"/>
  <c r="H1410" i="1"/>
  <c r="P1410" i="1" s="1"/>
  <c r="O1409" i="1"/>
  <c r="M1409" i="1"/>
  <c r="L1409" i="1"/>
  <c r="K1409" i="1"/>
  <c r="N1409" i="1" s="1"/>
  <c r="H1409" i="1"/>
  <c r="M1407" i="1"/>
  <c r="Q1407" i="1" s="1"/>
  <c r="L1407" i="1"/>
  <c r="K1407" i="1"/>
  <c r="O1407" i="1" s="1"/>
  <c r="H1407" i="1"/>
  <c r="P1407" i="1" s="1"/>
  <c r="M1406" i="1"/>
  <c r="L1406" i="1"/>
  <c r="K1406" i="1"/>
  <c r="N1406" i="1" s="1"/>
  <c r="H1406" i="1"/>
  <c r="Q1406" i="1" s="1"/>
  <c r="M1405" i="1"/>
  <c r="L1405" i="1"/>
  <c r="K1405" i="1"/>
  <c r="N1405" i="1" s="1"/>
  <c r="H1405" i="1"/>
  <c r="P1405" i="1" s="1"/>
  <c r="M1404" i="1"/>
  <c r="Q1404" i="1" s="1"/>
  <c r="L1404" i="1"/>
  <c r="K1404" i="1"/>
  <c r="O1404" i="1" s="1"/>
  <c r="H1404" i="1"/>
  <c r="P1404" i="1" s="1"/>
  <c r="M1403" i="1"/>
  <c r="L1403" i="1"/>
  <c r="K1403" i="1"/>
  <c r="H1403" i="1"/>
  <c r="M1402" i="1"/>
  <c r="Q1402" i="1" s="1"/>
  <c r="L1402" i="1"/>
  <c r="K1402" i="1"/>
  <c r="N1402" i="1" s="1"/>
  <c r="H1402" i="1"/>
  <c r="P1402" i="1" s="1"/>
  <c r="M1400" i="1"/>
  <c r="L1400" i="1"/>
  <c r="K1400" i="1"/>
  <c r="H1400" i="1"/>
  <c r="Q1400" i="1" s="1"/>
  <c r="M1399" i="1"/>
  <c r="L1399" i="1"/>
  <c r="K1399" i="1"/>
  <c r="N1399" i="1" s="1"/>
  <c r="H1399" i="1"/>
  <c r="P1399" i="1" s="1"/>
  <c r="M1398" i="1"/>
  <c r="L1398" i="1"/>
  <c r="K1398" i="1"/>
  <c r="H1398" i="1"/>
  <c r="Q1398" i="1" s="1"/>
  <c r="Q1397" i="1"/>
  <c r="M1397" i="1"/>
  <c r="L1397" i="1"/>
  <c r="K1397" i="1"/>
  <c r="H1397" i="1"/>
  <c r="P1397" i="1" s="1"/>
  <c r="M1396" i="1"/>
  <c r="L1396" i="1"/>
  <c r="K1396" i="1"/>
  <c r="H1396" i="1"/>
  <c r="O1396" i="1" s="1"/>
  <c r="M1395" i="1"/>
  <c r="L1395" i="1"/>
  <c r="K1395" i="1"/>
  <c r="H1395" i="1"/>
  <c r="M1394" i="1"/>
  <c r="L1394" i="1"/>
  <c r="K1394" i="1"/>
  <c r="N1394" i="1" s="1"/>
  <c r="R1394" i="1" s="1"/>
  <c r="H1394" i="1"/>
  <c r="P1394" i="1" s="1"/>
  <c r="M1391" i="1"/>
  <c r="L1391" i="1"/>
  <c r="K1391" i="1"/>
  <c r="N1391" i="1" s="1"/>
  <c r="H1391" i="1"/>
  <c r="M1390" i="1"/>
  <c r="L1390" i="1"/>
  <c r="K1390" i="1"/>
  <c r="N1390" i="1" s="1"/>
  <c r="R1390" i="1" s="1"/>
  <c r="H1390" i="1"/>
  <c r="P1390" i="1" s="1"/>
  <c r="O1389" i="1"/>
  <c r="M1389" i="1"/>
  <c r="L1389" i="1"/>
  <c r="N1389" i="1" s="1"/>
  <c r="K1389" i="1"/>
  <c r="H1389" i="1"/>
  <c r="P1389" i="1" s="1"/>
  <c r="M1388" i="1"/>
  <c r="L1388" i="1"/>
  <c r="K1388" i="1"/>
  <c r="H1388" i="1"/>
  <c r="Q1387" i="1"/>
  <c r="M1387" i="1"/>
  <c r="L1387" i="1"/>
  <c r="K1387" i="1"/>
  <c r="H1387" i="1"/>
  <c r="O1385" i="1"/>
  <c r="M1385" i="1"/>
  <c r="L1385" i="1"/>
  <c r="K1385" i="1"/>
  <c r="N1385" i="1" s="1"/>
  <c r="H1385" i="1"/>
  <c r="M1384" i="1"/>
  <c r="Q1384" i="1" s="1"/>
  <c r="L1384" i="1"/>
  <c r="K1384" i="1"/>
  <c r="H1384" i="1"/>
  <c r="O1384" i="1" s="1"/>
  <c r="M1383" i="1"/>
  <c r="L1383" i="1"/>
  <c r="K1383" i="1"/>
  <c r="H1383" i="1"/>
  <c r="Q1383" i="1" s="1"/>
  <c r="M1382" i="1"/>
  <c r="L1382" i="1"/>
  <c r="K1382" i="1"/>
  <c r="H1382" i="1"/>
  <c r="O1382" i="1" s="1"/>
  <c r="M1381" i="1"/>
  <c r="Q1381" i="1" s="1"/>
  <c r="L1381" i="1"/>
  <c r="K1381" i="1"/>
  <c r="H1381" i="1"/>
  <c r="O1381" i="1" s="1"/>
  <c r="M1380" i="1"/>
  <c r="L1380" i="1"/>
  <c r="K1380" i="1"/>
  <c r="N1380" i="1" s="1"/>
  <c r="H1380" i="1"/>
  <c r="Q1380" i="1" s="1"/>
  <c r="M1379" i="1"/>
  <c r="L1379" i="1"/>
  <c r="K1379" i="1"/>
  <c r="N1379" i="1" s="1"/>
  <c r="H1379" i="1"/>
  <c r="O1379" i="1" s="1"/>
  <c r="M1378" i="1"/>
  <c r="L1378" i="1"/>
  <c r="K1378" i="1"/>
  <c r="H1378" i="1"/>
  <c r="M1376" i="1"/>
  <c r="L1376" i="1"/>
  <c r="N1376" i="1" s="1"/>
  <c r="K1376" i="1"/>
  <c r="H1376" i="1"/>
  <c r="P1376" i="1" s="1"/>
  <c r="N1375" i="1"/>
  <c r="M1375" i="1"/>
  <c r="L1375" i="1"/>
  <c r="K1375" i="1"/>
  <c r="H1375" i="1"/>
  <c r="M1374" i="1"/>
  <c r="Q1374" i="1" s="1"/>
  <c r="L1374" i="1"/>
  <c r="K1374" i="1"/>
  <c r="H1374" i="1"/>
  <c r="O1373" i="1"/>
  <c r="M1373" i="1"/>
  <c r="L1373" i="1"/>
  <c r="K1373" i="1"/>
  <c r="H1373" i="1"/>
  <c r="P1373" i="1" s="1"/>
  <c r="M1372" i="1"/>
  <c r="L1372" i="1"/>
  <c r="N1372" i="1" s="1"/>
  <c r="K1372" i="1"/>
  <c r="H1372" i="1"/>
  <c r="M1371" i="1"/>
  <c r="Q1371" i="1" s="1"/>
  <c r="L1371" i="1"/>
  <c r="K1371" i="1"/>
  <c r="H1371" i="1"/>
  <c r="O1369" i="1"/>
  <c r="M1369" i="1"/>
  <c r="L1369" i="1"/>
  <c r="N1369" i="1" s="1"/>
  <c r="K1369" i="1"/>
  <c r="H1369" i="1"/>
  <c r="M1368" i="1"/>
  <c r="Q1368" i="1" s="1"/>
  <c r="L1368" i="1"/>
  <c r="K1368" i="1"/>
  <c r="O1368" i="1" s="1"/>
  <c r="H1368" i="1"/>
  <c r="M1367" i="1"/>
  <c r="L1367" i="1"/>
  <c r="K1367" i="1"/>
  <c r="H1367" i="1"/>
  <c r="M1366" i="1"/>
  <c r="L1366" i="1"/>
  <c r="K1366" i="1"/>
  <c r="N1366" i="1" s="1"/>
  <c r="H1366" i="1"/>
  <c r="P1366" i="1" s="1"/>
  <c r="M1365" i="1"/>
  <c r="L1365" i="1"/>
  <c r="K1365" i="1"/>
  <c r="H1365" i="1"/>
  <c r="O1365" i="1" s="1"/>
  <c r="Q1364" i="1"/>
  <c r="M1364" i="1"/>
  <c r="L1364" i="1"/>
  <c r="K1364" i="1"/>
  <c r="N1364" i="1" s="1"/>
  <c r="H1364" i="1"/>
  <c r="P1364" i="1" s="1"/>
  <c r="M1363" i="1"/>
  <c r="L1363" i="1"/>
  <c r="K1363" i="1"/>
  <c r="N1363" i="1" s="1"/>
  <c r="H1363" i="1"/>
  <c r="P1363" i="1" s="1"/>
  <c r="M1360" i="1"/>
  <c r="L1360" i="1"/>
  <c r="K1360" i="1"/>
  <c r="N1360" i="1" s="1"/>
  <c r="H1360" i="1"/>
  <c r="Q1360" i="1" s="1"/>
  <c r="M1359" i="1"/>
  <c r="L1359" i="1"/>
  <c r="K1359" i="1"/>
  <c r="N1359" i="1" s="1"/>
  <c r="H1359" i="1"/>
  <c r="P1359" i="1" s="1"/>
  <c r="M1358" i="1"/>
  <c r="L1358" i="1"/>
  <c r="K1358" i="1"/>
  <c r="H1358" i="1"/>
  <c r="P1358" i="1" s="1"/>
  <c r="M1357" i="1"/>
  <c r="L1357" i="1"/>
  <c r="K1357" i="1"/>
  <c r="H1357" i="1"/>
  <c r="N1356" i="1"/>
  <c r="M1356" i="1"/>
  <c r="L1356" i="1"/>
  <c r="K1356" i="1"/>
  <c r="H1356" i="1"/>
  <c r="P1356" i="1" s="1"/>
  <c r="M1354" i="1"/>
  <c r="Q1354" i="1" s="1"/>
  <c r="L1354" i="1"/>
  <c r="K1354" i="1"/>
  <c r="H1354" i="1"/>
  <c r="P1354" i="1" s="1"/>
  <c r="M1353" i="1"/>
  <c r="L1353" i="1"/>
  <c r="N1353" i="1" s="1"/>
  <c r="K1353" i="1"/>
  <c r="H1353" i="1"/>
  <c r="M1352" i="1"/>
  <c r="L1352" i="1"/>
  <c r="K1352" i="1"/>
  <c r="H1352" i="1"/>
  <c r="M1351" i="1"/>
  <c r="L1351" i="1"/>
  <c r="K1351" i="1"/>
  <c r="H1351" i="1"/>
  <c r="P1351" i="1" s="1"/>
  <c r="M1350" i="1"/>
  <c r="L1350" i="1"/>
  <c r="K1350" i="1"/>
  <c r="H1350" i="1"/>
  <c r="M1349" i="1"/>
  <c r="L1349" i="1"/>
  <c r="K1349" i="1"/>
  <c r="H1349" i="1"/>
  <c r="M1348" i="1"/>
  <c r="L1348" i="1"/>
  <c r="K1348" i="1"/>
  <c r="H1348" i="1"/>
  <c r="P1348" i="1" s="1"/>
  <c r="M1347" i="1"/>
  <c r="L1347" i="1"/>
  <c r="K1347" i="1"/>
  <c r="H1347" i="1"/>
  <c r="M1346" i="1"/>
  <c r="L1346" i="1"/>
  <c r="K1346" i="1"/>
  <c r="H1346" i="1"/>
  <c r="M1344" i="1"/>
  <c r="Q1344" i="1" s="1"/>
  <c r="L1344" i="1"/>
  <c r="P1344" i="1" s="1"/>
  <c r="K1344" i="1"/>
  <c r="N1344" i="1" s="1"/>
  <c r="H1344" i="1"/>
  <c r="M1343" i="1"/>
  <c r="L1343" i="1"/>
  <c r="N1343" i="1" s="1"/>
  <c r="K1343" i="1"/>
  <c r="H1343" i="1"/>
  <c r="O1343" i="1" s="1"/>
  <c r="M1342" i="1"/>
  <c r="Q1342" i="1" s="1"/>
  <c r="L1342" i="1"/>
  <c r="K1342" i="1"/>
  <c r="N1342" i="1" s="1"/>
  <c r="H1342" i="1"/>
  <c r="M1341" i="1"/>
  <c r="L1341" i="1"/>
  <c r="K1341" i="1"/>
  <c r="H1341" i="1"/>
  <c r="Q1341" i="1" s="1"/>
  <c r="M1340" i="1"/>
  <c r="L1340" i="1"/>
  <c r="K1340" i="1"/>
  <c r="O1340" i="1" s="1"/>
  <c r="H1340" i="1"/>
  <c r="M1339" i="1"/>
  <c r="L1339" i="1"/>
  <c r="K1339" i="1"/>
  <c r="H1339" i="1"/>
  <c r="P1339" i="1" s="1"/>
  <c r="M1337" i="1"/>
  <c r="L1337" i="1"/>
  <c r="N1337" i="1" s="1"/>
  <c r="K1337" i="1"/>
  <c r="H1337" i="1"/>
  <c r="O1337" i="1" s="1"/>
  <c r="M1336" i="1"/>
  <c r="L1336" i="1"/>
  <c r="K1336" i="1"/>
  <c r="N1336" i="1" s="1"/>
  <c r="H1336" i="1"/>
  <c r="Q1335" i="1"/>
  <c r="M1335" i="1"/>
  <c r="L1335" i="1"/>
  <c r="K1335" i="1"/>
  <c r="H1335" i="1"/>
  <c r="O1334" i="1"/>
  <c r="M1334" i="1"/>
  <c r="L1334" i="1"/>
  <c r="N1334" i="1" s="1"/>
  <c r="K1334" i="1"/>
  <c r="H1334" i="1"/>
  <c r="P1334" i="1" s="1"/>
  <c r="M1333" i="1"/>
  <c r="N1333" i="1" s="1"/>
  <c r="L1333" i="1"/>
  <c r="K1333" i="1"/>
  <c r="H1333" i="1"/>
  <c r="M1332" i="1"/>
  <c r="Q1332" i="1" s="1"/>
  <c r="L1332" i="1"/>
  <c r="K1332" i="1"/>
  <c r="H1332" i="1"/>
  <c r="O1331" i="1"/>
  <c r="M1331" i="1"/>
  <c r="L1331" i="1"/>
  <c r="N1331" i="1" s="1"/>
  <c r="K1331" i="1"/>
  <c r="H1331" i="1"/>
  <c r="P1331" i="1" s="1"/>
  <c r="M1328" i="1"/>
  <c r="Q1328" i="1" s="1"/>
  <c r="L1328" i="1"/>
  <c r="K1328" i="1"/>
  <c r="H1328" i="1"/>
  <c r="M1327" i="1"/>
  <c r="L1327" i="1"/>
  <c r="K1327" i="1"/>
  <c r="O1327" i="1" s="1"/>
  <c r="H1327" i="1"/>
  <c r="M1326" i="1"/>
  <c r="L1326" i="1"/>
  <c r="K1326" i="1"/>
  <c r="N1326" i="1" s="1"/>
  <c r="H1326" i="1"/>
  <c r="M1325" i="1"/>
  <c r="L1325" i="1"/>
  <c r="K1325" i="1"/>
  <c r="H1325" i="1"/>
  <c r="Q1325" i="1" s="1"/>
  <c r="P1324" i="1"/>
  <c r="M1324" i="1"/>
  <c r="L1324" i="1"/>
  <c r="K1324" i="1"/>
  <c r="H1324" i="1"/>
  <c r="O1324" i="1" s="1"/>
  <c r="O1322" i="1"/>
  <c r="M1322" i="1"/>
  <c r="L1322" i="1"/>
  <c r="K1322" i="1"/>
  <c r="H1322" i="1"/>
  <c r="P1322" i="1" s="1"/>
  <c r="P1321" i="1"/>
  <c r="M1321" i="1"/>
  <c r="L1321" i="1"/>
  <c r="K1321" i="1"/>
  <c r="H1321" i="1"/>
  <c r="O1320" i="1"/>
  <c r="N1320" i="1"/>
  <c r="M1320" i="1"/>
  <c r="L1320" i="1"/>
  <c r="K1320" i="1"/>
  <c r="H1320" i="1"/>
  <c r="Q1320" i="1" s="1"/>
  <c r="O1319" i="1"/>
  <c r="M1319" i="1"/>
  <c r="Q1319" i="1" s="1"/>
  <c r="L1319" i="1"/>
  <c r="K1319" i="1"/>
  <c r="H1319" i="1"/>
  <c r="P1319" i="1" s="1"/>
  <c r="M1318" i="1"/>
  <c r="L1318" i="1"/>
  <c r="K1318" i="1"/>
  <c r="N1318" i="1" s="1"/>
  <c r="H1318" i="1"/>
  <c r="M1317" i="1"/>
  <c r="L1317" i="1"/>
  <c r="N1317" i="1" s="1"/>
  <c r="K1317" i="1"/>
  <c r="H1317" i="1"/>
  <c r="Q1317" i="1" s="1"/>
  <c r="M1316" i="1"/>
  <c r="Q1316" i="1" s="1"/>
  <c r="L1316" i="1"/>
  <c r="K1316" i="1"/>
  <c r="O1316" i="1" s="1"/>
  <c r="H1316" i="1"/>
  <c r="M1315" i="1"/>
  <c r="Q1315" i="1" s="1"/>
  <c r="L1315" i="1"/>
  <c r="P1315" i="1" s="1"/>
  <c r="K1315" i="1"/>
  <c r="N1315" i="1" s="1"/>
  <c r="H1315" i="1"/>
  <c r="M1313" i="1"/>
  <c r="L1313" i="1"/>
  <c r="K1313" i="1"/>
  <c r="H1313" i="1"/>
  <c r="Q1312" i="1"/>
  <c r="M1312" i="1"/>
  <c r="L1312" i="1"/>
  <c r="K1312" i="1"/>
  <c r="H1312" i="1"/>
  <c r="P1312" i="1" s="1"/>
  <c r="M1311" i="1"/>
  <c r="L1311" i="1"/>
  <c r="N1311" i="1" s="1"/>
  <c r="K1311" i="1"/>
  <c r="H1311" i="1"/>
  <c r="M1310" i="1"/>
  <c r="L1310" i="1"/>
  <c r="K1310" i="1"/>
  <c r="H1310" i="1"/>
  <c r="M1309" i="1"/>
  <c r="L1309" i="1"/>
  <c r="K1309" i="1"/>
  <c r="H1309" i="1"/>
  <c r="P1309" i="1" s="1"/>
  <c r="M1308" i="1"/>
  <c r="L1308" i="1"/>
  <c r="K1308" i="1"/>
  <c r="H1308" i="1"/>
  <c r="O1306" i="1"/>
  <c r="M1306" i="1"/>
  <c r="L1306" i="1"/>
  <c r="K1306" i="1"/>
  <c r="H1306" i="1"/>
  <c r="M1305" i="1"/>
  <c r="L1305" i="1"/>
  <c r="P1305" i="1" s="1"/>
  <c r="K1305" i="1"/>
  <c r="H1305" i="1"/>
  <c r="Q1305" i="1" s="1"/>
  <c r="M1304" i="1"/>
  <c r="N1304" i="1" s="1"/>
  <c r="L1304" i="1"/>
  <c r="K1304" i="1"/>
  <c r="H1304" i="1"/>
  <c r="Q1304" i="1" s="1"/>
  <c r="O1303" i="1"/>
  <c r="M1303" i="1"/>
  <c r="L1303" i="1"/>
  <c r="K1303" i="1"/>
  <c r="H1303" i="1"/>
  <c r="M1302" i="1"/>
  <c r="L1302" i="1"/>
  <c r="P1302" i="1" s="1"/>
  <c r="K1302" i="1"/>
  <c r="N1302" i="1" s="1"/>
  <c r="H1302" i="1"/>
  <c r="M1301" i="1"/>
  <c r="L1301" i="1"/>
  <c r="N1301" i="1" s="1"/>
  <c r="K1301" i="1"/>
  <c r="H1301" i="1"/>
  <c r="Q1301" i="1" s="1"/>
  <c r="M1300" i="1"/>
  <c r="L1300" i="1"/>
  <c r="K1300" i="1"/>
  <c r="O1300" i="1" s="1"/>
  <c r="H1300" i="1"/>
  <c r="M1297" i="1"/>
  <c r="L1297" i="1"/>
  <c r="N1297" i="1" s="1"/>
  <c r="K1297" i="1"/>
  <c r="H1297" i="1"/>
  <c r="Q1297" i="1" s="1"/>
  <c r="Q1296" i="1" s="1"/>
  <c r="M1295" i="1"/>
  <c r="Q1295" i="1" s="1"/>
  <c r="L1295" i="1"/>
  <c r="K1295" i="1"/>
  <c r="N1295" i="1" s="1"/>
  <c r="R1295" i="1" s="1"/>
  <c r="H1295" i="1"/>
  <c r="M1294" i="1"/>
  <c r="L1294" i="1"/>
  <c r="K1294" i="1"/>
  <c r="H1294" i="1"/>
  <c r="P1294" i="1" s="1"/>
  <c r="M1293" i="1"/>
  <c r="L1293" i="1"/>
  <c r="K1293" i="1"/>
  <c r="N1293" i="1" s="1"/>
  <c r="H1293" i="1"/>
  <c r="Q1292" i="1"/>
  <c r="M1292" i="1"/>
  <c r="L1292" i="1"/>
  <c r="K1292" i="1"/>
  <c r="N1292" i="1" s="1"/>
  <c r="R1292" i="1" s="1"/>
  <c r="H1292" i="1"/>
  <c r="P1292" i="1" s="1"/>
  <c r="M1291" i="1"/>
  <c r="L1291" i="1"/>
  <c r="K1291" i="1"/>
  <c r="H1291" i="1"/>
  <c r="P1291" i="1" s="1"/>
  <c r="M1289" i="1"/>
  <c r="L1289" i="1"/>
  <c r="K1289" i="1"/>
  <c r="H1289" i="1"/>
  <c r="P1288" i="1"/>
  <c r="M1288" i="1"/>
  <c r="Q1288" i="1" s="1"/>
  <c r="L1288" i="1"/>
  <c r="K1288" i="1"/>
  <c r="N1288" i="1" s="1"/>
  <c r="H1288" i="1"/>
  <c r="M1285" i="1"/>
  <c r="L1285" i="1"/>
  <c r="K1285" i="1"/>
  <c r="H1285" i="1"/>
  <c r="Q1285" i="1" s="1"/>
  <c r="Q1284" i="1" s="1"/>
  <c r="M1283" i="1"/>
  <c r="L1283" i="1"/>
  <c r="K1283" i="1"/>
  <c r="N1283" i="1" s="1"/>
  <c r="H1283" i="1"/>
  <c r="M1282" i="1"/>
  <c r="L1282" i="1"/>
  <c r="K1282" i="1"/>
  <c r="H1282" i="1"/>
  <c r="Q1281" i="1"/>
  <c r="M1281" i="1"/>
  <c r="L1281" i="1"/>
  <c r="K1281" i="1"/>
  <c r="H1281" i="1"/>
  <c r="M1280" i="1"/>
  <c r="L1280" i="1"/>
  <c r="K1280" i="1"/>
  <c r="H1280" i="1"/>
  <c r="M1279" i="1"/>
  <c r="N1279" i="1" s="1"/>
  <c r="L1279" i="1"/>
  <c r="K1279" i="1"/>
  <c r="H1279" i="1"/>
  <c r="M1277" i="1"/>
  <c r="L1277" i="1"/>
  <c r="K1277" i="1"/>
  <c r="H1277" i="1"/>
  <c r="Q1277" i="1" s="1"/>
  <c r="M1276" i="1"/>
  <c r="L1276" i="1"/>
  <c r="K1276" i="1"/>
  <c r="N1276" i="1" s="1"/>
  <c r="R1276" i="1" s="1"/>
  <c r="H1276" i="1"/>
  <c r="O1276" i="1" s="1"/>
  <c r="M1273" i="1"/>
  <c r="L1273" i="1"/>
  <c r="K1273" i="1"/>
  <c r="N1273" i="1" s="1"/>
  <c r="H1273" i="1"/>
  <c r="M1272" i="1"/>
  <c r="Q1272" i="1" s="1"/>
  <c r="L1272" i="1"/>
  <c r="K1272" i="1"/>
  <c r="O1272" i="1" s="1"/>
  <c r="H1272" i="1"/>
  <c r="M1270" i="1"/>
  <c r="L1270" i="1"/>
  <c r="K1270" i="1"/>
  <c r="H1270" i="1"/>
  <c r="Q1270" i="1" s="1"/>
  <c r="M1269" i="1"/>
  <c r="L1269" i="1"/>
  <c r="K1269" i="1"/>
  <c r="N1269" i="1" s="1"/>
  <c r="H1269" i="1"/>
  <c r="O1269" i="1" s="1"/>
  <c r="M1267" i="1"/>
  <c r="L1267" i="1"/>
  <c r="K1267" i="1"/>
  <c r="N1267" i="1" s="1"/>
  <c r="H1267" i="1"/>
  <c r="P1267" i="1" s="1"/>
  <c r="P1266" i="1"/>
  <c r="M1266" i="1"/>
  <c r="L1266" i="1"/>
  <c r="K1266" i="1"/>
  <c r="N1266" i="1" s="1"/>
  <c r="H1266" i="1"/>
  <c r="Q1266" i="1" s="1"/>
  <c r="M1265" i="1"/>
  <c r="L1265" i="1"/>
  <c r="K1265" i="1"/>
  <c r="N1265" i="1" s="1"/>
  <c r="H1265" i="1"/>
  <c r="O1265" i="1" s="1"/>
  <c r="M1262" i="1"/>
  <c r="L1262" i="1"/>
  <c r="K1262" i="1"/>
  <c r="N1262" i="1" s="1"/>
  <c r="H1262" i="1"/>
  <c r="Q1262" i="1" s="1"/>
  <c r="M1261" i="1"/>
  <c r="L1261" i="1"/>
  <c r="K1261" i="1"/>
  <c r="N1261" i="1" s="1"/>
  <c r="H1261" i="1"/>
  <c r="O1261" i="1" s="1"/>
  <c r="M1260" i="1"/>
  <c r="L1260" i="1"/>
  <c r="K1260" i="1"/>
  <c r="H1260" i="1"/>
  <c r="M1259" i="1"/>
  <c r="Q1259" i="1" s="1"/>
  <c r="L1259" i="1"/>
  <c r="P1259" i="1" s="1"/>
  <c r="K1259" i="1"/>
  <c r="H1259" i="1"/>
  <c r="M1258" i="1"/>
  <c r="L1258" i="1"/>
  <c r="K1258" i="1"/>
  <c r="O1258" i="1" s="1"/>
  <c r="H1258" i="1"/>
  <c r="M1257" i="1"/>
  <c r="L1257" i="1"/>
  <c r="K1257" i="1"/>
  <c r="H1257" i="1"/>
  <c r="O1255" i="1"/>
  <c r="M1255" i="1"/>
  <c r="L1255" i="1"/>
  <c r="K1255" i="1"/>
  <c r="H1255" i="1"/>
  <c r="M1254" i="1"/>
  <c r="L1254" i="1"/>
  <c r="K1254" i="1"/>
  <c r="N1254" i="1" s="1"/>
  <c r="H1254" i="1"/>
  <c r="M1253" i="1"/>
  <c r="L1253" i="1"/>
  <c r="K1253" i="1"/>
  <c r="H1253" i="1"/>
  <c r="Q1253" i="1" s="1"/>
  <c r="M1252" i="1"/>
  <c r="L1252" i="1"/>
  <c r="K1252" i="1"/>
  <c r="N1252" i="1" s="1"/>
  <c r="H1252" i="1"/>
  <c r="M1251" i="1"/>
  <c r="L1251" i="1"/>
  <c r="K1251" i="1"/>
  <c r="N1251" i="1" s="1"/>
  <c r="H1251" i="1"/>
  <c r="M1250" i="1"/>
  <c r="L1250" i="1"/>
  <c r="K1250" i="1"/>
  <c r="N1250" i="1" s="1"/>
  <c r="R1250" i="1" s="1"/>
  <c r="H1250" i="1"/>
  <c r="P1250" i="1" s="1"/>
  <c r="M1249" i="1"/>
  <c r="L1249" i="1"/>
  <c r="N1249" i="1" s="1"/>
  <c r="K1249" i="1"/>
  <c r="H1249" i="1"/>
  <c r="P1249" i="1" s="1"/>
  <c r="M1248" i="1"/>
  <c r="L1248" i="1"/>
  <c r="K1248" i="1"/>
  <c r="N1248" i="1" s="1"/>
  <c r="H1248" i="1"/>
  <c r="Q1247" i="1"/>
  <c r="M1247" i="1"/>
  <c r="L1247" i="1"/>
  <c r="K1247" i="1"/>
  <c r="H1247" i="1"/>
  <c r="P1247" i="1" s="1"/>
  <c r="N1245" i="1"/>
  <c r="M1245" i="1"/>
  <c r="L1245" i="1"/>
  <c r="K1245" i="1"/>
  <c r="H1245" i="1"/>
  <c r="O1245" i="1" s="1"/>
  <c r="M1244" i="1"/>
  <c r="L1244" i="1"/>
  <c r="K1244" i="1"/>
  <c r="H1244" i="1"/>
  <c r="Q1244" i="1" s="1"/>
  <c r="M1243" i="1"/>
  <c r="L1243" i="1"/>
  <c r="K1243" i="1"/>
  <c r="N1243" i="1" s="1"/>
  <c r="H1243" i="1"/>
  <c r="M1242" i="1"/>
  <c r="L1242" i="1"/>
  <c r="K1242" i="1"/>
  <c r="N1242" i="1" s="1"/>
  <c r="H1242" i="1"/>
  <c r="O1242" i="1" s="1"/>
  <c r="M1241" i="1"/>
  <c r="L1241" i="1"/>
  <c r="K1241" i="1"/>
  <c r="H1241" i="1"/>
  <c r="Q1241" i="1" s="1"/>
  <c r="M1240" i="1"/>
  <c r="L1240" i="1"/>
  <c r="K1240" i="1"/>
  <c r="H1240" i="1"/>
  <c r="M1239" i="1"/>
  <c r="L1239" i="1"/>
  <c r="N1239" i="1" s="1"/>
  <c r="K1239" i="1"/>
  <c r="H1239" i="1"/>
  <c r="O1239" i="1" s="1"/>
  <c r="M1238" i="1"/>
  <c r="L1238" i="1"/>
  <c r="K1238" i="1"/>
  <c r="H1238" i="1"/>
  <c r="Q1238" i="1" s="1"/>
  <c r="M1237" i="1"/>
  <c r="L1237" i="1"/>
  <c r="K1237" i="1"/>
  <c r="H1237" i="1"/>
  <c r="N1236" i="1"/>
  <c r="M1236" i="1"/>
  <c r="L1236" i="1"/>
  <c r="K1236" i="1"/>
  <c r="H1236" i="1"/>
  <c r="O1236" i="1" s="1"/>
  <c r="M1235" i="1"/>
  <c r="L1235" i="1"/>
  <c r="K1235" i="1"/>
  <c r="H1235" i="1"/>
  <c r="Q1235" i="1" s="1"/>
  <c r="M1234" i="1"/>
  <c r="L1234" i="1"/>
  <c r="K1234" i="1"/>
  <c r="N1234" i="1" s="1"/>
  <c r="H1234" i="1"/>
  <c r="M1233" i="1"/>
  <c r="L1233" i="1"/>
  <c r="K1233" i="1"/>
  <c r="N1233" i="1" s="1"/>
  <c r="R1233" i="1" s="1"/>
  <c r="H1233" i="1"/>
  <c r="O1233" i="1" s="1"/>
  <c r="M1232" i="1"/>
  <c r="L1232" i="1"/>
  <c r="K1232" i="1"/>
  <c r="H1232" i="1"/>
  <c r="Q1232" i="1" s="1"/>
  <c r="M1231" i="1"/>
  <c r="L1231" i="1"/>
  <c r="K1231" i="1"/>
  <c r="N1231" i="1" s="1"/>
  <c r="H1231" i="1"/>
  <c r="M1229" i="1"/>
  <c r="L1229" i="1"/>
  <c r="K1229" i="1"/>
  <c r="N1229" i="1" s="1"/>
  <c r="H1229" i="1"/>
  <c r="M1228" i="1"/>
  <c r="L1228" i="1"/>
  <c r="K1228" i="1"/>
  <c r="N1228" i="1" s="1"/>
  <c r="R1228" i="1" s="1"/>
  <c r="H1228" i="1"/>
  <c r="P1228" i="1" s="1"/>
  <c r="M1227" i="1"/>
  <c r="L1227" i="1"/>
  <c r="K1227" i="1"/>
  <c r="N1227" i="1" s="1"/>
  <c r="H1227" i="1"/>
  <c r="P1227" i="1" s="1"/>
  <c r="N1226" i="1"/>
  <c r="M1226" i="1"/>
  <c r="L1226" i="1"/>
  <c r="K1226" i="1"/>
  <c r="H1226" i="1"/>
  <c r="Q1225" i="1"/>
  <c r="M1225" i="1"/>
  <c r="L1225" i="1"/>
  <c r="K1225" i="1"/>
  <c r="H1225" i="1"/>
  <c r="M1224" i="1"/>
  <c r="L1224" i="1"/>
  <c r="K1224" i="1"/>
  <c r="H1224" i="1"/>
  <c r="P1224" i="1" s="1"/>
  <c r="M1223" i="1"/>
  <c r="L1223" i="1"/>
  <c r="K1223" i="1"/>
  <c r="N1223" i="1" s="1"/>
  <c r="H1223" i="1"/>
  <c r="M1222" i="1"/>
  <c r="L1222" i="1"/>
  <c r="K1222" i="1"/>
  <c r="N1222" i="1" s="1"/>
  <c r="R1222" i="1" s="1"/>
  <c r="H1222" i="1"/>
  <c r="P1222" i="1" s="1"/>
  <c r="M1221" i="1"/>
  <c r="L1221" i="1"/>
  <c r="K1221" i="1"/>
  <c r="H1221" i="1"/>
  <c r="P1221" i="1" s="1"/>
  <c r="N1220" i="1"/>
  <c r="M1220" i="1"/>
  <c r="L1220" i="1"/>
  <c r="K1220" i="1"/>
  <c r="H1220" i="1"/>
  <c r="Q1219" i="1"/>
  <c r="M1219" i="1"/>
  <c r="L1219" i="1"/>
  <c r="K1219" i="1"/>
  <c r="N1219" i="1" s="1"/>
  <c r="R1219" i="1" s="1"/>
  <c r="H1219" i="1"/>
  <c r="M1218" i="1"/>
  <c r="L1218" i="1"/>
  <c r="K1218" i="1"/>
  <c r="H1218" i="1"/>
  <c r="P1218" i="1" s="1"/>
  <c r="M1217" i="1"/>
  <c r="L1217" i="1"/>
  <c r="K1217" i="1"/>
  <c r="N1217" i="1" s="1"/>
  <c r="H1217" i="1"/>
  <c r="P1214" i="1"/>
  <c r="M1214" i="1"/>
  <c r="L1214" i="1"/>
  <c r="K1214" i="1"/>
  <c r="N1214" i="1" s="1"/>
  <c r="H1214" i="1"/>
  <c r="O1214" i="1" s="1"/>
  <c r="N1213" i="1"/>
  <c r="M1213" i="1"/>
  <c r="L1213" i="1"/>
  <c r="K1213" i="1"/>
  <c r="H1213" i="1"/>
  <c r="M1212" i="1"/>
  <c r="L1212" i="1"/>
  <c r="K1212" i="1"/>
  <c r="H1212" i="1"/>
  <c r="Q1212" i="1" s="1"/>
  <c r="P1211" i="1"/>
  <c r="M1211" i="1"/>
  <c r="L1211" i="1"/>
  <c r="K1211" i="1"/>
  <c r="H1211" i="1"/>
  <c r="O1211" i="1" s="1"/>
  <c r="N1210" i="1"/>
  <c r="M1210" i="1"/>
  <c r="L1210" i="1"/>
  <c r="K1210" i="1"/>
  <c r="H1210" i="1"/>
  <c r="P1208" i="1"/>
  <c r="M1208" i="1"/>
  <c r="L1208" i="1"/>
  <c r="K1208" i="1"/>
  <c r="H1208" i="1"/>
  <c r="O1207" i="1"/>
  <c r="M1207" i="1"/>
  <c r="L1207" i="1"/>
  <c r="K1207" i="1"/>
  <c r="N1207" i="1" s="1"/>
  <c r="H1207" i="1"/>
  <c r="M1206" i="1"/>
  <c r="L1206" i="1"/>
  <c r="K1206" i="1"/>
  <c r="H1206" i="1"/>
  <c r="M1205" i="1"/>
  <c r="L1205" i="1"/>
  <c r="K1205" i="1"/>
  <c r="H1205" i="1"/>
  <c r="Q1205" i="1" s="1"/>
  <c r="M1204" i="1"/>
  <c r="L1204" i="1"/>
  <c r="K1204" i="1"/>
  <c r="N1204" i="1" s="1"/>
  <c r="H1204" i="1"/>
  <c r="Q1203" i="1"/>
  <c r="M1203" i="1"/>
  <c r="L1203" i="1"/>
  <c r="K1203" i="1"/>
  <c r="H1203" i="1"/>
  <c r="O1203" i="1" s="1"/>
  <c r="M1202" i="1"/>
  <c r="L1202" i="1"/>
  <c r="K1202" i="1"/>
  <c r="H1202" i="1"/>
  <c r="Q1201" i="1"/>
  <c r="M1201" i="1"/>
  <c r="L1201" i="1"/>
  <c r="K1201" i="1"/>
  <c r="H1201" i="1"/>
  <c r="O1200" i="1"/>
  <c r="M1200" i="1"/>
  <c r="L1200" i="1"/>
  <c r="N1200" i="1" s="1"/>
  <c r="R1200" i="1" s="1"/>
  <c r="K1200" i="1"/>
  <c r="H1200" i="1"/>
  <c r="Q1200" i="1" s="1"/>
  <c r="M1199" i="1"/>
  <c r="L1199" i="1"/>
  <c r="K1199" i="1"/>
  <c r="H1199" i="1"/>
  <c r="M1197" i="1"/>
  <c r="L1197" i="1"/>
  <c r="K1197" i="1"/>
  <c r="H1197" i="1"/>
  <c r="P1197" i="1" s="1"/>
  <c r="N1196" i="1"/>
  <c r="M1196" i="1"/>
  <c r="L1196" i="1"/>
  <c r="K1196" i="1"/>
  <c r="H1196" i="1"/>
  <c r="M1195" i="1"/>
  <c r="L1195" i="1"/>
  <c r="K1195" i="1"/>
  <c r="H1195" i="1"/>
  <c r="M1194" i="1"/>
  <c r="L1194" i="1"/>
  <c r="K1194" i="1"/>
  <c r="H1194" i="1"/>
  <c r="N1193" i="1"/>
  <c r="M1193" i="1"/>
  <c r="L1193" i="1"/>
  <c r="K1193" i="1"/>
  <c r="H1193" i="1"/>
  <c r="Q1193" i="1" s="1"/>
  <c r="O1192" i="1"/>
  <c r="M1192" i="1"/>
  <c r="L1192" i="1"/>
  <c r="K1192" i="1"/>
  <c r="H1192" i="1"/>
  <c r="Q1192" i="1" s="1"/>
  <c r="M1191" i="1"/>
  <c r="L1191" i="1"/>
  <c r="K1191" i="1"/>
  <c r="H1191" i="1"/>
  <c r="M1190" i="1"/>
  <c r="L1190" i="1"/>
  <c r="N1190" i="1" s="1"/>
  <c r="K1190" i="1"/>
  <c r="H1190" i="1"/>
  <c r="Q1190" i="1" s="1"/>
  <c r="M1189" i="1"/>
  <c r="L1189" i="1"/>
  <c r="K1189" i="1"/>
  <c r="H1189" i="1"/>
  <c r="Q1189" i="1" s="1"/>
  <c r="M1188" i="1"/>
  <c r="L1188" i="1"/>
  <c r="K1188" i="1"/>
  <c r="H1188" i="1"/>
  <c r="P1188" i="1" s="1"/>
  <c r="N1187" i="1"/>
  <c r="M1187" i="1"/>
  <c r="L1187" i="1"/>
  <c r="K1187" i="1"/>
  <c r="H1187" i="1"/>
  <c r="M1186" i="1"/>
  <c r="L1186" i="1"/>
  <c r="K1186" i="1"/>
  <c r="H1186" i="1"/>
  <c r="M1185" i="1"/>
  <c r="L1185" i="1"/>
  <c r="K1185" i="1"/>
  <c r="H1185" i="1"/>
  <c r="N1184" i="1"/>
  <c r="M1184" i="1"/>
  <c r="L1184" i="1"/>
  <c r="K1184" i="1"/>
  <c r="H1184" i="1"/>
  <c r="Q1184" i="1" s="1"/>
  <c r="M1182" i="1"/>
  <c r="L1182" i="1"/>
  <c r="K1182" i="1"/>
  <c r="H1182" i="1"/>
  <c r="P1182" i="1" s="1"/>
  <c r="M1181" i="1"/>
  <c r="L1181" i="1"/>
  <c r="K1181" i="1"/>
  <c r="H1181" i="1"/>
  <c r="Q1181" i="1" s="1"/>
  <c r="M1180" i="1"/>
  <c r="L1180" i="1"/>
  <c r="K1180" i="1"/>
  <c r="H1180" i="1"/>
  <c r="M1179" i="1"/>
  <c r="L1179" i="1"/>
  <c r="K1179" i="1"/>
  <c r="H1179" i="1"/>
  <c r="M1178" i="1"/>
  <c r="L1178" i="1"/>
  <c r="K1178" i="1"/>
  <c r="H1178" i="1"/>
  <c r="M1177" i="1"/>
  <c r="L1177" i="1"/>
  <c r="K1177" i="1"/>
  <c r="H1177" i="1"/>
  <c r="M1176" i="1"/>
  <c r="L1176" i="1"/>
  <c r="K1176" i="1"/>
  <c r="H1176" i="1"/>
  <c r="P1176" i="1" s="1"/>
  <c r="M1175" i="1"/>
  <c r="L1175" i="1"/>
  <c r="K1175" i="1"/>
  <c r="H1175" i="1"/>
  <c r="Q1175" i="1" s="1"/>
  <c r="M1174" i="1"/>
  <c r="L1174" i="1"/>
  <c r="K1174" i="1"/>
  <c r="H1174" i="1"/>
  <c r="M1173" i="1"/>
  <c r="L1173" i="1"/>
  <c r="K1173" i="1"/>
  <c r="H1173" i="1"/>
  <c r="M1172" i="1"/>
  <c r="L1172" i="1"/>
  <c r="K1172" i="1"/>
  <c r="H1172" i="1"/>
  <c r="M1171" i="1"/>
  <c r="L1171" i="1"/>
  <c r="K1171" i="1"/>
  <c r="H1171" i="1"/>
  <c r="O1168" i="1"/>
  <c r="O1167" i="1" s="1"/>
  <c r="M1168" i="1"/>
  <c r="L1168" i="1"/>
  <c r="N1168" i="1" s="1"/>
  <c r="R1168" i="1" s="1"/>
  <c r="R1167" i="1" s="1"/>
  <c r="K1168" i="1"/>
  <c r="H1168" i="1"/>
  <c r="Q1168" i="1" s="1"/>
  <c r="Q1167" i="1" s="1"/>
  <c r="M1166" i="1"/>
  <c r="L1166" i="1"/>
  <c r="K1166" i="1"/>
  <c r="H1166" i="1"/>
  <c r="Q1166" i="1" s="1"/>
  <c r="M1165" i="1"/>
  <c r="L1165" i="1"/>
  <c r="K1165" i="1"/>
  <c r="H1165" i="1"/>
  <c r="P1165" i="1" s="1"/>
  <c r="M1164" i="1"/>
  <c r="L1164" i="1"/>
  <c r="K1164" i="1"/>
  <c r="N1164" i="1" s="1"/>
  <c r="H1164" i="1"/>
  <c r="Q1164" i="1" s="1"/>
  <c r="M1162" i="1"/>
  <c r="L1162" i="1"/>
  <c r="K1162" i="1"/>
  <c r="H1162" i="1"/>
  <c r="P1162" i="1" s="1"/>
  <c r="Q1161" i="1"/>
  <c r="M1161" i="1"/>
  <c r="L1161" i="1"/>
  <c r="K1161" i="1"/>
  <c r="H1161" i="1"/>
  <c r="O1161" i="1" s="1"/>
  <c r="M1160" i="1"/>
  <c r="L1160" i="1"/>
  <c r="K1160" i="1"/>
  <c r="H1160" i="1"/>
  <c r="M1158" i="1"/>
  <c r="L1158" i="1"/>
  <c r="K1158" i="1"/>
  <c r="N1158" i="1" s="1"/>
  <c r="H1158" i="1"/>
  <c r="M1157" i="1"/>
  <c r="L1157" i="1"/>
  <c r="K1157" i="1"/>
  <c r="N1157" i="1" s="1"/>
  <c r="H1157" i="1"/>
  <c r="M1156" i="1"/>
  <c r="L1156" i="1"/>
  <c r="K1156" i="1"/>
  <c r="H1156" i="1"/>
  <c r="O1156" i="1" s="1"/>
  <c r="M1155" i="1"/>
  <c r="L1155" i="1"/>
  <c r="K1155" i="1"/>
  <c r="H1155" i="1"/>
  <c r="P1155" i="1" s="1"/>
  <c r="O1152" i="1"/>
  <c r="M1152" i="1"/>
  <c r="L1152" i="1"/>
  <c r="K1152" i="1"/>
  <c r="H1152" i="1"/>
  <c r="Q1152" i="1" s="1"/>
  <c r="M1151" i="1"/>
  <c r="L1151" i="1"/>
  <c r="K1151" i="1"/>
  <c r="N1151" i="1" s="1"/>
  <c r="H1151" i="1"/>
  <c r="M1149" i="1"/>
  <c r="L1149" i="1"/>
  <c r="K1149" i="1"/>
  <c r="H1149" i="1"/>
  <c r="Q1148" i="1"/>
  <c r="M1148" i="1"/>
  <c r="L1148" i="1"/>
  <c r="K1148" i="1"/>
  <c r="N1148" i="1" s="1"/>
  <c r="H1148" i="1"/>
  <c r="Q1147" i="1"/>
  <c r="O1147" i="1"/>
  <c r="M1147" i="1"/>
  <c r="L1147" i="1"/>
  <c r="K1147" i="1"/>
  <c r="H1147" i="1"/>
  <c r="M1146" i="1"/>
  <c r="L1146" i="1"/>
  <c r="K1146" i="1"/>
  <c r="H1146" i="1"/>
  <c r="Q1145" i="1"/>
  <c r="M1145" i="1"/>
  <c r="L1145" i="1"/>
  <c r="K1145" i="1"/>
  <c r="N1145" i="1" s="1"/>
  <c r="H1145" i="1"/>
  <c r="Q1143" i="1"/>
  <c r="M1143" i="1"/>
  <c r="L1143" i="1"/>
  <c r="K1143" i="1"/>
  <c r="N1143" i="1" s="1"/>
  <c r="H1143" i="1"/>
  <c r="Q1142" i="1"/>
  <c r="M1142" i="1"/>
  <c r="L1142" i="1"/>
  <c r="K1142" i="1"/>
  <c r="N1142" i="1" s="1"/>
  <c r="H1142" i="1"/>
  <c r="M1141" i="1"/>
  <c r="L1141" i="1"/>
  <c r="K1141" i="1"/>
  <c r="H1141" i="1"/>
  <c r="Q1140" i="1"/>
  <c r="M1140" i="1"/>
  <c r="L1140" i="1"/>
  <c r="K1140" i="1"/>
  <c r="H1140" i="1"/>
  <c r="M1139" i="1"/>
  <c r="Q1139" i="1" s="1"/>
  <c r="L1139" i="1"/>
  <c r="K1139" i="1"/>
  <c r="H1139" i="1"/>
  <c r="M1134" i="1"/>
  <c r="L1134" i="1"/>
  <c r="K1134" i="1"/>
  <c r="H1134" i="1"/>
  <c r="O1134" i="1" s="1"/>
  <c r="M1133" i="1"/>
  <c r="L1133" i="1"/>
  <c r="P1133" i="1" s="1"/>
  <c r="K1133" i="1"/>
  <c r="N1133" i="1" s="1"/>
  <c r="H1133" i="1"/>
  <c r="M1131" i="1"/>
  <c r="L1131" i="1"/>
  <c r="K1131" i="1"/>
  <c r="H1131" i="1"/>
  <c r="Q1130" i="1"/>
  <c r="M1130" i="1"/>
  <c r="L1130" i="1"/>
  <c r="K1130" i="1"/>
  <c r="N1130" i="1" s="1"/>
  <c r="H1130" i="1"/>
  <c r="Q1129" i="1"/>
  <c r="O1129" i="1"/>
  <c r="M1129" i="1"/>
  <c r="L1129" i="1"/>
  <c r="K1129" i="1"/>
  <c r="H1129" i="1"/>
  <c r="Q1127" i="1"/>
  <c r="O1127" i="1"/>
  <c r="M1127" i="1"/>
  <c r="L1127" i="1"/>
  <c r="K1127" i="1"/>
  <c r="N1127" i="1" s="1"/>
  <c r="H1127" i="1"/>
  <c r="M1126" i="1"/>
  <c r="L1126" i="1"/>
  <c r="K1126" i="1"/>
  <c r="H1126" i="1"/>
  <c r="Q1125" i="1"/>
  <c r="M1125" i="1"/>
  <c r="L1125" i="1"/>
  <c r="K1125" i="1"/>
  <c r="N1125" i="1" s="1"/>
  <c r="H1125" i="1"/>
  <c r="M1124" i="1"/>
  <c r="L1124" i="1"/>
  <c r="K1124" i="1"/>
  <c r="N1124" i="1" s="1"/>
  <c r="H1124" i="1"/>
  <c r="O1124" i="1" s="1"/>
  <c r="M1121" i="1"/>
  <c r="L1121" i="1"/>
  <c r="K1121" i="1"/>
  <c r="H1121" i="1"/>
  <c r="Q1121" i="1" s="1"/>
  <c r="Q1120" i="1" s="1"/>
  <c r="Q1119" i="1"/>
  <c r="M1119" i="1"/>
  <c r="L1119" i="1"/>
  <c r="K1119" i="1"/>
  <c r="N1119" i="1" s="1"/>
  <c r="H1119" i="1"/>
  <c r="Q1118" i="1"/>
  <c r="O1118" i="1"/>
  <c r="M1118" i="1"/>
  <c r="L1118" i="1"/>
  <c r="K1118" i="1"/>
  <c r="H1118" i="1"/>
  <c r="M1117" i="1"/>
  <c r="L1117" i="1"/>
  <c r="N1117" i="1" s="1"/>
  <c r="K1117" i="1"/>
  <c r="H1117" i="1"/>
  <c r="Q1116" i="1"/>
  <c r="M1116" i="1"/>
  <c r="L1116" i="1"/>
  <c r="K1116" i="1"/>
  <c r="N1116" i="1" s="1"/>
  <c r="H1116" i="1"/>
  <c r="Q1114" i="1"/>
  <c r="M1114" i="1"/>
  <c r="L1114" i="1"/>
  <c r="K1114" i="1"/>
  <c r="N1114" i="1" s="1"/>
  <c r="H1114" i="1"/>
  <c r="Q1113" i="1"/>
  <c r="M1113" i="1"/>
  <c r="L1113" i="1"/>
  <c r="K1113" i="1"/>
  <c r="O1113" i="1" s="1"/>
  <c r="H1113" i="1"/>
  <c r="M1112" i="1"/>
  <c r="L1112" i="1"/>
  <c r="K1112" i="1"/>
  <c r="N1112" i="1" s="1"/>
  <c r="H1112" i="1"/>
  <c r="P1112" i="1" s="1"/>
  <c r="M1109" i="1"/>
  <c r="L1109" i="1"/>
  <c r="K1109" i="1"/>
  <c r="H1109" i="1"/>
  <c r="O1109" i="1" s="1"/>
  <c r="O1108" i="1" s="1"/>
  <c r="O1107" i="1"/>
  <c r="M1107" i="1"/>
  <c r="L1107" i="1"/>
  <c r="N1107" i="1" s="1"/>
  <c r="R1107" i="1" s="1"/>
  <c r="K1107" i="1"/>
  <c r="H1107" i="1"/>
  <c r="M1106" i="1"/>
  <c r="L1106" i="1"/>
  <c r="K1106" i="1"/>
  <c r="H1106" i="1"/>
  <c r="M1104" i="1"/>
  <c r="L1104" i="1"/>
  <c r="K1104" i="1"/>
  <c r="H1104" i="1"/>
  <c r="P1104" i="1" s="1"/>
  <c r="M1103" i="1"/>
  <c r="L1103" i="1"/>
  <c r="K1103" i="1"/>
  <c r="N1103" i="1" s="1"/>
  <c r="H1103" i="1"/>
  <c r="Q1103" i="1" s="1"/>
  <c r="M1102" i="1"/>
  <c r="L1102" i="1"/>
  <c r="K1102" i="1"/>
  <c r="H1102" i="1"/>
  <c r="Q1102" i="1" s="1"/>
  <c r="M1099" i="1"/>
  <c r="L1099" i="1"/>
  <c r="K1099" i="1"/>
  <c r="N1099" i="1" s="1"/>
  <c r="H1099" i="1"/>
  <c r="Q1099" i="1" s="1"/>
  <c r="Q1098" i="1" s="1"/>
  <c r="M1097" i="1"/>
  <c r="L1097" i="1"/>
  <c r="K1097" i="1"/>
  <c r="H1097" i="1"/>
  <c r="P1097" i="1" s="1"/>
  <c r="Q1096" i="1"/>
  <c r="M1096" i="1"/>
  <c r="L1096" i="1"/>
  <c r="K1096" i="1"/>
  <c r="H1096" i="1"/>
  <c r="O1096" i="1" s="1"/>
  <c r="Q1094" i="1"/>
  <c r="M1094" i="1"/>
  <c r="L1094" i="1"/>
  <c r="K1094" i="1"/>
  <c r="H1094" i="1"/>
  <c r="P1094" i="1" s="1"/>
  <c r="P1093" i="1"/>
  <c r="M1093" i="1"/>
  <c r="L1093" i="1"/>
  <c r="K1093" i="1"/>
  <c r="H1093" i="1"/>
  <c r="Q1092" i="1"/>
  <c r="N1092" i="1"/>
  <c r="M1092" i="1"/>
  <c r="L1092" i="1"/>
  <c r="K1092" i="1"/>
  <c r="H1092" i="1"/>
  <c r="M1089" i="1"/>
  <c r="L1089" i="1"/>
  <c r="N1089" i="1" s="1"/>
  <c r="K1089" i="1"/>
  <c r="H1089" i="1"/>
  <c r="M1087" i="1"/>
  <c r="L1087" i="1"/>
  <c r="K1087" i="1"/>
  <c r="H1087" i="1"/>
  <c r="M1086" i="1"/>
  <c r="L1086" i="1"/>
  <c r="K1086" i="1"/>
  <c r="H1086" i="1"/>
  <c r="P1086" i="1" s="1"/>
  <c r="Q1084" i="1"/>
  <c r="M1084" i="1"/>
  <c r="L1084" i="1"/>
  <c r="K1084" i="1"/>
  <c r="N1084" i="1" s="1"/>
  <c r="H1084" i="1"/>
  <c r="Q1083" i="1"/>
  <c r="M1083" i="1"/>
  <c r="L1083" i="1"/>
  <c r="K1083" i="1"/>
  <c r="H1083" i="1"/>
  <c r="P1083" i="1" s="1"/>
  <c r="P1082" i="1"/>
  <c r="M1082" i="1"/>
  <c r="L1082" i="1"/>
  <c r="K1082" i="1"/>
  <c r="H1082" i="1"/>
  <c r="Q1079" i="1"/>
  <c r="Q1078" i="1" s="1"/>
  <c r="O1079" i="1"/>
  <c r="O1078" i="1" s="1"/>
  <c r="M1079" i="1"/>
  <c r="L1079" i="1"/>
  <c r="K1079" i="1"/>
  <c r="H1079" i="1"/>
  <c r="Q1077" i="1"/>
  <c r="O1077" i="1"/>
  <c r="M1077" i="1"/>
  <c r="L1077" i="1"/>
  <c r="N1077" i="1" s="1"/>
  <c r="R1077" i="1" s="1"/>
  <c r="K1077" i="1"/>
  <c r="H1077" i="1"/>
  <c r="M1076" i="1"/>
  <c r="L1076" i="1"/>
  <c r="K1076" i="1"/>
  <c r="H1076" i="1"/>
  <c r="M1074" i="1"/>
  <c r="L1074" i="1"/>
  <c r="K1074" i="1"/>
  <c r="N1074" i="1" s="1"/>
  <c r="H1074" i="1"/>
  <c r="P1074" i="1" s="1"/>
  <c r="M1073" i="1"/>
  <c r="L1073" i="1"/>
  <c r="K1073" i="1"/>
  <c r="N1073" i="1" s="1"/>
  <c r="H1073" i="1"/>
  <c r="Q1073" i="1" s="1"/>
  <c r="M1072" i="1"/>
  <c r="L1072" i="1"/>
  <c r="K1072" i="1"/>
  <c r="H1072" i="1"/>
  <c r="Q1072" i="1" s="1"/>
  <c r="M1069" i="1"/>
  <c r="L1069" i="1"/>
  <c r="K1069" i="1"/>
  <c r="N1069" i="1" s="1"/>
  <c r="H1069" i="1"/>
  <c r="Q1069" i="1" s="1"/>
  <c r="Q1068" i="1" s="1"/>
  <c r="M1067" i="1"/>
  <c r="L1067" i="1"/>
  <c r="K1067" i="1"/>
  <c r="H1067" i="1"/>
  <c r="P1067" i="1" s="1"/>
  <c r="Q1066" i="1"/>
  <c r="M1066" i="1"/>
  <c r="L1066" i="1"/>
  <c r="K1066" i="1"/>
  <c r="H1066" i="1"/>
  <c r="O1066" i="1" s="1"/>
  <c r="Q1064" i="1"/>
  <c r="M1064" i="1"/>
  <c r="L1064" i="1"/>
  <c r="K1064" i="1"/>
  <c r="H1064" i="1"/>
  <c r="P1064" i="1" s="1"/>
  <c r="P1063" i="1"/>
  <c r="M1063" i="1"/>
  <c r="L1063" i="1"/>
  <c r="K1063" i="1"/>
  <c r="H1063" i="1"/>
  <c r="Q1062" i="1"/>
  <c r="N1062" i="1"/>
  <c r="M1062" i="1"/>
  <c r="L1062" i="1"/>
  <c r="K1062" i="1"/>
  <c r="H1062" i="1"/>
  <c r="M1059" i="1"/>
  <c r="L1059" i="1"/>
  <c r="K1059" i="1"/>
  <c r="H1059" i="1"/>
  <c r="M1057" i="1"/>
  <c r="L1057" i="1"/>
  <c r="K1057" i="1"/>
  <c r="H1057" i="1"/>
  <c r="M1056" i="1"/>
  <c r="L1056" i="1"/>
  <c r="K1056" i="1"/>
  <c r="N1056" i="1" s="1"/>
  <c r="H1056" i="1"/>
  <c r="P1056" i="1" s="1"/>
  <c r="Q1055" i="1"/>
  <c r="M1055" i="1"/>
  <c r="L1055" i="1"/>
  <c r="K1055" i="1"/>
  <c r="H1055" i="1"/>
  <c r="O1055" i="1" s="1"/>
  <c r="Q1053" i="1"/>
  <c r="M1053" i="1"/>
  <c r="L1053" i="1"/>
  <c r="K1053" i="1"/>
  <c r="H1053" i="1"/>
  <c r="P1053" i="1" s="1"/>
  <c r="P1052" i="1"/>
  <c r="M1052" i="1"/>
  <c r="L1052" i="1"/>
  <c r="K1052" i="1"/>
  <c r="N1052" i="1" s="1"/>
  <c r="H1052" i="1"/>
  <c r="Q1051" i="1"/>
  <c r="N1051" i="1"/>
  <c r="M1051" i="1"/>
  <c r="L1051" i="1"/>
  <c r="K1051" i="1"/>
  <c r="H1051" i="1"/>
  <c r="M1048" i="1"/>
  <c r="L1048" i="1"/>
  <c r="K1048" i="1"/>
  <c r="H1048" i="1"/>
  <c r="M1046" i="1"/>
  <c r="L1046" i="1"/>
  <c r="K1046" i="1"/>
  <c r="H1046" i="1"/>
  <c r="M1045" i="1"/>
  <c r="L1045" i="1"/>
  <c r="K1045" i="1"/>
  <c r="N1045" i="1" s="1"/>
  <c r="H1045" i="1"/>
  <c r="P1045" i="1" s="1"/>
  <c r="Q1044" i="1"/>
  <c r="M1044" i="1"/>
  <c r="L1044" i="1"/>
  <c r="K1044" i="1"/>
  <c r="H1044" i="1"/>
  <c r="O1044" i="1" s="1"/>
  <c r="Q1042" i="1"/>
  <c r="M1042" i="1"/>
  <c r="L1042" i="1"/>
  <c r="K1042" i="1"/>
  <c r="H1042" i="1"/>
  <c r="P1042" i="1" s="1"/>
  <c r="P1041" i="1"/>
  <c r="M1041" i="1"/>
  <c r="L1041" i="1"/>
  <c r="K1041" i="1"/>
  <c r="H1041" i="1"/>
  <c r="Q1040" i="1"/>
  <c r="N1040" i="1"/>
  <c r="M1040" i="1"/>
  <c r="L1040" i="1"/>
  <c r="K1040" i="1"/>
  <c r="H1040" i="1"/>
  <c r="M1038" i="1"/>
  <c r="Q1038" i="1" s="1"/>
  <c r="L1038" i="1"/>
  <c r="K1038" i="1"/>
  <c r="H1038" i="1"/>
  <c r="P1038" i="1" s="1"/>
  <c r="M1037" i="1"/>
  <c r="L1037" i="1"/>
  <c r="K1037" i="1"/>
  <c r="H1037" i="1"/>
  <c r="Q1037" i="1" s="1"/>
  <c r="M1036" i="1"/>
  <c r="L1036" i="1"/>
  <c r="K1036" i="1"/>
  <c r="H1036" i="1"/>
  <c r="M1035" i="1"/>
  <c r="L1035" i="1"/>
  <c r="K1035" i="1"/>
  <c r="N1035" i="1" s="1"/>
  <c r="H1035" i="1"/>
  <c r="P1035" i="1" s="1"/>
  <c r="M1032" i="1"/>
  <c r="L1032" i="1"/>
  <c r="K1032" i="1"/>
  <c r="H1032" i="1"/>
  <c r="M1031" i="1"/>
  <c r="L1031" i="1"/>
  <c r="K1031" i="1"/>
  <c r="H1031" i="1"/>
  <c r="P1031" i="1" s="1"/>
  <c r="M1030" i="1"/>
  <c r="L1030" i="1"/>
  <c r="K1030" i="1"/>
  <c r="H1030" i="1"/>
  <c r="Q1030" i="1" s="1"/>
  <c r="M1029" i="1"/>
  <c r="L1029" i="1"/>
  <c r="K1029" i="1"/>
  <c r="N1029" i="1" s="1"/>
  <c r="H1029" i="1"/>
  <c r="M1028" i="1"/>
  <c r="L1028" i="1"/>
  <c r="K1028" i="1"/>
  <c r="N1028" i="1" s="1"/>
  <c r="H1028" i="1"/>
  <c r="P1028" i="1" s="1"/>
  <c r="M1026" i="1"/>
  <c r="L1026" i="1"/>
  <c r="K1026" i="1"/>
  <c r="N1026" i="1" s="1"/>
  <c r="H1026" i="1"/>
  <c r="Q1026" i="1" s="1"/>
  <c r="M1025" i="1"/>
  <c r="L1025" i="1"/>
  <c r="K1025" i="1"/>
  <c r="H1025" i="1"/>
  <c r="Q1025" i="1" s="1"/>
  <c r="M1024" i="1"/>
  <c r="L1024" i="1"/>
  <c r="K1024" i="1"/>
  <c r="N1024" i="1" s="1"/>
  <c r="H1024" i="1"/>
  <c r="P1024" i="1" s="1"/>
  <c r="N1023" i="1"/>
  <c r="M1023" i="1"/>
  <c r="L1023" i="1"/>
  <c r="K1023" i="1"/>
  <c r="H1023" i="1"/>
  <c r="Q1023" i="1" s="1"/>
  <c r="O1022" i="1"/>
  <c r="M1022" i="1"/>
  <c r="L1022" i="1"/>
  <c r="K1022" i="1"/>
  <c r="H1022" i="1"/>
  <c r="Q1022" i="1" s="1"/>
  <c r="M1021" i="1"/>
  <c r="L1021" i="1"/>
  <c r="K1021" i="1"/>
  <c r="H1021" i="1"/>
  <c r="M1019" i="1"/>
  <c r="L1019" i="1"/>
  <c r="K1019" i="1"/>
  <c r="H1019" i="1"/>
  <c r="M1018" i="1"/>
  <c r="Q1018" i="1" s="1"/>
  <c r="L1018" i="1"/>
  <c r="K1018" i="1"/>
  <c r="N1018" i="1" s="1"/>
  <c r="H1018" i="1"/>
  <c r="Q1017" i="1"/>
  <c r="M1017" i="1"/>
  <c r="L1017" i="1"/>
  <c r="K1017" i="1"/>
  <c r="H1017" i="1"/>
  <c r="O1017" i="1" s="1"/>
  <c r="M1016" i="1"/>
  <c r="L1016" i="1"/>
  <c r="K1016" i="1"/>
  <c r="H1016" i="1"/>
  <c r="M1015" i="1"/>
  <c r="L1015" i="1"/>
  <c r="K1015" i="1"/>
  <c r="H1015" i="1"/>
  <c r="M1012" i="1"/>
  <c r="L1012" i="1"/>
  <c r="K1012" i="1"/>
  <c r="H1012" i="1"/>
  <c r="M1011" i="1"/>
  <c r="L1011" i="1"/>
  <c r="K1011" i="1"/>
  <c r="N1011" i="1" s="1"/>
  <c r="H1011" i="1"/>
  <c r="P1011" i="1" s="1"/>
  <c r="Q1009" i="1"/>
  <c r="M1009" i="1"/>
  <c r="L1009" i="1"/>
  <c r="K1009" i="1"/>
  <c r="N1009" i="1" s="1"/>
  <c r="H1009" i="1"/>
  <c r="Q1008" i="1"/>
  <c r="M1008" i="1"/>
  <c r="L1008" i="1"/>
  <c r="K1008" i="1"/>
  <c r="N1008" i="1" s="1"/>
  <c r="R1008" i="1" s="1"/>
  <c r="H1008" i="1"/>
  <c r="O1008" i="1" s="1"/>
  <c r="M1007" i="1"/>
  <c r="L1007" i="1"/>
  <c r="K1007" i="1"/>
  <c r="H1007" i="1"/>
  <c r="P1007" i="1" s="1"/>
  <c r="M1006" i="1"/>
  <c r="L1006" i="1"/>
  <c r="K1006" i="1"/>
  <c r="N1006" i="1" s="1"/>
  <c r="H1006" i="1"/>
  <c r="M1005" i="1"/>
  <c r="L1005" i="1"/>
  <c r="K1005" i="1"/>
  <c r="H1005" i="1"/>
  <c r="Q1005" i="1" s="1"/>
  <c r="M1003" i="1"/>
  <c r="L1003" i="1"/>
  <c r="K1003" i="1"/>
  <c r="H1003" i="1"/>
  <c r="Q1003" i="1" s="1"/>
  <c r="M1002" i="1"/>
  <c r="L1002" i="1"/>
  <c r="K1002" i="1"/>
  <c r="H1002" i="1"/>
  <c r="M1001" i="1"/>
  <c r="L1001" i="1"/>
  <c r="K1001" i="1"/>
  <c r="N1001" i="1" s="1"/>
  <c r="H1001" i="1"/>
  <c r="P1001" i="1" s="1"/>
  <c r="M1000" i="1"/>
  <c r="L1000" i="1"/>
  <c r="K1000" i="1"/>
  <c r="H1000" i="1"/>
  <c r="Q1000" i="1" s="1"/>
  <c r="M997" i="1"/>
  <c r="L997" i="1"/>
  <c r="K997" i="1"/>
  <c r="N997" i="1" s="1"/>
  <c r="H997" i="1"/>
  <c r="P997" i="1" s="1"/>
  <c r="M996" i="1"/>
  <c r="L996" i="1"/>
  <c r="K996" i="1"/>
  <c r="H996" i="1"/>
  <c r="Q996" i="1" s="1"/>
  <c r="M994" i="1"/>
  <c r="L994" i="1"/>
  <c r="K994" i="1"/>
  <c r="H994" i="1"/>
  <c r="P994" i="1" s="1"/>
  <c r="M993" i="1"/>
  <c r="L993" i="1"/>
  <c r="K993" i="1"/>
  <c r="H993" i="1"/>
  <c r="M992" i="1"/>
  <c r="L992" i="1"/>
  <c r="N992" i="1" s="1"/>
  <c r="K992" i="1"/>
  <c r="H992" i="1"/>
  <c r="M991" i="1"/>
  <c r="L991" i="1"/>
  <c r="K991" i="1"/>
  <c r="H991" i="1"/>
  <c r="P991" i="1" s="1"/>
  <c r="M990" i="1"/>
  <c r="L990" i="1"/>
  <c r="K990" i="1"/>
  <c r="N990" i="1" s="1"/>
  <c r="H990" i="1"/>
  <c r="M989" i="1"/>
  <c r="L989" i="1"/>
  <c r="K989" i="1"/>
  <c r="N989" i="1" s="1"/>
  <c r="H989" i="1"/>
  <c r="Q989" i="1" s="1"/>
  <c r="M988" i="1"/>
  <c r="L988" i="1"/>
  <c r="K988" i="1"/>
  <c r="H988" i="1"/>
  <c r="Q988" i="1" s="1"/>
  <c r="M986" i="1"/>
  <c r="L986" i="1"/>
  <c r="N986" i="1" s="1"/>
  <c r="R986" i="1" s="1"/>
  <c r="K986" i="1"/>
  <c r="H986" i="1"/>
  <c r="O986" i="1" s="1"/>
  <c r="M985" i="1"/>
  <c r="L985" i="1"/>
  <c r="K985" i="1"/>
  <c r="H985" i="1"/>
  <c r="P985" i="1" s="1"/>
  <c r="M984" i="1"/>
  <c r="L984" i="1"/>
  <c r="K984" i="1"/>
  <c r="N984" i="1" s="1"/>
  <c r="H984" i="1"/>
  <c r="P984" i="1" s="1"/>
  <c r="M983" i="1"/>
  <c r="L983" i="1"/>
  <c r="N983" i="1" s="1"/>
  <c r="R983" i="1" s="1"/>
  <c r="K983" i="1"/>
  <c r="H983" i="1"/>
  <c r="O983" i="1" s="1"/>
  <c r="M978" i="1"/>
  <c r="L978" i="1"/>
  <c r="N978" i="1" s="1"/>
  <c r="K978" i="1"/>
  <c r="H978" i="1"/>
  <c r="M977" i="1"/>
  <c r="L977" i="1"/>
  <c r="K977" i="1"/>
  <c r="H977" i="1"/>
  <c r="M976" i="1"/>
  <c r="L976" i="1"/>
  <c r="K976" i="1"/>
  <c r="N976" i="1" s="1"/>
  <c r="H976" i="1"/>
  <c r="P976" i="1" s="1"/>
  <c r="M975" i="1"/>
  <c r="L975" i="1"/>
  <c r="K975" i="1"/>
  <c r="N975" i="1" s="1"/>
  <c r="H975" i="1"/>
  <c r="O975" i="1" s="1"/>
  <c r="M974" i="1"/>
  <c r="L974" i="1"/>
  <c r="K974" i="1"/>
  <c r="H974" i="1"/>
  <c r="M973" i="1"/>
  <c r="L973" i="1"/>
  <c r="K973" i="1"/>
  <c r="N973" i="1" s="1"/>
  <c r="H973" i="1"/>
  <c r="M972" i="1"/>
  <c r="L972" i="1"/>
  <c r="K972" i="1"/>
  <c r="H972" i="1"/>
  <c r="M971" i="1"/>
  <c r="L971" i="1"/>
  <c r="K971" i="1"/>
  <c r="N971" i="1" s="1"/>
  <c r="H971" i="1"/>
  <c r="P971" i="1" s="1"/>
  <c r="M970" i="1"/>
  <c r="L970" i="1"/>
  <c r="K970" i="1"/>
  <c r="O970" i="1" s="1"/>
  <c r="H970" i="1"/>
  <c r="Q970" i="1" s="1"/>
  <c r="M969" i="1"/>
  <c r="N969" i="1" s="1"/>
  <c r="L969" i="1"/>
  <c r="K969" i="1"/>
  <c r="H969" i="1"/>
  <c r="P969" i="1" s="1"/>
  <c r="M968" i="1"/>
  <c r="Q968" i="1" s="1"/>
  <c r="L968" i="1"/>
  <c r="K968" i="1"/>
  <c r="N968" i="1" s="1"/>
  <c r="H968" i="1"/>
  <c r="M965" i="1"/>
  <c r="L965" i="1"/>
  <c r="K965" i="1"/>
  <c r="H965" i="1"/>
  <c r="P965" i="1" s="1"/>
  <c r="P964" i="1" s="1"/>
  <c r="M963" i="1"/>
  <c r="L963" i="1"/>
  <c r="K963" i="1"/>
  <c r="H963" i="1"/>
  <c r="M960" i="1"/>
  <c r="Q960" i="1" s="1"/>
  <c r="L960" i="1"/>
  <c r="K960" i="1"/>
  <c r="N960" i="1" s="1"/>
  <c r="H960" i="1"/>
  <c r="P960" i="1" s="1"/>
  <c r="M959" i="1"/>
  <c r="L959" i="1"/>
  <c r="K959" i="1"/>
  <c r="N959" i="1" s="1"/>
  <c r="R959" i="1" s="1"/>
  <c r="H959" i="1"/>
  <c r="M958" i="1"/>
  <c r="L958" i="1"/>
  <c r="K958" i="1"/>
  <c r="H958" i="1"/>
  <c r="P958" i="1" s="1"/>
  <c r="M957" i="1"/>
  <c r="L957" i="1"/>
  <c r="K957" i="1"/>
  <c r="N957" i="1" s="1"/>
  <c r="H957" i="1"/>
  <c r="P957" i="1" s="1"/>
  <c r="M956" i="1"/>
  <c r="L956" i="1"/>
  <c r="K956" i="1"/>
  <c r="H956" i="1"/>
  <c r="M955" i="1"/>
  <c r="L955" i="1"/>
  <c r="K955" i="1"/>
  <c r="H955" i="1"/>
  <c r="P955" i="1" s="1"/>
  <c r="M954" i="1"/>
  <c r="Q954" i="1" s="1"/>
  <c r="L954" i="1"/>
  <c r="K954" i="1"/>
  <c r="N954" i="1" s="1"/>
  <c r="H954" i="1"/>
  <c r="P954" i="1" s="1"/>
  <c r="M953" i="1"/>
  <c r="L953" i="1"/>
  <c r="K953" i="1"/>
  <c r="N953" i="1" s="1"/>
  <c r="R953" i="1" s="1"/>
  <c r="H953" i="1"/>
  <c r="Q953" i="1" s="1"/>
  <c r="M952" i="1"/>
  <c r="L952" i="1"/>
  <c r="K952" i="1"/>
  <c r="N952" i="1" s="1"/>
  <c r="H952" i="1"/>
  <c r="P952" i="1" s="1"/>
  <c r="M951" i="1"/>
  <c r="L951" i="1"/>
  <c r="K951" i="1"/>
  <c r="N951" i="1" s="1"/>
  <c r="H951" i="1"/>
  <c r="P951" i="1" s="1"/>
  <c r="M949" i="1"/>
  <c r="L949" i="1"/>
  <c r="K949" i="1"/>
  <c r="O949" i="1" s="1"/>
  <c r="H949" i="1"/>
  <c r="P949" i="1" s="1"/>
  <c r="M948" i="1"/>
  <c r="N948" i="1" s="1"/>
  <c r="L948" i="1"/>
  <c r="K948" i="1"/>
  <c r="H948" i="1"/>
  <c r="M947" i="1"/>
  <c r="Q947" i="1" s="1"/>
  <c r="L947" i="1"/>
  <c r="K947" i="1"/>
  <c r="N947" i="1" s="1"/>
  <c r="H947" i="1"/>
  <c r="M946" i="1"/>
  <c r="L946" i="1"/>
  <c r="K946" i="1"/>
  <c r="O946" i="1" s="1"/>
  <c r="H946" i="1"/>
  <c r="Q946" i="1" s="1"/>
  <c r="M945" i="1"/>
  <c r="L945" i="1"/>
  <c r="K945" i="1"/>
  <c r="H945" i="1"/>
  <c r="P945" i="1" s="1"/>
  <c r="M944" i="1"/>
  <c r="Q944" i="1" s="1"/>
  <c r="L944" i="1"/>
  <c r="K944" i="1"/>
  <c r="N944" i="1" s="1"/>
  <c r="H944" i="1"/>
  <c r="P944" i="1" s="1"/>
  <c r="Q943" i="1"/>
  <c r="M943" i="1"/>
  <c r="L943" i="1"/>
  <c r="K943" i="1"/>
  <c r="H943" i="1"/>
  <c r="M942" i="1"/>
  <c r="N942" i="1" s="1"/>
  <c r="L942" i="1"/>
  <c r="K942" i="1"/>
  <c r="H942" i="1"/>
  <c r="P942" i="1" s="1"/>
  <c r="M941" i="1"/>
  <c r="L941" i="1"/>
  <c r="K941" i="1"/>
  <c r="N941" i="1" s="1"/>
  <c r="H941" i="1"/>
  <c r="M940" i="1"/>
  <c r="L940" i="1"/>
  <c r="K940" i="1"/>
  <c r="O940" i="1" s="1"/>
  <c r="H940" i="1"/>
  <c r="P940" i="1" s="1"/>
  <c r="M938" i="1"/>
  <c r="L938" i="1"/>
  <c r="K938" i="1"/>
  <c r="N938" i="1" s="1"/>
  <c r="H938" i="1"/>
  <c r="P938" i="1" s="1"/>
  <c r="M937" i="1"/>
  <c r="L937" i="1"/>
  <c r="K937" i="1"/>
  <c r="N937" i="1" s="1"/>
  <c r="R937" i="1" s="1"/>
  <c r="H937" i="1"/>
  <c r="Q937" i="1" s="1"/>
  <c r="M936" i="1"/>
  <c r="L936" i="1"/>
  <c r="K936" i="1"/>
  <c r="N936" i="1" s="1"/>
  <c r="H936" i="1"/>
  <c r="P936" i="1" s="1"/>
  <c r="M935" i="1"/>
  <c r="L935" i="1"/>
  <c r="K935" i="1"/>
  <c r="N935" i="1" s="1"/>
  <c r="H935" i="1"/>
  <c r="P935" i="1" s="1"/>
  <c r="M934" i="1"/>
  <c r="L934" i="1"/>
  <c r="K934" i="1"/>
  <c r="N934" i="1" s="1"/>
  <c r="R934" i="1" s="1"/>
  <c r="H934" i="1"/>
  <c r="M933" i="1"/>
  <c r="L933" i="1"/>
  <c r="K933" i="1"/>
  <c r="N933" i="1" s="1"/>
  <c r="H933" i="1"/>
  <c r="P933" i="1" s="1"/>
  <c r="M932" i="1"/>
  <c r="L932" i="1"/>
  <c r="K932" i="1"/>
  <c r="N932" i="1" s="1"/>
  <c r="H932" i="1"/>
  <c r="P932" i="1" s="1"/>
  <c r="M931" i="1"/>
  <c r="L931" i="1"/>
  <c r="K931" i="1"/>
  <c r="H931" i="1"/>
  <c r="M930" i="1"/>
  <c r="L930" i="1"/>
  <c r="K930" i="1"/>
  <c r="H930" i="1"/>
  <c r="P930" i="1" s="1"/>
  <c r="M929" i="1"/>
  <c r="L929" i="1"/>
  <c r="K929" i="1"/>
  <c r="N929" i="1" s="1"/>
  <c r="H929" i="1"/>
  <c r="P929" i="1" s="1"/>
  <c r="M928" i="1"/>
  <c r="L928" i="1"/>
  <c r="K928" i="1"/>
  <c r="N928" i="1" s="1"/>
  <c r="R928" i="1" s="1"/>
  <c r="H928" i="1"/>
  <c r="Q928" i="1" s="1"/>
  <c r="M927" i="1"/>
  <c r="L927" i="1"/>
  <c r="K927" i="1"/>
  <c r="H927" i="1"/>
  <c r="P927" i="1" s="1"/>
  <c r="M924" i="1"/>
  <c r="L924" i="1"/>
  <c r="K924" i="1"/>
  <c r="H924" i="1"/>
  <c r="Q924" i="1" s="1"/>
  <c r="M923" i="1"/>
  <c r="L923" i="1"/>
  <c r="K923" i="1"/>
  <c r="N923" i="1" s="1"/>
  <c r="H923" i="1"/>
  <c r="P923" i="1" s="1"/>
  <c r="M922" i="1"/>
  <c r="L922" i="1"/>
  <c r="K922" i="1"/>
  <c r="N922" i="1" s="1"/>
  <c r="H922" i="1"/>
  <c r="P922" i="1" s="1"/>
  <c r="M920" i="1"/>
  <c r="L920" i="1"/>
  <c r="K920" i="1"/>
  <c r="H920" i="1"/>
  <c r="P920" i="1" s="1"/>
  <c r="M919" i="1"/>
  <c r="N919" i="1" s="1"/>
  <c r="L919" i="1"/>
  <c r="K919" i="1"/>
  <c r="H919" i="1"/>
  <c r="P919" i="1" s="1"/>
  <c r="M918" i="1"/>
  <c r="Q918" i="1" s="1"/>
  <c r="L918" i="1"/>
  <c r="N918" i="1" s="1"/>
  <c r="K918" i="1"/>
  <c r="H918" i="1"/>
  <c r="M917" i="1"/>
  <c r="L917" i="1"/>
  <c r="K917" i="1"/>
  <c r="O917" i="1" s="1"/>
  <c r="H917" i="1"/>
  <c r="Q917" i="1" s="1"/>
  <c r="M916" i="1"/>
  <c r="N916" i="1" s="1"/>
  <c r="L916" i="1"/>
  <c r="K916" i="1"/>
  <c r="H916" i="1"/>
  <c r="P916" i="1" s="1"/>
  <c r="M915" i="1"/>
  <c r="L915" i="1"/>
  <c r="K915" i="1"/>
  <c r="N915" i="1" s="1"/>
  <c r="H915" i="1"/>
  <c r="M914" i="1"/>
  <c r="L914" i="1"/>
  <c r="K914" i="1"/>
  <c r="O914" i="1" s="1"/>
  <c r="H914" i="1"/>
  <c r="Q914" i="1" s="1"/>
  <c r="M913" i="1"/>
  <c r="L913" i="1"/>
  <c r="K913" i="1"/>
  <c r="H913" i="1"/>
  <c r="M912" i="1"/>
  <c r="L912" i="1"/>
  <c r="K912" i="1"/>
  <c r="N912" i="1" s="1"/>
  <c r="H912" i="1"/>
  <c r="P912" i="1" s="1"/>
  <c r="M911" i="1"/>
  <c r="L911" i="1"/>
  <c r="K911" i="1"/>
  <c r="O911" i="1" s="1"/>
  <c r="H911" i="1"/>
  <c r="M909" i="1"/>
  <c r="Q909" i="1" s="1"/>
  <c r="L909" i="1"/>
  <c r="K909" i="1"/>
  <c r="N909" i="1" s="1"/>
  <c r="H909" i="1"/>
  <c r="P909" i="1" s="1"/>
  <c r="M908" i="1"/>
  <c r="L908" i="1"/>
  <c r="K908" i="1"/>
  <c r="H908" i="1"/>
  <c r="Q908" i="1" s="1"/>
  <c r="M907" i="1"/>
  <c r="L907" i="1"/>
  <c r="K907" i="1"/>
  <c r="N907" i="1" s="1"/>
  <c r="H907" i="1"/>
  <c r="P907" i="1" s="1"/>
  <c r="M906" i="1"/>
  <c r="L906" i="1"/>
  <c r="K906" i="1"/>
  <c r="N906" i="1" s="1"/>
  <c r="H906" i="1"/>
  <c r="P906" i="1" s="1"/>
  <c r="M905" i="1"/>
  <c r="L905" i="1"/>
  <c r="K905" i="1"/>
  <c r="H905" i="1"/>
  <c r="M904" i="1"/>
  <c r="L904" i="1"/>
  <c r="K904" i="1"/>
  <c r="N904" i="1" s="1"/>
  <c r="H904" i="1"/>
  <c r="P904" i="1" s="1"/>
  <c r="M903" i="1"/>
  <c r="L903" i="1"/>
  <c r="K903" i="1"/>
  <c r="N903" i="1" s="1"/>
  <c r="H903" i="1"/>
  <c r="P903" i="1" s="1"/>
  <c r="M902" i="1"/>
  <c r="L902" i="1"/>
  <c r="K902" i="1"/>
  <c r="N902" i="1" s="1"/>
  <c r="H902" i="1"/>
  <c r="Q902" i="1" s="1"/>
  <c r="M901" i="1"/>
  <c r="L901" i="1"/>
  <c r="K901" i="1"/>
  <c r="H901" i="1"/>
  <c r="P901" i="1" s="1"/>
  <c r="M900" i="1"/>
  <c r="L900" i="1"/>
  <c r="K900" i="1"/>
  <c r="N900" i="1" s="1"/>
  <c r="H900" i="1"/>
  <c r="P900" i="1" s="1"/>
  <c r="M899" i="1"/>
  <c r="L899" i="1"/>
  <c r="K899" i="1"/>
  <c r="H899" i="1"/>
  <c r="Q899" i="1" s="1"/>
  <c r="M898" i="1"/>
  <c r="L898" i="1"/>
  <c r="K898" i="1"/>
  <c r="H898" i="1"/>
  <c r="P898" i="1" s="1"/>
  <c r="M896" i="1"/>
  <c r="L896" i="1"/>
  <c r="K896" i="1"/>
  <c r="N896" i="1" s="1"/>
  <c r="H896" i="1"/>
  <c r="P896" i="1" s="1"/>
  <c r="M895" i="1"/>
  <c r="L895" i="1"/>
  <c r="K895" i="1"/>
  <c r="O895" i="1" s="1"/>
  <c r="H895" i="1"/>
  <c r="Q895" i="1" s="1"/>
  <c r="M894" i="1"/>
  <c r="L894" i="1"/>
  <c r="K894" i="1"/>
  <c r="H894" i="1"/>
  <c r="P894" i="1" s="1"/>
  <c r="M893" i="1"/>
  <c r="L893" i="1"/>
  <c r="K893" i="1"/>
  <c r="N893" i="1" s="1"/>
  <c r="H893" i="1"/>
  <c r="P893" i="1" s="1"/>
  <c r="M892" i="1"/>
  <c r="L892" i="1"/>
  <c r="K892" i="1"/>
  <c r="O892" i="1" s="1"/>
  <c r="H892" i="1"/>
  <c r="Q892" i="1" s="1"/>
  <c r="M891" i="1"/>
  <c r="L891" i="1"/>
  <c r="K891" i="1"/>
  <c r="H891" i="1"/>
  <c r="P891" i="1" s="1"/>
  <c r="M890" i="1"/>
  <c r="L890" i="1"/>
  <c r="N890" i="1" s="1"/>
  <c r="K890" i="1"/>
  <c r="H890" i="1"/>
  <c r="Q889" i="1"/>
  <c r="M889" i="1"/>
  <c r="L889" i="1"/>
  <c r="K889" i="1"/>
  <c r="O889" i="1" s="1"/>
  <c r="H889" i="1"/>
  <c r="M888" i="1"/>
  <c r="N888" i="1" s="1"/>
  <c r="L888" i="1"/>
  <c r="K888" i="1"/>
  <c r="H888" i="1"/>
  <c r="M887" i="1"/>
  <c r="L887" i="1"/>
  <c r="K887" i="1"/>
  <c r="N887" i="1" s="1"/>
  <c r="H887" i="1"/>
  <c r="M884" i="1"/>
  <c r="L884" i="1"/>
  <c r="K884" i="1"/>
  <c r="H884" i="1"/>
  <c r="M883" i="1"/>
  <c r="L883" i="1"/>
  <c r="K883" i="1"/>
  <c r="N883" i="1" s="1"/>
  <c r="H883" i="1"/>
  <c r="P883" i="1" s="1"/>
  <c r="M882" i="1"/>
  <c r="L882" i="1"/>
  <c r="K882" i="1"/>
  <c r="H882" i="1"/>
  <c r="Q882" i="1" s="1"/>
  <c r="M881" i="1"/>
  <c r="N881" i="1" s="1"/>
  <c r="L881" i="1"/>
  <c r="K881" i="1"/>
  <c r="H881" i="1"/>
  <c r="P881" i="1" s="1"/>
  <c r="M880" i="1"/>
  <c r="Q880" i="1" s="1"/>
  <c r="L880" i="1"/>
  <c r="K880" i="1"/>
  <c r="N880" i="1" s="1"/>
  <c r="H880" i="1"/>
  <c r="M879" i="1"/>
  <c r="L879" i="1"/>
  <c r="K879" i="1"/>
  <c r="O879" i="1" s="1"/>
  <c r="H879" i="1"/>
  <c r="Q879" i="1" s="1"/>
  <c r="M878" i="1"/>
  <c r="N878" i="1" s="1"/>
  <c r="L878" i="1"/>
  <c r="K878" i="1"/>
  <c r="H878" i="1"/>
  <c r="P878" i="1" s="1"/>
  <c r="M877" i="1"/>
  <c r="L877" i="1"/>
  <c r="N877" i="1" s="1"/>
  <c r="K877" i="1"/>
  <c r="H877" i="1"/>
  <c r="Q876" i="1"/>
  <c r="M876" i="1"/>
  <c r="L876" i="1"/>
  <c r="K876" i="1"/>
  <c r="O876" i="1" s="1"/>
  <c r="H876" i="1"/>
  <c r="M875" i="1"/>
  <c r="L875" i="1"/>
  <c r="K875" i="1"/>
  <c r="H875" i="1"/>
  <c r="M873" i="1"/>
  <c r="L873" i="1"/>
  <c r="K873" i="1"/>
  <c r="H873" i="1"/>
  <c r="M872" i="1"/>
  <c r="L872" i="1"/>
  <c r="K872" i="1"/>
  <c r="H872" i="1"/>
  <c r="P872" i="1" s="1"/>
  <c r="M871" i="1"/>
  <c r="L871" i="1"/>
  <c r="N871" i="1" s="1"/>
  <c r="K871" i="1"/>
  <c r="H871" i="1"/>
  <c r="P871" i="1" s="1"/>
  <c r="M870" i="1"/>
  <c r="L870" i="1"/>
  <c r="K870" i="1"/>
  <c r="H870" i="1"/>
  <c r="M869" i="1"/>
  <c r="L869" i="1"/>
  <c r="K869" i="1"/>
  <c r="H869" i="1"/>
  <c r="P869" i="1" s="1"/>
  <c r="M868" i="1"/>
  <c r="Q868" i="1" s="1"/>
  <c r="L868" i="1"/>
  <c r="K868" i="1"/>
  <c r="N868" i="1" s="1"/>
  <c r="H868" i="1"/>
  <c r="P868" i="1" s="1"/>
  <c r="M867" i="1"/>
  <c r="L867" i="1"/>
  <c r="K867" i="1"/>
  <c r="N867" i="1" s="1"/>
  <c r="R867" i="1" s="1"/>
  <c r="H867" i="1"/>
  <c r="Q867" i="1" s="1"/>
  <c r="M866" i="1"/>
  <c r="L866" i="1"/>
  <c r="K866" i="1"/>
  <c r="H866" i="1"/>
  <c r="P866" i="1" s="1"/>
  <c r="M865" i="1"/>
  <c r="L865" i="1"/>
  <c r="N865" i="1" s="1"/>
  <c r="K865" i="1"/>
  <c r="H865" i="1"/>
  <c r="P865" i="1" s="1"/>
  <c r="M863" i="1"/>
  <c r="L863" i="1"/>
  <c r="K863" i="1"/>
  <c r="O863" i="1" s="1"/>
  <c r="H863" i="1"/>
  <c r="Q863" i="1" s="1"/>
  <c r="M862" i="1"/>
  <c r="N862" i="1" s="1"/>
  <c r="L862" i="1"/>
  <c r="K862" i="1"/>
  <c r="H862" i="1"/>
  <c r="M861" i="1"/>
  <c r="L861" i="1"/>
  <c r="K861" i="1"/>
  <c r="N861" i="1" s="1"/>
  <c r="H861" i="1"/>
  <c r="M860" i="1"/>
  <c r="L860" i="1"/>
  <c r="K860" i="1"/>
  <c r="O860" i="1" s="1"/>
  <c r="H860" i="1"/>
  <c r="Q860" i="1" s="1"/>
  <c r="M859" i="1"/>
  <c r="N859" i="1" s="1"/>
  <c r="L859" i="1"/>
  <c r="K859" i="1"/>
  <c r="H859" i="1"/>
  <c r="P859" i="1" s="1"/>
  <c r="M858" i="1"/>
  <c r="Q858" i="1" s="1"/>
  <c r="L858" i="1"/>
  <c r="K858" i="1"/>
  <c r="N858" i="1" s="1"/>
  <c r="H858" i="1"/>
  <c r="Q857" i="1"/>
  <c r="M857" i="1"/>
  <c r="L857" i="1"/>
  <c r="K857" i="1"/>
  <c r="O857" i="1" s="1"/>
  <c r="H857" i="1"/>
  <c r="M856" i="1"/>
  <c r="N856" i="1" s="1"/>
  <c r="L856" i="1"/>
  <c r="K856" i="1"/>
  <c r="H856" i="1"/>
  <c r="P856" i="1" s="1"/>
  <c r="M855" i="1"/>
  <c r="Q855" i="1" s="1"/>
  <c r="L855" i="1"/>
  <c r="K855" i="1"/>
  <c r="N855" i="1" s="1"/>
  <c r="H855" i="1"/>
  <c r="M854" i="1"/>
  <c r="L854" i="1"/>
  <c r="K854" i="1"/>
  <c r="O854" i="1" s="1"/>
  <c r="H854" i="1"/>
  <c r="Q854" i="1" s="1"/>
  <c r="M851" i="1"/>
  <c r="L851" i="1"/>
  <c r="K851" i="1"/>
  <c r="N851" i="1" s="1"/>
  <c r="H851" i="1"/>
  <c r="P851" i="1" s="1"/>
  <c r="M850" i="1"/>
  <c r="L850" i="1"/>
  <c r="K850" i="1"/>
  <c r="O850" i="1" s="1"/>
  <c r="H850" i="1"/>
  <c r="Q850" i="1" s="1"/>
  <c r="M849" i="1"/>
  <c r="N849" i="1" s="1"/>
  <c r="L849" i="1"/>
  <c r="K849" i="1"/>
  <c r="H849" i="1"/>
  <c r="M847" i="1"/>
  <c r="L847" i="1"/>
  <c r="K847" i="1"/>
  <c r="H847" i="1"/>
  <c r="Q847" i="1" s="1"/>
  <c r="M846" i="1"/>
  <c r="L846" i="1"/>
  <c r="K846" i="1"/>
  <c r="N846" i="1" s="1"/>
  <c r="H846" i="1"/>
  <c r="P846" i="1" s="1"/>
  <c r="M845" i="1"/>
  <c r="L845" i="1"/>
  <c r="K845" i="1"/>
  <c r="N845" i="1" s="1"/>
  <c r="H845" i="1"/>
  <c r="P845" i="1" s="1"/>
  <c r="M844" i="1"/>
  <c r="L844" i="1"/>
  <c r="K844" i="1"/>
  <c r="H844" i="1"/>
  <c r="M843" i="1"/>
  <c r="L843" i="1"/>
  <c r="K843" i="1"/>
  <c r="H843" i="1"/>
  <c r="P843" i="1" s="1"/>
  <c r="M842" i="1"/>
  <c r="Q842" i="1" s="1"/>
  <c r="L842" i="1"/>
  <c r="K842" i="1"/>
  <c r="N842" i="1" s="1"/>
  <c r="H842" i="1"/>
  <c r="P842" i="1" s="1"/>
  <c r="M841" i="1"/>
  <c r="L841" i="1"/>
  <c r="K841" i="1"/>
  <c r="N841" i="1" s="1"/>
  <c r="H841" i="1"/>
  <c r="Q841" i="1" s="1"/>
  <c r="M840" i="1"/>
  <c r="L840" i="1"/>
  <c r="K840" i="1"/>
  <c r="H840" i="1"/>
  <c r="P840" i="1" s="1"/>
  <c r="M839" i="1"/>
  <c r="L839" i="1"/>
  <c r="K839" i="1"/>
  <c r="N839" i="1" s="1"/>
  <c r="H839" i="1"/>
  <c r="P839" i="1" s="1"/>
  <c r="M838" i="1"/>
  <c r="L838" i="1"/>
  <c r="K838" i="1"/>
  <c r="H838" i="1"/>
  <c r="Q838" i="1" s="1"/>
  <c r="M836" i="1"/>
  <c r="L836" i="1"/>
  <c r="K836" i="1"/>
  <c r="H836" i="1"/>
  <c r="M835" i="1"/>
  <c r="L835" i="1"/>
  <c r="K835" i="1"/>
  <c r="N835" i="1" s="1"/>
  <c r="H835" i="1"/>
  <c r="P835" i="1" s="1"/>
  <c r="M834" i="1"/>
  <c r="L834" i="1"/>
  <c r="K834" i="1"/>
  <c r="O834" i="1" s="1"/>
  <c r="H834" i="1"/>
  <c r="Q834" i="1" s="1"/>
  <c r="M833" i="1"/>
  <c r="N833" i="1" s="1"/>
  <c r="L833" i="1"/>
  <c r="K833" i="1"/>
  <c r="H833" i="1"/>
  <c r="P833" i="1" s="1"/>
  <c r="M832" i="1"/>
  <c r="Q832" i="1" s="1"/>
  <c r="L832" i="1"/>
  <c r="K832" i="1"/>
  <c r="N832" i="1" s="1"/>
  <c r="H832" i="1"/>
  <c r="P832" i="1" s="1"/>
  <c r="M831" i="1"/>
  <c r="L831" i="1"/>
  <c r="K831" i="1"/>
  <c r="O831" i="1" s="1"/>
  <c r="H831" i="1"/>
  <c r="Q831" i="1" s="1"/>
  <c r="M830" i="1"/>
  <c r="L830" i="1"/>
  <c r="K830" i="1"/>
  <c r="H830" i="1"/>
  <c r="P830" i="1" s="1"/>
  <c r="M829" i="1"/>
  <c r="L829" i="1"/>
  <c r="K829" i="1"/>
  <c r="N829" i="1" s="1"/>
  <c r="H829" i="1"/>
  <c r="P829" i="1" s="1"/>
  <c r="M828" i="1"/>
  <c r="L828" i="1"/>
  <c r="K828" i="1"/>
  <c r="H828" i="1"/>
  <c r="P828" i="1" s="1"/>
  <c r="M827" i="1"/>
  <c r="N827" i="1" s="1"/>
  <c r="L827" i="1"/>
  <c r="K827" i="1"/>
  <c r="H827" i="1"/>
  <c r="M825" i="1"/>
  <c r="L825" i="1"/>
  <c r="K825" i="1"/>
  <c r="N825" i="1" s="1"/>
  <c r="R825" i="1" s="1"/>
  <c r="H825" i="1"/>
  <c r="M824" i="1"/>
  <c r="L824" i="1"/>
  <c r="K824" i="1"/>
  <c r="N824" i="1" s="1"/>
  <c r="H824" i="1"/>
  <c r="P824" i="1" s="1"/>
  <c r="M823" i="1"/>
  <c r="L823" i="1"/>
  <c r="K823" i="1"/>
  <c r="N823" i="1" s="1"/>
  <c r="H823" i="1"/>
  <c r="P823" i="1" s="1"/>
  <c r="M822" i="1"/>
  <c r="L822" i="1"/>
  <c r="K822" i="1"/>
  <c r="H822" i="1"/>
  <c r="M821" i="1"/>
  <c r="Q821" i="1" s="1"/>
  <c r="L821" i="1"/>
  <c r="K821" i="1"/>
  <c r="H821" i="1"/>
  <c r="P821" i="1" s="1"/>
  <c r="M820" i="1"/>
  <c r="Q820" i="1" s="1"/>
  <c r="L820" i="1"/>
  <c r="K820" i="1"/>
  <c r="N820" i="1" s="1"/>
  <c r="H820" i="1"/>
  <c r="P820" i="1" s="1"/>
  <c r="M819" i="1"/>
  <c r="L819" i="1"/>
  <c r="K819" i="1"/>
  <c r="N819" i="1" s="1"/>
  <c r="R819" i="1" s="1"/>
  <c r="H819" i="1"/>
  <c r="Q819" i="1" s="1"/>
  <c r="M818" i="1"/>
  <c r="L818" i="1"/>
  <c r="K818" i="1"/>
  <c r="H818" i="1"/>
  <c r="P818" i="1" s="1"/>
  <c r="M817" i="1"/>
  <c r="Q817" i="1" s="1"/>
  <c r="L817" i="1"/>
  <c r="K817" i="1"/>
  <c r="N817" i="1" s="1"/>
  <c r="H817" i="1"/>
  <c r="P817" i="1" s="1"/>
  <c r="M816" i="1"/>
  <c r="L816" i="1"/>
  <c r="K816" i="1"/>
  <c r="N816" i="1" s="1"/>
  <c r="R816" i="1" s="1"/>
  <c r="H816" i="1"/>
  <c r="M815" i="1"/>
  <c r="L815" i="1"/>
  <c r="K815" i="1"/>
  <c r="H815" i="1"/>
  <c r="P815" i="1" s="1"/>
  <c r="M814" i="1"/>
  <c r="L814" i="1"/>
  <c r="K814" i="1"/>
  <c r="N814" i="1" s="1"/>
  <c r="H814" i="1"/>
  <c r="P814" i="1" s="1"/>
  <c r="M810" i="1"/>
  <c r="L810" i="1"/>
  <c r="K810" i="1"/>
  <c r="H810" i="1"/>
  <c r="M809" i="1"/>
  <c r="Q809" i="1" s="1"/>
  <c r="L809" i="1"/>
  <c r="K809" i="1"/>
  <c r="N809" i="1" s="1"/>
  <c r="H809" i="1"/>
  <c r="P809" i="1" s="1"/>
  <c r="M808" i="1"/>
  <c r="L808" i="1"/>
  <c r="K808" i="1"/>
  <c r="O808" i="1" s="1"/>
  <c r="H808" i="1"/>
  <c r="Q808" i="1" s="1"/>
  <c r="M807" i="1"/>
  <c r="L807" i="1"/>
  <c r="K807" i="1"/>
  <c r="H807" i="1"/>
  <c r="P807" i="1" s="1"/>
  <c r="M806" i="1"/>
  <c r="L806" i="1"/>
  <c r="K806" i="1"/>
  <c r="N806" i="1" s="1"/>
  <c r="H806" i="1"/>
  <c r="P806" i="1" s="1"/>
  <c r="M805" i="1"/>
  <c r="L805" i="1"/>
  <c r="K805" i="1"/>
  <c r="O805" i="1" s="1"/>
  <c r="H805" i="1"/>
  <c r="Q805" i="1" s="1"/>
  <c r="P804" i="1"/>
  <c r="M804" i="1"/>
  <c r="N804" i="1" s="1"/>
  <c r="L804" i="1"/>
  <c r="K804" i="1"/>
  <c r="H804" i="1"/>
  <c r="M802" i="1"/>
  <c r="L802" i="1"/>
  <c r="K802" i="1"/>
  <c r="H802" i="1"/>
  <c r="Q802" i="1" s="1"/>
  <c r="M801" i="1"/>
  <c r="L801" i="1"/>
  <c r="K801" i="1"/>
  <c r="N801" i="1" s="1"/>
  <c r="H801" i="1"/>
  <c r="P801" i="1" s="1"/>
  <c r="M800" i="1"/>
  <c r="L800" i="1"/>
  <c r="K800" i="1"/>
  <c r="N800" i="1" s="1"/>
  <c r="H800" i="1"/>
  <c r="P800" i="1" s="1"/>
  <c r="M799" i="1"/>
  <c r="L799" i="1"/>
  <c r="K799" i="1"/>
  <c r="N799" i="1" s="1"/>
  <c r="R799" i="1" s="1"/>
  <c r="H799" i="1"/>
  <c r="Q798" i="1"/>
  <c r="M798" i="1"/>
  <c r="L798" i="1"/>
  <c r="K798" i="1"/>
  <c r="H798" i="1"/>
  <c r="P798" i="1" s="1"/>
  <c r="N797" i="1"/>
  <c r="M797" i="1"/>
  <c r="L797" i="1"/>
  <c r="K797" i="1"/>
  <c r="H797" i="1"/>
  <c r="P797" i="1" s="1"/>
  <c r="M796" i="1"/>
  <c r="L796" i="1"/>
  <c r="K796" i="1"/>
  <c r="H796" i="1"/>
  <c r="M794" i="1"/>
  <c r="L794" i="1"/>
  <c r="K794" i="1"/>
  <c r="H794" i="1"/>
  <c r="P794" i="1" s="1"/>
  <c r="M793" i="1"/>
  <c r="Q793" i="1" s="1"/>
  <c r="L793" i="1"/>
  <c r="K793" i="1"/>
  <c r="N793" i="1" s="1"/>
  <c r="H793" i="1"/>
  <c r="Q792" i="1"/>
  <c r="M792" i="1"/>
  <c r="L792" i="1"/>
  <c r="K792" i="1"/>
  <c r="H792" i="1"/>
  <c r="M791" i="1"/>
  <c r="L791" i="1"/>
  <c r="K791" i="1"/>
  <c r="H791" i="1"/>
  <c r="M790" i="1"/>
  <c r="Q790" i="1" s="1"/>
  <c r="L790" i="1"/>
  <c r="K790" i="1"/>
  <c r="N790" i="1" s="1"/>
  <c r="H790" i="1"/>
  <c r="P790" i="1" s="1"/>
  <c r="M789" i="1"/>
  <c r="L789" i="1"/>
  <c r="K789" i="1"/>
  <c r="H789" i="1"/>
  <c r="P789" i="1" s="1"/>
  <c r="M788" i="1"/>
  <c r="L788" i="1"/>
  <c r="K788" i="1"/>
  <c r="H788" i="1"/>
  <c r="P788" i="1" s="1"/>
  <c r="M786" i="1"/>
  <c r="L786" i="1"/>
  <c r="K786" i="1"/>
  <c r="H786" i="1"/>
  <c r="M785" i="1"/>
  <c r="L785" i="1"/>
  <c r="K785" i="1"/>
  <c r="H785" i="1"/>
  <c r="Q785" i="1" s="1"/>
  <c r="M784" i="1"/>
  <c r="Q784" i="1" s="1"/>
  <c r="L784" i="1"/>
  <c r="K784" i="1"/>
  <c r="N784" i="1" s="1"/>
  <c r="H784" i="1"/>
  <c r="O784" i="1" s="1"/>
  <c r="M783" i="1"/>
  <c r="L783" i="1"/>
  <c r="K783" i="1"/>
  <c r="N783" i="1" s="1"/>
  <c r="H783" i="1"/>
  <c r="Q783" i="1" s="1"/>
  <c r="M782" i="1"/>
  <c r="L782" i="1"/>
  <c r="K782" i="1"/>
  <c r="N782" i="1" s="1"/>
  <c r="H782" i="1"/>
  <c r="P782" i="1" s="1"/>
  <c r="O781" i="1"/>
  <c r="M781" i="1"/>
  <c r="L781" i="1"/>
  <c r="K781" i="1"/>
  <c r="N781" i="1" s="1"/>
  <c r="H781" i="1"/>
  <c r="P781" i="1" s="1"/>
  <c r="M780" i="1"/>
  <c r="L780" i="1"/>
  <c r="K780" i="1"/>
  <c r="H780" i="1"/>
  <c r="M778" i="1"/>
  <c r="L778" i="1"/>
  <c r="K778" i="1"/>
  <c r="H778" i="1"/>
  <c r="M777" i="1"/>
  <c r="L777" i="1"/>
  <c r="K777" i="1"/>
  <c r="N777" i="1" s="1"/>
  <c r="H777" i="1"/>
  <c r="M776" i="1"/>
  <c r="L776" i="1"/>
  <c r="K776" i="1"/>
  <c r="H776" i="1"/>
  <c r="Q776" i="1" s="1"/>
  <c r="P775" i="1"/>
  <c r="M775" i="1"/>
  <c r="L775" i="1"/>
  <c r="N775" i="1" s="1"/>
  <c r="K775" i="1"/>
  <c r="H775" i="1"/>
  <c r="M774" i="1"/>
  <c r="Q774" i="1" s="1"/>
  <c r="L774" i="1"/>
  <c r="K774" i="1"/>
  <c r="N774" i="1" s="1"/>
  <c r="H774" i="1"/>
  <c r="M773" i="1"/>
  <c r="L773" i="1"/>
  <c r="K773" i="1"/>
  <c r="H773" i="1"/>
  <c r="Q773" i="1" s="1"/>
  <c r="M772" i="1"/>
  <c r="L772" i="1"/>
  <c r="K772" i="1"/>
  <c r="H772" i="1"/>
  <c r="P772" i="1" s="1"/>
  <c r="M770" i="1"/>
  <c r="L770" i="1"/>
  <c r="K770" i="1"/>
  <c r="N770" i="1" s="1"/>
  <c r="R770" i="1" s="1"/>
  <c r="H770" i="1"/>
  <c r="Q770" i="1" s="1"/>
  <c r="Q769" i="1"/>
  <c r="M769" i="1"/>
  <c r="L769" i="1"/>
  <c r="K769" i="1"/>
  <c r="N769" i="1" s="1"/>
  <c r="H769" i="1"/>
  <c r="P769" i="1" s="1"/>
  <c r="N768" i="1"/>
  <c r="M768" i="1"/>
  <c r="L768" i="1"/>
  <c r="K768" i="1"/>
  <c r="H768" i="1"/>
  <c r="P768" i="1" s="1"/>
  <c r="M767" i="1"/>
  <c r="L767" i="1"/>
  <c r="K767" i="1"/>
  <c r="H767" i="1"/>
  <c r="M766" i="1"/>
  <c r="L766" i="1"/>
  <c r="K766" i="1"/>
  <c r="N766" i="1" s="1"/>
  <c r="H766" i="1"/>
  <c r="P766" i="1" s="1"/>
  <c r="M765" i="1"/>
  <c r="Q765" i="1" s="1"/>
  <c r="L765" i="1"/>
  <c r="K765" i="1"/>
  <c r="N765" i="1" s="1"/>
  <c r="H765" i="1"/>
  <c r="P765" i="1" s="1"/>
  <c r="M764" i="1"/>
  <c r="L764" i="1"/>
  <c r="K764" i="1"/>
  <c r="H764" i="1"/>
  <c r="O761" i="1"/>
  <c r="M761" i="1"/>
  <c r="L761" i="1"/>
  <c r="K761" i="1"/>
  <c r="N761" i="1" s="1"/>
  <c r="H761" i="1"/>
  <c r="P761" i="1" s="1"/>
  <c r="M760" i="1"/>
  <c r="L760" i="1"/>
  <c r="K760" i="1"/>
  <c r="H760" i="1"/>
  <c r="M759" i="1"/>
  <c r="L759" i="1"/>
  <c r="K759" i="1"/>
  <c r="H759" i="1"/>
  <c r="Q759" i="1" s="1"/>
  <c r="M758" i="1"/>
  <c r="L758" i="1"/>
  <c r="K758" i="1"/>
  <c r="N758" i="1" s="1"/>
  <c r="H758" i="1"/>
  <c r="O758" i="1" s="1"/>
  <c r="M757" i="1"/>
  <c r="L757" i="1"/>
  <c r="K757" i="1"/>
  <c r="N757" i="1" s="1"/>
  <c r="H757" i="1"/>
  <c r="Q757" i="1" s="1"/>
  <c r="M756" i="1"/>
  <c r="L756" i="1"/>
  <c r="K756" i="1"/>
  <c r="N756" i="1" s="1"/>
  <c r="H756" i="1"/>
  <c r="P756" i="1" s="1"/>
  <c r="O755" i="1"/>
  <c r="M755" i="1"/>
  <c r="L755" i="1"/>
  <c r="K755" i="1"/>
  <c r="N755" i="1" s="1"/>
  <c r="H755" i="1"/>
  <c r="P755" i="1" s="1"/>
  <c r="M751" i="1"/>
  <c r="L751" i="1"/>
  <c r="K751" i="1"/>
  <c r="H751" i="1"/>
  <c r="P751" i="1" s="1"/>
  <c r="M750" i="1"/>
  <c r="L750" i="1"/>
  <c r="K750" i="1"/>
  <c r="N750" i="1" s="1"/>
  <c r="H750" i="1"/>
  <c r="M749" i="1"/>
  <c r="L749" i="1"/>
  <c r="K749" i="1"/>
  <c r="O749" i="1" s="1"/>
  <c r="H749" i="1"/>
  <c r="Q749" i="1" s="1"/>
  <c r="M748" i="1"/>
  <c r="L748" i="1"/>
  <c r="K748" i="1"/>
  <c r="H748" i="1"/>
  <c r="N747" i="1"/>
  <c r="M747" i="1"/>
  <c r="L747" i="1"/>
  <c r="K747" i="1"/>
  <c r="H747" i="1"/>
  <c r="M746" i="1"/>
  <c r="L746" i="1"/>
  <c r="K746" i="1"/>
  <c r="O746" i="1" s="1"/>
  <c r="H746" i="1"/>
  <c r="P746" i="1" s="1"/>
  <c r="M745" i="1"/>
  <c r="L745" i="1"/>
  <c r="N745" i="1" s="1"/>
  <c r="K745" i="1"/>
  <c r="H745" i="1"/>
  <c r="P745" i="1" s="1"/>
  <c r="M743" i="1"/>
  <c r="L743" i="1"/>
  <c r="K743" i="1"/>
  <c r="H743" i="1"/>
  <c r="M741" i="1"/>
  <c r="L741" i="1"/>
  <c r="K741" i="1"/>
  <c r="H741" i="1"/>
  <c r="P741" i="1" s="1"/>
  <c r="P740" i="1" s="1"/>
  <c r="M739" i="1"/>
  <c r="L739" i="1"/>
  <c r="K739" i="1"/>
  <c r="H739" i="1"/>
  <c r="M737" i="1"/>
  <c r="L737" i="1"/>
  <c r="K737" i="1"/>
  <c r="H737" i="1"/>
  <c r="P737" i="1" s="1"/>
  <c r="P736" i="1" s="1"/>
  <c r="M735" i="1"/>
  <c r="L735" i="1"/>
  <c r="K735" i="1"/>
  <c r="H735" i="1"/>
  <c r="O733" i="1"/>
  <c r="O732" i="1" s="1"/>
  <c r="M733" i="1"/>
  <c r="L733" i="1"/>
  <c r="N733" i="1" s="1"/>
  <c r="K733" i="1"/>
  <c r="H733" i="1"/>
  <c r="M731" i="1"/>
  <c r="L731" i="1"/>
  <c r="K731" i="1"/>
  <c r="N731" i="1" s="1"/>
  <c r="H731" i="1"/>
  <c r="M728" i="1"/>
  <c r="Q728" i="1" s="1"/>
  <c r="Q727" i="1" s="1"/>
  <c r="L728" i="1"/>
  <c r="K728" i="1"/>
  <c r="H728" i="1"/>
  <c r="P728" i="1" s="1"/>
  <c r="P727" i="1" s="1"/>
  <c r="M726" i="1"/>
  <c r="L726" i="1"/>
  <c r="K726" i="1"/>
  <c r="H726" i="1"/>
  <c r="Q726" i="1" s="1"/>
  <c r="Q725" i="1" s="1"/>
  <c r="M724" i="1"/>
  <c r="L724" i="1"/>
  <c r="K724" i="1"/>
  <c r="H724" i="1"/>
  <c r="M721" i="1"/>
  <c r="L721" i="1"/>
  <c r="K721" i="1"/>
  <c r="H721" i="1"/>
  <c r="M720" i="1"/>
  <c r="L720" i="1"/>
  <c r="K720" i="1"/>
  <c r="N720" i="1" s="1"/>
  <c r="H720" i="1"/>
  <c r="M718" i="1"/>
  <c r="L718" i="1"/>
  <c r="K718" i="1"/>
  <c r="H718" i="1"/>
  <c r="P718" i="1" s="1"/>
  <c r="P717" i="1" s="1"/>
  <c r="M716" i="1"/>
  <c r="L716" i="1"/>
  <c r="K716" i="1"/>
  <c r="N716" i="1" s="1"/>
  <c r="H716" i="1"/>
  <c r="P716" i="1" s="1"/>
  <c r="P715" i="1" s="1"/>
  <c r="M714" i="1"/>
  <c r="L714" i="1"/>
  <c r="K714" i="1"/>
  <c r="H714" i="1"/>
  <c r="Q714" i="1" s="1"/>
  <c r="Q713" i="1" s="1"/>
  <c r="M711" i="1"/>
  <c r="L711" i="1"/>
  <c r="K711" i="1"/>
  <c r="H711" i="1"/>
  <c r="P709" i="1"/>
  <c r="P708" i="1" s="1"/>
  <c r="M709" i="1"/>
  <c r="L709" i="1"/>
  <c r="K709" i="1"/>
  <c r="H709" i="1"/>
  <c r="M707" i="1"/>
  <c r="L707" i="1"/>
  <c r="N707" i="1" s="1"/>
  <c r="K707" i="1"/>
  <c r="H707" i="1"/>
  <c r="M705" i="1"/>
  <c r="L705" i="1"/>
  <c r="K705" i="1"/>
  <c r="H705" i="1"/>
  <c r="M702" i="1"/>
  <c r="L702" i="1"/>
  <c r="K702" i="1"/>
  <c r="H702" i="1"/>
  <c r="M701" i="1"/>
  <c r="Q701" i="1" s="1"/>
  <c r="L701" i="1"/>
  <c r="K701" i="1"/>
  <c r="H701" i="1"/>
  <c r="P701" i="1" s="1"/>
  <c r="Q699" i="1"/>
  <c r="Q698" i="1" s="1"/>
  <c r="M699" i="1"/>
  <c r="L699" i="1"/>
  <c r="K699" i="1"/>
  <c r="H699" i="1"/>
  <c r="O697" i="1"/>
  <c r="O696" i="1" s="1"/>
  <c r="M697" i="1"/>
  <c r="L697" i="1"/>
  <c r="K697" i="1"/>
  <c r="N697" i="1" s="1"/>
  <c r="H697" i="1"/>
  <c r="P697" i="1" s="1"/>
  <c r="P696" i="1" s="1"/>
  <c r="M695" i="1"/>
  <c r="Q695" i="1" s="1"/>
  <c r="Q694" i="1" s="1"/>
  <c r="L695" i="1"/>
  <c r="K695" i="1"/>
  <c r="H695" i="1"/>
  <c r="P695" i="1" s="1"/>
  <c r="P694" i="1" s="1"/>
  <c r="M692" i="1"/>
  <c r="L692" i="1"/>
  <c r="K692" i="1"/>
  <c r="H692" i="1"/>
  <c r="M690" i="1"/>
  <c r="L690" i="1"/>
  <c r="K690" i="1"/>
  <c r="H690" i="1"/>
  <c r="M688" i="1"/>
  <c r="N688" i="1" s="1"/>
  <c r="L688" i="1"/>
  <c r="K688" i="1"/>
  <c r="H688" i="1"/>
  <c r="O685" i="1"/>
  <c r="O684" i="1" s="1"/>
  <c r="M685" i="1"/>
  <c r="L685" i="1"/>
  <c r="N685" i="1" s="1"/>
  <c r="K685" i="1"/>
  <c r="H685" i="1"/>
  <c r="O683" i="1"/>
  <c r="O682" i="1" s="1"/>
  <c r="M683" i="1"/>
  <c r="L683" i="1"/>
  <c r="K683" i="1"/>
  <c r="N683" i="1" s="1"/>
  <c r="H683" i="1"/>
  <c r="M681" i="1"/>
  <c r="L681" i="1"/>
  <c r="K681" i="1"/>
  <c r="H681" i="1"/>
  <c r="O681" i="1" s="1"/>
  <c r="O680" i="1" s="1"/>
  <c r="M679" i="1"/>
  <c r="L679" i="1"/>
  <c r="K679" i="1"/>
  <c r="H679" i="1"/>
  <c r="Q679" i="1" s="1"/>
  <c r="Q678" i="1" s="1"/>
  <c r="M675" i="1"/>
  <c r="L675" i="1"/>
  <c r="K675" i="1"/>
  <c r="H675" i="1"/>
  <c r="M673" i="1"/>
  <c r="L673" i="1"/>
  <c r="K673" i="1"/>
  <c r="H673" i="1"/>
  <c r="M671" i="1"/>
  <c r="N671" i="1" s="1"/>
  <c r="L671" i="1"/>
  <c r="K671" i="1"/>
  <c r="H671" i="1"/>
  <c r="M668" i="1"/>
  <c r="L668" i="1"/>
  <c r="N668" i="1" s="1"/>
  <c r="K668" i="1"/>
  <c r="H668" i="1"/>
  <c r="O668" i="1" s="1"/>
  <c r="O667" i="1" s="1"/>
  <c r="M666" i="1"/>
  <c r="L666" i="1"/>
  <c r="K666" i="1"/>
  <c r="N666" i="1" s="1"/>
  <c r="H666" i="1"/>
  <c r="Q666" i="1" s="1"/>
  <c r="Q665" i="1" s="1"/>
  <c r="M664" i="1"/>
  <c r="L664" i="1"/>
  <c r="K664" i="1"/>
  <c r="H664" i="1"/>
  <c r="O664" i="1" s="1"/>
  <c r="O663" i="1" s="1"/>
  <c r="M661" i="1"/>
  <c r="Q661" i="1" s="1"/>
  <c r="Q660" i="1" s="1"/>
  <c r="L661" i="1"/>
  <c r="K661" i="1"/>
  <c r="H661" i="1"/>
  <c r="Q659" i="1"/>
  <c r="Q658" i="1" s="1"/>
  <c r="M659" i="1"/>
  <c r="L659" i="1"/>
  <c r="N659" i="1" s="1"/>
  <c r="K659" i="1"/>
  <c r="H659" i="1"/>
  <c r="M656" i="1"/>
  <c r="L656" i="1"/>
  <c r="P656" i="1" s="1"/>
  <c r="P655" i="1" s="1"/>
  <c r="K656" i="1"/>
  <c r="H656" i="1"/>
  <c r="M654" i="1"/>
  <c r="N654" i="1" s="1"/>
  <c r="L654" i="1"/>
  <c r="K654" i="1"/>
  <c r="H654" i="1"/>
  <c r="M652" i="1"/>
  <c r="L652" i="1"/>
  <c r="K652" i="1"/>
  <c r="N652" i="1" s="1"/>
  <c r="H652" i="1"/>
  <c r="M648" i="1"/>
  <c r="L648" i="1"/>
  <c r="K648" i="1"/>
  <c r="H648" i="1"/>
  <c r="P648" i="1" s="1"/>
  <c r="P647" i="1" s="1"/>
  <c r="M646" i="1"/>
  <c r="N646" i="1" s="1"/>
  <c r="L646" i="1"/>
  <c r="K646" i="1"/>
  <c r="H646" i="1"/>
  <c r="P646" i="1" s="1"/>
  <c r="P645" i="1" s="1"/>
  <c r="M644" i="1"/>
  <c r="Q644" i="1" s="1"/>
  <c r="Q643" i="1" s="1"/>
  <c r="L644" i="1"/>
  <c r="K644" i="1"/>
  <c r="H644" i="1"/>
  <c r="Q642" i="1"/>
  <c r="Q641" i="1" s="1"/>
  <c r="M642" i="1"/>
  <c r="L642" i="1"/>
  <c r="N642" i="1" s="1"/>
  <c r="K642" i="1"/>
  <c r="H642" i="1"/>
  <c r="P639" i="1"/>
  <c r="M639" i="1"/>
  <c r="L639" i="1"/>
  <c r="K639" i="1"/>
  <c r="N639" i="1" s="1"/>
  <c r="H639" i="1"/>
  <c r="N638" i="1"/>
  <c r="M638" i="1"/>
  <c r="Q638" i="1" s="1"/>
  <c r="L638" i="1"/>
  <c r="K638" i="1"/>
  <c r="O638" i="1" s="1"/>
  <c r="H638" i="1"/>
  <c r="M636" i="1"/>
  <c r="L636" i="1"/>
  <c r="K636" i="1"/>
  <c r="H636" i="1"/>
  <c r="P636" i="1" s="1"/>
  <c r="P635" i="1" s="1"/>
  <c r="M634" i="1"/>
  <c r="L634" i="1"/>
  <c r="K634" i="1"/>
  <c r="N634" i="1" s="1"/>
  <c r="H634" i="1"/>
  <c r="P634" i="1" s="1"/>
  <c r="P633" i="1" s="1"/>
  <c r="M632" i="1"/>
  <c r="L632" i="1"/>
  <c r="K632" i="1"/>
  <c r="H632" i="1"/>
  <c r="Q632" i="1" s="1"/>
  <c r="Q631" i="1" s="1"/>
  <c r="M629" i="1"/>
  <c r="N629" i="1" s="1"/>
  <c r="L629" i="1"/>
  <c r="K629" i="1"/>
  <c r="H629" i="1"/>
  <c r="M627" i="1"/>
  <c r="L627" i="1"/>
  <c r="P627" i="1" s="1"/>
  <c r="P626" i="1" s="1"/>
  <c r="K627" i="1"/>
  <c r="H627" i="1"/>
  <c r="M625" i="1"/>
  <c r="N625" i="1" s="1"/>
  <c r="L625" i="1"/>
  <c r="K625" i="1"/>
  <c r="H625" i="1"/>
  <c r="M622" i="1"/>
  <c r="L622" i="1"/>
  <c r="N622" i="1" s="1"/>
  <c r="K622" i="1"/>
  <c r="H622" i="1"/>
  <c r="O622" i="1" s="1"/>
  <c r="O621" i="1" s="1"/>
  <c r="M620" i="1"/>
  <c r="L620" i="1"/>
  <c r="K620" i="1"/>
  <c r="O620" i="1" s="1"/>
  <c r="O619" i="1" s="1"/>
  <c r="H620" i="1"/>
  <c r="Q620" i="1" s="1"/>
  <c r="Q619" i="1" s="1"/>
  <c r="M618" i="1"/>
  <c r="L618" i="1"/>
  <c r="K618" i="1"/>
  <c r="H618" i="1"/>
  <c r="O618" i="1" s="1"/>
  <c r="O617" i="1" s="1"/>
  <c r="O616" i="1"/>
  <c r="O615" i="1" s="1"/>
  <c r="M616" i="1"/>
  <c r="L616" i="1"/>
  <c r="K616" i="1"/>
  <c r="H616" i="1"/>
  <c r="O611" i="1"/>
  <c r="O610" i="1" s="1"/>
  <c r="M611" i="1"/>
  <c r="L611" i="1"/>
  <c r="K611" i="1"/>
  <c r="H611" i="1"/>
  <c r="O609" i="1"/>
  <c r="O608" i="1" s="1"/>
  <c r="M609" i="1"/>
  <c r="L609" i="1"/>
  <c r="K609" i="1"/>
  <c r="H609" i="1"/>
  <c r="O607" i="1"/>
  <c r="O606" i="1" s="1"/>
  <c r="M607" i="1"/>
  <c r="L607" i="1"/>
  <c r="K607" i="1"/>
  <c r="N607" i="1" s="1"/>
  <c r="R607" i="1" s="1"/>
  <c r="R606" i="1" s="1"/>
  <c r="H607" i="1"/>
  <c r="M605" i="1"/>
  <c r="L605" i="1"/>
  <c r="K605" i="1"/>
  <c r="H605" i="1"/>
  <c r="O605" i="1" s="1"/>
  <c r="O604" i="1" s="1"/>
  <c r="M603" i="1"/>
  <c r="L603" i="1"/>
  <c r="K603" i="1"/>
  <c r="H603" i="1"/>
  <c r="Q603" i="1" s="1"/>
  <c r="Q602" i="1" s="1"/>
  <c r="M599" i="1"/>
  <c r="N599" i="1" s="1"/>
  <c r="L599" i="1"/>
  <c r="K599" i="1"/>
  <c r="H599" i="1"/>
  <c r="M597" i="1"/>
  <c r="L597" i="1"/>
  <c r="P597" i="1" s="1"/>
  <c r="P596" i="1" s="1"/>
  <c r="K597" i="1"/>
  <c r="H597" i="1"/>
  <c r="M595" i="1"/>
  <c r="N595" i="1" s="1"/>
  <c r="L595" i="1"/>
  <c r="K595" i="1"/>
  <c r="H595" i="1"/>
  <c r="M593" i="1"/>
  <c r="L593" i="1"/>
  <c r="K593" i="1"/>
  <c r="N593" i="1" s="1"/>
  <c r="H593" i="1"/>
  <c r="M589" i="1"/>
  <c r="L589" i="1"/>
  <c r="K589" i="1"/>
  <c r="H589" i="1"/>
  <c r="P589" i="1" s="1"/>
  <c r="P588" i="1" s="1"/>
  <c r="M587" i="1"/>
  <c r="N587" i="1" s="1"/>
  <c r="L587" i="1"/>
  <c r="K587" i="1"/>
  <c r="H587" i="1"/>
  <c r="P587" i="1" s="1"/>
  <c r="P586" i="1" s="1"/>
  <c r="M585" i="1"/>
  <c r="Q585" i="1" s="1"/>
  <c r="Q584" i="1" s="1"/>
  <c r="L585" i="1"/>
  <c r="K585" i="1"/>
  <c r="H585" i="1"/>
  <c r="Q583" i="1"/>
  <c r="Q582" i="1" s="1"/>
  <c r="M583" i="1"/>
  <c r="L583" i="1"/>
  <c r="N583" i="1" s="1"/>
  <c r="K583" i="1"/>
  <c r="H583" i="1"/>
  <c r="Q581" i="1"/>
  <c r="Q580" i="1" s="1"/>
  <c r="M581" i="1"/>
  <c r="L581" i="1"/>
  <c r="K581" i="1"/>
  <c r="N581" i="1" s="1"/>
  <c r="R581" i="1" s="1"/>
  <c r="R580" i="1" s="1"/>
  <c r="H581" i="1"/>
  <c r="M576" i="1"/>
  <c r="L576" i="1"/>
  <c r="K576" i="1"/>
  <c r="H576" i="1"/>
  <c r="P576" i="1" s="1"/>
  <c r="P575" i="1" s="1"/>
  <c r="P574" i="1" s="1"/>
  <c r="M573" i="1"/>
  <c r="L573" i="1"/>
  <c r="K573" i="1"/>
  <c r="H573" i="1"/>
  <c r="M570" i="1"/>
  <c r="L570" i="1"/>
  <c r="K570" i="1"/>
  <c r="H570" i="1"/>
  <c r="O570" i="1" s="1"/>
  <c r="O569" i="1" s="1"/>
  <c r="O568" i="1" s="1"/>
  <c r="M567" i="1"/>
  <c r="Q567" i="1" s="1"/>
  <c r="Q566" i="1" s="1"/>
  <c r="Q565" i="1" s="1"/>
  <c r="L567" i="1"/>
  <c r="K567" i="1"/>
  <c r="H567" i="1"/>
  <c r="M563" i="1"/>
  <c r="L563" i="1"/>
  <c r="K563" i="1"/>
  <c r="H563" i="1"/>
  <c r="P562" i="1"/>
  <c r="M562" i="1"/>
  <c r="L562" i="1"/>
  <c r="K562" i="1"/>
  <c r="N562" i="1" s="1"/>
  <c r="H562" i="1"/>
  <c r="N561" i="1"/>
  <c r="M561" i="1"/>
  <c r="Q561" i="1" s="1"/>
  <c r="L561" i="1"/>
  <c r="K561" i="1"/>
  <c r="O561" i="1" s="1"/>
  <c r="H561" i="1"/>
  <c r="M560" i="1"/>
  <c r="L560" i="1"/>
  <c r="K560" i="1"/>
  <c r="H560" i="1"/>
  <c r="O560" i="1" s="1"/>
  <c r="M559" i="1"/>
  <c r="L559" i="1"/>
  <c r="K559" i="1"/>
  <c r="H559" i="1"/>
  <c r="P559" i="1" s="1"/>
  <c r="M557" i="1"/>
  <c r="N557" i="1" s="1"/>
  <c r="L557" i="1"/>
  <c r="K557" i="1"/>
  <c r="H557" i="1"/>
  <c r="R557" i="1" s="1"/>
  <c r="R556" i="1" s="1"/>
  <c r="M555" i="1"/>
  <c r="L555" i="1"/>
  <c r="K555" i="1"/>
  <c r="N555" i="1" s="1"/>
  <c r="H555" i="1"/>
  <c r="M553" i="1"/>
  <c r="L553" i="1"/>
  <c r="K553" i="1"/>
  <c r="H553" i="1"/>
  <c r="Q552" i="1"/>
  <c r="M552" i="1"/>
  <c r="L552" i="1"/>
  <c r="K552" i="1"/>
  <c r="H552" i="1"/>
  <c r="P552" i="1" s="1"/>
  <c r="M551" i="1"/>
  <c r="L551" i="1"/>
  <c r="K551" i="1"/>
  <c r="H551" i="1"/>
  <c r="O551" i="1" s="1"/>
  <c r="M549" i="1"/>
  <c r="L549" i="1"/>
  <c r="K549" i="1"/>
  <c r="N549" i="1" s="1"/>
  <c r="R549" i="1" s="1"/>
  <c r="H549" i="1"/>
  <c r="M548" i="1"/>
  <c r="L548" i="1"/>
  <c r="K548" i="1"/>
  <c r="H548" i="1"/>
  <c r="P548" i="1" s="1"/>
  <c r="M547" i="1"/>
  <c r="L547" i="1"/>
  <c r="K547" i="1"/>
  <c r="N547" i="1" s="1"/>
  <c r="H547" i="1"/>
  <c r="P547" i="1" s="1"/>
  <c r="M545" i="1"/>
  <c r="L545" i="1"/>
  <c r="K545" i="1"/>
  <c r="H545" i="1"/>
  <c r="Q545" i="1" s="1"/>
  <c r="M544" i="1"/>
  <c r="L544" i="1"/>
  <c r="K544" i="1"/>
  <c r="O544" i="1" s="1"/>
  <c r="H544" i="1"/>
  <c r="Q544" i="1" s="1"/>
  <c r="M541" i="1"/>
  <c r="L541" i="1"/>
  <c r="K541" i="1"/>
  <c r="H541" i="1"/>
  <c r="P541" i="1" s="1"/>
  <c r="M540" i="1"/>
  <c r="L540" i="1"/>
  <c r="N540" i="1" s="1"/>
  <c r="K540" i="1"/>
  <c r="H540" i="1"/>
  <c r="Q540" i="1" s="1"/>
  <c r="M539" i="1"/>
  <c r="L539" i="1"/>
  <c r="K539" i="1"/>
  <c r="H539" i="1"/>
  <c r="M538" i="1"/>
  <c r="L538" i="1"/>
  <c r="K538" i="1"/>
  <c r="H538" i="1"/>
  <c r="Q538" i="1" s="1"/>
  <c r="Q536" i="1"/>
  <c r="Q535" i="1" s="1"/>
  <c r="M536" i="1"/>
  <c r="L536" i="1"/>
  <c r="K536" i="1"/>
  <c r="N536" i="1" s="1"/>
  <c r="H536" i="1"/>
  <c r="Q534" i="1"/>
  <c r="Q533" i="1" s="1"/>
  <c r="M534" i="1"/>
  <c r="L534" i="1"/>
  <c r="K534" i="1"/>
  <c r="H534" i="1"/>
  <c r="P534" i="1" s="1"/>
  <c r="P533" i="1" s="1"/>
  <c r="M532" i="1"/>
  <c r="L532" i="1"/>
  <c r="K532" i="1"/>
  <c r="O532" i="1" s="1"/>
  <c r="H532" i="1"/>
  <c r="P532" i="1" s="1"/>
  <c r="M531" i="1"/>
  <c r="L531" i="1"/>
  <c r="K531" i="1"/>
  <c r="H531" i="1"/>
  <c r="Q531" i="1" s="1"/>
  <c r="M530" i="1"/>
  <c r="L530" i="1"/>
  <c r="K530" i="1"/>
  <c r="H530" i="1"/>
  <c r="M528" i="1"/>
  <c r="L528" i="1"/>
  <c r="K528" i="1"/>
  <c r="H528" i="1"/>
  <c r="Q527" i="1"/>
  <c r="M527" i="1"/>
  <c r="L527" i="1"/>
  <c r="K527" i="1"/>
  <c r="H527" i="1"/>
  <c r="P527" i="1" s="1"/>
  <c r="M526" i="1"/>
  <c r="L526" i="1"/>
  <c r="K526" i="1"/>
  <c r="H526" i="1"/>
  <c r="O526" i="1" s="1"/>
  <c r="M524" i="1"/>
  <c r="L524" i="1"/>
  <c r="K524" i="1"/>
  <c r="N524" i="1" s="1"/>
  <c r="R524" i="1" s="1"/>
  <c r="H524" i="1"/>
  <c r="M523" i="1"/>
  <c r="N523" i="1" s="1"/>
  <c r="L523" i="1"/>
  <c r="K523" i="1"/>
  <c r="H523" i="1"/>
  <c r="P523" i="1" s="1"/>
  <c r="M520" i="1"/>
  <c r="L520" i="1"/>
  <c r="K520" i="1"/>
  <c r="H520" i="1"/>
  <c r="Q520" i="1" s="1"/>
  <c r="M519" i="1"/>
  <c r="N519" i="1" s="1"/>
  <c r="L519" i="1"/>
  <c r="K519" i="1"/>
  <c r="H519" i="1"/>
  <c r="P519" i="1" s="1"/>
  <c r="M518" i="1"/>
  <c r="L518" i="1"/>
  <c r="K518" i="1"/>
  <c r="H518" i="1"/>
  <c r="P518" i="1" s="1"/>
  <c r="M517" i="1"/>
  <c r="L517" i="1"/>
  <c r="K517" i="1"/>
  <c r="H517" i="1"/>
  <c r="M515" i="1"/>
  <c r="L515" i="1"/>
  <c r="K515" i="1"/>
  <c r="H515" i="1"/>
  <c r="O515" i="1" s="1"/>
  <c r="O514" i="1" s="1"/>
  <c r="M513" i="1"/>
  <c r="L513" i="1"/>
  <c r="K513" i="1"/>
  <c r="H513" i="1"/>
  <c r="Q513" i="1" s="1"/>
  <c r="M512" i="1"/>
  <c r="N512" i="1" s="1"/>
  <c r="L512" i="1"/>
  <c r="K512" i="1"/>
  <c r="H512" i="1"/>
  <c r="P512" i="1" s="1"/>
  <c r="M509" i="1"/>
  <c r="L509" i="1"/>
  <c r="K509" i="1"/>
  <c r="N509" i="1" s="1"/>
  <c r="R509" i="1" s="1"/>
  <c r="H509" i="1"/>
  <c r="N508" i="1"/>
  <c r="M508" i="1"/>
  <c r="L508" i="1"/>
  <c r="P508" i="1" s="1"/>
  <c r="K508" i="1"/>
  <c r="H508" i="1"/>
  <c r="N507" i="1"/>
  <c r="M507" i="1"/>
  <c r="Q507" i="1" s="1"/>
  <c r="L507" i="1"/>
  <c r="K507" i="1"/>
  <c r="O507" i="1" s="1"/>
  <c r="H507" i="1"/>
  <c r="M506" i="1"/>
  <c r="L506" i="1"/>
  <c r="K506" i="1"/>
  <c r="H506" i="1"/>
  <c r="M505" i="1"/>
  <c r="L505" i="1"/>
  <c r="K505" i="1"/>
  <c r="N505" i="1" s="1"/>
  <c r="H505" i="1"/>
  <c r="M503" i="1"/>
  <c r="L503" i="1"/>
  <c r="K503" i="1"/>
  <c r="H503" i="1"/>
  <c r="M501" i="1"/>
  <c r="L501" i="1"/>
  <c r="N501" i="1" s="1"/>
  <c r="K501" i="1"/>
  <c r="H501" i="1"/>
  <c r="M499" i="1"/>
  <c r="L499" i="1"/>
  <c r="K499" i="1"/>
  <c r="H499" i="1"/>
  <c r="M498" i="1"/>
  <c r="L498" i="1"/>
  <c r="K498" i="1"/>
  <c r="H498" i="1"/>
  <c r="Q498" i="1" s="1"/>
  <c r="M497" i="1"/>
  <c r="L497" i="1"/>
  <c r="K497" i="1"/>
  <c r="O497" i="1" s="1"/>
  <c r="H497" i="1"/>
  <c r="Q497" i="1" s="1"/>
  <c r="M495" i="1"/>
  <c r="L495" i="1"/>
  <c r="K495" i="1"/>
  <c r="H495" i="1"/>
  <c r="Q495" i="1" s="1"/>
  <c r="M494" i="1"/>
  <c r="N494" i="1" s="1"/>
  <c r="L494" i="1"/>
  <c r="K494" i="1"/>
  <c r="H494" i="1"/>
  <c r="M492" i="1"/>
  <c r="L492" i="1"/>
  <c r="K492" i="1"/>
  <c r="N492" i="1" s="1"/>
  <c r="H492" i="1"/>
  <c r="M491" i="1"/>
  <c r="L491" i="1"/>
  <c r="K491" i="1"/>
  <c r="H491" i="1"/>
  <c r="P491" i="1" s="1"/>
  <c r="M487" i="1"/>
  <c r="L487" i="1"/>
  <c r="K487" i="1"/>
  <c r="N487" i="1" s="1"/>
  <c r="R487" i="1" s="1"/>
  <c r="H487" i="1"/>
  <c r="N486" i="1"/>
  <c r="M486" i="1"/>
  <c r="L486" i="1"/>
  <c r="P486" i="1" s="1"/>
  <c r="K486" i="1"/>
  <c r="H486" i="1"/>
  <c r="N485" i="1"/>
  <c r="M485" i="1"/>
  <c r="Q485" i="1" s="1"/>
  <c r="L485" i="1"/>
  <c r="K485" i="1"/>
  <c r="O485" i="1" s="1"/>
  <c r="H485" i="1"/>
  <c r="P485" i="1" s="1"/>
  <c r="M484" i="1"/>
  <c r="L484" i="1"/>
  <c r="K484" i="1"/>
  <c r="H484" i="1"/>
  <c r="M482" i="1"/>
  <c r="L482" i="1"/>
  <c r="N482" i="1" s="1"/>
  <c r="K482" i="1"/>
  <c r="H482" i="1"/>
  <c r="Q482" i="1" s="1"/>
  <c r="Q481" i="1" s="1"/>
  <c r="M480" i="1"/>
  <c r="L480" i="1"/>
  <c r="K480" i="1"/>
  <c r="N480" i="1" s="1"/>
  <c r="R480" i="1" s="1"/>
  <c r="R479" i="1" s="1"/>
  <c r="H480" i="1"/>
  <c r="Q480" i="1" s="1"/>
  <c r="Q479" i="1" s="1"/>
  <c r="M478" i="1"/>
  <c r="L478" i="1"/>
  <c r="K478" i="1"/>
  <c r="H478" i="1"/>
  <c r="Q478" i="1" s="1"/>
  <c r="M477" i="1"/>
  <c r="L477" i="1"/>
  <c r="K477" i="1"/>
  <c r="H477" i="1"/>
  <c r="M476" i="1"/>
  <c r="L476" i="1"/>
  <c r="K476" i="1"/>
  <c r="H476" i="1"/>
  <c r="P476" i="1" s="1"/>
  <c r="M474" i="1"/>
  <c r="L474" i="1"/>
  <c r="K474" i="1"/>
  <c r="N474" i="1" s="1"/>
  <c r="H474" i="1"/>
  <c r="P474" i="1" s="1"/>
  <c r="M473" i="1"/>
  <c r="L473" i="1"/>
  <c r="K473" i="1"/>
  <c r="H473" i="1"/>
  <c r="Q473" i="1" s="1"/>
  <c r="M472" i="1"/>
  <c r="L472" i="1"/>
  <c r="K472" i="1"/>
  <c r="N472" i="1" s="1"/>
  <c r="H472" i="1"/>
  <c r="P472" i="1" s="1"/>
  <c r="M470" i="1"/>
  <c r="L470" i="1"/>
  <c r="K470" i="1"/>
  <c r="H470" i="1"/>
  <c r="Q469" i="1"/>
  <c r="M469" i="1"/>
  <c r="L469" i="1"/>
  <c r="K469" i="1"/>
  <c r="H469" i="1"/>
  <c r="P469" i="1" s="1"/>
  <c r="M466" i="1"/>
  <c r="L466" i="1"/>
  <c r="K466" i="1"/>
  <c r="H466" i="1"/>
  <c r="Q465" i="1"/>
  <c r="M465" i="1"/>
  <c r="L465" i="1"/>
  <c r="K465" i="1"/>
  <c r="H465" i="1"/>
  <c r="P465" i="1" s="1"/>
  <c r="M464" i="1"/>
  <c r="L464" i="1"/>
  <c r="K464" i="1"/>
  <c r="H464" i="1"/>
  <c r="Q464" i="1" s="1"/>
  <c r="M463" i="1"/>
  <c r="L463" i="1"/>
  <c r="K463" i="1"/>
  <c r="H463" i="1"/>
  <c r="M461" i="1"/>
  <c r="L461" i="1"/>
  <c r="K461" i="1"/>
  <c r="N461" i="1" s="1"/>
  <c r="H461" i="1"/>
  <c r="P461" i="1" s="1"/>
  <c r="P460" i="1" s="1"/>
  <c r="M459" i="1"/>
  <c r="L459" i="1"/>
  <c r="K459" i="1"/>
  <c r="H459" i="1"/>
  <c r="M457" i="1"/>
  <c r="L457" i="1"/>
  <c r="N457" i="1" s="1"/>
  <c r="K457" i="1"/>
  <c r="H457" i="1"/>
  <c r="P457" i="1" s="1"/>
  <c r="M456" i="1"/>
  <c r="N456" i="1" s="1"/>
  <c r="L456" i="1"/>
  <c r="K456" i="1"/>
  <c r="H456" i="1"/>
  <c r="P456" i="1" s="1"/>
  <c r="M455" i="1"/>
  <c r="L455" i="1"/>
  <c r="K455" i="1"/>
  <c r="N455" i="1" s="1"/>
  <c r="R455" i="1" s="1"/>
  <c r="H455" i="1"/>
  <c r="Q455" i="1" s="1"/>
  <c r="M453" i="1"/>
  <c r="L453" i="1"/>
  <c r="K453" i="1"/>
  <c r="H453" i="1"/>
  <c r="O453" i="1" s="1"/>
  <c r="M452" i="1"/>
  <c r="L452" i="1"/>
  <c r="K452" i="1"/>
  <c r="N452" i="1" s="1"/>
  <c r="H452" i="1"/>
  <c r="M451" i="1"/>
  <c r="L451" i="1"/>
  <c r="K451" i="1"/>
  <c r="H451" i="1"/>
  <c r="P451" i="1" s="1"/>
  <c r="M449" i="1"/>
  <c r="L449" i="1"/>
  <c r="K449" i="1"/>
  <c r="H449" i="1"/>
  <c r="P449" i="1" s="1"/>
  <c r="M448" i="1"/>
  <c r="L448" i="1"/>
  <c r="K448" i="1"/>
  <c r="N448" i="1" s="1"/>
  <c r="R448" i="1" s="1"/>
  <c r="H448" i="1"/>
  <c r="Q448" i="1" s="1"/>
  <c r="N445" i="1"/>
  <c r="M445" i="1"/>
  <c r="L445" i="1"/>
  <c r="K445" i="1"/>
  <c r="H445" i="1"/>
  <c r="P445" i="1" s="1"/>
  <c r="O444" i="1"/>
  <c r="M444" i="1"/>
  <c r="L444" i="1"/>
  <c r="K444" i="1"/>
  <c r="N444" i="1" s="1"/>
  <c r="H444" i="1"/>
  <c r="Q444" i="1" s="1"/>
  <c r="M443" i="1"/>
  <c r="N443" i="1" s="1"/>
  <c r="L443" i="1"/>
  <c r="K443" i="1"/>
  <c r="H443" i="1"/>
  <c r="P443" i="1" s="1"/>
  <c r="M441" i="1"/>
  <c r="L441" i="1"/>
  <c r="K441" i="1"/>
  <c r="N441" i="1" s="1"/>
  <c r="H441" i="1"/>
  <c r="M439" i="1"/>
  <c r="L439" i="1"/>
  <c r="K439" i="1"/>
  <c r="H439" i="1"/>
  <c r="P439" i="1" s="1"/>
  <c r="M438" i="1"/>
  <c r="L438" i="1"/>
  <c r="K438" i="1"/>
  <c r="H438" i="1"/>
  <c r="P438" i="1" s="1"/>
  <c r="M435" i="1"/>
  <c r="L435" i="1"/>
  <c r="K435" i="1"/>
  <c r="H435" i="1"/>
  <c r="P435" i="1" s="1"/>
  <c r="Q434" i="1"/>
  <c r="M434" i="1"/>
  <c r="L434" i="1"/>
  <c r="K434" i="1"/>
  <c r="O434" i="1" s="1"/>
  <c r="H434" i="1"/>
  <c r="P434" i="1" s="1"/>
  <c r="O433" i="1"/>
  <c r="M433" i="1"/>
  <c r="L433" i="1"/>
  <c r="K433" i="1"/>
  <c r="H433" i="1"/>
  <c r="Q433" i="1" s="1"/>
  <c r="M432" i="1"/>
  <c r="N432" i="1" s="1"/>
  <c r="L432" i="1"/>
  <c r="K432" i="1"/>
  <c r="H432" i="1"/>
  <c r="P432" i="1" s="1"/>
  <c r="M430" i="1"/>
  <c r="L430" i="1"/>
  <c r="K430" i="1"/>
  <c r="H430" i="1"/>
  <c r="M428" i="1"/>
  <c r="L428" i="1"/>
  <c r="K428" i="1"/>
  <c r="H428" i="1"/>
  <c r="M426" i="1"/>
  <c r="L426" i="1"/>
  <c r="K426" i="1"/>
  <c r="H426" i="1"/>
  <c r="M425" i="1"/>
  <c r="L425" i="1"/>
  <c r="K425" i="1"/>
  <c r="H425" i="1"/>
  <c r="Q425" i="1" s="1"/>
  <c r="M424" i="1"/>
  <c r="L424" i="1"/>
  <c r="K424" i="1"/>
  <c r="H424" i="1"/>
  <c r="Q424" i="1" s="1"/>
  <c r="M422" i="1"/>
  <c r="L422" i="1"/>
  <c r="K422" i="1"/>
  <c r="N422" i="1" s="1"/>
  <c r="H422" i="1"/>
  <c r="Q422" i="1" s="1"/>
  <c r="M421" i="1"/>
  <c r="L421" i="1"/>
  <c r="K421" i="1"/>
  <c r="H421" i="1"/>
  <c r="P421" i="1" s="1"/>
  <c r="M419" i="1"/>
  <c r="L419" i="1"/>
  <c r="K419" i="1"/>
  <c r="H419" i="1"/>
  <c r="M418" i="1"/>
  <c r="L418" i="1"/>
  <c r="K418" i="1"/>
  <c r="H418" i="1"/>
  <c r="P418" i="1" s="1"/>
  <c r="M413" i="1"/>
  <c r="L413" i="1"/>
  <c r="K413" i="1"/>
  <c r="H413" i="1"/>
  <c r="P413" i="1" s="1"/>
  <c r="P412" i="1" s="1"/>
  <c r="M411" i="1"/>
  <c r="L411" i="1"/>
  <c r="K411" i="1"/>
  <c r="H411" i="1"/>
  <c r="P411" i="1" s="1"/>
  <c r="P410" i="1" s="1"/>
  <c r="M407" i="1"/>
  <c r="L407" i="1"/>
  <c r="N407" i="1" s="1"/>
  <c r="K407" i="1"/>
  <c r="H407" i="1"/>
  <c r="Q407" i="1" s="1"/>
  <c r="M406" i="1"/>
  <c r="L406" i="1"/>
  <c r="K406" i="1"/>
  <c r="N406" i="1" s="1"/>
  <c r="H406" i="1"/>
  <c r="M405" i="1"/>
  <c r="L405" i="1"/>
  <c r="K405" i="1"/>
  <c r="H405" i="1"/>
  <c r="P405" i="1" s="1"/>
  <c r="M404" i="1"/>
  <c r="L404" i="1"/>
  <c r="N404" i="1" s="1"/>
  <c r="K404" i="1"/>
  <c r="H404" i="1"/>
  <c r="Q404" i="1" s="1"/>
  <c r="M402" i="1"/>
  <c r="L402" i="1"/>
  <c r="K402" i="1"/>
  <c r="N402" i="1" s="1"/>
  <c r="R402" i="1" s="1"/>
  <c r="R401" i="1" s="1"/>
  <c r="H402" i="1"/>
  <c r="Q402" i="1" s="1"/>
  <c r="Q401" i="1" s="1"/>
  <c r="M400" i="1"/>
  <c r="L400" i="1"/>
  <c r="N400" i="1" s="1"/>
  <c r="K400" i="1"/>
  <c r="H400" i="1"/>
  <c r="Q400" i="1" s="1"/>
  <c r="Q399" i="1" s="1"/>
  <c r="M398" i="1"/>
  <c r="L398" i="1"/>
  <c r="K398" i="1"/>
  <c r="H398" i="1"/>
  <c r="Q398" i="1" s="1"/>
  <c r="M397" i="1"/>
  <c r="N397" i="1" s="1"/>
  <c r="L397" i="1"/>
  <c r="K397" i="1"/>
  <c r="H397" i="1"/>
  <c r="P397" i="1" s="1"/>
  <c r="Q396" i="1"/>
  <c r="M396" i="1"/>
  <c r="L396" i="1"/>
  <c r="K396" i="1"/>
  <c r="H396" i="1"/>
  <c r="P396" i="1" s="1"/>
  <c r="O395" i="1"/>
  <c r="M395" i="1"/>
  <c r="L395" i="1"/>
  <c r="K395" i="1"/>
  <c r="N395" i="1" s="1"/>
  <c r="R395" i="1" s="1"/>
  <c r="H395" i="1"/>
  <c r="Q395" i="1" s="1"/>
  <c r="M393" i="1"/>
  <c r="L393" i="1"/>
  <c r="K393" i="1"/>
  <c r="H393" i="1"/>
  <c r="O393" i="1" s="1"/>
  <c r="M392" i="1"/>
  <c r="L392" i="1"/>
  <c r="K392" i="1"/>
  <c r="H392" i="1"/>
  <c r="M391" i="1"/>
  <c r="L391" i="1"/>
  <c r="K391" i="1"/>
  <c r="H391" i="1"/>
  <c r="P391" i="1" s="1"/>
  <c r="M387" i="1"/>
  <c r="L387" i="1"/>
  <c r="K387" i="1"/>
  <c r="N387" i="1" s="1"/>
  <c r="R387" i="1" s="1"/>
  <c r="H387" i="1"/>
  <c r="Q387" i="1" s="1"/>
  <c r="M386" i="1"/>
  <c r="N386" i="1" s="1"/>
  <c r="L386" i="1"/>
  <c r="K386" i="1"/>
  <c r="H386" i="1"/>
  <c r="P386" i="1" s="1"/>
  <c r="M385" i="1"/>
  <c r="L385" i="1"/>
  <c r="N385" i="1" s="1"/>
  <c r="K385" i="1"/>
  <c r="H385" i="1"/>
  <c r="P385" i="1" s="1"/>
  <c r="M383" i="1"/>
  <c r="L383" i="1"/>
  <c r="K383" i="1"/>
  <c r="H383" i="1"/>
  <c r="Q383" i="1" s="1"/>
  <c r="Q382" i="1" s="1"/>
  <c r="M381" i="1"/>
  <c r="L381" i="1"/>
  <c r="K381" i="1"/>
  <c r="O381" i="1" s="1"/>
  <c r="O380" i="1" s="1"/>
  <c r="H381" i="1"/>
  <c r="Q381" i="1" s="1"/>
  <c r="Q380" i="1" s="1"/>
  <c r="M379" i="1"/>
  <c r="L379" i="1"/>
  <c r="K379" i="1"/>
  <c r="H379" i="1"/>
  <c r="P379" i="1" s="1"/>
  <c r="M378" i="1"/>
  <c r="L378" i="1"/>
  <c r="N378" i="1" s="1"/>
  <c r="K378" i="1"/>
  <c r="H378" i="1"/>
  <c r="Q378" i="1" s="1"/>
  <c r="M377" i="1"/>
  <c r="L377" i="1"/>
  <c r="K377" i="1"/>
  <c r="N377" i="1" s="1"/>
  <c r="H377" i="1"/>
  <c r="R377" i="1" s="1"/>
  <c r="M376" i="1"/>
  <c r="L376" i="1"/>
  <c r="K376" i="1"/>
  <c r="H376" i="1"/>
  <c r="P376" i="1" s="1"/>
  <c r="M374" i="1"/>
  <c r="L374" i="1"/>
  <c r="N374" i="1" s="1"/>
  <c r="K374" i="1"/>
  <c r="H374" i="1"/>
  <c r="P374" i="1" s="1"/>
  <c r="O373" i="1"/>
  <c r="M373" i="1"/>
  <c r="L373" i="1"/>
  <c r="K373" i="1"/>
  <c r="H373" i="1"/>
  <c r="Q373" i="1" s="1"/>
  <c r="P372" i="1"/>
  <c r="M372" i="1"/>
  <c r="L372" i="1"/>
  <c r="K372" i="1"/>
  <c r="H372" i="1"/>
  <c r="M366" i="1"/>
  <c r="L366" i="1"/>
  <c r="N366" i="1" s="1"/>
  <c r="K366" i="1"/>
  <c r="H366" i="1"/>
  <c r="Q366" i="1" s="1"/>
  <c r="M365" i="1"/>
  <c r="L365" i="1"/>
  <c r="K365" i="1"/>
  <c r="H365" i="1"/>
  <c r="M363" i="1"/>
  <c r="L363" i="1"/>
  <c r="K363" i="1"/>
  <c r="H363" i="1"/>
  <c r="M362" i="1"/>
  <c r="L362" i="1"/>
  <c r="N362" i="1" s="1"/>
  <c r="K362" i="1"/>
  <c r="H362" i="1"/>
  <c r="Q362" i="1" s="1"/>
  <c r="M361" i="1"/>
  <c r="L361" i="1"/>
  <c r="K361" i="1"/>
  <c r="H361" i="1"/>
  <c r="Q361" i="1" s="1"/>
  <c r="M360" i="1"/>
  <c r="L360" i="1"/>
  <c r="K360" i="1"/>
  <c r="H360" i="1"/>
  <c r="P360" i="1" s="1"/>
  <c r="M359" i="1"/>
  <c r="L359" i="1"/>
  <c r="K359" i="1"/>
  <c r="O359" i="1" s="1"/>
  <c r="H359" i="1"/>
  <c r="P359" i="1" s="1"/>
  <c r="M357" i="1"/>
  <c r="L357" i="1"/>
  <c r="K357" i="1"/>
  <c r="H357" i="1"/>
  <c r="P357" i="1" s="1"/>
  <c r="O356" i="1"/>
  <c r="M356" i="1"/>
  <c r="L356" i="1"/>
  <c r="N356" i="1" s="1"/>
  <c r="K356" i="1"/>
  <c r="H356" i="1"/>
  <c r="M355" i="1"/>
  <c r="L355" i="1"/>
  <c r="K355" i="1"/>
  <c r="H355" i="1"/>
  <c r="M354" i="1"/>
  <c r="L354" i="1"/>
  <c r="K354" i="1"/>
  <c r="H354" i="1"/>
  <c r="Q354" i="1" s="1"/>
  <c r="M353" i="1"/>
  <c r="L353" i="1"/>
  <c r="K353" i="1"/>
  <c r="H353" i="1"/>
  <c r="Q353" i="1" s="1"/>
  <c r="M352" i="1"/>
  <c r="L352" i="1"/>
  <c r="K352" i="1"/>
  <c r="H352" i="1"/>
  <c r="M350" i="1"/>
  <c r="N350" i="1" s="1"/>
  <c r="L350" i="1"/>
  <c r="K350" i="1"/>
  <c r="H350" i="1"/>
  <c r="P350" i="1" s="1"/>
  <c r="M349" i="1"/>
  <c r="L349" i="1"/>
  <c r="K349" i="1"/>
  <c r="N349" i="1" s="1"/>
  <c r="H349" i="1"/>
  <c r="P349" i="1" s="1"/>
  <c r="M348" i="1"/>
  <c r="L348" i="1"/>
  <c r="K348" i="1"/>
  <c r="H348" i="1"/>
  <c r="M346" i="1"/>
  <c r="L346" i="1"/>
  <c r="N346" i="1" s="1"/>
  <c r="K346" i="1"/>
  <c r="H346" i="1"/>
  <c r="Q346" i="1" s="1"/>
  <c r="M345" i="1"/>
  <c r="L345" i="1"/>
  <c r="K345" i="1"/>
  <c r="N345" i="1" s="1"/>
  <c r="H345" i="1"/>
  <c r="M344" i="1"/>
  <c r="L344" i="1"/>
  <c r="K344" i="1"/>
  <c r="H344" i="1"/>
  <c r="P344" i="1" s="1"/>
  <c r="Q342" i="1"/>
  <c r="M342" i="1"/>
  <c r="L342" i="1"/>
  <c r="K342" i="1"/>
  <c r="H342" i="1"/>
  <c r="P342" i="1" s="1"/>
  <c r="O341" i="1"/>
  <c r="M341" i="1"/>
  <c r="L341" i="1"/>
  <c r="K341" i="1"/>
  <c r="H341" i="1"/>
  <c r="Q341" i="1" s="1"/>
  <c r="M340" i="1"/>
  <c r="N340" i="1" s="1"/>
  <c r="L340" i="1"/>
  <c r="K340" i="1"/>
  <c r="H340" i="1"/>
  <c r="P340" i="1" s="1"/>
  <c r="M339" i="1"/>
  <c r="N339" i="1" s="1"/>
  <c r="L339" i="1"/>
  <c r="K339" i="1"/>
  <c r="O339" i="1" s="1"/>
  <c r="H339" i="1"/>
  <c r="P339" i="1" s="1"/>
  <c r="M338" i="1"/>
  <c r="L338" i="1"/>
  <c r="K338" i="1"/>
  <c r="H338" i="1"/>
  <c r="Q338" i="1" s="1"/>
  <c r="M335" i="1"/>
  <c r="L335" i="1"/>
  <c r="K335" i="1"/>
  <c r="N335" i="1" s="1"/>
  <c r="H335" i="1"/>
  <c r="Q335" i="1" s="1"/>
  <c r="M334" i="1"/>
  <c r="L334" i="1"/>
  <c r="K334" i="1"/>
  <c r="H334" i="1"/>
  <c r="Q334" i="1" s="1"/>
  <c r="M333" i="1"/>
  <c r="L333" i="1"/>
  <c r="K333" i="1"/>
  <c r="H333" i="1"/>
  <c r="P333" i="1" s="1"/>
  <c r="M332" i="1"/>
  <c r="L332" i="1"/>
  <c r="K332" i="1"/>
  <c r="O332" i="1" s="1"/>
  <c r="H332" i="1"/>
  <c r="P332" i="1" s="1"/>
  <c r="M329" i="1"/>
  <c r="N329" i="1" s="1"/>
  <c r="L329" i="1"/>
  <c r="K329" i="1"/>
  <c r="H329" i="1"/>
  <c r="P329" i="1" s="1"/>
  <c r="M328" i="1"/>
  <c r="N328" i="1" s="1"/>
  <c r="L328" i="1"/>
  <c r="K328" i="1"/>
  <c r="H328" i="1"/>
  <c r="P328" i="1" s="1"/>
  <c r="N326" i="1"/>
  <c r="M326" i="1"/>
  <c r="L326" i="1"/>
  <c r="K326" i="1"/>
  <c r="H326" i="1"/>
  <c r="P326" i="1" s="1"/>
  <c r="M325" i="1"/>
  <c r="L325" i="1"/>
  <c r="N325" i="1" s="1"/>
  <c r="K325" i="1"/>
  <c r="H325" i="1"/>
  <c r="Q325" i="1" s="1"/>
  <c r="M324" i="1"/>
  <c r="L324" i="1"/>
  <c r="K324" i="1"/>
  <c r="H324" i="1"/>
  <c r="M322" i="1"/>
  <c r="L322" i="1"/>
  <c r="K322" i="1"/>
  <c r="H322" i="1"/>
  <c r="P322" i="1" s="1"/>
  <c r="M321" i="1"/>
  <c r="L321" i="1"/>
  <c r="K321" i="1"/>
  <c r="O321" i="1" s="1"/>
  <c r="H321" i="1"/>
  <c r="P321" i="1" s="1"/>
  <c r="M320" i="1"/>
  <c r="L320" i="1"/>
  <c r="K320" i="1"/>
  <c r="N320" i="1" s="1"/>
  <c r="H320" i="1"/>
  <c r="Q320" i="1" s="1"/>
  <c r="M319" i="1"/>
  <c r="L319" i="1"/>
  <c r="K319" i="1"/>
  <c r="H319" i="1"/>
  <c r="P319" i="1" s="1"/>
  <c r="P317" i="1"/>
  <c r="M317" i="1"/>
  <c r="L317" i="1"/>
  <c r="K317" i="1"/>
  <c r="N317" i="1" s="1"/>
  <c r="H317" i="1"/>
  <c r="Q317" i="1" s="1"/>
  <c r="M316" i="1"/>
  <c r="L316" i="1"/>
  <c r="K316" i="1"/>
  <c r="O316" i="1" s="1"/>
  <c r="H316" i="1"/>
  <c r="Q316" i="1" s="1"/>
  <c r="M314" i="1"/>
  <c r="L314" i="1"/>
  <c r="K314" i="1"/>
  <c r="H314" i="1"/>
  <c r="Q314" i="1" s="1"/>
  <c r="M313" i="1"/>
  <c r="L313" i="1"/>
  <c r="K313" i="1"/>
  <c r="H313" i="1"/>
  <c r="Q313" i="1" s="1"/>
  <c r="M312" i="1"/>
  <c r="L312" i="1"/>
  <c r="K312" i="1"/>
  <c r="N312" i="1" s="1"/>
  <c r="H312" i="1"/>
  <c r="O312" i="1" s="1"/>
  <c r="M309" i="1"/>
  <c r="L309" i="1"/>
  <c r="K309" i="1"/>
  <c r="N309" i="1" s="1"/>
  <c r="R309" i="1" s="1"/>
  <c r="R308" i="1" s="1"/>
  <c r="H309" i="1"/>
  <c r="Q309" i="1" s="1"/>
  <c r="Q308" i="1" s="1"/>
  <c r="M307" i="1"/>
  <c r="L307" i="1"/>
  <c r="K307" i="1"/>
  <c r="H307" i="1"/>
  <c r="Q307" i="1" s="1"/>
  <c r="Q306" i="1" s="1"/>
  <c r="M305" i="1"/>
  <c r="L305" i="1"/>
  <c r="K305" i="1"/>
  <c r="H305" i="1"/>
  <c r="P305" i="1" s="1"/>
  <c r="M304" i="1"/>
  <c r="N304" i="1" s="1"/>
  <c r="L304" i="1"/>
  <c r="K304" i="1"/>
  <c r="H304" i="1"/>
  <c r="M302" i="1"/>
  <c r="L302" i="1"/>
  <c r="K302" i="1"/>
  <c r="H302" i="1"/>
  <c r="P302" i="1" s="1"/>
  <c r="M301" i="1"/>
  <c r="L301" i="1"/>
  <c r="K301" i="1"/>
  <c r="N301" i="1" s="1"/>
  <c r="H301" i="1"/>
  <c r="M300" i="1"/>
  <c r="L300" i="1"/>
  <c r="K300" i="1"/>
  <c r="H300" i="1"/>
  <c r="O300" i="1" s="1"/>
  <c r="M299" i="1"/>
  <c r="L299" i="1"/>
  <c r="N299" i="1" s="1"/>
  <c r="K299" i="1"/>
  <c r="H299" i="1"/>
  <c r="O299" i="1" s="1"/>
  <c r="M298" i="1"/>
  <c r="L298" i="1"/>
  <c r="K298" i="1"/>
  <c r="O298" i="1" s="1"/>
  <c r="H298" i="1"/>
  <c r="Q298" i="1" s="1"/>
  <c r="N297" i="1"/>
  <c r="M297" i="1"/>
  <c r="L297" i="1"/>
  <c r="K297" i="1"/>
  <c r="H297" i="1"/>
  <c r="Q297" i="1" s="1"/>
  <c r="M295" i="1"/>
  <c r="L295" i="1"/>
  <c r="K295" i="1"/>
  <c r="H295" i="1"/>
  <c r="P295" i="1" s="1"/>
  <c r="P294" i="1" s="1"/>
  <c r="M293" i="1"/>
  <c r="L293" i="1"/>
  <c r="K293" i="1"/>
  <c r="H293" i="1"/>
  <c r="Q293" i="1" s="1"/>
  <c r="M292" i="1"/>
  <c r="L292" i="1"/>
  <c r="K292" i="1"/>
  <c r="N292" i="1" s="1"/>
  <c r="H292" i="1"/>
  <c r="O292" i="1" s="1"/>
  <c r="M289" i="1"/>
  <c r="L289" i="1"/>
  <c r="N289" i="1" s="1"/>
  <c r="K289" i="1"/>
  <c r="H289" i="1"/>
  <c r="Q289" i="1" s="1"/>
  <c r="P288" i="1"/>
  <c r="M288" i="1"/>
  <c r="L288" i="1"/>
  <c r="K288" i="1"/>
  <c r="N288" i="1" s="1"/>
  <c r="H288" i="1"/>
  <c r="M286" i="1"/>
  <c r="L286" i="1"/>
  <c r="K286" i="1"/>
  <c r="H286" i="1"/>
  <c r="M285" i="1"/>
  <c r="Q285" i="1" s="1"/>
  <c r="L285" i="1"/>
  <c r="K285" i="1"/>
  <c r="N285" i="1" s="1"/>
  <c r="H285" i="1"/>
  <c r="O285" i="1" s="1"/>
  <c r="M283" i="1"/>
  <c r="L283" i="1"/>
  <c r="K283" i="1"/>
  <c r="N283" i="1" s="1"/>
  <c r="R283" i="1" s="1"/>
  <c r="H283" i="1"/>
  <c r="Q283" i="1" s="1"/>
  <c r="M282" i="1"/>
  <c r="L282" i="1"/>
  <c r="N282" i="1" s="1"/>
  <c r="K282" i="1"/>
  <c r="H282" i="1"/>
  <c r="Q282" i="1" s="1"/>
  <c r="M280" i="1"/>
  <c r="L280" i="1"/>
  <c r="K280" i="1"/>
  <c r="H280" i="1"/>
  <c r="P280" i="1" s="1"/>
  <c r="P279" i="1"/>
  <c r="M279" i="1"/>
  <c r="L279" i="1"/>
  <c r="K279" i="1"/>
  <c r="H279" i="1"/>
  <c r="Q279" i="1" s="1"/>
  <c r="M278" i="1"/>
  <c r="L278" i="1"/>
  <c r="K278" i="1"/>
  <c r="N278" i="1" s="1"/>
  <c r="H278" i="1"/>
  <c r="M277" i="1"/>
  <c r="L277" i="1"/>
  <c r="N277" i="1" s="1"/>
  <c r="R277" i="1" s="1"/>
  <c r="K277" i="1"/>
  <c r="H277" i="1"/>
  <c r="Q277" i="1" s="1"/>
  <c r="M275" i="1"/>
  <c r="L275" i="1"/>
  <c r="K275" i="1"/>
  <c r="H275" i="1"/>
  <c r="Q275" i="1" s="1"/>
  <c r="M274" i="1"/>
  <c r="L274" i="1"/>
  <c r="K274" i="1"/>
  <c r="N274" i="1" s="1"/>
  <c r="H274" i="1"/>
  <c r="O274" i="1" s="1"/>
  <c r="M272" i="1"/>
  <c r="L272" i="1"/>
  <c r="N272" i="1" s="1"/>
  <c r="K272" i="1"/>
  <c r="H272" i="1"/>
  <c r="O272" i="1" s="1"/>
  <c r="N271" i="1"/>
  <c r="M271" i="1"/>
  <c r="L271" i="1"/>
  <c r="K271" i="1"/>
  <c r="H271" i="1"/>
  <c r="O267" i="1"/>
  <c r="O266" i="1" s="1"/>
  <c r="M267" i="1"/>
  <c r="L267" i="1"/>
  <c r="K267" i="1"/>
  <c r="N267" i="1" s="1"/>
  <c r="H267" i="1"/>
  <c r="P267" i="1" s="1"/>
  <c r="P266" i="1" s="1"/>
  <c r="M265" i="1"/>
  <c r="L265" i="1"/>
  <c r="K265" i="1"/>
  <c r="H265" i="1"/>
  <c r="O265" i="1" s="1"/>
  <c r="O264" i="1" s="1"/>
  <c r="M263" i="1"/>
  <c r="L263" i="1"/>
  <c r="K263" i="1"/>
  <c r="H263" i="1"/>
  <c r="P263" i="1" s="1"/>
  <c r="M262" i="1"/>
  <c r="L262" i="1"/>
  <c r="K262" i="1"/>
  <c r="H262" i="1"/>
  <c r="O262" i="1" s="1"/>
  <c r="M261" i="1"/>
  <c r="L261" i="1"/>
  <c r="K261" i="1"/>
  <c r="O261" i="1" s="1"/>
  <c r="H261" i="1"/>
  <c r="P261" i="1" s="1"/>
  <c r="M259" i="1"/>
  <c r="L259" i="1"/>
  <c r="K259" i="1"/>
  <c r="N259" i="1" s="1"/>
  <c r="H259" i="1"/>
  <c r="M258" i="1"/>
  <c r="L258" i="1"/>
  <c r="N258" i="1" s="1"/>
  <c r="R258" i="1" s="1"/>
  <c r="K258" i="1"/>
  <c r="H258" i="1"/>
  <c r="Q258" i="1" s="1"/>
  <c r="M257" i="1"/>
  <c r="L257" i="1"/>
  <c r="K257" i="1"/>
  <c r="H257" i="1"/>
  <c r="O257" i="1" s="1"/>
  <c r="M255" i="1"/>
  <c r="L255" i="1"/>
  <c r="K255" i="1"/>
  <c r="H255" i="1"/>
  <c r="O255" i="1" s="1"/>
  <c r="M254" i="1"/>
  <c r="L254" i="1"/>
  <c r="K254" i="1"/>
  <c r="O254" i="1" s="1"/>
  <c r="H254" i="1"/>
  <c r="P254" i="1" s="1"/>
  <c r="M253" i="1"/>
  <c r="L253" i="1"/>
  <c r="K253" i="1"/>
  <c r="N253" i="1" s="1"/>
  <c r="H253" i="1"/>
  <c r="P253" i="1" s="1"/>
  <c r="M252" i="1"/>
  <c r="L252" i="1"/>
  <c r="K252" i="1"/>
  <c r="H252" i="1"/>
  <c r="M250" i="1"/>
  <c r="L250" i="1"/>
  <c r="N250" i="1" s="1"/>
  <c r="K250" i="1"/>
  <c r="H250" i="1"/>
  <c r="O250" i="1" s="1"/>
  <c r="N249" i="1"/>
  <c r="M249" i="1"/>
  <c r="L249" i="1"/>
  <c r="K249" i="1"/>
  <c r="H249" i="1"/>
  <c r="M248" i="1"/>
  <c r="L248" i="1"/>
  <c r="K248" i="1"/>
  <c r="H248" i="1"/>
  <c r="O248" i="1" s="1"/>
  <c r="M245" i="1"/>
  <c r="L245" i="1"/>
  <c r="K245" i="1"/>
  <c r="N245" i="1" s="1"/>
  <c r="H245" i="1"/>
  <c r="M243" i="1"/>
  <c r="L243" i="1"/>
  <c r="K243" i="1"/>
  <c r="O243" i="1" s="1"/>
  <c r="O242" i="1" s="1"/>
  <c r="H243" i="1"/>
  <c r="P243" i="1" s="1"/>
  <c r="P242" i="1" s="1"/>
  <c r="M241" i="1"/>
  <c r="L241" i="1"/>
  <c r="K241" i="1"/>
  <c r="N241" i="1" s="1"/>
  <c r="H241" i="1"/>
  <c r="Q239" i="1"/>
  <c r="Q238" i="1" s="1"/>
  <c r="M239" i="1"/>
  <c r="L239" i="1"/>
  <c r="K239" i="1"/>
  <c r="H239" i="1"/>
  <c r="P239" i="1" s="1"/>
  <c r="P238" i="1" s="1"/>
  <c r="N237" i="1"/>
  <c r="M237" i="1"/>
  <c r="L237" i="1"/>
  <c r="K237" i="1"/>
  <c r="H237" i="1"/>
  <c r="M235" i="1"/>
  <c r="Q235" i="1" s="1"/>
  <c r="Q234" i="1" s="1"/>
  <c r="L235" i="1"/>
  <c r="K235" i="1"/>
  <c r="H235" i="1"/>
  <c r="M231" i="1"/>
  <c r="L231" i="1"/>
  <c r="N231" i="1" s="1"/>
  <c r="R231" i="1" s="1"/>
  <c r="R230" i="1" s="1"/>
  <c r="K231" i="1"/>
  <c r="H231" i="1"/>
  <c r="O231" i="1" s="1"/>
  <c r="O230" i="1" s="1"/>
  <c r="M229" i="1"/>
  <c r="L229" i="1"/>
  <c r="K229" i="1"/>
  <c r="H229" i="1"/>
  <c r="Q229" i="1" s="1"/>
  <c r="Q228" i="1" s="1"/>
  <c r="M227" i="1"/>
  <c r="L227" i="1"/>
  <c r="K227" i="1"/>
  <c r="H227" i="1"/>
  <c r="Q227" i="1" s="1"/>
  <c r="Q226" i="1" s="1"/>
  <c r="M225" i="1"/>
  <c r="L225" i="1"/>
  <c r="K225" i="1"/>
  <c r="N225" i="1" s="1"/>
  <c r="H225" i="1"/>
  <c r="P225" i="1" s="1"/>
  <c r="P224" i="1" s="1"/>
  <c r="M223" i="1"/>
  <c r="L223" i="1"/>
  <c r="N223" i="1" s="1"/>
  <c r="K223" i="1"/>
  <c r="H223" i="1"/>
  <c r="Q223" i="1" s="1"/>
  <c r="Q222" i="1" s="1"/>
  <c r="M221" i="1"/>
  <c r="L221" i="1"/>
  <c r="K221" i="1"/>
  <c r="H221" i="1"/>
  <c r="P221" i="1" s="1"/>
  <c r="P220" i="1" s="1"/>
  <c r="Q218" i="1"/>
  <c r="Q217" i="1" s="1"/>
  <c r="M218" i="1"/>
  <c r="L218" i="1"/>
  <c r="K218" i="1"/>
  <c r="O218" i="1" s="1"/>
  <c r="O217" i="1" s="1"/>
  <c r="H218" i="1"/>
  <c r="P218" i="1" s="1"/>
  <c r="P217" i="1" s="1"/>
  <c r="N216" i="1"/>
  <c r="M216" i="1"/>
  <c r="L216" i="1"/>
  <c r="K216" i="1"/>
  <c r="H216" i="1"/>
  <c r="M214" i="1"/>
  <c r="Q214" i="1" s="1"/>
  <c r="Q213" i="1" s="1"/>
  <c r="L214" i="1"/>
  <c r="K214" i="1"/>
  <c r="H214" i="1"/>
  <c r="M212" i="1"/>
  <c r="L212" i="1"/>
  <c r="K212" i="1"/>
  <c r="N212" i="1" s="1"/>
  <c r="H212" i="1"/>
  <c r="M211" i="1"/>
  <c r="L211" i="1"/>
  <c r="K211" i="1"/>
  <c r="H211" i="1"/>
  <c r="Q211" i="1" s="1"/>
  <c r="M209" i="1"/>
  <c r="L209" i="1"/>
  <c r="K209" i="1"/>
  <c r="N209" i="1" s="1"/>
  <c r="H209" i="1"/>
  <c r="P209" i="1" s="1"/>
  <c r="M208" i="1"/>
  <c r="L208" i="1"/>
  <c r="K208" i="1"/>
  <c r="N208" i="1" s="1"/>
  <c r="H208" i="1"/>
  <c r="M206" i="1"/>
  <c r="L206" i="1"/>
  <c r="N206" i="1" s="1"/>
  <c r="K206" i="1"/>
  <c r="H206" i="1"/>
  <c r="O206" i="1" s="1"/>
  <c r="O205" i="1" s="1"/>
  <c r="M202" i="1"/>
  <c r="L202" i="1"/>
  <c r="K202" i="1"/>
  <c r="O202" i="1" s="1"/>
  <c r="O201" i="1" s="1"/>
  <c r="H202" i="1"/>
  <c r="P202" i="1" s="1"/>
  <c r="P201" i="1" s="1"/>
  <c r="M200" i="1"/>
  <c r="L200" i="1"/>
  <c r="N200" i="1" s="1"/>
  <c r="K200" i="1"/>
  <c r="H200" i="1"/>
  <c r="M199" i="1"/>
  <c r="L199" i="1"/>
  <c r="K199" i="1"/>
  <c r="H199" i="1"/>
  <c r="Q199" i="1" s="1"/>
  <c r="M198" i="1"/>
  <c r="L198" i="1"/>
  <c r="N198" i="1" s="1"/>
  <c r="K198" i="1"/>
  <c r="H198" i="1"/>
  <c r="O198" i="1" s="1"/>
  <c r="O196" i="1"/>
  <c r="M196" i="1"/>
  <c r="L196" i="1"/>
  <c r="K196" i="1"/>
  <c r="N196" i="1" s="1"/>
  <c r="H196" i="1"/>
  <c r="M195" i="1"/>
  <c r="L195" i="1"/>
  <c r="K195" i="1"/>
  <c r="H195" i="1"/>
  <c r="P195" i="1" s="1"/>
  <c r="M193" i="1"/>
  <c r="L193" i="1"/>
  <c r="K193" i="1"/>
  <c r="N193" i="1" s="1"/>
  <c r="H193" i="1"/>
  <c r="M192" i="1"/>
  <c r="L192" i="1"/>
  <c r="K192" i="1"/>
  <c r="O192" i="1" s="1"/>
  <c r="H192" i="1"/>
  <c r="Q192" i="1" s="1"/>
  <c r="M191" i="1"/>
  <c r="L191" i="1"/>
  <c r="N191" i="1" s="1"/>
  <c r="K191" i="1"/>
  <c r="H191" i="1"/>
  <c r="O191" i="1" s="1"/>
  <c r="M189" i="1"/>
  <c r="L189" i="1"/>
  <c r="K189" i="1"/>
  <c r="N189" i="1" s="1"/>
  <c r="H189" i="1"/>
  <c r="M188" i="1"/>
  <c r="L188" i="1"/>
  <c r="K188" i="1"/>
  <c r="H188" i="1"/>
  <c r="P188" i="1" s="1"/>
  <c r="M187" i="1"/>
  <c r="L187" i="1"/>
  <c r="K187" i="1"/>
  <c r="N187" i="1" s="1"/>
  <c r="H187" i="1"/>
  <c r="P187" i="1" s="1"/>
  <c r="M185" i="1"/>
  <c r="L185" i="1"/>
  <c r="K185" i="1"/>
  <c r="H185" i="1"/>
  <c r="Q185" i="1" s="1"/>
  <c r="M184" i="1"/>
  <c r="L184" i="1"/>
  <c r="K184" i="1"/>
  <c r="H184" i="1"/>
  <c r="M183" i="1"/>
  <c r="L183" i="1"/>
  <c r="K183" i="1"/>
  <c r="N183" i="1" s="1"/>
  <c r="H183" i="1"/>
  <c r="M180" i="1"/>
  <c r="L180" i="1"/>
  <c r="N180" i="1" s="1"/>
  <c r="K180" i="1"/>
  <c r="H180" i="1"/>
  <c r="O180" i="1" s="1"/>
  <c r="O179" i="1" s="1"/>
  <c r="M178" i="1"/>
  <c r="L178" i="1"/>
  <c r="K178" i="1"/>
  <c r="N178" i="1" s="1"/>
  <c r="H178" i="1"/>
  <c r="O178" i="1" s="1"/>
  <c r="O177" i="1" s="1"/>
  <c r="M176" i="1"/>
  <c r="L176" i="1"/>
  <c r="K176" i="1"/>
  <c r="H176" i="1"/>
  <c r="M174" i="1"/>
  <c r="L174" i="1"/>
  <c r="K174" i="1"/>
  <c r="H174" i="1"/>
  <c r="M172" i="1"/>
  <c r="L172" i="1"/>
  <c r="N172" i="1" s="1"/>
  <c r="K172" i="1"/>
  <c r="H172" i="1"/>
  <c r="O172" i="1" s="1"/>
  <c r="O171" i="1" s="1"/>
  <c r="M167" i="1"/>
  <c r="L167" i="1"/>
  <c r="N167" i="1" s="1"/>
  <c r="K167" i="1"/>
  <c r="H167" i="1"/>
  <c r="O167" i="1" s="1"/>
  <c r="O166" i="1" s="1"/>
  <c r="M165" i="1"/>
  <c r="L165" i="1"/>
  <c r="K165" i="1"/>
  <c r="O165" i="1" s="1"/>
  <c r="O164" i="1" s="1"/>
  <c r="H165" i="1"/>
  <c r="M163" i="1"/>
  <c r="L163" i="1"/>
  <c r="K163" i="1"/>
  <c r="H163" i="1"/>
  <c r="M161" i="1"/>
  <c r="L161" i="1"/>
  <c r="K161" i="1"/>
  <c r="H161" i="1"/>
  <c r="M158" i="1"/>
  <c r="L158" i="1"/>
  <c r="K158" i="1"/>
  <c r="N158" i="1" s="1"/>
  <c r="H158" i="1"/>
  <c r="Q158" i="1" s="1"/>
  <c r="Q157" i="1" s="1"/>
  <c r="M156" i="1"/>
  <c r="L156" i="1"/>
  <c r="K156" i="1"/>
  <c r="H156" i="1"/>
  <c r="Q156" i="1" s="1"/>
  <c r="Q155" i="1" s="1"/>
  <c r="M154" i="1"/>
  <c r="L154" i="1"/>
  <c r="K154" i="1"/>
  <c r="N154" i="1" s="1"/>
  <c r="H154" i="1"/>
  <c r="P154" i="1" s="1"/>
  <c r="M153" i="1"/>
  <c r="L153" i="1"/>
  <c r="K153" i="1"/>
  <c r="N153" i="1" s="1"/>
  <c r="H153" i="1"/>
  <c r="O153" i="1" s="1"/>
  <c r="P151" i="1"/>
  <c r="P150" i="1" s="1"/>
  <c r="M151" i="1"/>
  <c r="L151" i="1"/>
  <c r="K151" i="1"/>
  <c r="H151" i="1"/>
  <c r="O151" i="1" s="1"/>
  <c r="O150" i="1" s="1"/>
  <c r="M147" i="1"/>
  <c r="Q147" i="1" s="1"/>
  <c r="L147" i="1"/>
  <c r="K147" i="1"/>
  <c r="O147" i="1" s="1"/>
  <c r="H147" i="1"/>
  <c r="M146" i="1"/>
  <c r="L146" i="1"/>
  <c r="K146" i="1"/>
  <c r="H146" i="1"/>
  <c r="P146" i="1" s="1"/>
  <c r="M145" i="1"/>
  <c r="L145" i="1"/>
  <c r="K145" i="1"/>
  <c r="H145" i="1"/>
  <c r="M144" i="1"/>
  <c r="L144" i="1"/>
  <c r="K144" i="1"/>
  <c r="O144" i="1" s="1"/>
  <c r="H144" i="1"/>
  <c r="P144" i="1" s="1"/>
  <c r="M142" i="1"/>
  <c r="L142" i="1"/>
  <c r="K142" i="1"/>
  <c r="N142" i="1" s="1"/>
  <c r="H142" i="1"/>
  <c r="M141" i="1"/>
  <c r="L141" i="1"/>
  <c r="N141" i="1" s="1"/>
  <c r="R141" i="1" s="1"/>
  <c r="K141" i="1"/>
  <c r="H141" i="1"/>
  <c r="Q141" i="1" s="1"/>
  <c r="M140" i="1"/>
  <c r="L140" i="1"/>
  <c r="K140" i="1"/>
  <c r="H140" i="1"/>
  <c r="P140" i="1" s="1"/>
  <c r="M138" i="1"/>
  <c r="L138" i="1"/>
  <c r="K138" i="1"/>
  <c r="N138" i="1" s="1"/>
  <c r="H138" i="1"/>
  <c r="M137" i="1"/>
  <c r="L137" i="1"/>
  <c r="K137" i="1"/>
  <c r="H137" i="1"/>
  <c r="P137" i="1" s="1"/>
  <c r="M136" i="1"/>
  <c r="L136" i="1"/>
  <c r="K136" i="1"/>
  <c r="N136" i="1" s="1"/>
  <c r="H136" i="1"/>
  <c r="P136" i="1" s="1"/>
  <c r="M134" i="1"/>
  <c r="L134" i="1"/>
  <c r="N134" i="1" s="1"/>
  <c r="K134" i="1"/>
  <c r="H134" i="1"/>
  <c r="Q134" i="1" s="1"/>
  <c r="M133" i="1"/>
  <c r="L133" i="1"/>
  <c r="N133" i="1" s="1"/>
  <c r="K133" i="1"/>
  <c r="H133" i="1"/>
  <c r="O133" i="1" s="1"/>
  <c r="M132" i="1"/>
  <c r="L132" i="1"/>
  <c r="K132" i="1"/>
  <c r="N132" i="1" s="1"/>
  <c r="H132" i="1"/>
  <c r="M129" i="1"/>
  <c r="L129" i="1"/>
  <c r="K129" i="1"/>
  <c r="H129" i="1"/>
  <c r="O129" i="1" s="1"/>
  <c r="O128" i="1" s="1"/>
  <c r="M127" i="1"/>
  <c r="L127" i="1"/>
  <c r="K127" i="1"/>
  <c r="N127" i="1" s="1"/>
  <c r="H127" i="1"/>
  <c r="M125" i="1"/>
  <c r="L125" i="1"/>
  <c r="N125" i="1" s="1"/>
  <c r="K125" i="1"/>
  <c r="H125" i="1"/>
  <c r="O125" i="1" s="1"/>
  <c r="O124" i="1" s="1"/>
  <c r="M123" i="1"/>
  <c r="L123" i="1"/>
  <c r="K123" i="1"/>
  <c r="N123" i="1" s="1"/>
  <c r="H123" i="1"/>
  <c r="O123" i="1" s="1"/>
  <c r="O122" i="1" s="1"/>
  <c r="N119" i="1"/>
  <c r="M119" i="1"/>
  <c r="L119" i="1"/>
  <c r="K119" i="1"/>
  <c r="H119" i="1"/>
  <c r="M118" i="1"/>
  <c r="L118" i="1"/>
  <c r="K118" i="1"/>
  <c r="H118" i="1"/>
  <c r="O118" i="1" s="1"/>
  <c r="M116" i="1"/>
  <c r="L116" i="1"/>
  <c r="K116" i="1"/>
  <c r="N116" i="1" s="1"/>
  <c r="H116" i="1"/>
  <c r="P116" i="1" s="1"/>
  <c r="M115" i="1"/>
  <c r="L115" i="1"/>
  <c r="K115" i="1"/>
  <c r="N115" i="1" s="1"/>
  <c r="H115" i="1"/>
  <c r="M114" i="1"/>
  <c r="L114" i="1"/>
  <c r="K114" i="1"/>
  <c r="H114" i="1"/>
  <c r="P114" i="1" s="1"/>
  <c r="M113" i="1"/>
  <c r="L113" i="1"/>
  <c r="K113" i="1"/>
  <c r="N113" i="1" s="1"/>
  <c r="H113" i="1"/>
  <c r="P113" i="1" s="1"/>
  <c r="M108" i="1"/>
  <c r="L108" i="1"/>
  <c r="K108" i="1"/>
  <c r="N108" i="1" s="1"/>
  <c r="H108" i="1"/>
  <c r="P108" i="1" s="1"/>
  <c r="M107" i="1"/>
  <c r="L107" i="1"/>
  <c r="K107" i="1"/>
  <c r="N107" i="1" s="1"/>
  <c r="H107" i="1"/>
  <c r="O107" i="1" s="1"/>
  <c r="M106" i="1"/>
  <c r="L106" i="1"/>
  <c r="K106" i="1"/>
  <c r="H106" i="1"/>
  <c r="P106" i="1" s="1"/>
  <c r="M105" i="1"/>
  <c r="L105" i="1"/>
  <c r="K105" i="1"/>
  <c r="N105" i="1" s="1"/>
  <c r="H105" i="1"/>
  <c r="P105" i="1" s="1"/>
  <c r="M104" i="1"/>
  <c r="L104" i="1"/>
  <c r="K104" i="1"/>
  <c r="N104" i="1" s="1"/>
  <c r="H104" i="1"/>
  <c r="O104" i="1" s="1"/>
  <c r="Q103" i="1"/>
  <c r="M103" i="1"/>
  <c r="L103" i="1"/>
  <c r="K103" i="1"/>
  <c r="O103" i="1" s="1"/>
  <c r="H103" i="1"/>
  <c r="P103" i="1" s="1"/>
  <c r="M102" i="1"/>
  <c r="L102" i="1"/>
  <c r="K102" i="1"/>
  <c r="N102" i="1" s="1"/>
  <c r="H102" i="1"/>
  <c r="P102" i="1" s="1"/>
  <c r="M101" i="1"/>
  <c r="L101" i="1"/>
  <c r="K101" i="1"/>
  <c r="N101" i="1" s="1"/>
  <c r="H101" i="1"/>
  <c r="M99" i="1"/>
  <c r="L99" i="1"/>
  <c r="N99" i="1" s="1"/>
  <c r="K99" i="1"/>
  <c r="H99" i="1"/>
  <c r="O99" i="1" s="1"/>
  <c r="N98" i="1"/>
  <c r="M98" i="1"/>
  <c r="L98" i="1"/>
  <c r="K98" i="1"/>
  <c r="H98" i="1"/>
  <c r="M96" i="1"/>
  <c r="L96" i="1"/>
  <c r="K96" i="1"/>
  <c r="O96" i="1" s="1"/>
  <c r="H96" i="1"/>
  <c r="Q96" i="1" s="1"/>
  <c r="M95" i="1"/>
  <c r="L95" i="1"/>
  <c r="K95" i="1"/>
  <c r="H95" i="1"/>
  <c r="Q95" i="1" s="1"/>
  <c r="M94" i="1"/>
  <c r="L94" i="1"/>
  <c r="K94" i="1"/>
  <c r="N94" i="1" s="1"/>
  <c r="H94" i="1"/>
  <c r="O94" i="1" s="1"/>
  <c r="M93" i="1"/>
  <c r="L93" i="1"/>
  <c r="K93" i="1"/>
  <c r="H93" i="1"/>
  <c r="P93" i="1" s="1"/>
  <c r="M92" i="1"/>
  <c r="L92" i="1"/>
  <c r="K92" i="1"/>
  <c r="N92" i="1" s="1"/>
  <c r="H92" i="1"/>
  <c r="P92" i="1" s="1"/>
  <c r="M91" i="1"/>
  <c r="L91" i="1"/>
  <c r="K91" i="1"/>
  <c r="N91" i="1" s="1"/>
  <c r="H91" i="1"/>
  <c r="R91" i="1" s="1"/>
  <c r="Q90" i="1"/>
  <c r="M90" i="1"/>
  <c r="L90" i="1"/>
  <c r="K90" i="1"/>
  <c r="H90" i="1"/>
  <c r="P90" i="1" s="1"/>
  <c r="M88" i="1"/>
  <c r="L88" i="1"/>
  <c r="K88" i="1"/>
  <c r="N88" i="1" s="1"/>
  <c r="H88" i="1"/>
  <c r="M87" i="1"/>
  <c r="L87" i="1"/>
  <c r="N87" i="1" s="1"/>
  <c r="R87" i="1" s="1"/>
  <c r="K87" i="1"/>
  <c r="H87" i="1"/>
  <c r="Q87" i="1" s="1"/>
  <c r="M86" i="1"/>
  <c r="L86" i="1"/>
  <c r="N86" i="1" s="1"/>
  <c r="K86" i="1"/>
  <c r="H86" i="1"/>
  <c r="O86" i="1" s="1"/>
  <c r="M85" i="1"/>
  <c r="L85" i="1"/>
  <c r="K85" i="1"/>
  <c r="N85" i="1" s="1"/>
  <c r="H85" i="1"/>
  <c r="O84" i="1"/>
  <c r="M84" i="1"/>
  <c r="L84" i="1"/>
  <c r="N84" i="1" s="1"/>
  <c r="R84" i="1" s="1"/>
  <c r="K84" i="1"/>
  <c r="H84" i="1"/>
  <c r="Q84" i="1" s="1"/>
  <c r="M83" i="1"/>
  <c r="L83" i="1"/>
  <c r="N83" i="1" s="1"/>
  <c r="K83" i="1"/>
  <c r="H83" i="1"/>
  <c r="O83" i="1" s="1"/>
  <c r="M81" i="1"/>
  <c r="L81" i="1"/>
  <c r="K81" i="1"/>
  <c r="N81" i="1" s="1"/>
  <c r="H81" i="1"/>
  <c r="O81" i="1" s="1"/>
  <c r="M80" i="1"/>
  <c r="L80" i="1"/>
  <c r="K80" i="1"/>
  <c r="H80" i="1"/>
  <c r="P80" i="1" s="1"/>
  <c r="M79" i="1"/>
  <c r="L79" i="1"/>
  <c r="K79" i="1"/>
  <c r="N79" i="1" s="1"/>
  <c r="H79" i="1"/>
  <c r="P79" i="1" s="1"/>
  <c r="M78" i="1"/>
  <c r="L78" i="1"/>
  <c r="K78" i="1"/>
  <c r="H78" i="1"/>
  <c r="Q77" i="1"/>
  <c r="M77" i="1"/>
  <c r="L77" i="1"/>
  <c r="K77" i="1"/>
  <c r="H77" i="1"/>
  <c r="P77" i="1" s="1"/>
  <c r="M75" i="1"/>
  <c r="L75" i="1"/>
  <c r="K75" i="1"/>
  <c r="N75" i="1" s="1"/>
  <c r="H75" i="1"/>
  <c r="M73" i="1"/>
  <c r="L73" i="1"/>
  <c r="K73" i="1"/>
  <c r="O73" i="1" s="1"/>
  <c r="H73" i="1"/>
  <c r="Q73" i="1" s="1"/>
  <c r="M72" i="1"/>
  <c r="L72" i="1"/>
  <c r="K72" i="1"/>
  <c r="H72" i="1"/>
  <c r="Q72" i="1" s="1"/>
  <c r="M71" i="1"/>
  <c r="L71" i="1"/>
  <c r="K71" i="1"/>
  <c r="N71" i="1" s="1"/>
  <c r="H71" i="1"/>
  <c r="O71" i="1" s="1"/>
  <c r="M69" i="1"/>
  <c r="L69" i="1"/>
  <c r="K69" i="1"/>
  <c r="H69" i="1"/>
  <c r="O69" i="1" s="1"/>
  <c r="N68" i="1"/>
  <c r="M68" i="1"/>
  <c r="L68" i="1"/>
  <c r="K68" i="1"/>
  <c r="H68" i="1"/>
  <c r="M67" i="1"/>
  <c r="L67" i="1"/>
  <c r="K67" i="1"/>
  <c r="H67" i="1"/>
  <c r="O67" i="1" s="1"/>
  <c r="M66" i="1"/>
  <c r="L66" i="1"/>
  <c r="K66" i="1"/>
  <c r="H66" i="1"/>
  <c r="M63" i="1"/>
  <c r="L63" i="1"/>
  <c r="N63" i="1" s="1"/>
  <c r="K63" i="1"/>
  <c r="H63" i="1"/>
  <c r="Q63" i="1" s="1"/>
  <c r="M62" i="1"/>
  <c r="L62" i="1"/>
  <c r="K62" i="1"/>
  <c r="H62" i="1"/>
  <c r="N61" i="1"/>
  <c r="M61" i="1"/>
  <c r="L61" i="1"/>
  <c r="K61" i="1"/>
  <c r="H61" i="1"/>
  <c r="M58" i="1"/>
  <c r="L58" i="1"/>
  <c r="N58" i="1" s="1"/>
  <c r="K58" i="1"/>
  <c r="H58" i="1"/>
  <c r="O58" i="1" s="1"/>
  <c r="M57" i="1"/>
  <c r="L57" i="1"/>
  <c r="K57" i="1"/>
  <c r="N57" i="1" s="1"/>
  <c r="H57" i="1"/>
  <c r="M55" i="1"/>
  <c r="L55" i="1"/>
  <c r="K55" i="1"/>
  <c r="H55" i="1"/>
  <c r="P55" i="1" s="1"/>
  <c r="M54" i="1"/>
  <c r="L54" i="1"/>
  <c r="K54" i="1"/>
  <c r="N54" i="1" s="1"/>
  <c r="H54" i="1"/>
  <c r="P54" i="1" s="1"/>
  <c r="M52" i="1"/>
  <c r="L52" i="1"/>
  <c r="N52" i="1" s="1"/>
  <c r="R52" i="1" s="1"/>
  <c r="K52" i="1"/>
  <c r="H52" i="1"/>
  <c r="Q52" i="1" s="1"/>
  <c r="M51" i="1"/>
  <c r="L51" i="1"/>
  <c r="K51" i="1"/>
  <c r="H51" i="1"/>
  <c r="O51" i="1" s="1"/>
  <c r="M50" i="1"/>
  <c r="L50" i="1"/>
  <c r="K50" i="1"/>
  <c r="N50" i="1" s="1"/>
  <c r="H50" i="1"/>
  <c r="M47" i="1"/>
  <c r="L47" i="1"/>
  <c r="K47" i="1"/>
  <c r="H47" i="1"/>
  <c r="O47" i="1" s="1"/>
  <c r="O46" i="1" s="1"/>
  <c r="M45" i="1"/>
  <c r="L45" i="1"/>
  <c r="K45" i="1"/>
  <c r="N45" i="1" s="1"/>
  <c r="H45" i="1"/>
  <c r="M43" i="1"/>
  <c r="L43" i="1"/>
  <c r="K43" i="1"/>
  <c r="H43" i="1"/>
  <c r="O43" i="1" s="1"/>
  <c r="O42" i="1" s="1"/>
  <c r="M40" i="1"/>
  <c r="L40" i="1"/>
  <c r="N40" i="1" s="1"/>
  <c r="R40" i="1" s="1"/>
  <c r="K40" i="1"/>
  <c r="H40" i="1"/>
  <c r="Q40" i="1" s="1"/>
  <c r="M39" i="1"/>
  <c r="L39" i="1"/>
  <c r="N39" i="1" s="1"/>
  <c r="K39" i="1"/>
  <c r="H39" i="1"/>
  <c r="O39" i="1" s="1"/>
  <c r="M38" i="1"/>
  <c r="L38" i="1"/>
  <c r="K38" i="1"/>
  <c r="N38" i="1" s="1"/>
  <c r="H38" i="1"/>
  <c r="O37" i="1"/>
  <c r="M37" i="1"/>
  <c r="L37" i="1"/>
  <c r="K37" i="1"/>
  <c r="H37" i="1"/>
  <c r="Q37" i="1" s="1"/>
  <c r="M36" i="1"/>
  <c r="L36" i="1"/>
  <c r="N36" i="1" s="1"/>
  <c r="K36" i="1"/>
  <c r="H36" i="1"/>
  <c r="O36" i="1" s="1"/>
  <c r="M35" i="1"/>
  <c r="L35" i="1"/>
  <c r="K35" i="1"/>
  <c r="N35" i="1" s="1"/>
  <c r="H35" i="1"/>
  <c r="M34" i="1"/>
  <c r="L34" i="1"/>
  <c r="N34" i="1" s="1"/>
  <c r="K34" i="1"/>
  <c r="H34" i="1"/>
  <c r="Q34" i="1" s="1"/>
  <c r="M33" i="1"/>
  <c r="L33" i="1"/>
  <c r="N33" i="1" s="1"/>
  <c r="K33" i="1"/>
  <c r="H33" i="1"/>
  <c r="O33" i="1" s="1"/>
  <c r="M32" i="1"/>
  <c r="L32" i="1"/>
  <c r="K32" i="1"/>
  <c r="N32" i="1" s="1"/>
  <c r="H32" i="1"/>
  <c r="O31" i="1"/>
  <c r="M31" i="1"/>
  <c r="L31" i="1"/>
  <c r="N31" i="1" s="1"/>
  <c r="R31" i="1" s="1"/>
  <c r="K31" i="1"/>
  <c r="H31" i="1"/>
  <c r="Q31" i="1" s="1"/>
  <c r="M30" i="1"/>
  <c r="L30" i="1"/>
  <c r="N30" i="1" s="1"/>
  <c r="K30" i="1"/>
  <c r="H30" i="1"/>
  <c r="O30" i="1" s="1"/>
  <c r="M29" i="1"/>
  <c r="L29" i="1"/>
  <c r="N29" i="1" s="1"/>
  <c r="K29" i="1"/>
  <c r="H29" i="1"/>
  <c r="P29" i="1" s="1"/>
  <c r="M28" i="1"/>
  <c r="L28" i="1"/>
  <c r="K28" i="1"/>
  <c r="H28" i="1"/>
  <c r="M27" i="1"/>
  <c r="L27" i="1"/>
  <c r="K27" i="1"/>
  <c r="H27" i="1"/>
  <c r="M26" i="1"/>
  <c r="L26" i="1"/>
  <c r="N26" i="1" s="1"/>
  <c r="K26" i="1"/>
  <c r="H26" i="1"/>
  <c r="M25" i="1"/>
  <c r="L25" i="1"/>
  <c r="K25" i="1"/>
  <c r="H25" i="1"/>
  <c r="O25" i="1" s="1"/>
  <c r="M23" i="1"/>
  <c r="L23" i="1"/>
  <c r="K23" i="1"/>
  <c r="N23" i="1" s="1"/>
  <c r="H23" i="1"/>
  <c r="P23" i="1" s="1"/>
  <c r="M22" i="1"/>
  <c r="L22" i="1"/>
  <c r="K22" i="1"/>
  <c r="H22" i="1"/>
  <c r="M21" i="1"/>
  <c r="L21" i="1"/>
  <c r="K21" i="1"/>
  <c r="O21" i="1" s="1"/>
  <c r="H21" i="1"/>
  <c r="P21" i="1" s="1"/>
  <c r="Q20" i="1"/>
  <c r="M20" i="1"/>
  <c r="L20" i="1"/>
  <c r="K20" i="1"/>
  <c r="N20" i="1" s="1"/>
  <c r="H20" i="1"/>
  <c r="P20" i="1" s="1"/>
  <c r="O19" i="1"/>
  <c r="M19" i="1"/>
  <c r="L19" i="1"/>
  <c r="K19" i="1"/>
  <c r="N19" i="1" s="1"/>
  <c r="H19" i="1"/>
  <c r="M17" i="1"/>
  <c r="L17" i="1"/>
  <c r="N17" i="1" s="1"/>
  <c r="K17" i="1"/>
  <c r="H17" i="1"/>
  <c r="O17" i="1" s="1"/>
  <c r="M16" i="1"/>
  <c r="L16" i="1"/>
  <c r="K16" i="1"/>
  <c r="N16" i="1" s="1"/>
  <c r="H16" i="1"/>
  <c r="M15" i="1"/>
  <c r="L15" i="1"/>
  <c r="N15" i="1" s="1"/>
  <c r="K15" i="1"/>
  <c r="H15" i="1"/>
  <c r="Q15" i="1" s="1"/>
  <c r="M14" i="1"/>
  <c r="L14" i="1"/>
  <c r="N14" i="1" s="1"/>
  <c r="K14" i="1"/>
  <c r="H14" i="1"/>
  <c r="O14" i="1" s="1"/>
  <c r="R138" i="1" l="1"/>
  <c r="R208" i="1"/>
  <c r="R345" i="1"/>
  <c r="P409" i="1"/>
  <c r="P408" i="1" s="1"/>
  <c r="R1157" i="1"/>
  <c r="Q2119" i="1"/>
  <c r="R19" i="1"/>
  <c r="R101" i="1"/>
  <c r="Q657" i="1"/>
  <c r="R731" i="1"/>
  <c r="R730" i="1" s="1"/>
  <c r="R978" i="1"/>
  <c r="R2086" i="1"/>
  <c r="R2085" i="1" s="1"/>
  <c r="O614" i="1"/>
  <c r="P53" i="1"/>
  <c r="N22" i="1"/>
  <c r="N25" i="1"/>
  <c r="R25" i="1" s="1"/>
  <c r="Q28" i="1"/>
  <c r="R45" i="1"/>
  <c r="R44" i="1" s="1"/>
  <c r="O55" i="1"/>
  <c r="O62" i="1"/>
  <c r="N66" i="1"/>
  <c r="O80" i="1"/>
  <c r="O93" i="1"/>
  <c r="Q108" i="1"/>
  <c r="Q113" i="1"/>
  <c r="R115" i="1"/>
  <c r="P125" i="1"/>
  <c r="P124" i="1" s="1"/>
  <c r="N140" i="1"/>
  <c r="N146" i="1"/>
  <c r="N151" i="1"/>
  <c r="R151" i="1" s="1"/>
  <c r="R150" i="1" s="1"/>
  <c r="O154" i="1"/>
  <c r="O152" i="1" s="1"/>
  <c r="O156" i="1"/>
  <c r="O155" i="1" s="1"/>
  <c r="O163" i="1"/>
  <c r="O162" i="1" s="1"/>
  <c r="N174" i="1"/>
  <c r="N176" i="1"/>
  <c r="O187" i="1"/>
  <c r="Q188" i="1"/>
  <c r="Q281" i="1"/>
  <c r="Q721" i="1"/>
  <c r="P721" i="1"/>
  <c r="R34" i="1"/>
  <c r="O40" i="1"/>
  <c r="N47" i="1"/>
  <c r="R63" i="1"/>
  <c r="O72" i="1"/>
  <c r="N78" i="1"/>
  <c r="R78" i="1" s="1"/>
  <c r="O87" i="1"/>
  <c r="O95" i="1"/>
  <c r="O105" i="1"/>
  <c r="Q106" i="1"/>
  <c r="N118" i="1"/>
  <c r="R118" i="1" s="1"/>
  <c r="R127" i="1"/>
  <c r="R126" i="1" s="1"/>
  <c r="O137" i="1"/>
  <c r="O141" i="1"/>
  <c r="N145" i="1"/>
  <c r="R145" i="1" s="1"/>
  <c r="Q154" i="1"/>
  <c r="P158" i="1"/>
  <c r="P157" i="1" s="1"/>
  <c r="N184" i="1"/>
  <c r="O185" i="1"/>
  <c r="Q187" i="1"/>
  <c r="R189" i="1"/>
  <c r="N192" i="1"/>
  <c r="R192" i="1" s="1"/>
  <c r="Q195" i="1"/>
  <c r="N199" i="1"/>
  <c r="R199" i="1" s="1"/>
  <c r="Q202" i="1"/>
  <c r="Q201" i="1" s="1"/>
  <c r="N211" i="1"/>
  <c r="R211" i="1" s="1"/>
  <c r="N221" i="1"/>
  <c r="N227" i="1"/>
  <c r="R227" i="1" s="1"/>
  <c r="R226" i="1" s="1"/>
  <c r="N252" i="1"/>
  <c r="R252" i="1" s="1"/>
  <c r="O263" i="1"/>
  <c r="O260" i="1" s="1"/>
  <c r="Q267" i="1"/>
  <c r="Q266" i="1" s="1"/>
  <c r="N286" i="1"/>
  <c r="R286" i="1" s="1"/>
  <c r="N293" i="1"/>
  <c r="N307" i="1"/>
  <c r="O314" i="1"/>
  <c r="R320" i="1"/>
  <c r="N322" i="1"/>
  <c r="O326" i="1"/>
  <c r="O328" i="1"/>
  <c r="O348" i="1"/>
  <c r="N353" i="1"/>
  <c r="Q356" i="1"/>
  <c r="N363" i="1"/>
  <c r="Q376" i="1"/>
  <c r="N398" i="1"/>
  <c r="R398" i="1" s="1"/>
  <c r="Q405" i="1"/>
  <c r="O411" i="1"/>
  <c r="O410" i="1" s="1"/>
  <c r="R422" i="1"/>
  <c r="N424" i="1"/>
  <c r="O438" i="1"/>
  <c r="R444" i="1"/>
  <c r="Q445" i="1"/>
  <c r="O449" i="1"/>
  <c r="O456" i="1"/>
  <c r="Q476" i="1"/>
  <c r="N497" i="1"/>
  <c r="R497" i="1" s="1"/>
  <c r="P501" i="1"/>
  <c r="P500" i="1" s="1"/>
  <c r="O518" i="1"/>
  <c r="N531" i="1"/>
  <c r="R531" i="1" s="1"/>
  <c r="N544" i="1"/>
  <c r="Q563" i="1"/>
  <c r="P567" i="1"/>
  <c r="P566" i="1" s="1"/>
  <c r="P565" i="1" s="1"/>
  <c r="Q576" i="1"/>
  <c r="Q575" i="1" s="1"/>
  <c r="Q574" i="1" s="1"/>
  <c r="P583" i="1"/>
  <c r="P582" i="1" s="1"/>
  <c r="P585" i="1"/>
  <c r="P584" i="1" s="1"/>
  <c r="O587" i="1"/>
  <c r="O586" i="1" s="1"/>
  <c r="N589" i="1"/>
  <c r="Q611" i="1"/>
  <c r="Q610" i="1" s="1"/>
  <c r="Q616" i="1"/>
  <c r="Q615" i="1" s="1"/>
  <c r="Q636" i="1"/>
  <c r="Q635" i="1" s="1"/>
  <c r="P642" i="1"/>
  <c r="P641" i="1" s="1"/>
  <c r="P644" i="1"/>
  <c r="P643" i="1" s="1"/>
  <c r="O646" i="1"/>
  <c r="O645" i="1" s="1"/>
  <c r="N648" i="1"/>
  <c r="R648" i="1" s="1"/>
  <c r="R647" i="1" s="1"/>
  <c r="P659" i="1"/>
  <c r="P658" i="1" s="1"/>
  <c r="P661" i="1"/>
  <c r="P660" i="1" s="1"/>
  <c r="P673" i="1"/>
  <c r="P672" i="1" s="1"/>
  <c r="N695" i="1"/>
  <c r="R695" i="1" s="1"/>
  <c r="R694" i="1" s="1"/>
  <c r="N728" i="1"/>
  <c r="R22" i="1"/>
  <c r="R15" i="1"/>
  <c r="O23" i="1"/>
  <c r="O27" i="1"/>
  <c r="N28" i="1"/>
  <c r="R28" i="1" s="1"/>
  <c r="N62" i="1"/>
  <c r="Q67" i="1"/>
  <c r="N69" i="1"/>
  <c r="O77" i="1"/>
  <c r="O90" i="1"/>
  <c r="Q105" i="1"/>
  <c r="O114" i="1"/>
  <c r="N129" i="1"/>
  <c r="R129" i="1" s="1"/>
  <c r="R128" i="1" s="1"/>
  <c r="N161" i="1"/>
  <c r="R161" i="1" s="1"/>
  <c r="R160" i="1" s="1"/>
  <c r="N163" i="1"/>
  <c r="R223" i="1"/>
  <c r="R222" i="1" s="1"/>
  <c r="O229" i="1"/>
  <c r="O228" i="1" s="1"/>
  <c r="O239" i="1"/>
  <c r="O238" i="1" s="1"/>
  <c r="Q263" i="1"/>
  <c r="O275" i="1"/>
  <c r="O273" i="1" s="1"/>
  <c r="O277" i="1"/>
  <c r="N300" i="1"/>
  <c r="R300" i="1" s="1"/>
  <c r="Q304" i="1"/>
  <c r="P313" i="1"/>
  <c r="N333" i="1"/>
  <c r="R333" i="1" s="1"/>
  <c r="O334" i="1"/>
  <c r="O338" i="1"/>
  <c r="Q339" i="1"/>
  <c r="O342" i="1"/>
  <c r="O346" i="1"/>
  <c r="Q349" i="1"/>
  <c r="Q347" i="1" s="1"/>
  <c r="N360" i="1"/>
  <c r="O361" i="1"/>
  <c r="N372" i="1"/>
  <c r="Q374" i="1"/>
  <c r="N381" i="1"/>
  <c r="Q385" i="1"/>
  <c r="O396" i="1"/>
  <c r="O404" i="1"/>
  <c r="N464" i="1"/>
  <c r="N470" i="1"/>
  <c r="Q474" i="1"/>
  <c r="N478" i="1"/>
  <c r="R478" i="1" s="1"/>
  <c r="O482" i="1"/>
  <c r="O481" i="1" s="1"/>
  <c r="Q487" i="1"/>
  <c r="N495" i="1"/>
  <c r="R495" i="1" s="1"/>
  <c r="P507" i="1"/>
  <c r="Q509" i="1"/>
  <c r="Q517" i="1"/>
  <c r="Q516" i="1" s="1"/>
  <c r="Q524" i="1"/>
  <c r="N526" i="1"/>
  <c r="R526" i="1" s="1"/>
  <c r="Q547" i="1"/>
  <c r="Q549" i="1"/>
  <c r="N551" i="1"/>
  <c r="P561" i="1"/>
  <c r="N563" i="1"/>
  <c r="R563" i="1" s="1"/>
  <c r="N567" i="1"/>
  <c r="R567" i="1" s="1"/>
  <c r="R566" i="1" s="1"/>
  <c r="R565" i="1" s="1"/>
  <c r="N570" i="1"/>
  <c r="N573" i="1"/>
  <c r="P581" i="1"/>
  <c r="P580" i="1" s="1"/>
  <c r="O583" i="1"/>
  <c r="O582" i="1" s="1"/>
  <c r="N585" i="1"/>
  <c r="R585" i="1" s="1"/>
  <c r="R584" i="1" s="1"/>
  <c r="N597" i="1"/>
  <c r="O603" i="1"/>
  <c r="O602" i="1" s="1"/>
  <c r="O601" i="1" s="1"/>
  <c r="O600" i="1" s="1"/>
  <c r="Q607" i="1"/>
  <c r="Q606" i="1" s="1"/>
  <c r="N611" i="1"/>
  <c r="N616" i="1"/>
  <c r="R616" i="1" s="1"/>
  <c r="R615" i="1" s="1"/>
  <c r="N618" i="1"/>
  <c r="R618" i="1" s="1"/>
  <c r="R617" i="1" s="1"/>
  <c r="N627" i="1"/>
  <c r="Q634" i="1"/>
  <c r="Q633" i="1" s="1"/>
  <c r="P638" i="1"/>
  <c r="O642" i="1"/>
  <c r="O641" i="1" s="1"/>
  <c r="N644" i="1"/>
  <c r="R644" i="1" s="1"/>
  <c r="R643" i="1" s="1"/>
  <c r="N656" i="1"/>
  <c r="O659" i="1"/>
  <c r="O658" i="1" s="1"/>
  <c r="N661" i="1"/>
  <c r="R661" i="1" s="1"/>
  <c r="R660" i="1" s="1"/>
  <c r="N664" i="1"/>
  <c r="N673" i="1"/>
  <c r="N675" i="1"/>
  <c r="R675" i="1" s="1"/>
  <c r="R674" i="1" s="1"/>
  <c r="R669" i="1" s="1"/>
  <c r="O679" i="1"/>
  <c r="O678" i="1" s="1"/>
  <c r="O677" i="1" s="1"/>
  <c r="Q683" i="1"/>
  <c r="Q682" i="1" s="1"/>
  <c r="P720" i="1"/>
  <c r="O720" i="1"/>
  <c r="O15" i="1"/>
  <c r="O22" i="1"/>
  <c r="Q23" i="1"/>
  <c r="O34" i="1"/>
  <c r="N37" i="1"/>
  <c r="R37" i="1" s="1"/>
  <c r="O54" i="1"/>
  <c r="Q55" i="1"/>
  <c r="O63" i="1"/>
  <c r="P72" i="1"/>
  <c r="P73" i="1"/>
  <c r="O79" i="1"/>
  <c r="Q80" i="1"/>
  <c r="O92" i="1"/>
  <c r="Q93" i="1"/>
  <c r="P95" i="1"/>
  <c r="P96" i="1"/>
  <c r="O102" i="1"/>
  <c r="O116" i="1"/>
  <c r="R134" i="1"/>
  <c r="O138" i="1"/>
  <c r="O146" i="1"/>
  <c r="O174" i="1"/>
  <c r="O173" i="1" s="1"/>
  <c r="O188" i="1"/>
  <c r="O199" i="1"/>
  <c r="O209" i="1"/>
  <c r="O211" i="1"/>
  <c r="P214" i="1"/>
  <c r="P213" i="1" s="1"/>
  <c r="O225" i="1"/>
  <c r="O224" i="1" s="1"/>
  <c r="O227" i="1"/>
  <c r="O226" i="1" s="1"/>
  <c r="P235" i="1"/>
  <c r="P234" i="1" s="1"/>
  <c r="Q243" i="1"/>
  <c r="Q242" i="1" s="1"/>
  <c r="Q248" i="1"/>
  <c r="O253" i="1"/>
  <c r="Q254" i="1"/>
  <c r="Q261" i="1"/>
  <c r="Q265" i="1"/>
  <c r="Q264" i="1" s="1"/>
  <c r="O283" i="1"/>
  <c r="Q295" i="1"/>
  <c r="Q294" i="1" s="1"/>
  <c r="O307" i="1"/>
  <c r="O306" i="1" s="1"/>
  <c r="P309" i="1"/>
  <c r="P308" i="1" s="1"/>
  <c r="Q321" i="1"/>
  <c r="N332" i="1"/>
  <c r="Q348" i="1"/>
  <c r="O353" i="1"/>
  <c r="N359" i="1"/>
  <c r="Q379" i="1"/>
  <c r="Q393" i="1"/>
  <c r="O402" i="1"/>
  <c r="O401" i="1" s="1"/>
  <c r="Q418" i="1"/>
  <c r="O424" i="1"/>
  <c r="N439" i="1"/>
  <c r="O445" i="1"/>
  <c r="Q453" i="1"/>
  <c r="Q484" i="1"/>
  <c r="Q506" i="1"/>
  <c r="Q515" i="1"/>
  <c r="Q514" i="1" s="1"/>
  <c r="N532" i="1"/>
  <c r="Q560" i="1"/>
  <c r="R595" i="1"/>
  <c r="R594" i="1" s="1"/>
  <c r="R625" i="1"/>
  <c r="R624" i="1" s="1"/>
  <c r="R654" i="1"/>
  <c r="R653" i="1" s="1"/>
  <c r="O666" i="1"/>
  <c r="O665" i="1" s="1"/>
  <c r="O662" i="1" s="1"/>
  <c r="R671" i="1"/>
  <c r="R670" i="1" s="1"/>
  <c r="O716" i="1"/>
  <c r="O715" i="1" s="1"/>
  <c r="O20" i="1"/>
  <c r="Q21" i="1"/>
  <c r="Q25" i="1"/>
  <c r="N27" i="1"/>
  <c r="R27" i="1" s="1"/>
  <c r="O28" i="1"/>
  <c r="N43" i="1"/>
  <c r="O45" i="1"/>
  <c r="O44" i="1" s="1"/>
  <c r="O41" i="1" s="1"/>
  <c r="N51" i="1"/>
  <c r="O52" i="1"/>
  <c r="Q54" i="1"/>
  <c r="P62" i="1"/>
  <c r="O66" i="1"/>
  <c r="N67" i="1"/>
  <c r="R67" i="1" s="1"/>
  <c r="N72" i="1"/>
  <c r="O78" i="1"/>
  <c r="Q79" i="1"/>
  <c r="O91" i="1"/>
  <c r="Q92" i="1"/>
  <c r="N95" i="1"/>
  <c r="R95" i="1" s="1"/>
  <c r="O101" i="1"/>
  <c r="Q102" i="1"/>
  <c r="O106" i="1"/>
  <c r="O100" i="1" s="1"/>
  <c r="O115" i="1"/>
  <c r="Q116" i="1"/>
  <c r="O136" i="1"/>
  <c r="Q137" i="1"/>
  <c r="O140" i="1"/>
  <c r="O145" i="1"/>
  <c r="O143" i="1" s="1"/>
  <c r="Q146" i="1"/>
  <c r="N156" i="1"/>
  <c r="R156" i="1" s="1"/>
  <c r="R155" i="1" s="1"/>
  <c r="O176" i="1"/>
  <c r="O175" i="1" s="1"/>
  <c r="O170" i="1" s="1"/>
  <c r="P191" i="1"/>
  <c r="O195" i="1"/>
  <c r="O194" i="1" s="1"/>
  <c r="O208" i="1"/>
  <c r="Q209" i="1"/>
  <c r="O214" i="1"/>
  <c r="O213" i="1" s="1"/>
  <c r="O221" i="1"/>
  <c r="O220" i="1" s="1"/>
  <c r="O223" i="1"/>
  <c r="O222" i="1" s="1"/>
  <c r="Q225" i="1"/>
  <c r="Q224" i="1" s="1"/>
  <c r="P229" i="1"/>
  <c r="P228" i="1" s="1"/>
  <c r="Q231" i="1"/>
  <c r="Q230" i="1" s="1"/>
  <c r="O235" i="1"/>
  <c r="O234" i="1" s="1"/>
  <c r="O252" i="1"/>
  <c r="Q253" i="1"/>
  <c r="N263" i="1"/>
  <c r="P275" i="1"/>
  <c r="N279" i="1"/>
  <c r="O282" i="1"/>
  <c r="P286" i="1"/>
  <c r="P292" i="1"/>
  <c r="N295" i="1"/>
  <c r="O301" i="1"/>
  <c r="N302" i="1"/>
  <c r="R302" i="1" s="1"/>
  <c r="N319" i="1"/>
  <c r="O320" i="1"/>
  <c r="Q332" i="1"/>
  <c r="P335" i="1"/>
  <c r="N348" i="1"/>
  <c r="R348" i="1" s="1"/>
  <c r="O349" i="1"/>
  <c r="P354" i="1"/>
  <c r="Q357" i="1"/>
  <c r="Q359" i="1"/>
  <c r="P362" i="1"/>
  <c r="P363" i="1"/>
  <c r="O366" i="1"/>
  <c r="O374" i="1"/>
  <c r="O378" i="1"/>
  <c r="P381" i="1"/>
  <c r="P380" i="1" s="1"/>
  <c r="P383" i="1"/>
  <c r="P382" i="1" s="1"/>
  <c r="O385" i="1"/>
  <c r="Q391" i="1"/>
  <c r="O398" i="1"/>
  <c r="O400" i="1"/>
  <c r="O399" i="1" s="1"/>
  <c r="O407" i="1"/>
  <c r="N411" i="1"/>
  <c r="Q413" i="1"/>
  <c r="Q412" i="1" s="1"/>
  <c r="O422" i="1"/>
  <c r="P425" i="1"/>
  <c r="N426" i="1"/>
  <c r="N428" i="1"/>
  <c r="N435" i="1"/>
  <c r="N438" i="1"/>
  <c r="R438" i="1" s="1"/>
  <c r="N449" i="1"/>
  <c r="Q451" i="1"/>
  <c r="O464" i="1"/>
  <c r="O474" i="1"/>
  <c r="O478" i="1"/>
  <c r="N484" i="1"/>
  <c r="R484" i="1" s="1"/>
  <c r="Q491" i="1"/>
  <c r="P498" i="1"/>
  <c r="P505" i="1"/>
  <c r="N506" i="1"/>
  <c r="R506" i="1" s="1"/>
  <c r="N518" i="1"/>
  <c r="O531" i="1"/>
  <c r="Q532" i="1"/>
  <c r="P536" i="1"/>
  <c r="P535" i="1" s="1"/>
  <c r="P538" i="1"/>
  <c r="Q541" i="1"/>
  <c r="P545" i="1"/>
  <c r="O547" i="1"/>
  <c r="N548" i="1"/>
  <c r="N576" i="1"/>
  <c r="R576" i="1" s="1"/>
  <c r="R575" i="1" s="1"/>
  <c r="R574" i="1" s="1"/>
  <c r="Q589" i="1"/>
  <c r="Q588" i="1" s="1"/>
  <c r="N609" i="1"/>
  <c r="R609" i="1" s="1"/>
  <c r="R608" i="1" s="1"/>
  <c r="P632" i="1"/>
  <c r="P631" i="1" s="1"/>
  <c r="O634" i="1"/>
  <c r="O633" i="1" s="1"/>
  <c r="N636" i="1"/>
  <c r="R636" i="1" s="1"/>
  <c r="R635" i="1" s="1"/>
  <c r="Q648" i="1"/>
  <c r="Q647" i="1" s="1"/>
  <c r="P724" i="1"/>
  <c r="P723" i="1" s="1"/>
  <c r="O724" i="1"/>
  <c r="O723" i="1" s="1"/>
  <c r="P99" i="1"/>
  <c r="O108" i="1"/>
  <c r="O113" i="1"/>
  <c r="O112" i="1" s="1"/>
  <c r="Q114" i="1"/>
  <c r="Q118" i="1"/>
  <c r="O127" i="1"/>
  <c r="O126" i="1" s="1"/>
  <c r="O134" i="1"/>
  <c r="Q136" i="1"/>
  <c r="Q144" i="1"/>
  <c r="P147" i="1"/>
  <c r="O158" i="1"/>
  <c r="O157" i="1" s="1"/>
  <c r="O161" i="1"/>
  <c r="O160" i="1" s="1"/>
  <c r="O159" i="1" s="1"/>
  <c r="N165" i="1"/>
  <c r="R174" i="1"/>
  <c r="R173" i="1" s="1"/>
  <c r="P180" i="1"/>
  <c r="P179" i="1" s="1"/>
  <c r="O184" i="1"/>
  <c r="N185" i="1"/>
  <c r="R185" i="1" s="1"/>
  <c r="O189" i="1"/>
  <c r="Q221" i="1"/>
  <c r="Q220" i="1" s="1"/>
  <c r="N229" i="1"/>
  <c r="R229" i="1" s="1"/>
  <c r="R228" i="1" s="1"/>
  <c r="N248" i="1"/>
  <c r="R248" i="1" s="1"/>
  <c r="P250" i="1"/>
  <c r="N255" i="1"/>
  <c r="N257" i="1"/>
  <c r="O258" i="1"/>
  <c r="N262" i="1"/>
  <c r="R262" i="1" s="1"/>
  <c r="N265" i="1"/>
  <c r="R265" i="1" s="1"/>
  <c r="R264" i="1" s="1"/>
  <c r="R274" i="1"/>
  <c r="N275" i="1"/>
  <c r="P285" i="1"/>
  <c r="O289" i="1"/>
  <c r="N313" i="1"/>
  <c r="R313" i="1" s="1"/>
  <c r="N314" i="1"/>
  <c r="O325" i="1"/>
  <c r="Q326" i="1"/>
  <c r="Q328" i="1"/>
  <c r="N334" i="1"/>
  <c r="R334" i="1" s="1"/>
  <c r="O335" i="1"/>
  <c r="N338" i="1"/>
  <c r="R338" i="1" s="1"/>
  <c r="N342" i="1"/>
  <c r="Q344" i="1"/>
  <c r="N361" i="1"/>
  <c r="R361" i="1" s="1"/>
  <c r="O362" i="1"/>
  <c r="O387" i="1"/>
  <c r="N393" i="1"/>
  <c r="N396" i="1"/>
  <c r="R396" i="1" s="1"/>
  <c r="Q411" i="1"/>
  <c r="Q410" i="1" s="1"/>
  <c r="N419" i="1"/>
  <c r="R419" i="1" s="1"/>
  <c r="N421" i="1"/>
  <c r="N434" i="1"/>
  <c r="R434" i="1" s="1"/>
  <c r="Q438" i="1"/>
  <c r="Q449" i="1"/>
  <c r="Q447" i="1" s="1"/>
  <c r="R452" i="1"/>
  <c r="N453" i="1"/>
  <c r="Q456" i="1"/>
  <c r="N515" i="1"/>
  <c r="Q518" i="1"/>
  <c r="N528" i="1"/>
  <c r="N530" i="1"/>
  <c r="O536" i="1"/>
  <c r="O535" i="1" s="1"/>
  <c r="O540" i="1"/>
  <c r="N553" i="1"/>
  <c r="R553" i="1" s="1"/>
  <c r="N559" i="1"/>
  <c r="O563" i="1"/>
  <c r="Q587" i="1"/>
  <c r="Q586" i="1" s="1"/>
  <c r="N605" i="1"/>
  <c r="R605" i="1" s="1"/>
  <c r="R604" i="1" s="1"/>
  <c r="N632" i="1"/>
  <c r="R632" i="1" s="1"/>
  <c r="R631" i="1" s="1"/>
  <c r="Q646" i="1"/>
  <c r="Q645" i="1" s="1"/>
  <c r="N681" i="1"/>
  <c r="N690" i="1"/>
  <c r="N692" i="1"/>
  <c r="R692" i="1" s="1"/>
  <c r="R691" i="1" s="1"/>
  <c r="Q711" i="1"/>
  <c r="Q710" i="1" s="1"/>
  <c r="N711" i="1"/>
  <c r="N724" i="1"/>
  <c r="R724" i="1" s="1"/>
  <c r="R723" i="1" s="1"/>
  <c r="R722" i="1" s="1"/>
  <c r="Q697" i="1"/>
  <c r="Q696" i="1" s="1"/>
  <c r="Q709" i="1"/>
  <c r="Q708" i="1" s="1"/>
  <c r="Q720" i="1"/>
  <c r="Q724" i="1"/>
  <c r="Q723" i="1" s="1"/>
  <c r="Q735" i="1"/>
  <c r="Q734" i="1" s="1"/>
  <c r="N737" i="1"/>
  <c r="R737" i="1" s="1"/>
  <c r="R736" i="1" s="1"/>
  <c r="Q746" i="1"/>
  <c r="Q750" i="1"/>
  <c r="Q758" i="1"/>
  <c r="O768" i="1"/>
  <c r="N778" i="1"/>
  <c r="O789" i="1"/>
  <c r="N791" i="1"/>
  <c r="P793" i="1"/>
  <c r="O797" i="1"/>
  <c r="N815" i="1"/>
  <c r="Q818" i="1"/>
  <c r="N821" i="1"/>
  <c r="R821" i="1" s="1"/>
  <c r="Q824" i="1"/>
  <c r="Q839" i="1"/>
  <c r="Q845" i="1"/>
  <c r="Q851" i="1"/>
  <c r="Q865" i="1"/>
  <c r="Q871" i="1"/>
  <c r="Q877" i="1"/>
  <c r="N894" i="1"/>
  <c r="Q900" i="1"/>
  <c r="Q906" i="1"/>
  <c r="P911" i="1"/>
  <c r="Q932" i="1"/>
  <c r="Q938" i="1"/>
  <c r="O954" i="1"/>
  <c r="O960" i="1"/>
  <c r="P973" i="1"/>
  <c r="R975" i="1"/>
  <c r="Q976" i="1"/>
  <c r="R992" i="1"/>
  <c r="N996" i="1"/>
  <c r="R996" i="1" s="1"/>
  <c r="R1006" i="1"/>
  <c r="N1017" i="1"/>
  <c r="R1017" i="1" s="1"/>
  <c r="N1044" i="1"/>
  <c r="R1044" i="1" s="1"/>
  <c r="N1055" i="1"/>
  <c r="R1055" i="1" s="1"/>
  <c r="N1063" i="1"/>
  <c r="N1066" i="1"/>
  <c r="R1066" i="1" s="1"/>
  <c r="N1079" i="1"/>
  <c r="R1079" i="1" s="1"/>
  <c r="R1078" i="1" s="1"/>
  <c r="N1082" i="1"/>
  <c r="N1093" i="1"/>
  <c r="N1096" i="1"/>
  <c r="R1096" i="1" s="1"/>
  <c r="P1139" i="1"/>
  <c r="O1139" i="1"/>
  <c r="N1140" i="1"/>
  <c r="R1140" i="1" s="1"/>
  <c r="O1142" i="1"/>
  <c r="N1149" i="1"/>
  <c r="R1187" i="1"/>
  <c r="Q1187" i="1"/>
  <c r="P699" i="1"/>
  <c r="P698" i="1" s="1"/>
  <c r="N701" i="1"/>
  <c r="N709" i="1"/>
  <c r="Q716" i="1"/>
  <c r="Q715" i="1" s="1"/>
  <c r="O728" i="1"/>
  <c r="O727" i="1" s="1"/>
  <c r="P733" i="1"/>
  <c r="P732" i="1" s="1"/>
  <c r="N735" i="1"/>
  <c r="R747" i="1"/>
  <c r="N772" i="1"/>
  <c r="O776" i="1"/>
  <c r="Q800" i="1"/>
  <c r="N807" i="1"/>
  <c r="O817" i="1"/>
  <c r="O823" i="1"/>
  <c r="Q828" i="1"/>
  <c r="Q840" i="1"/>
  <c r="N843" i="1"/>
  <c r="R843" i="1" s="1"/>
  <c r="Q846" i="1"/>
  <c r="P855" i="1"/>
  <c r="P861" i="1"/>
  <c r="Q866" i="1"/>
  <c r="N869" i="1"/>
  <c r="Q872" i="1"/>
  <c r="P890" i="1"/>
  <c r="Q893" i="1"/>
  <c r="N898" i="1"/>
  <c r="Q901" i="1"/>
  <c r="Q907" i="1"/>
  <c r="N913" i="1"/>
  <c r="R913" i="1" s="1"/>
  <c r="P915" i="1"/>
  <c r="Q927" i="1"/>
  <c r="N930" i="1"/>
  <c r="Q933" i="1"/>
  <c r="Q940" i="1"/>
  <c r="O943" i="1"/>
  <c r="N945" i="1"/>
  <c r="Q951" i="1"/>
  <c r="Q957" i="1"/>
  <c r="O988" i="1"/>
  <c r="N991" i="1"/>
  <c r="R991" i="1" s="1"/>
  <c r="O1000" i="1"/>
  <c r="Q1001" i="1"/>
  <c r="N1005" i="1"/>
  <c r="R1005" i="1" s="1"/>
  <c r="N1007" i="1"/>
  <c r="P1015" i="1"/>
  <c r="P1021" i="1"/>
  <c r="O1025" i="1"/>
  <c r="Q1028" i="1"/>
  <c r="N1031" i="1"/>
  <c r="Q1035" i="1"/>
  <c r="N1038" i="1"/>
  <c r="N1041" i="1"/>
  <c r="O1072" i="1"/>
  <c r="O1102" i="1"/>
  <c r="N1118" i="1"/>
  <c r="R1118" i="1" s="1"/>
  <c r="Q1124" i="1"/>
  <c r="P1126" i="1"/>
  <c r="N1129" i="1"/>
  <c r="R1129" i="1" s="1"/>
  <c r="N1139" i="1"/>
  <c r="R1139" i="1" s="1"/>
  <c r="N1147" i="1"/>
  <c r="R1147" i="1" s="1"/>
  <c r="N1152" i="1"/>
  <c r="N1155" i="1"/>
  <c r="Q1157" i="1"/>
  <c r="P1173" i="1"/>
  <c r="Q1173" i="1"/>
  <c r="P1179" i="1"/>
  <c r="Q1179" i="1"/>
  <c r="N699" i="1"/>
  <c r="R699" i="1" s="1"/>
  <c r="R698" i="1" s="1"/>
  <c r="Q718" i="1"/>
  <c r="Q717" i="1" s="1"/>
  <c r="N741" i="1"/>
  <c r="N748" i="1"/>
  <c r="R748" i="1" s="1"/>
  <c r="Q766" i="1"/>
  <c r="R774" i="1"/>
  <c r="Q777" i="1"/>
  <c r="Q780" i="1"/>
  <c r="O792" i="1"/>
  <c r="N794" i="1"/>
  <c r="R794" i="1" s="1"/>
  <c r="N798" i="1"/>
  <c r="Q801" i="1"/>
  <c r="Q806" i="1"/>
  <c r="Q814" i="1"/>
  <c r="O839" i="1"/>
  <c r="O845" i="1"/>
  <c r="P854" i="1"/>
  <c r="O865" i="1"/>
  <c r="O871" i="1"/>
  <c r="Q887" i="1"/>
  <c r="P889" i="1"/>
  <c r="O900" i="1"/>
  <c r="O906" i="1"/>
  <c r="Q912" i="1"/>
  <c r="O920" i="1"/>
  <c r="O932" i="1"/>
  <c r="O938" i="1"/>
  <c r="P941" i="1"/>
  <c r="P947" i="1"/>
  <c r="Q952" i="1"/>
  <c r="N955" i="1"/>
  <c r="Q958" i="1"/>
  <c r="N965" i="1"/>
  <c r="P970" i="1"/>
  <c r="O994" i="1"/>
  <c r="O996" i="1"/>
  <c r="Q997" i="1"/>
  <c r="N1003" i="1"/>
  <c r="R1003" i="1" s="1"/>
  <c r="Q1011" i="1"/>
  <c r="N1015" i="1"/>
  <c r="R1015" i="1" s="1"/>
  <c r="N1021" i="1"/>
  <c r="N1030" i="1"/>
  <c r="R1030" i="1" s="1"/>
  <c r="N1037" i="1"/>
  <c r="R1037" i="1" s="1"/>
  <c r="O1042" i="1"/>
  <c r="Q1045" i="1"/>
  <c r="N1048" i="1"/>
  <c r="R1048" i="1" s="1"/>
  <c r="R1047" i="1" s="1"/>
  <c r="O1053" i="1"/>
  <c r="Q1056" i="1"/>
  <c r="N1059" i="1"/>
  <c r="O1064" i="1"/>
  <c r="Q1067" i="1"/>
  <c r="N1076" i="1"/>
  <c r="R1076" i="1" s="1"/>
  <c r="R1075" i="1" s="1"/>
  <c r="O1083" i="1"/>
  <c r="Q1086" i="1"/>
  <c r="O1094" i="1"/>
  <c r="Q1097" i="1"/>
  <c r="R1125" i="1"/>
  <c r="N1126" i="1"/>
  <c r="R1126" i="1" s="1"/>
  <c r="Q1156" i="1"/>
  <c r="P1158" i="1"/>
  <c r="N1160" i="1"/>
  <c r="Q1162" i="1"/>
  <c r="N1166" i="1"/>
  <c r="Q1186" i="1"/>
  <c r="O1186" i="1"/>
  <c r="Q755" i="1"/>
  <c r="P758" i="1"/>
  <c r="P759" i="1"/>
  <c r="Q761" i="1"/>
  <c r="O765" i="1"/>
  <c r="Q781" i="1"/>
  <c r="P784" i="1"/>
  <c r="P785" i="1"/>
  <c r="N788" i="1"/>
  <c r="Q789" i="1"/>
  <c r="O800" i="1"/>
  <c r="Q815" i="1"/>
  <c r="N818" i="1"/>
  <c r="N875" i="1"/>
  <c r="P877" i="1"/>
  <c r="N891" i="1"/>
  <c r="Q903" i="1"/>
  <c r="P918" i="1"/>
  <c r="Q922" i="1"/>
  <c r="Q929" i="1"/>
  <c r="Q935" i="1"/>
  <c r="Q949" i="1"/>
  <c r="O951" i="1"/>
  <c r="O957" i="1"/>
  <c r="N972" i="1"/>
  <c r="N977" i="1"/>
  <c r="Q994" i="1"/>
  <c r="R1026" i="1"/>
  <c r="R1073" i="1"/>
  <c r="R1103" i="1"/>
  <c r="R1164" i="1"/>
  <c r="Q1172" i="1"/>
  <c r="O1172" i="1"/>
  <c r="Q1178" i="1"/>
  <c r="O1178" i="1"/>
  <c r="R1196" i="1"/>
  <c r="Q1196" i="1"/>
  <c r="N705" i="1"/>
  <c r="N721" i="1"/>
  <c r="Q747" i="1"/>
  <c r="N751" i="1"/>
  <c r="R751" i="1" s="1"/>
  <c r="Q756" i="1"/>
  <c r="N759" i="1"/>
  <c r="N767" i="1"/>
  <c r="R767" i="1" s="1"/>
  <c r="Q768" i="1"/>
  <c r="O773" i="1"/>
  <c r="Q782" i="1"/>
  <c r="N785" i="1"/>
  <c r="Q797" i="1"/>
  <c r="N802" i="1"/>
  <c r="R802" i="1" s="1"/>
  <c r="N810" i="1"/>
  <c r="O814" i="1"/>
  <c r="O820" i="1"/>
  <c r="O828" i="1"/>
  <c r="N830" i="1"/>
  <c r="N836" i="1"/>
  <c r="N840" i="1"/>
  <c r="Q843" i="1"/>
  <c r="P858" i="1"/>
  <c r="Q861" i="1"/>
  <c r="P863" i="1"/>
  <c r="N866" i="1"/>
  <c r="Q869" i="1"/>
  <c r="N872" i="1"/>
  <c r="P876" i="1"/>
  <c r="O882" i="1"/>
  <c r="N884" i="1"/>
  <c r="Q890" i="1"/>
  <c r="Q896" i="1"/>
  <c r="Q898" i="1"/>
  <c r="N901" i="1"/>
  <c r="R901" i="1" s="1"/>
  <c r="Q904" i="1"/>
  <c r="Q911" i="1"/>
  <c r="Q915" i="1"/>
  <c r="P917" i="1"/>
  <c r="Q923" i="1"/>
  <c r="N927" i="1"/>
  <c r="R927" i="1" s="1"/>
  <c r="Q930" i="1"/>
  <c r="Q936" i="1"/>
  <c r="P968" i="1"/>
  <c r="Q971" i="1"/>
  <c r="O978" i="1"/>
  <c r="Q984" i="1"/>
  <c r="O991" i="1"/>
  <c r="O1003" i="1"/>
  <c r="O1005" i="1"/>
  <c r="R1009" i="1"/>
  <c r="P1018" i="1"/>
  <c r="O1030" i="1"/>
  <c r="Q1031" i="1"/>
  <c r="O1037" i="1"/>
  <c r="P1109" i="1"/>
  <c r="P1108" i="1" s="1"/>
  <c r="Q1109" i="1"/>
  <c r="Q1108" i="1" s="1"/>
  <c r="Q823" i="1"/>
  <c r="Q829" i="1"/>
  <c r="Q835" i="1"/>
  <c r="O842" i="1"/>
  <c r="O868" i="1"/>
  <c r="P880" i="1"/>
  <c r="Q883" i="1"/>
  <c r="P887" i="1"/>
  <c r="O903" i="1"/>
  <c r="O909" i="1"/>
  <c r="Q920" i="1"/>
  <c r="O922" i="1"/>
  <c r="O929" i="1"/>
  <c r="O935" i="1"/>
  <c r="Q941" i="1"/>
  <c r="Q955" i="1"/>
  <c r="N958" i="1"/>
  <c r="P977" i="1"/>
  <c r="Q991" i="1"/>
  <c r="Q992" i="1"/>
  <c r="N1000" i="1"/>
  <c r="R1000" i="1" s="1"/>
  <c r="Q1006" i="1"/>
  <c r="Q1015" i="1"/>
  <c r="R1023" i="1"/>
  <c r="N1067" i="1"/>
  <c r="P1079" i="1"/>
  <c r="P1078" i="1" s="1"/>
  <c r="N1086" i="1"/>
  <c r="N1097" i="1"/>
  <c r="Q1107" i="1"/>
  <c r="N1109" i="1"/>
  <c r="P1119" i="1"/>
  <c r="N1121" i="1"/>
  <c r="R1121" i="1" s="1"/>
  <c r="R1120" i="1" s="1"/>
  <c r="Q1134" i="1"/>
  <c r="N1141" i="1"/>
  <c r="P1148" i="1"/>
  <c r="N1162" i="1"/>
  <c r="O1166" i="1"/>
  <c r="Q1195" i="1"/>
  <c r="O1195" i="1"/>
  <c r="N1104" i="1"/>
  <c r="P1113" i="1"/>
  <c r="P1116" i="1"/>
  <c r="P1130" i="1"/>
  <c r="P1142" i="1"/>
  <c r="R1143" i="1"/>
  <c r="P1145" i="1"/>
  <c r="P1151" i="1"/>
  <c r="N1161" i="1"/>
  <c r="R1161" i="1" s="1"/>
  <c r="N1173" i="1"/>
  <c r="N1174" i="1"/>
  <c r="R1174" i="1" s="1"/>
  <c r="O1175" i="1"/>
  <c r="Q1176" i="1"/>
  <c r="N1179" i="1"/>
  <c r="O1181" i="1"/>
  <c r="Q1182" i="1"/>
  <c r="N1188" i="1"/>
  <c r="R1188" i="1" s="1"/>
  <c r="N1197" i="1"/>
  <c r="N1203" i="1"/>
  <c r="R1203" i="1" s="1"/>
  <c r="Q1208" i="1"/>
  <c r="P1219" i="1"/>
  <c r="N1221" i="1"/>
  <c r="P1225" i="1"/>
  <c r="N1237" i="1"/>
  <c r="N1247" i="1"/>
  <c r="R1247" i="1" s="1"/>
  <c r="Q1250" i="1"/>
  <c r="P1252" i="1"/>
  <c r="N1253" i="1"/>
  <c r="R1253" i="1" s="1"/>
  <c r="Q1267" i="1"/>
  <c r="P1272" i="1"/>
  <c r="P1281" i="1"/>
  <c r="P1295" i="1"/>
  <c r="Q1300" i="1"/>
  <c r="Q1302" i="1"/>
  <c r="N1303" i="1"/>
  <c r="R1303" i="1" s="1"/>
  <c r="N1305" i="1"/>
  <c r="N1308" i="1"/>
  <c r="Q1309" i="1"/>
  <c r="Q1318" i="1"/>
  <c r="Q1322" i="1"/>
  <c r="P1337" i="1"/>
  <c r="P1340" i="1"/>
  <c r="Q1340" i="1"/>
  <c r="P1342" i="1"/>
  <c r="N1347" i="1"/>
  <c r="Q1348" i="1"/>
  <c r="O1358" i="1"/>
  <c r="O1359" i="1"/>
  <c r="P1360" i="1"/>
  <c r="O1363" i="1"/>
  <c r="O1366" i="1"/>
  <c r="P1368" i="1"/>
  <c r="N1373" i="1"/>
  <c r="R1373" i="1" s="1"/>
  <c r="O1376" i="1"/>
  <c r="N1396" i="1"/>
  <c r="R1411" i="1"/>
  <c r="N1172" i="1"/>
  <c r="R1172" i="1" s="1"/>
  <c r="N1178" i="1"/>
  <c r="R1178" i="1" s="1"/>
  <c r="R1184" i="1"/>
  <c r="P1185" i="1"/>
  <c r="O1189" i="1"/>
  <c r="R1193" i="1"/>
  <c r="P1194" i="1"/>
  <c r="P1201" i="1"/>
  <c r="P1205" i="1"/>
  <c r="N1208" i="1"/>
  <c r="Q1222" i="1"/>
  <c r="N1225" i="1"/>
  <c r="R1225" i="1" s="1"/>
  <c r="Q1228" i="1"/>
  <c r="O1249" i="1"/>
  <c r="N1259" i="1"/>
  <c r="R1259" i="1" s="1"/>
  <c r="R1267" i="1"/>
  <c r="N1350" i="1"/>
  <c r="Q1351" i="1"/>
  <c r="Q1359" i="1"/>
  <c r="Q1363" i="1"/>
  <c r="Q1362" i="1" s="1"/>
  <c r="Q1366" i="1"/>
  <c r="P1444" i="1"/>
  <c r="O1444" i="1"/>
  <c r="N1185" i="1"/>
  <c r="N1194" i="1"/>
  <c r="N1201" i="1"/>
  <c r="R1201" i="1" s="1"/>
  <c r="Q1206" i="1"/>
  <c r="O1221" i="1"/>
  <c r="O1227" i="1"/>
  <c r="N1240" i="1"/>
  <c r="P1262" i="1"/>
  <c r="P1277" i="1"/>
  <c r="N1282" i="1"/>
  <c r="R1282" i="1" s="1"/>
  <c r="N1285" i="1"/>
  <c r="R1285" i="1" s="1"/>
  <c r="R1284" i="1" s="1"/>
  <c r="O1291" i="1"/>
  <c r="N1294" i="1"/>
  <c r="N1327" i="1"/>
  <c r="N1341" i="1"/>
  <c r="R1341" i="1" s="1"/>
  <c r="O1356" i="1"/>
  <c r="P1378" i="1"/>
  <c r="O1378" i="1"/>
  <c r="N1382" i="1"/>
  <c r="N1395" i="1"/>
  <c r="R1395" i="1" s="1"/>
  <c r="N1176" i="1"/>
  <c r="N1182" i="1"/>
  <c r="R1190" i="1"/>
  <c r="P1191" i="1"/>
  <c r="N1206" i="1"/>
  <c r="N1218" i="1"/>
  <c r="N1224" i="1"/>
  <c r="R1224" i="1" s="1"/>
  <c r="P1255" i="1"/>
  <c r="N1280" i="1"/>
  <c r="O1304" i="1"/>
  <c r="N1346" i="1"/>
  <c r="R1346" i="1" s="1"/>
  <c r="Q1356" i="1"/>
  <c r="N1367" i="1"/>
  <c r="R1367" i="1" s="1"/>
  <c r="N1165" i="1"/>
  <c r="N1175" i="1"/>
  <c r="R1175" i="1" s="1"/>
  <c r="N1181" i="1"/>
  <c r="R1181" i="1" s="1"/>
  <c r="N1191" i="1"/>
  <c r="O1204" i="1"/>
  <c r="N1205" i="1"/>
  <c r="O1252" i="1"/>
  <c r="N1255" i="1"/>
  <c r="N1258" i="1"/>
  <c r="N1272" i="1"/>
  <c r="O1297" i="1"/>
  <c r="O1296" i="1" s="1"/>
  <c r="O1301" i="1"/>
  <c r="N1310" i="1"/>
  <c r="O1317" i="1"/>
  <c r="Q1321" i="1"/>
  <c r="N1322" i="1"/>
  <c r="N1324" i="1"/>
  <c r="Q1339" i="1"/>
  <c r="N1340" i="1"/>
  <c r="O1342" i="1"/>
  <c r="N1349" i="1"/>
  <c r="R1349" i="1" s="1"/>
  <c r="Q1357" i="1"/>
  <c r="N1211" i="1"/>
  <c r="O1218" i="1"/>
  <c r="O1224" i="1"/>
  <c r="P1253" i="1"/>
  <c r="N1277" i="1"/>
  <c r="N1291" i="1"/>
  <c r="O1294" i="1"/>
  <c r="Q1303" i="1"/>
  <c r="N1313" i="1"/>
  <c r="R1313" i="1" s="1"/>
  <c r="N1321" i="1"/>
  <c r="P1327" i="1"/>
  <c r="O1339" i="1"/>
  <c r="P1341" i="1"/>
  <c r="P1343" i="1"/>
  <c r="Q1343" i="1"/>
  <c r="N1352" i="1"/>
  <c r="N1357" i="1"/>
  <c r="Q1358" i="1"/>
  <c r="Q1365" i="1"/>
  <c r="P1369" i="1"/>
  <c r="Q1369" i="1"/>
  <c r="N1388" i="1"/>
  <c r="Q1442" i="1"/>
  <c r="P1734" i="1"/>
  <c r="O1734" i="1"/>
  <c r="P1797" i="1"/>
  <c r="Q1797" i="1"/>
  <c r="O1797" i="1"/>
  <c r="P1806" i="1"/>
  <c r="Q1806" i="1"/>
  <c r="P1809" i="1"/>
  <c r="Q1809" i="1"/>
  <c r="Q1867" i="1"/>
  <c r="O1867" i="1"/>
  <c r="R1431" i="1"/>
  <c r="Q1435" i="1"/>
  <c r="O1440" i="1"/>
  <c r="Q1441" i="1"/>
  <c r="O1458" i="1"/>
  <c r="N1466" i="1"/>
  <c r="R1466" i="1" s="1"/>
  <c r="Q1474" i="1"/>
  <c r="N1485" i="1"/>
  <c r="P1496" i="1"/>
  <c r="N1528" i="1"/>
  <c r="R1528" i="1" s="1"/>
  <c r="N1538" i="1"/>
  <c r="R1538" i="1" s="1"/>
  <c r="Q1551" i="1"/>
  <c r="N1553" i="1"/>
  <c r="N1567" i="1"/>
  <c r="N1605" i="1"/>
  <c r="N1609" i="1"/>
  <c r="R1609" i="1" s="1"/>
  <c r="N1630" i="1"/>
  <c r="N1642" i="1"/>
  <c r="R1642" i="1" s="1"/>
  <c r="N1653" i="1"/>
  <c r="O1658" i="1"/>
  <c r="Q1673" i="1"/>
  <c r="N1684" i="1"/>
  <c r="R1684" i="1" s="1"/>
  <c r="N1689" i="1"/>
  <c r="N1690" i="1"/>
  <c r="P1693" i="1"/>
  <c r="Q1693" i="1"/>
  <c r="O1776" i="1"/>
  <c r="P1823" i="1"/>
  <c r="Q1823" i="1"/>
  <c r="Q1378" i="1"/>
  <c r="P1383" i="1"/>
  <c r="O1402" i="1"/>
  <c r="Q1405" i="1"/>
  <c r="N1439" i="1"/>
  <c r="O1454" i="1"/>
  <c r="Q1458" i="1"/>
  <c r="P1475" i="1"/>
  <c r="Q1479" i="1"/>
  <c r="O1480" i="1"/>
  <c r="N1496" i="1"/>
  <c r="N1511" i="1"/>
  <c r="R1511" i="1" s="1"/>
  <c r="P1787" i="1"/>
  <c r="Q1787" i="1"/>
  <c r="O1787" i="1"/>
  <c r="P1380" i="1"/>
  <c r="P1382" i="1"/>
  <c r="Q1382" i="1"/>
  <c r="P1385" i="1"/>
  <c r="Q1385" i="1"/>
  <c r="Q1394" i="1"/>
  <c r="Q1403" i="1"/>
  <c r="Q1401" i="1" s="1"/>
  <c r="Q1414" i="1"/>
  <c r="Q1433" i="1"/>
  <c r="Q1440" i="1"/>
  <c r="P1442" i="1"/>
  <c r="Q1444" i="1"/>
  <c r="R1446" i="1"/>
  <c r="O1464" i="1"/>
  <c r="O1479" i="1"/>
  <c r="N1484" i="1"/>
  <c r="O1506" i="1"/>
  <c r="Q1525" i="1"/>
  <c r="R1565" i="1"/>
  <c r="N1570" i="1"/>
  <c r="N1576" i="1"/>
  <c r="Q1581" i="1"/>
  <c r="N1587" i="1"/>
  <c r="P1607" i="1"/>
  <c r="N1613" i="1"/>
  <c r="R1613" i="1" s="1"/>
  <c r="N1617" i="1"/>
  <c r="R1617" i="1" s="1"/>
  <c r="Q1620" i="1"/>
  <c r="N1622" i="1"/>
  <c r="Q1645" i="1"/>
  <c r="P1650" i="1"/>
  <c r="P1651" i="1"/>
  <c r="O1652" i="1"/>
  <c r="Q1653" i="1"/>
  <c r="Q1654" i="1"/>
  <c r="N1656" i="1"/>
  <c r="Q1658" i="1"/>
  <c r="Q1661" i="1"/>
  <c r="P1666" i="1"/>
  <c r="N1667" i="1"/>
  <c r="O1669" i="1"/>
  <c r="N1673" i="1"/>
  <c r="N1674" i="1"/>
  <c r="O1676" i="1"/>
  <c r="Q1677" i="1"/>
  <c r="P1679" i="1"/>
  <c r="Q1681" i="1"/>
  <c r="N1683" i="1"/>
  <c r="P1686" i="1"/>
  <c r="P1692" i="1"/>
  <c r="Q1692" i="1"/>
  <c r="O1692" i="1"/>
  <c r="O1694" i="1"/>
  <c r="P1709" i="1"/>
  <c r="Q1709" i="1"/>
  <c r="O1712" i="1"/>
  <c r="P1730" i="1"/>
  <c r="P1729" i="1" s="1"/>
  <c r="Q1730" i="1"/>
  <c r="Q1729" i="1" s="1"/>
  <c r="Q1734" i="1"/>
  <c r="P1745" i="1"/>
  <c r="Q1745" i="1"/>
  <c r="P1752" i="1"/>
  <c r="P1759" i="1"/>
  <c r="Q1759" i="1"/>
  <c r="Q1769" i="1"/>
  <c r="O1777" i="1"/>
  <c r="Q1822" i="1"/>
  <c r="O1822" i="1"/>
  <c r="N1869" i="1"/>
  <c r="R1869" i="1" s="1"/>
  <c r="O1869" i="1"/>
  <c r="P1379" i="1"/>
  <c r="Q1379" i="1"/>
  <c r="P1381" i="1"/>
  <c r="P1387" i="1"/>
  <c r="N1398" i="1"/>
  <c r="N1403" i="1"/>
  <c r="O1405" i="1"/>
  <c r="P1413" i="1"/>
  <c r="O1418" i="1"/>
  <c r="Q1421" i="1"/>
  <c r="Q1417" i="1" s="1"/>
  <c r="P1435" i="1"/>
  <c r="P1436" i="1"/>
  <c r="Q1438" i="1"/>
  <c r="P1441" i="1"/>
  <c r="N1442" i="1"/>
  <c r="O1451" i="1"/>
  <c r="Q1452" i="1"/>
  <c r="P1454" i="1"/>
  <c r="N1458" i="1"/>
  <c r="N1459" i="1"/>
  <c r="N1468" i="1"/>
  <c r="N1473" i="1"/>
  <c r="R1473" i="1" s="1"/>
  <c r="Q1476" i="1"/>
  <c r="O1477" i="1"/>
  <c r="Q1478" i="1"/>
  <c r="P1480" i="1"/>
  <c r="N1489" i="1"/>
  <c r="P1507" i="1"/>
  <c r="P1514" i="1"/>
  <c r="P1513" i="1" s="1"/>
  <c r="N1518" i="1"/>
  <c r="Q1528" i="1"/>
  <c r="N1530" i="1"/>
  <c r="P1534" i="1"/>
  <c r="N1540" i="1"/>
  <c r="R1540" i="1" s="1"/>
  <c r="P1544" i="1"/>
  <c r="N1551" i="1"/>
  <c r="P1560" i="1"/>
  <c r="Q1567" i="1"/>
  <c r="N1569" i="1"/>
  <c r="Q1574" i="1"/>
  <c r="N1586" i="1"/>
  <c r="Q1591" i="1"/>
  <c r="P1597" i="1"/>
  <c r="Q1601" i="1"/>
  <c r="N1607" i="1"/>
  <c r="N1616" i="1"/>
  <c r="R1616" i="1" s="1"/>
  <c r="Q1630" i="1"/>
  <c r="Q1634" i="1"/>
  <c r="N1645" i="1"/>
  <c r="R1645" i="1" s="1"/>
  <c r="N1651" i="1"/>
  <c r="O1653" i="1"/>
  <c r="P1659" i="1"/>
  <c r="N1666" i="1"/>
  <c r="Q1676" i="1"/>
  <c r="N1679" i="1"/>
  <c r="O1689" i="1"/>
  <c r="Q1690" i="1"/>
  <c r="N1692" i="1"/>
  <c r="R1692" i="1" s="1"/>
  <c r="N1698" i="1"/>
  <c r="Q1707" i="1"/>
  <c r="Q1728" i="1"/>
  <c r="R1728" i="1"/>
  <c r="Q1743" i="1"/>
  <c r="O1784" i="1"/>
  <c r="P1798" i="1"/>
  <c r="Q1798" i="1"/>
  <c r="Q1817" i="1"/>
  <c r="O1817" i="1"/>
  <c r="P1868" i="1"/>
  <c r="Q1868" i="1"/>
  <c r="N1381" i="1"/>
  <c r="N1383" i="1"/>
  <c r="N1387" i="1"/>
  <c r="R1387" i="1" s="1"/>
  <c r="Q1390" i="1"/>
  <c r="Q1410" i="1"/>
  <c r="O1412" i="1"/>
  <c r="Q1419" i="1"/>
  <c r="N1436" i="1"/>
  <c r="Q1439" i="1"/>
  <c r="N1441" i="1"/>
  <c r="N1448" i="1"/>
  <c r="Q1451" i="1"/>
  <c r="N1454" i="1"/>
  <c r="N1457" i="1"/>
  <c r="O1461" i="1"/>
  <c r="Q1462" i="1"/>
  <c r="P1464" i="1"/>
  <c r="Q1477" i="1"/>
  <c r="N1480" i="1"/>
  <c r="N1494" i="1"/>
  <c r="R1494" i="1" s="1"/>
  <c r="Q1496" i="1"/>
  <c r="N1507" i="1"/>
  <c r="N1514" i="1"/>
  <c r="N1521" i="1"/>
  <c r="R1521" i="1" s="1"/>
  <c r="P1524" i="1"/>
  <c r="N1534" i="1"/>
  <c r="N1544" i="1"/>
  <c r="N1550" i="1"/>
  <c r="O1555" i="1"/>
  <c r="O1566" i="1"/>
  <c r="N1581" i="1"/>
  <c r="R1581" i="1" s="1"/>
  <c r="Q1584" i="1"/>
  <c r="N1591" i="1"/>
  <c r="R1591" i="1" s="1"/>
  <c r="N1601" i="1"/>
  <c r="R1601" i="1" s="1"/>
  <c r="N1606" i="1"/>
  <c r="Q1611" i="1"/>
  <c r="N1621" i="1"/>
  <c r="N1625" i="1"/>
  <c r="O1629" i="1"/>
  <c r="N1634" i="1"/>
  <c r="R1634" i="1" s="1"/>
  <c r="Q1648" i="1"/>
  <c r="Q1652" i="1"/>
  <c r="Q1656" i="1"/>
  <c r="N1659" i="1"/>
  <c r="N1661" i="1"/>
  <c r="R1661" i="1" s="1"/>
  <c r="R1665" i="1"/>
  <c r="N1672" i="1"/>
  <c r="N1678" i="1"/>
  <c r="R1678" i="1" s="1"/>
  <c r="N1681" i="1"/>
  <c r="R1681" i="1" s="1"/>
  <c r="Q1684" i="1"/>
  <c r="N1686" i="1"/>
  <c r="Q1689" i="1"/>
  <c r="R1691" i="1"/>
  <c r="O1691" i="1"/>
  <c r="N1701" i="1"/>
  <c r="Q1739" i="1"/>
  <c r="P1758" i="1"/>
  <c r="Q1758" i="1"/>
  <c r="O1758" i="1"/>
  <c r="P1767" i="1"/>
  <c r="Q1767" i="1"/>
  <c r="O1767" i="1"/>
  <c r="N1793" i="1"/>
  <c r="Q1820" i="1"/>
  <c r="O1820" i="1"/>
  <c r="Q1836" i="1"/>
  <c r="O1836" i="1"/>
  <c r="P2011" i="1"/>
  <c r="O2011" i="1"/>
  <c r="Q2050" i="1"/>
  <c r="O2050" i="1"/>
  <c r="Q2227" i="1"/>
  <c r="P2227" i="1"/>
  <c r="P1695" i="1"/>
  <c r="N1699" i="1"/>
  <c r="N1707" i="1"/>
  <c r="R1707" i="1" s="1"/>
  <c r="Q1712" i="1"/>
  <c r="N1718" i="1"/>
  <c r="R1718" i="1" s="1"/>
  <c r="R1717" i="1" s="1"/>
  <c r="P1723" i="1"/>
  <c r="N1728" i="1"/>
  <c r="N1738" i="1"/>
  <c r="P1742" i="1"/>
  <c r="O1743" i="1"/>
  <c r="N1756" i="1"/>
  <c r="R1756" i="1" s="1"/>
  <c r="P1761" i="1"/>
  <c r="P1762" i="1"/>
  <c r="N1763" i="1"/>
  <c r="Q1766" i="1"/>
  <c r="P1771" i="1"/>
  <c r="Q1777" i="1"/>
  <c r="P1781" i="1"/>
  <c r="P1782" i="1"/>
  <c r="N1792" i="1"/>
  <c r="R1792" i="1" s="1"/>
  <c r="R1796" i="1"/>
  <c r="N1797" i="1"/>
  <c r="N1807" i="1"/>
  <c r="R1807" i="1" s="1"/>
  <c r="P1813" i="1"/>
  <c r="N1814" i="1"/>
  <c r="N1822" i="1"/>
  <c r="R1822" i="1" s="1"/>
  <c r="N1823" i="1"/>
  <c r="Q1831" i="1"/>
  <c r="N1841" i="1"/>
  <c r="R1841" i="1" s="1"/>
  <c r="Q1866" i="1"/>
  <c r="Q1872" i="1"/>
  <c r="Q1871" i="1" s="1"/>
  <c r="N1876" i="1"/>
  <c r="R1876" i="1" s="1"/>
  <c r="Q1879" i="1"/>
  <c r="Q1883" i="1"/>
  <c r="O1884" i="1"/>
  <c r="N1900" i="1"/>
  <c r="R1900" i="1" s="1"/>
  <c r="P1904" i="1"/>
  <c r="P1913" i="1"/>
  <c r="P1912" i="1" s="1"/>
  <c r="Q1927" i="1"/>
  <c r="P1931" i="1"/>
  <c r="O1939" i="1"/>
  <c r="O1937" i="1" s="1"/>
  <c r="Q1969" i="1"/>
  <c r="O1969" i="1"/>
  <c r="R1976" i="1"/>
  <c r="N2036" i="1"/>
  <c r="O2082" i="1"/>
  <c r="O2081" i="1" s="1"/>
  <c r="P2105" i="1"/>
  <c r="P2104" i="1" s="1"/>
  <c r="Q2105" i="1"/>
  <c r="Q2104" i="1" s="1"/>
  <c r="O2117" i="1"/>
  <c r="O2116" i="1" s="1"/>
  <c r="Q2169" i="1"/>
  <c r="P2169" i="1"/>
  <c r="P2380" i="1"/>
  <c r="Q2380" i="1"/>
  <c r="O2380" i="1"/>
  <c r="P2469" i="1"/>
  <c r="Q2469" i="1"/>
  <c r="N1695" i="1"/>
  <c r="O1700" i="1"/>
  <c r="Q1704" i="1"/>
  <c r="Q1714" i="1"/>
  <c r="N1723" i="1"/>
  <c r="N1727" i="1"/>
  <c r="N1736" i="1"/>
  <c r="N1755" i="1"/>
  <c r="N1761" i="1"/>
  <c r="R1761" i="1" s="1"/>
  <c r="N1762" i="1"/>
  <c r="R1780" i="1"/>
  <c r="N1781" i="1"/>
  <c r="N1791" i="1"/>
  <c r="N1796" i="1"/>
  <c r="Q1799" i="1"/>
  <c r="Q1803" i="1"/>
  <c r="N1813" i="1"/>
  <c r="N1820" i="1"/>
  <c r="R1820" i="1" s="1"/>
  <c r="N1840" i="1"/>
  <c r="Q1849" i="1"/>
  <c r="Q1856" i="1"/>
  <c r="N1858" i="1"/>
  <c r="R1859" i="1"/>
  <c r="N1870" i="1"/>
  <c r="R1870" i="1" s="1"/>
  <c r="N1875" i="1"/>
  <c r="N1889" i="1"/>
  <c r="R1889" i="1" s="1"/>
  <c r="Q1892" i="1"/>
  <c r="N1913" i="1"/>
  <c r="O1923" i="1"/>
  <c r="N1931" i="1"/>
  <c r="N1941" i="1"/>
  <c r="R1941" i="1" s="1"/>
  <c r="R1940" i="1" s="1"/>
  <c r="P1948" i="1"/>
  <c r="P1947" i="1" s="1"/>
  <c r="N1964" i="1"/>
  <c r="R1964" i="1" s="1"/>
  <c r="N1965" i="1"/>
  <c r="R1965" i="1" s="1"/>
  <c r="N1966" i="1"/>
  <c r="N1973" i="1"/>
  <c r="R1973" i="1" s="1"/>
  <c r="Q2010" i="1"/>
  <c r="P2010" i="1"/>
  <c r="O2157" i="1"/>
  <c r="P2157" i="1"/>
  <c r="N2182" i="1"/>
  <c r="P2226" i="1"/>
  <c r="Q2226" i="1"/>
  <c r="O2226" i="1"/>
  <c r="P2237" i="1"/>
  <c r="O2237" i="1"/>
  <c r="P2348" i="1"/>
  <c r="Q2348" i="1"/>
  <c r="O1881" i="1"/>
  <c r="Q1882" i="1"/>
  <c r="Q1880" i="1" s="1"/>
  <c r="P1885" i="1"/>
  <c r="Q1895" i="1"/>
  <c r="Q1902" i="1"/>
  <c r="Q1904" i="1"/>
  <c r="P1905" i="1"/>
  <c r="Q1905" i="1"/>
  <c r="P1916" i="1"/>
  <c r="N1922" i="1"/>
  <c r="N1938" i="1"/>
  <c r="Q1946" i="1"/>
  <c r="P1950" i="1"/>
  <c r="P1949" i="1" s="1"/>
  <c r="Q1950" i="1"/>
  <c r="Q1949" i="1" s="1"/>
  <c r="P1958" i="1"/>
  <c r="P1957" i="1" s="1"/>
  <c r="P1985" i="1"/>
  <c r="Q1985" i="1"/>
  <c r="Q1988" i="1"/>
  <c r="Q2025" i="1"/>
  <c r="P2132" i="1"/>
  <c r="O2132" i="1"/>
  <c r="P2216" i="1"/>
  <c r="Q2216" i="1"/>
  <c r="P2336" i="1"/>
  <c r="O2336" i="1"/>
  <c r="P2505" i="1"/>
  <c r="Q2505" i="1"/>
  <c r="N1693" i="1"/>
  <c r="N1704" i="1"/>
  <c r="R1704" i="1" s="1"/>
  <c r="N1714" i="1"/>
  <c r="R1714" i="1" s="1"/>
  <c r="P1721" i="1"/>
  <c r="N1734" i="1"/>
  <c r="P1744" i="1"/>
  <c r="N1749" i="1"/>
  <c r="N1758" i="1"/>
  <c r="N1759" i="1"/>
  <c r="Q1764" i="1"/>
  <c r="N1767" i="1"/>
  <c r="P1774" i="1"/>
  <c r="P1775" i="1"/>
  <c r="N1776" i="1"/>
  <c r="R1776" i="1" s="1"/>
  <c r="Q1784" i="1"/>
  <c r="N1787" i="1"/>
  <c r="N1794" i="1"/>
  <c r="P1800" i="1"/>
  <c r="N1809" i="1"/>
  <c r="N1826" i="1"/>
  <c r="N1836" i="1"/>
  <c r="Q1848" i="1"/>
  <c r="P1851" i="1"/>
  <c r="N1856" i="1"/>
  <c r="R1856" i="1" s="1"/>
  <c r="N1861" i="1"/>
  <c r="O1863" i="1"/>
  <c r="P1866" i="1"/>
  <c r="N1867" i="1"/>
  <c r="N1878" i="1"/>
  <c r="P1883" i="1"/>
  <c r="N1884" i="1"/>
  <c r="R1884" i="1" s="1"/>
  <c r="N1892" i="1"/>
  <c r="R1892" i="1" s="1"/>
  <c r="O1900" i="1"/>
  <c r="O1903" i="1"/>
  <c r="N1904" i="1"/>
  <c r="R1904" i="1" s="1"/>
  <c r="N1909" i="1"/>
  <c r="R1909" i="1" s="1"/>
  <c r="R1908" i="1" s="1"/>
  <c r="N1923" i="1"/>
  <c r="P1927" i="1"/>
  <c r="Q1934" i="1"/>
  <c r="N1963" i="1"/>
  <c r="Q1976" i="1"/>
  <c r="P1991" i="1"/>
  <c r="Q1991" i="1"/>
  <c r="P2121" i="1"/>
  <c r="O2121" i="1"/>
  <c r="P2136" i="1"/>
  <c r="P2198" i="1"/>
  <c r="P2197" i="1" s="1"/>
  <c r="O2231" i="1"/>
  <c r="P2231" i="1"/>
  <c r="N2249" i="1"/>
  <c r="R2249" i="1" s="1"/>
  <c r="O2249" i="1"/>
  <c r="Q2265" i="1"/>
  <c r="O2265" i="1"/>
  <c r="P2280" i="1"/>
  <c r="O2280" i="1"/>
  <c r="Q2280" i="1"/>
  <c r="Q2563" i="1"/>
  <c r="O2563" i="1"/>
  <c r="R1733" i="1"/>
  <c r="N1739" i="1"/>
  <c r="R1739" i="1" s="1"/>
  <c r="N1744" i="1"/>
  <c r="N1753" i="1"/>
  <c r="R1753" i="1" s="1"/>
  <c r="N1766" i="1"/>
  <c r="R1766" i="1" s="1"/>
  <c r="N1769" i="1"/>
  <c r="R1769" i="1" s="1"/>
  <c r="N1774" i="1"/>
  <c r="N1775" i="1"/>
  <c r="R1775" i="1" s="1"/>
  <c r="N1786" i="1"/>
  <c r="R1786" i="1" s="1"/>
  <c r="N1789" i="1"/>
  <c r="R1789" i="1" s="1"/>
  <c r="N1800" i="1"/>
  <c r="N1808" i="1"/>
  <c r="R1808" i="1" s="1"/>
  <c r="N1815" i="1"/>
  <c r="R1815" i="1" s="1"/>
  <c r="N1817" i="1"/>
  <c r="R1817" i="1" s="1"/>
  <c r="N1838" i="1"/>
  <c r="R1838" i="1" s="1"/>
  <c r="N1845" i="1"/>
  <c r="R1845" i="1" s="1"/>
  <c r="N1850" i="1"/>
  <c r="R1850" i="1" s="1"/>
  <c r="R1864" i="1"/>
  <c r="N1866" i="1"/>
  <c r="N1891" i="1"/>
  <c r="N1896" i="1"/>
  <c r="N1897" i="1"/>
  <c r="N1953" i="1"/>
  <c r="P2107" i="1"/>
  <c r="P2106" i="1" s="1"/>
  <c r="Q2107" i="1"/>
  <c r="Q2106" i="1" s="1"/>
  <c r="O2113" i="1"/>
  <c r="O2112" i="1" s="1"/>
  <c r="N2160" i="1"/>
  <c r="N2198" i="1"/>
  <c r="R2215" i="1"/>
  <c r="O2215" i="1"/>
  <c r="N2252" i="1"/>
  <c r="R2252" i="1" s="1"/>
  <c r="O2252" i="1"/>
  <c r="Q2415" i="1"/>
  <c r="O2415" i="1"/>
  <c r="P2415" i="1"/>
  <c r="Q2018" i="1"/>
  <c r="N2026" i="1"/>
  <c r="R2028" i="1"/>
  <c r="O2048" i="1"/>
  <c r="N2065" i="1"/>
  <c r="O2092" i="1"/>
  <c r="N2101" i="1"/>
  <c r="O2103" i="1"/>
  <c r="O2105" i="1"/>
  <c r="O2104" i="1" s="1"/>
  <c r="Q2153" i="1"/>
  <c r="Q2152" i="1" s="1"/>
  <c r="N2172" i="1"/>
  <c r="N2200" i="1"/>
  <c r="O2216" i="1"/>
  <c r="N2219" i="1"/>
  <c r="N2233" i="1"/>
  <c r="R2233" i="1" s="1"/>
  <c r="N2254" i="1"/>
  <c r="Q2304" i="1"/>
  <c r="Q2303" i="1" s="1"/>
  <c r="P2304" i="1"/>
  <c r="O2304" i="1"/>
  <c r="P2316" i="1"/>
  <c r="O2316" i="1"/>
  <c r="O2419" i="1"/>
  <c r="O2435" i="1"/>
  <c r="N2435" i="1"/>
  <c r="O2505" i="1"/>
  <c r="N2505" i="1"/>
  <c r="Q2550" i="1"/>
  <c r="Q2573" i="1"/>
  <c r="O2573" i="1"/>
  <c r="O1972" i="1"/>
  <c r="O1973" i="1"/>
  <c r="Q1981" i="1"/>
  <c r="O2002" i="1"/>
  <c r="Q2020" i="1"/>
  <c r="N2030" i="1"/>
  <c r="P2041" i="1"/>
  <c r="R2046" i="1"/>
  <c r="N2050" i="1"/>
  <c r="R2050" i="1" s="1"/>
  <c r="P2056" i="1"/>
  <c r="N2064" i="1"/>
  <c r="N2072" i="1"/>
  <c r="Q2074" i="1"/>
  <c r="N2133" i="1"/>
  <c r="O2136" i="1"/>
  <c r="N2157" i="1"/>
  <c r="R2157" i="1" s="1"/>
  <c r="N2163" i="1"/>
  <c r="O2175" i="1"/>
  <c r="N2179" i="1"/>
  <c r="N2192" i="1"/>
  <c r="N2203" i="1"/>
  <c r="Q2221" i="1"/>
  <c r="N2231" i="1"/>
  <c r="O2234" i="1"/>
  <c r="N2238" i="1"/>
  <c r="N2248" i="1"/>
  <c r="N2259" i="1"/>
  <c r="Q2271" i="1"/>
  <c r="N2283" i="1"/>
  <c r="P2291" i="1"/>
  <c r="Q2291" i="1"/>
  <c r="N2309" i="1"/>
  <c r="R2309" i="1" s="1"/>
  <c r="N2331" i="1"/>
  <c r="P2358" i="1"/>
  <c r="O2358" i="1"/>
  <c r="O2372" i="1"/>
  <c r="N2375" i="1"/>
  <c r="P2406" i="1"/>
  <c r="P2405" i="1" s="1"/>
  <c r="Q2418" i="1"/>
  <c r="P2418" i="1"/>
  <c r="O2418" i="1"/>
  <c r="Q2427" i="1"/>
  <c r="O2427" i="1"/>
  <c r="Q2437" i="1"/>
  <c r="Q2440" i="1"/>
  <c r="Q2464" i="1"/>
  <c r="P2481" i="1"/>
  <c r="Q2481" i="1"/>
  <c r="N2485" i="1"/>
  <c r="N2493" i="1"/>
  <c r="N2552" i="1"/>
  <c r="Q2566" i="1"/>
  <c r="N2579" i="1"/>
  <c r="R1970" i="1"/>
  <c r="Q1971" i="1"/>
  <c r="P2025" i="1"/>
  <c r="P2030" i="1"/>
  <c r="O2031" i="1"/>
  <c r="N2032" i="1"/>
  <c r="O2051" i="1"/>
  <c r="Q2055" i="1"/>
  <c r="N2057" i="1"/>
  <c r="O2084" i="1"/>
  <c r="O2083" i="1" s="1"/>
  <c r="Q2093" i="1"/>
  <c r="Q2092" i="1" s="1"/>
  <c r="N2154" i="1"/>
  <c r="P2172" i="1"/>
  <c r="Q2175" i="1"/>
  <c r="N2188" i="1"/>
  <c r="N2189" i="1"/>
  <c r="R2189" i="1" s="1"/>
  <c r="N2190" i="1"/>
  <c r="N2208" i="1"/>
  <c r="Q2217" i="1"/>
  <c r="P2254" i="1"/>
  <c r="N2257" i="1"/>
  <c r="Q2262" i="1"/>
  <c r="Q2282" i="1"/>
  <c r="O2282" i="1"/>
  <c r="O2299" i="1"/>
  <c r="P2302" i="1"/>
  <c r="O2302" i="1"/>
  <c r="Q2323" i="1"/>
  <c r="O2323" i="1"/>
  <c r="N2328" i="1"/>
  <c r="P2340" i="1"/>
  <c r="O2340" i="1"/>
  <c r="Q2366" i="1"/>
  <c r="O2374" i="1"/>
  <c r="N2393" i="1"/>
  <c r="R2393" i="1" s="1"/>
  <c r="O2426" i="1"/>
  <c r="N2464" i="1"/>
  <c r="R2464" i="1" s="1"/>
  <c r="O2492" i="1"/>
  <c r="Q2492" i="1"/>
  <c r="O2523" i="1"/>
  <c r="N2523" i="1"/>
  <c r="O2578" i="1"/>
  <c r="N2578" i="1"/>
  <c r="Q1972" i="1"/>
  <c r="Q1977" i="1"/>
  <c r="P1988" i="1"/>
  <c r="P1994" i="1"/>
  <c r="N1996" i="1"/>
  <c r="R1996" i="1" s="1"/>
  <c r="N2004" i="1"/>
  <c r="P2016" i="1"/>
  <c r="N2017" i="1"/>
  <c r="R2017" i="1" s="1"/>
  <c r="N2025" i="1"/>
  <c r="R2025" i="1" s="1"/>
  <c r="N2027" i="1"/>
  <c r="P2036" i="1"/>
  <c r="Q2046" i="1"/>
  <c r="N2048" i="1"/>
  <c r="R2048" i="1" s="1"/>
  <c r="P2060" i="1"/>
  <c r="Q2062" i="1"/>
  <c r="N2066" i="1"/>
  <c r="R2066" i="1" s="1"/>
  <c r="N2103" i="1"/>
  <c r="R2103" i="1" s="1"/>
  <c r="N2105" i="1"/>
  <c r="Q2144" i="1"/>
  <c r="P2160" i="1"/>
  <c r="Q2160" i="1"/>
  <c r="Q2158" i="1" s="1"/>
  <c r="Q2176" i="1"/>
  <c r="Q2174" i="1" s="1"/>
  <c r="P2182" i="1"/>
  <c r="Q2182" i="1"/>
  <c r="P2184" i="1"/>
  <c r="N2202" i="1"/>
  <c r="Q2209" i="1"/>
  <c r="N2216" i="1"/>
  <c r="R2216" i="1" s="1"/>
  <c r="P2240" i="1"/>
  <c r="Q2240" i="1"/>
  <c r="P2250" i="1"/>
  <c r="Q2250" i="1"/>
  <c r="N2261" i="1"/>
  <c r="P2270" i="1"/>
  <c r="P2293" i="1"/>
  <c r="Q2392" i="1"/>
  <c r="Q2420" i="1"/>
  <c r="Q2462" i="1"/>
  <c r="N2495" i="1"/>
  <c r="P2498" i="1"/>
  <c r="Q2498" i="1"/>
  <c r="N2509" i="1"/>
  <c r="R2509" i="1" s="1"/>
  <c r="P2516" i="1"/>
  <c r="Q2535" i="1"/>
  <c r="Q2571" i="1"/>
  <c r="P1968" i="1"/>
  <c r="N1974" i="1"/>
  <c r="N1988" i="1"/>
  <c r="N1994" i="1"/>
  <c r="P2024" i="1"/>
  <c r="O2028" i="1"/>
  <c r="N2029" i="1"/>
  <c r="P2031" i="1"/>
  <c r="R2031" i="1"/>
  <c r="N2038" i="1"/>
  <c r="N2042" i="1"/>
  <c r="Q2061" i="1"/>
  <c r="R2065" i="1"/>
  <c r="N2074" i="1"/>
  <c r="R2074" i="1" s="1"/>
  <c r="P2109" i="1"/>
  <c r="P2108" i="1" s="1"/>
  <c r="Q2109" i="1"/>
  <c r="Q2108" i="1" s="1"/>
  <c r="P2113" i="1"/>
  <c r="P2112" i="1" s="1"/>
  <c r="Q2113" i="1"/>
  <c r="Q2112" i="1" s="1"/>
  <c r="P2117" i="1"/>
  <c r="P2116" i="1" s="1"/>
  <c r="Q2117" i="1"/>
  <c r="Q2116" i="1" s="1"/>
  <c r="O2120" i="1"/>
  <c r="O2119" i="1" s="1"/>
  <c r="Q2123" i="1"/>
  <c r="P2126" i="1"/>
  <c r="N2129" i="1"/>
  <c r="Q2130" i="1"/>
  <c r="N2144" i="1"/>
  <c r="N2146" i="1"/>
  <c r="N2156" i="1"/>
  <c r="N2167" i="1"/>
  <c r="O2172" i="1"/>
  <c r="N2176" i="1"/>
  <c r="R2176" i="1" s="1"/>
  <c r="N2178" i="1"/>
  <c r="P2196" i="1"/>
  <c r="P2195" i="1" s="1"/>
  <c r="N2220" i="1"/>
  <c r="Q2224" i="1"/>
  <c r="N2244" i="1"/>
  <c r="O2254" i="1"/>
  <c r="P2257" i="1"/>
  <c r="N2266" i="1"/>
  <c r="Q2281" i="1"/>
  <c r="P2281" i="1"/>
  <c r="Q2316" i="1"/>
  <c r="Q2337" i="1"/>
  <c r="Q2333" i="1" s="1"/>
  <c r="P2337" i="1"/>
  <c r="N2374" i="1"/>
  <c r="R2374" i="1" s="1"/>
  <c r="N2392" i="1"/>
  <c r="R2392" i="1" s="1"/>
  <c r="N2406" i="1"/>
  <c r="O2429" i="1"/>
  <c r="N2429" i="1"/>
  <c r="N2470" i="1"/>
  <c r="O2491" i="1"/>
  <c r="N2535" i="1"/>
  <c r="N2536" i="1"/>
  <c r="Q2542" i="1"/>
  <c r="Q2541" i="1" s="1"/>
  <c r="O2542" i="1"/>
  <c r="O2541" i="1" s="1"/>
  <c r="O2540" i="1" s="1"/>
  <c r="O2575" i="1"/>
  <c r="O2270" i="1"/>
  <c r="O2286" i="1"/>
  <c r="N2292" i="1"/>
  <c r="P2307" i="1"/>
  <c r="N2335" i="1"/>
  <c r="R2335" i="1" s="1"/>
  <c r="N2337" i="1"/>
  <c r="P2345" i="1"/>
  <c r="Q2349" i="1"/>
  <c r="Q2353" i="1"/>
  <c r="P2363" i="1"/>
  <c r="N2369" i="1"/>
  <c r="R2369" i="1" s="1"/>
  <c r="R2368" i="1" s="1"/>
  <c r="P2377" i="1"/>
  <c r="Q2377" i="1"/>
  <c r="N2391" i="1"/>
  <c r="O2394" i="1"/>
  <c r="O2406" i="1"/>
  <c r="P2412" i="1"/>
  <c r="O2416" i="1"/>
  <c r="P2430" i="1"/>
  <c r="P2436" i="1"/>
  <c r="O2437" i="1"/>
  <c r="P2438" i="1"/>
  <c r="P2443" i="1"/>
  <c r="Q2443" i="1"/>
  <c r="P2461" i="1"/>
  <c r="O2462" i="1"/>
  <c r="P2472" i="1"/>
  <c r="N2477" i="1"/>
  <c r="Q2478" i="1"/>
  <c r="Q2487" i="1"/>
  <c r="Q2490" i="1"/>
  <c r="O2507" i="1"/>
  <c r="P2520" i="1"/>
  <c r="P2519" i="1" s="1"/>
  <c r="P2523" i="1"/>
  <c r="Q2559" i="1"/>
  <c r="Q2558" i="1" s="1"/>
  <c r="Q2555" i="1" s="1"/>
  <c r="O2564" i="1"/>
  <c r="N2567" i="1"/>
  <c r="N2569" i="1"/>
  <c r="N2575" i="1"/>
  <c r="Q2581" i="1"/>
  <c r="Q2580" i="1" s="1"/>
  <c r="Q2584" i="1"/>
  <c r="Q2286" i="1"/>
  <c r="N2291" i="1"/>
  <c r="N2316" i="1"/>
  <c r="N2323" i="1"/>
  <c r="R2323" i="1" s="1"/>
  <c r="Q2340" i="1"/>
  <c r="N2345" i="1"/>
  <c r="R2345" i="1" s="1"/>
  <c r="P2350" i="1"/>
  <c r="P2352" i="1"/>
  <c r="Q2358" i="1"/>
  <c r="N2363" i="1"/>
  <c r="R2363" i="1" s="1"/>
  <c r="P2378" i="1"/>
  <c r="Q2384" i="1"/>
  <c r="Q2383" i="1" s="1"/>
  <c r="P2387" i="1"/>
  <c r="O2388" i="1"/>
  <c r="O2386" i="1" s="1"/>
  <c r="P2390" i="1"/>
  <c r="O2392" i="1"/>
  <c r="Q2400" i="1"/>
  <c r="Q2404" i="1"/>
  <c r="Q2409" i="1"/>
  <c r="Q2408" i="1" s="1"/>
  <c r="R2409" i="1"/>
  <c r="R2408" i="1" s="1"/>
  <c r="Q2419" i="1"/>
  <c r="Q2421" i="1"/>
  <c r="Q2424" i="1"/>
  <c r="P2427" i="1"/>
  <c r="Q2433" i="1"/>
  <c r="P2440" i="1"/>
  <c r="Q2442" i="1"/>
  <c r="Q2445" i="1"/>
  <c r="N2452" i="1"/>
  <c r="R2452" i="1" s="1"/>
  <c r="N2454" i="1"/>
  <c r="R2454" i="1" s="1"/>
  <c r="O2464" i="1"/>
  <c r="P2467" i="1"/>
  <c r="O2472" i="1"/>
  <c r="P2475" i="1"/>
  <c r="O2486" i="1"/>
  <c r="N2487" i="1"/>
  <c r="Q2491" i="1"/>
  <c r="O2493" i="1"/>
  <c r="N2497" i="1"/>
  <c r="P2507" i="1"/>
  <c r="N2524" i="1"/>
  <c r="N2532" i="1"/>
  <c r="N2542" i="1"/>
  <c r="R2542" i="1" s="1"/>
  <c r="R2541" i="1" s="1"/>
  <c r="N2544" i="1"/>
  <c r="N2563" i="1"/>
  <c r="R2563" i="1" s="1"/>
  <c r="P2564" i="1"/>
  <c r="Q2570" i="1"/>
  <c r="N2573" i="1"/>
  <c r="R2573" i="1" s="1"/>
  <c r="Q2575" i="1"/>
  <c r="Q2574" i="1" s="1"/>
  <c r="Q2285" i="1"/>
  <c r="N2301" i="1"/>
  <c r="O2306" i="1"/>
  <c r="Q2336" i="1"/>
  <c r="P2342" i="1"/>
  <c r="N2352" i="1"/>
  <c r="R2352" i="1" s="1"/>
  <c r="P2360" i="1"/>
  <c r="P2397" i="1"/>
  <c r="P2396" i="1" s="1"/>
  <c r="Q2407" i="1"/>
  <c r="Q2411" i="1"/>
  <c r="Q2410" i="1" s="1"/>
  <c r="N2421" i="1"/>
  <c r="P2437" i="1"/>
  <c r="Q2439" i="1"/>
  <c r="N2440" i="1"/>
  <c r="N2441" i="1"/>
  <c r="N2442" i="1"/>
  <c r="N2444" i="1"/>
  <c r="R2444" i="1" s="1"/>
  <c r="Q2458" i="1"/>
  <c r="P2462" i="1"/>
  <c r="N2467" i="1"/>
  <c r="N2479" i="1"/>
  <c r="N2486" i="1"/>
  <c r="P2495" i="1"/>
  <c r="P2496" i="1"/>
  <c r="Q2504" i="1"/>
  <c r="Q2544" i="1"/>
  <c r="Q2543" i="1" s="1"/>
  <c r="P2266" i="1"/>
  <c r="Q2266" i="1"/>
  <c r="N2274" i="1"/>
  <c r="R2274" i="1" s="1"/>
  <c r="P2283" i="1"/>
  <c r="Q2283" i="1"/>
  <c r="N2287" i="1"/>
  <c r="R2287" i="1" s="1"/>
  <c r="N2289" i="1"/>
  <c r="O2293" i="1"/>
  <c r="P2301" i="1"/>
  <c r="N2319" i="1"/>
  <c r="N2353" i="1"/>
  <c r="O2360" i="1"/>
  <c r="O2365" i="1"/>
  <c r="N2384" i="1"/>
  <c r="R2384" i="1" s="1"/>
  <c r="R2383" i="1" s="1"/>
  <c r="N2411" i="1"/>
  <c r="R2411" i="1" s="1"/>
  <c r="N2438" i="1"/>
  <c r="N2439" i="1"/>
  <c r="N2450" i="1"/>
  <c r="R2450" i="1" s="1"/>
  <c r="O2457" i="1"/>
  <c r="N2458" i="1"/>
  <c r="N2459" i="1"/>
  <c r="O2470" i="1"/>
  <c r="N2471" i="1"/>
  <c r="P2478" i="1"/>
  <c r="O2509" i="1"/>
  <c r="N2520" i="1"/>
  <c r="O2535" i="1"/>
  <c r="P2550" i="1"/>
  <c r="N2557" i="1"/>
  <c r="N2562" i="1"/>
  <c r="N2570" i="1"/>
  <c r="R2570" i="1" s="1"/>
  <c r="N2586" i="1"/>
  <c r="R23" i="1"/>
  <c r="R275" i="1"/>
  <c r="R79" i="1"/>
  <c r="R92" i="1"/>
  <c r="R146" i="1"/>
  <c r="R209" i="1"/>
  <c r="R207" i="1" s="1"/>
  <c r="R253" i="1"/>
  <c r="O121" i="1"/>
  <c r="R136" i="1"/>
  <c r="R221" i="1"/>
  <c r="R220" i="1" s="1"/>
  <c r="O70" i="1"/>
  <c r="O76" i="1"/>
  <c r="O89" i="1"/>
  <c r="R107" i="1"/>
  <c r="R108" i="1"/>
  <c r="R113" i="1"/>
  <c r="R158" i="1"/>
  <c r="R157" i="1" s="1"/>
  <c r="R178" i="1"/>
  <c r="R177" i="1" s="1"/>
  <c r="R196" i="1"/>
  <c r="R116" i="1"/>
  <c r="R225" i="1"/>
  <c r="R224" i="1" s="1"/>
  <c r="R314" i="1"/>
  <c r="O53" i="1"/>
  <c r="R123" i="1"/>
  <c r="R122" i="1" s="1"/>
  <c r="R153" i="1"/>
  <c r="R154" i="1"/>
  <c r="R187" i="1"/>
  <c r="R267" i="1"/>
  <c r="R266" i="1" s="1"/>
  <c r="R288" i="1"/>
  <c r="R54" i="1"/>
  <c r="R102" i="1"/>
  <c r="R285" i="1"/>
  <c r="R20" i="1"/>
  <c r="R71" i="1"/>
  <c r="R72" i="1"/>
  <c r="R81" i="1"/>
  <c r="R94" i="1"/>
  <c r="R104" i="1"/>
  <c r="R105" i="1"/>
  <c r="O135" i="1"/>
  <c r="R165" i="1"/>
  <c r="R164" i="1" s="1"/>
  <c r="O251" i="1"/>
  <c r="R255" i="1"/>
  <c r="R263" i="1"/>
  <c r="P58" i="1"/>
  <c r="P172" i="1"/>
  <c r="P171" i="1" s="1"/>
  <c r="P176" i="1"/>
  <c r="P175" i="1" s="1"/>
  <c r="P184" i="1"/>
  <c r="P206" i="1"/>
  <c r="P205" i="1" s="1"/>
  <c r="Q315" i="1"/>
  <c r="Q324" i="1"/>
  <c r="Q323" i="1" s="1"/>
  <c r="O324" i="1"/>
  <c r="O344" i="1"/>
  <c r="N344" i="1"/>
  <c r="R411" i="1"/>
  <c r="R410" i="1" s="1"/>
  <c r="O593" i="1"/>
  <c r="O592" i="1" s="1"/>
  <c r="R593" i="1"/>
  <c r="R592" i="1" s="1"/>
  <c r="Q593" i="1"/>
  <c r="Q592" i="1" s="1"/>
  <c r="R638" i="1"/>
  <c r="O652" i="1"/>
  <c r="O651" i="1" s="1"/>
  <c r="R652" i="1"/>
  <c r="R651" i="1" s="1"/>
  <c r="Q652" i="1"/>
  <c r="Q651" i="1" s="1"/>
  <c r="O690" i="1"/>
  <c r="O689" i="1" s="1"/>
  <c r="R690" i="1"/>
  <c r="R689" i="1" s="1"/>
  <c r="Q690" i="1"/>
  <c r="Q689" i="1" s="1"/>
  <c r="R809" i="1"/>
  <c r="R883" i="1"/>
  <c r="R896" i="1"/>
  <c r="R947" i="1"/>
  <c r="Q14" i="1"/>
  <c r="O16" i="1"/>
  <c r="O13" i="1" s="1"/>
  <c r="Q17" i="1"/>
  <c r="O26" i="1"/>
  <c r="Q27" i="1"/>
  <c r="O29" i="1"/>
  <c r="Q30" i="1"/>
  <c r="O32" i="1"/>
  <c r="Q33" i="1"/>
  <c r="O35" i="1"/>
  <c r="Q36" i="1"/>
  <c r="O38" i="1"/>
  <c r="Q39" i="1"/>
  <c r="Q43" i="1"/>
  <c r="Q42" i="1" s="1"/>
  <c r="Q47" i="1"/>
  <c r="Q46" i="1" s="1"/>
  <c r="O50" i="1"/>
  <c r="O49" i="1" s="1"/>
  <c r="Q51" i="1"/>
  <c r="O57" i="1"/>
  <c r="O56" i="1" s="1"/>
  <c r="Q58" i="1"/>
  <c r="O61" i="1"/>
  <c r="Q62" i="1"/>
  <c r="Q66" i="1"/>
  <c r="O68" i="1"/>
  <c r="O65" i="1" s="1"/>
  <c r="Q69" i="1"/>
  <c r="O75" i="1"/>
  <c r="O74" i="1" s="1"/>
  <c r="Q83" i="1"/>
  <c r="O85" i="1"/>
  <c r="Q86" i="1"/>
  <c r="O88" i="1"/>
  <c r="O98" i="1"/>
  <c r="Q99" i="1"/>
  <c r="O119" i="1"/>
  <c r="O117" i="1" s="1"/>
  <c r="O111" i="1" s="1"/>
  <c r="Q125" i="1"/>
  <c r="Q124" i="1" s="1"/>
  <c r="Q129" i="1"/>
  <c r="Q128" i="1" s="1"/>
  <c r="O132" i="1"/>
  <c r="O131" i="1" s="1"/>
  <c r="Q133" i="1"/>
  <c r="Q140" i="1"/>
  <c r="O142" i="1"/>
  <c r="Q151" i="1"/>
  <c r="Q150" i="1" s="1"/>
  <c r="Q163" i="1"/>
  <c r="Q162" i="1" s="1"/>
  <c r="Q167" i="1"/>
  <c r="Q166" i="1" s="1"/>
  <c r="Q172" i="1"/>
  <c r="Q171" i="1" s="1"/>
  <c r="Q176" i="1"/>
  <c r="Q175" i="1" s="1"/>
  <c r="Q180" i="1"/>
  <c r="Q179" i="1" s="1"/>
  <c r="O183" i="1"/>
  <c r="Q184" i="1"/>
  <c r="Q191" i="1"/>
  <c r="O193" i="1"/>
  <c r="O190" i="1" s="1"/>
  <c r="Q198" i="1"/>
  <c r="O200" i="1"/>
  <c r="O197" i="1" s="1"/>
  <c r="Q206" i="1"/>
  <c r="Q205" i="1" s="1"/>
  <c r="O212" i="1"/>
  <c r="O216" i="1"/>
  <c r="O215" i="1" s="1"/>
  <c r="O237" i="1"/>
  <c r="O236" i="1" s="1"/>
  <c r="O241" i="1"/>
  <c r="O240" i="1" s="1"/>
  <c r="O245" i="1"/>
  <c r="O244" i="1" s="1"/>
  <c r="O249" i="1"/>
  <c r="O247" i="1" s="1"/>
  <c r="Q250" i="1"/>
  <c r="Q257" i="1"/>
  <c r="O259" i="1"/>
  <c r="O256" i="1" s="1"/>
  <c r="O271" i="1"/>
  <c r="O270" i="1" s="1"/>
  <c r="Q272" i="1"/>
  <c r="O278" i="1"/>
  <c r="O280" i="1"/>
  <c r="P283" i="1"/>
  <c r="Q286" i="1"/>
  <c r="Q284" i="1" s="1"/>
  <c r="O288" i="1"/>
  <c r="O287" i="1" s="1"/>
  <c r="Q288" i="1"/>
  <c r="Q287" i="1" s="1"/>
  <c r="R293" i="1"/>
  <c r="O297" i="1"/>
  <c r="P299" i="1"/>
  <c r="O305" i="1"/>
  <c r="N324" i="1"/>
  <c r="R335" i="1"/>
  <c r="R349" i="1"/>
  <c r="N355" i="1"/>
  <c r="R356" i="1"/>
  <c r="R362" i="1"/>
  <c r="R385" i="1"/>
  <c r="R406" i="1"/>
  <c r="R426" i="1"/>
  <c r="N430" i="1"/>
  <c r="R445" i="1"/>
  <c r="N466" i="1"/>
  <c r="O469" i="1"/>
  <c r="N469" i="1"/>
  <c r="R469" i="1" s="1"/>
  <c r="R474" i="1"/>
  <c r="O486" i="1"/>
  <c r="R486" i="1"/>
  <c r="Q486" i="1"/>
  <c r="Q483" i="1" s="1"/>
  <c r="R492" i="1"/>
  <c r="O508" i="1"/>
  <c r="R508" i="1"/>
  <c r="Q508" i="1"/>
  <c r="O512" i="1"/>
  <c r="R512" i="1"/>
  <c r="Q512" i="1"/>
  <c r="Q511" i="1" s="1"/>
  <c r="N513" i="1"/>
  <c r="R513" i="1" s="1"/>
  <c r="N517" i="1"/>
  <c r="R517" i="1" s="1"/>
  <c r="R528" i="1"/>
  <c r="O534" i="1"/>
  <c r="O533" i="1" s="1"/>
  <c r="N534" i="1"/>
  <c r="R534" i="1" s="1"/>
  <c r="R533" i="1" s="1"/>
  <c r="N539" i="1"/>
  <c r="R539" i="1" s="1"/>
  <c r="R540" i="1"/>
  <c r="R544" i="1"/>
  <c r="R573" i="1"/>
  <c r="R572" i="1" s="1"/>
  <c r="R571" i="1" s="1"/>
  <c r="Q579" i="1"/>
  <c r="Q578" i="1" s="1"/>
  <c r="R583" i="1"/>
  <c r="R582" i="1" s="1"/>
  <c r="N603" i="1"/>
  <c r="R603" i="1" s="1"/>
  <c r="R602" i="1" s="1"/>
  <c r="R611" i="1"/>
  <c r="R610" i="1" s="1"/>
  <c r="N620" i="1"/>
  <c r="O627" i="1"/>
  <c r="O626" i="1" s="1"/>
  <c r="R627" i="1"/>
  <c r="R626" i="1" s="1"/>
  <c r="Q627" i="1"/>
  <c r="Q626" i="1" s="1"/>
  <c r="R629" i="1"/>
  <c r="R628" i="1" s="1"/>
  <c r="R642" i="1"/>
  <c r="R641" i="1" s="1"/>
  <c r="R666" i="1"/>
  <c r="R665" i="1" s="1"/>
  <c r="R688" i="1"/>
  <c r="R687" i="1" s="1"/>
  <c r="R841" i="1"/>
  <c r="O913" i="1"/>
  <c r="Q913" i="1"/>
  <c r="P913" i="1"/>
  <c r="P27" i="1"/>
  <c r="P30" i="1"/>
  <c r="P33" i="1"/>
  <c r="P133" i="1"/>
  <c r="P163" i="1"/>
  <c r="P162" i="1" s="1"/>
  <c r="R279" i="1"/>
  <c r="R304" i="1"/>
  <c r="R381" i="1"/>
  <c r="R380" i="1" s="1"/>
  <c r="R456" i="1"/>
  <c r="O530" i="1"/>
  <c r="R530" i="1"/>
  <c r="Q530" i="1"/>
  <c r="Q529" i="1" s="1"/>
  <c r="P16" i="1"/>
  <c r="P26" i="1"/>
  <c r="P32" i="1"/>
  <c r="R33" i="1"/>
  <c r="P35" i="1"/>
  <c r="R36" i="1"/>
  <c r="P38" i="1"/>
  <c r="R39" i="1"/>
  <c r="R43" i="1"/>
  <c r="R42" i="1" s="1"/>
  <c r="R47" i="1"/>
  <c r="R46" i="1" s="1"/>
  <c r="P50" i="1"/>
  <c r="R51" i="1"/>
  <c r="P57" i="1"/>
  <c r="R58" i="1"/>
  <c r="P61" i="1"/>
  <c r="R62" i="1"/>
  <c r="R66" i="1"/>
  <c r="P68" i="1"/>
  <c r="R69" i="1"/>
  <c r="P75" i="1"/>
  <c r="P74" i="1" s="1"/>
  <c r="R83" i="1"/>
  <c r="P85" i="1"/>
  <c r="R86" i="1"/>
  <c r="P88" i="1"/>
  <c r="P98" i="1"/>
  <c r="R99" i="1"/>
  <c r="P119" i="1"/>
  <c r="R125" i="1"/>
  <c r="R124" i="1" s="1"/>
  <c r="P132" i="1"/>
  <c r="R133" i="1"/>
  <c r="R140" i="1"/>
  <c r="P142" i="1"/>
  <c r="R163" i="1"/>
  <c r="R162" i="1" s="1"/>
  <c r="R167" i="1"/>
  <c r="R166" i="1" s="1"/>
  <c r="R172" i="1"/>
  <c r="R171" i="1" s="1"/>
  <c r="R176" i="1"/>
  <c r="R175" i="1" s="1"/>
  <c r="R180" i="1"/>
  <c r="R179" i="1" s="1"/>
  <c r="P183" i="1"/>
  <c r="R184" i="1"/>
  <c r="R191" i="1"/>
  <c r="P193" i="1"/>
  <c r="R198" i="1"/>
  <c r="P200" i="1"/>
  <c r="R206" i="1"/>
  <c r="R205" i="1" s="1"/>
  <c r="P212" i="1"/>
  <c r="P216" i="1"/>
  <c r="P215" i="1" s="1"/>
  <c r="P237" i="1"/>
  <c r="P236" i="1" s="1"/>
  <c r="P241" i="1"/>
  <c r="P240" i="1" s="1"/>
  <c r="P245" i="1"/>
  <c r="P244" i="1" s="1"/>
  <c r="P249" i="1"/>
  <c r="R250" i="1"/>
  <c r="R257" i="1"/>
  <c r="P259" i="1"/>
  <c r="P271" i="1"/>
  <c r="R272" i="1"/>
  <c r="P278" i="1"/>
  <c r="R295" i="1"/>
  <c r="R294" i="1" s="1"/>
  <c r="P297" i="1"/>
  <c r="Q299" i="1"/>
  <c r="P301" i="1"/>
  <c r="R317" i="1"/>
  <c r="O317" i="1"/>
  <c r="O315" i="1" s="1"/>
  <c r="P327" i="1"/>
  <c r="O329" i="1"/>
  <c r="O327" i="1" s="1"/>
  <c r="R329" i="1"/>
  <c r="Q329" i="1"/>
  <c r="Q327" i="1" s="1"/>
  <c r="R332" i="1"/>
  <c r="R342" i="1"/>
  <c r="O354" i="1"/>
  <c r="N354" i="1"/>
  <c r="R359" i="1"/>
  <c r="R374" i="1"/>
  <c r="O397" i="1"/>
  <c r="R397" i="1"/>
  <c r="Q397" i="1"/>
  <c r="Q394" i="1" s="1"/>
  <c r="R407" i="1"/>
  <c r="R449" i="1"/>
  <c r="R447" i="1" s="1"/>
  <c r="O457" i="1"/>
  <c r="R457" i="1"/>
  <c r="Q457" i="1"/>
  <c r="Q454" i="1" s="1"/>
  <c r="O461" i="1"/>
  <c r="O460" i="1" s="1"/>
  <c r="R461" i="1"/>
  <c r="R460" i="1" s="1"/>
  <c r="Q461" i="1"/>
  <c r="Q460" i="1" s="1"/>
  <c r="O465" i="1"/>
  <c r="N465" i="1"/>
  <c r="R465" i="1" s="1"/>
  <c r="O501" i="1"/>
  <c r="O500" i="1" s="1"/>
  <c r="R501" i="1"/>
  <c r="R500" i="1" s="1"/>
  <c r="Q501" i="1"/>
  <c r="Q500" i="1" s="1"/>
  <c r="O505" i="1"/>
  <c r="R505" i="1"/>
  <c r="Q505" i="1"/>
  <c r="Q504" i="1" s="1"/>
  <c r="R515" i="1"/>
  <c r="R514" i="1" s="1"/>
  <c r="O538" i="1"/>
  <c r="N538" i="1"/>
  <c r="R538" i="1" s="1"/>
  <c r="R547" i="1"/>
  <c r="R561" i="1"/>
  <c r="R587" i="1"/>
  <c r="R586" i="1" s="1"/>
  <c r="P637" i="1"/>
  <c r="P630" i="1" s="1"/>
  <c r="O639" i="1"/>
  <c r="O637" i="1" s="1"/>
  <c r="R639" i="1"/>
  <c r="Q639" i="1"/>
  <c r="Q637" i="1" s="1"/>
  <c r="Q630" i="1" s="1"/>
  <c r="R646" i="1"/>
  <c r="R645" i="1" s="1"/>
  <c r="R735" i="1"/>
  <c r="R734" i="1" s="1"/>
  <c r="O748" i="1"/>
  <c r="Q748" i="1"/>
  <c r="P748" i="1"/>
  <c r="R757" i="1"/>
  <c r="O791" i="1"/>
  <c r="R791" i="1"/>
  <c r="Q791" i="1"/>
  <c r="P791" i="1"/>
  <c r="P66" i="1"/>
  <c r="P69" i="1"/>
  <c r="P257" i="1"/>
  <c r="P304" i="1"/>
  <c r="P303" i="1" s="1"/>
  <c r="R328" i="1"/>
  <c r="O418" i="1"/>
  <c r="N418" i="1"/>
  <c r="R418" i="1" s="1"/>
  <c r="R417" i="1" s="1"/>
  <c r="O428" i="1"/>
  <c r="O427" i="1" s="1"/>
  <c r="R428" i="1"/>
  <c r="R427" i="1" s="1"/>
  <c r="Q428" i="1"/>
  <c r="Q427" i="1" s="1"/>
  <c r="O555" i="1"/>
  <c r="O554" i="1" s="1"/>
  <c r="R555" i="1"/>
  <c r="R554" i="1" s="1"/>
  <c r="Q555" i="1"/>
  <c r="Q554" i="1" s="1"/>
  <c r="R14" i="1"/>
  <c r="Q32" i="1"/>
  <c r="Q38" i="1"/>
  <c r="P45" i="1"/>
  <c r="P44" i="1" s="1"/>
  <c r="Q50" i="1"/>
  <c r="Q49" i="1" s="1"/>
  <c r="N55" i="1"/>
  <c r="Q57" i="1"/>
  <c r="Q61" i="1"/>
  <c r="Q68" i="1"/>
  <c r="P71" i="1"/>
  <c r="P70" i="1" s="1"/>
  <c r="N73" i="1"/>
  <c r="Q75" i="1"/>
  <c r="Q74" i="1" s="1"/>
  <c r="N77" i="1"/>
  <c r="P78" i="1"/>
  <c r="N80" i="1"/>
  <c r="P81" i="1"/>
  <c r="Q85" i="1"/>
  <c r="Q88" i="1"/>
  <c r="N90" i="1"/>
  <c r="R90" i="1" s="1"/>
  <c r="P91" i="1"/>
  <c r="N93" i="1"/>
  <c r="R93" i="1" s="1"/>
  <c r="P94" i="1"/>
  <c r="N96" i="1"/>
  <c r="Q98" i="1"/>
  <c r="P101" i="1"/>
  <c r="N103" i="1"/>
  <c r="P104" i="1"/>
  <c r="N106" i="1"/>
  <c r="P107" i="1"/>
  <c r="N114" i="1"/>
  <c r="R114" i="1" s="1"/>
  <c r="P115" i="1"/>
  <c r="P112" i="1" s="1"/>
  <c r="Q119" i="1"/>
  <c r="Q117" i="1" s="1"/>
  <c r="P123" i="1"/>
  <c r="P122" i="1" s="1"/>
  <c r="P127" i="1"/>
  <c r="P126" i="1" s="1"/>
  <c r="Q132" i="1"/>
  <c r="N137" i="1"/>
  <c r="P138" i="1"/>
  <c r="P135" i="1" s="1"/>
  <c r="Q142" i="1"/>
  <c r="N144" i="1"/>
  <c r="R144" i="1" s="1"/>
  <c r="P145" i="1"/>
  <c r="P143" i="1" s="1"/>
  <c r="N147" i="1"/>
  <c r="P153" i="1"/>
  <c r="P152" i="1" s="1"/>
  <c r="P161" i="1"/>
  <c r="P160" i="1" s="1"/>
  <c r="P165" i="1"/>
  <c r="P164" i="1" s="1"/>
  <c r="P174" i="1"/>
  <c r="P173" i="1" s="1"/>
  <c r="P178" i="1"/>
  <c r="P177" i="1" s="1"/>
  <c r="Q183" i="1"/>
  <c r="Q182" i="1" s="1"/>
  <c r="N188" i="1"/>
  <c r="P189" i="1"/>
  <c r="P186" i="1" s="1"/>
  <c r="Q193" i="1"/>
  <c r="N195" i="1"/>
  <c r="P196" i="1"/>
  <c r="P194" i="1" s="1"/>
  <c r="Q200" i="1"/>
  <c r="N202" i="1"/>
  <c r="P208" i="1"/>
  <c r="P207" i="1" s="1"/>
  <c r="Q212" i="1"/>
  <c r="Q210" i="1" s="1"/>
  <c r="N214" i="1"/>
  <c r="Q216" i="1"/>
  <c r="Q215" i="1" s="1"/>
  <c r="N218" i="1"/>
  <c r="N235" i="1"/>
  <c r="R235" i="1" s="1"/>
  <c r="R234" i="1" s="1"/>
  <c r="Q237" i="1"/>
  <c r="Q236" i="1" s="1"/>
  <c r="N239" i="1"/>
  <c r="Q241" i="1"/>
  <c r="Q240" i="1" s="1"/>
  <c r="N243" i="1"/>
  <c r="Q245" i="1"/>
  <c r="Q244" i="1" s="1"/>
  <c r="Q249" i="1"/>
  <c r="P252" i="1"/>
  <c r="N254" i="1"/>
  <c r="P255" i="1"/>
  <c r="Q259" i="1"/>
  <c r="N261" i="1"/>
  <c r="P262" i="1"/>
  <c r="P260" i="1" s="1"/>
  <c r="Q271" i="1"/>
  <c r="Q270" i="1" s="1"/>
  <c r="P274" i="1"/>
  <c r="Q278" i="1"/>
  <c r="Q280" i="1"/>
  <c r="O281" i="1"/>
  <c r="Q292" i="1"/>
  <c r="Q291" i="1" s="1"/>
  <c r="R297" i="1"/>
  <c r="N298" i="1"/>
  <c r="R298" i="1" s="1"/>
  <c r="R299" i="1"/>
  <c r="Q301" i="1"/>
  <c r="Q305" i="1"/>
  <c r="Q303" i="1" s="1"/>
  <c r="O309" i="1"/>
  <c r="O308" i="1" s="1"/>
  <c r="N316" i="1"/>
  <c r="R316" i="1" s="1"/>
  <c r="R315" i="1" s="1"/>
  <c r="N321" i="1"/>
  <c r="R339" i="1"/>
  <c r="O350" i="1"/>
  <c r="O347" i="1" s="1"/>
  <c r="R350" i="1"/>
  <c r="Q350" i="1"/>
  <c r="O363" i="1"/>
  <c r="R363" i="1"/>
  <c r="Q363" i="1"/>
  <c r="O379" i="1"/>
  <c r="N379" i="1"/>
  <c r="R379" i="1" s="1"/>
  <c r="O386" i="1"/>
  <c r="R386" i="1"/>
  <c r="Q386" i="1"/>
  <c r="Q384" i="1" s="1"/>
  <c r="O405" i="1"/>
  <c r="N405" i="1"/>
  <c r="R405" i="1" s="1"/>
  <c r="O421" i="1"/>
  <c r="O420" i="1" s="1"/>
  <c r="R421" i="1"/>
  <c r="R420" i="1" s="1"/>
  <c r="Q421" i="1"/>
  <c r="Q420" i="1" s="1"/>
  <c r="O425" i="1"/>
  <c r="N425" i="1"/>
  <c r="O491" i="1"/>
  <c r="N491" i="1"/>
  <c r="R491" i="1" s="1"/>
  <c r="R490" i="1" s="1"/>
  <c r="R518" i="1"/>
  <c r="O527" i="1"/>
  <c r="N527" i="1"/>
  <c r="R527" i="1" s="1"/>
  <c r="R525" i="1" s="1"/>
  <c r="R532" i="1"/>
  <c r="O552" i="1"/>
  <c r="N552" i="1"/>
  <c r="R552" i="1" s="1"/>
  <c r="O673" i="1"/>
  <c r="O672" i="1" s="1"/>
  <c r="R673" i="1"/>
  <c r="R672" i="1" s="1"/>
  <c r="Q673" i="1"/>
  <c r="Q672" i="1" s="1"/>
  <c r="R835" i="1"/>
  <c r="R861" i="1"/>
  <c r="O1059" i="1"/>
  <c r="O1058" i="1" s="1"/>
  <c r="R1059" i="1"/>
  <c r="R1058" i="1" s="1"/>
  <c r="Q1059" i="1"/>
  <c r="Q1058" i="1" s="1"/>
  <c r="P1059" i="1"/>
  <c r="P1058" i="1" s="1"/>
  <c r="P36" i="1"/>
  <c r="P51" i="1"/>
  <c r="P83" i="1"/>
  <c r="P167" i="1"/>
  <c r="P166" i="1" s="1"/>
  <c r="P293" i="1"/>
  <c r="P291" i="1" s="1"/>
  <c r="O376" i="1"/>
  <c r="N376" i="1"/>
  <c r="O394" i="1"/>
  <c r="O494" i="1"/>
  <c r="R494" i="1"/>
  <c r="R493" i="1" s="1"/>
  <c r="Q494" i="1"/>
  <c r="Q493" i="1" s="1"/>
  <c r="R30" i="1"/>
  <c r="P19" i="1"/>
  <c r="R16" i="1"/>
  <c r="Q19" i="1"/>
  <c r="Q22" i="1"/>
  <c r="P25" i="1"/>
  <c r="R26" i="1"/>
  <c r="P28" i="1"/>
  <c r="R29" i="1"/>
  <c r="P31" i="1"/>
  <c r="R32" i="1"/>
  <c r="P34" i="1"/>
  <c r="R35" i="1"/>
  <c r="P37" i="1"/>
  <c r="R38" i="1"/>
  <c r="P40" i="1"/>
  <c r="Q45" i="1"/>
  <c r="Q44" i="1" s="1"/>
  <c r="R50" i="1"/>
  <c r="P52" i="1"/>
  <c r="R57" i="1"/>
  <c r="R61" i="1"/>
  <c r="R60" i="1" s="1"/>
  <c r="P63" i="1"/>
  <c r="P67" i="1"/>
  <c r="R68" i="1"/>
  <c r="Q71" i="1"/>
  <c r="Q70" i="1" s="1"/>
  <c r="R75" i="1"/>
  <c r="R74" i="1" s="1"/>
  <c r="Q78" i="1"/>
  <c r="Q81" i="1"/>
  <c r="P84" i="1"/>
  <c r="R85" i="1"/>
  <c r="P87" i="1"/>
  <c r="R88" i="1"/>
  <c r="Q91" i="1"/>
  <c r="Q94" i="1"/>
  <c r="R98" i="1"/>
  <c r="Q101" i="1"/>
  <c r="Q104" i="1"/>
  <c r="Q107" i="1"/>
  <c r="Q115" i="1"/>
  <c r="Q112" i="1" s="1"/>
  <c r="P118" i="1"/>
  <c r="R119" i="1"/>
  <c r="R117" i="1" s="1"/>
  <c r="Q123" i="1"/>
  <c r="Q122" i="1" s="1"/>
  <c r="Q127" i="1"/>
  <c r="Q126" i="1" s="1"/>
  <c r="R132" i="1"/>
  <c r="P134" i="1"/>
  <c r="Q138" i="1"/>
  <c r="Q135" i="1" s="1"/>
  <c r="P141" i="1"/>
  <c r="P139" i="1" s="1"/>
  <c r="R142" i="1"/>
  <c r="Q145" i="1"/>
  <c r="Q143" i="1" s="1"/>
  <c r="Q153" i="1"/>
  <c r="Q152" i="1" s="1"/>
  <c r="P156" i="1"/>
  <c r="P155" i="1" s="1"/>
  <c r="Q161" i="1"/>
  <c r="Q160" i="1" s="1"/>
  <c r="Q165" i="1"/>
  <c r="Q164" i="1" s="1"/>
  <c r="Q174" i="1"/>
  <c r="Q173" i="1" s="1"/>
  <c r="Q178" i="1"/>
  <c r="Q177" i="1" s="1"/>
  <c r="R183" i="1"/>
  <c r="R182" i="1" s="1"/>
  <c r="P185" i="1"/>
  <c r="Q189" i="1"/>
  <c r="Q186" i="1" s="1"/>
  <c r="P192" i="1"/>
  <c r="P190" i="1" s="1"/>
  <c r="R193" i="1"/>
  <c r="Q196" i="1"/>
  <c r="Q194" i="1" s="1"/>
  <c r="P199" i="1"/>
  <c r="R200" i="1"/>
  <c r="Q208" i="1"/>
  <c r="Q207" i="1" s="1"/>
  <c r="P211" i="1"/>
  <c r="R212" i="1"/>
  <c r="R216" i="1"/>
  <c r="R215" i="1" s="1"/>
  <c r="P223" i="1"/>
  <c r="P222" i="1" s="1"/>
  <c r="P227" i="1"/>
  <c r="P226" i="1" s="1"/>
  <c r="P231" i="1"/>
  <c r="P230" i="1" s="1"/>
  <c r="R237" i="1"/>
  <c r="R236" i="1" s="1"/>
  <c r="R241" i="1"/>
  <c r="R240" i="1" s="1"/>
  <c r="R245" i="1"/>
  <c r="R244" i="1" s="1"/>
  <c r="P248" i="1"/>
  <c r="P247" i="1" s="1"/>
  <c r="R249" i="1"/>
  <c r="R247" i="1" s="1"/>
  <c r="Q252" i="1"/>
  <c r="Q255" i="1"/>
  <c r="P258" i="1"/>
  <c r="R259" i="1"/>
  <c r="Q262" i="1"/>
  <c r="P265" i="1"/>
  <c r="P264" i="1" s="1"/>
  <c r="R271" i="1"/>
  <c r="Q274" i="1"/>
  <c r="Q273" i="1" s="1"/>
  <c r="P277" i="1"/>
  <c r="P276" i="1" s="1"/>
  <c r="R278" i="1"/>
  <c r="N280" i="1"/>
  <c r="R280" i="1" s="1"/>
  <c r="P282" i="1"/>
  <c r="P281" i="1" s="1"/>
  <c r="P289" i="1"/>
  <c r="P287" i="1" s="1"/>
  <c r="R292" i="1"/>
  <c r="R291" i="1" s="1"/>
  <c r="R301" i="1"/>
  <c r="N305" i="1"/>
  <c r="P307" i="1"/>
  <c r="P306" i="1" s="1"/>
  <c r="R312" i="1"/>
  <c r="P312" i="1"/>
  <c r="P314" i="1"/>
  <c r="P324" i="1"/>
  <c r="O333" i="1"/>
  <c r="Q333" i="1"/>
  <c r="Q331" i="1" s="1"/>
  <c r="N352" i="1"/>
  <c r="R353" i="1"/>
  <c r="O360" i="1"/>
  <c r="R360" i="1"/>
  <c r="Q360" i="1"/>
  <c r="N365" i="1"/>
  <c r="R366" i="1"/>
  <c r="O383" i="1"/>
  <c r="O382" i="1" s="1"/>
  <c r="N383" i="1"/>
  <c r="R383" i="1" s="1"/>
  <c r="R382" i="1" s="1"/>
  <c r="N392" i="1"/>
  <c r="R393" i="1"/>
  <c r="R400" i="1"/>
  <c r="R399" i="1" s="1"/>
  <c r="O413" i="1"/>
  <c r="O412" i="1" s="1"/>
  <c r="O409" i="1" s="1"/>
  <c r="O408" i="1" s="1"/>
  <c r="N413" i="1"/>
  <c r="P428" i="1"/>
  <c r="P427" i="1" s="1"/>
  <c r="O435" i="1"/>
  <c r="R435" i="1"/>
  <c r="Q435" i="1"/>
  <c r="O443" i="1"/>
  <c r="O442" i="1" s="1"/>
  <c r="R443" i="1"/>
  <c r="R442" i="1" s="1"/>
  <c r="Q443" i="1"/>
  <c r="Q442" i="1" s="1"/>
  <c r="N459" i="1"/>
  <c r="R459" i="1" s="1"/>
  <c r="R458" i="1" s="1"/>
  <c r="N463" i="1"/>
  <c r="R464" i="1"/>
  <c r="O472" i="1"/>
  <c r="R472" i="1"/>
  <c r="Q472" i="1"/>
  <c r="Q471" i="1" s="1"/>
  <c r="N477" i="1"/>
  <c r="R482" i="1"/>
  <c r="R481" i="1" s="1"/>
  <c r="P494" i="1"/>
  <c r="N499" i="1"/>
  <c r="N503" i="1"/>
  <c r="R503" i="1" s="1"/>
  <c r="R502" i="1" s="1"/>
  <c r="O523" i="1"/>
  <c r="R523" i="1"/>
  <c r="R522" i="1" s="1"/>
  <c r="Q523" i="1"/>
  <c r="Q522" i="1" s="1"/>
  <c r="P530" i="1"/>
  <c r="R536" i="1"/>
  <c r="R535" i="1" s="1"/>
  <c r="O548" i="1"/>
  <c r="R548" i="1"/>
  <c r="Q548" i="1"/>
  <c r="Q546" i="1" s="1"/>
  <c r="P555" i="1"/>
  <c r="P554" i="1" s="1"/>
  <c r="O562" i="1"/>
  <c r="R562" i="1"/>
  <c r="Q562" i="1"/>
  <c r="P593" i="1"/>
  <c r="P592" i="1" s="1"/>
  <c r="P652" i="1"/>
  <c r="P651" i="1" s="1"/>
  <c r="R659" i="1"/>
  <c r="R658" i="1" s="1"/>
  <c r="R657" i="1" s="1"/>
  <c r="R683" i="1"/>
  <c r="R682" i="1" s="1"/>
  <c r="P690" i="1"/>
  <c r="P689" i="1" s="1"/>
  <c r="R697" i="1"/>
  <c r="R696" i="1" s="1"/>
  <c r="O705" i="1"/>
  <c r="O704" i="1" s="1"/>
  <c r="R705" i="1"/>
  <c r="R704" i="1" s="1"/>
  <c r="Q705" i="1"/>
  <c r="Q704" i="1" s="1"/>
  <c r="P705" i="1"/>
  <c r="P704" i="1" s="1"/>
  <c r="Q722" i="1"/>
  <c r="R783" i="1"/>
  <c r="O849" i="1"/>
  <c r="R849" i="1"/>
  <c r="Q849" i="1"/>
  <c r="Q848" i="1" s="1"/>
  <c r="P849" i="1"/>
  <c r="R887" i="1"/>
  <c r="R902" i="1"/>
  <c r="O972" i="1"/>
  <c r="R972" i="1"/>
  <c r="Q972" i="1"/>
  <c r="P972" i="1"/>
  <c r="P14" i="1"/>
  <c r="P17" i="1"/>
  <c r="P39" i="1"/>
  <c r="P43" i="1"/>
  <c r="P42" i="1" s="1"/>
  <c r="P47" i="1"/>
  <c r="P46" i="1" s="1"/>
  <c r="P86" i="1"/>
  <c r="P129" i="1"/>
  <c r="P128" i="1" s="1"/>
  <c r="P198" i="1"/>
  <c r="P272" i="1"/>
  <c r="O451" i="1"/>
  <c r="N451" i="1"/>
  <c r="R451" i="1" s="1"/>
  <c r="R17" i="1"/>
  <c r="Q16" i="1"/>
  <c r="N21" i="1"/>
  <c r="R21" i="1" s="1"/>
  <c r="P22" i="1"/>
  <c r="Q26" i="1"/>
  <c r="Q29" i="1"/>
  <c r="Q35" i="1"/>
  <c r="P15" i="1"/>
  <c r="O279" i="1"/>
  <c r="R282" i="1"/>
  <c r="R281" i="1" s="1"/>
  <c r="O286" i="1"/>
  <c r="O284" i="1" s="1"/>
  <c r="R289" i="1"/>
  <c r="O293" i="1"/>
  <c r="O291" i="1" s="1"/>
  <c r="O295" i="1"/>
  <c r="O294" i="1" s="1"/>
  <c r="P298" i="1"/>
  <c r="Q300" i="1"/>
  <c r="P300" i="1"/>
  <c r="O302" i="1"/>
  <c r="Q302" i="1"/>
  <c r="O304" i="1"/>
  <c r="R307" i="1"/>
  <c r="R306" i="1" s="1"/>
  <c r="Q312" i="1"/>
  <c r="Q311" i="1" s="1"/>
  <c r="O313" i="1"/>
  <c r="O311" i="1" s="1"/>
  <c r="P316" i="1"/>
  <c r="P315" i="1" s="1"/>
  <c r="O319" i="1"/>
  <c r="R319" i="1"/>
  <c r="Q319" i="1"/>
  <c r="O322" i="1"/>
  <c r="R322" i="1"/>
  <c r="Q322" i="1"/>
  <c r="R325" i="1"/>
  <c r="O340" i="1"/>
  <c r="O337" i="1" s="1"/>
  <c r="R340" i="1"/>
  <c r="Q340" i="1"/>
  <c r="Q337" i="1" s="1"/>
  <c r="N341" i="1"/>
  <c r="R341" i="1" s="1"/>
  <c r="R346" i="1"/>
  <c r="O357" i="1"/>
  <c r="N357" i="1"/>
  <c r="R357" i="1" s="1"/>
  <c r="O372" i="1"/>
  <c r="O371" i="1" s="1"/>
  <c r="R372" i="1"/>
  <c r="Q372" i="1"/>
  <c r="Q371" i="1" s="1"/>
  <c r="N373" i="1"/>
  <c r="R373" i="1" s="1"/>
  <c r="R378" i="1"/>
  <c r="O391" i="1"/>
  <c r="N391" i="1"/>
  <c r="R391" i="1" s="1"/>
  <c r="R404" i="1"/>
  <c r="R424" i="1"/>
  <c r="O432" i="1"/>
  <c r="R432" i="1"/>
  <c r="Q432" i="1"/>
  <c r="N433" i="1"/>
  <c r="R433" i="1" s="1"/>
  <c r="P437" i="1"/>
  <c r="O439" i="1"/>
  <c r="O437" i="1" s="1"/>
  <c r="O436" i="1" s="1"/>
  <c r="R439" i="1"/>
  <c r="Q439" i="1"/>
  <c r="Q437" i="1" s="1"/>
  <c r="R441" i="1"/>
  <c r="R440" i="1" s="1"/>
  <c r="R453" i="1"/>
  <c r="R470" i="1"/>
  <c r="N473" i="1"/>
  <c r="R473" i="1" s="1"/>
  <c r="O476" i="1"/>
  <c r="N476" i="1"/>
  <c r="R476" i="1" s="1"/>
  <c r="R485" i="1"/>
  <c r="O498" i="1"/>
  <c r="N498" i="1"/>
  <c r="R498" i="1" s="1"/>
  <c r="R507" i="1"/>
  <c r="O519" i="1"/>
  <c r="R519" i="1"/>
  <c r="Q519" i="1"/>
  <c r="N520" i="1"/>
  <c r="R520" i="1" s="1"/>
  <c r="O541" i="1"/>
  <c r="N541" i="1"/>
  <c r="R541" i="1" s="1"/>
  <c r="Q543" i="1"/>
  <c r="O545" i="1"/>
  <c r="O543" i="1" s="1"/>
  <c r="N545" i="1"/>
  <c r="R545" i="1" s="1"/>
  <c r="O559" i="1"/>
  <c r="R559" i="1"/>
  <c r="Q559" i="1"/>
  <c r="N560" i="1"/>
  <c r="O597" i="1"/>
  <c r="O596" i="1" s="1"/>
  <c r="R597" i="1"/>
  <c r="R596" i="1" s="1"/>
  <c r="Q597" i="1"/>
  <c r="Q596" i="1" s="1"/>
  <c r="R599" i="1"/>
  <c r="R598" i="1" s="1"/>
  <c r="R634" i="1"/>
  <c r="R633" i="1" s="1"/>
  <c r="O656" i="1"/>
  <c r="O655" i="1" s="1"/>
  <c r="R656" i="1"/>
  <c r="R655" i="1" s="1"/>
  <c r="Q656" i="1"/>
  <c r="Q655" i="1" s="1"/>
  <c r="N679" i="1"/>
  <c r="R720" i="1"/>
  <c r="P325" i="1"/>
  <c r="R326" i="1"/>
  <c r="R344" i="1"/>
  <c r="P346" i="1"/>
  <c r="P353" i="1"/>
  <c r="R354" i="1"/>
  <c r="P356" i="1"/>
  <c r="P366" i="1"/>
  <c r="R376" i="1"/>
  <c r="P378" i="1"/>
  <c r="P393" i="1"/>
  <c r="P400" i="1"/>
  <c r="P399" i="1" s="1"/>
  <c r="P404" i="1"/>
  <c r="P407" i="1"/>
  <c r="P424" i="1"/>
  <c r="P453" i="1"/>
  <c r="P464" i="1"/>
  <c r="P478" i="1"/>
  <c r="P482" i="1"/>
  <c r="P481" i="1" s="1"/>
  <c r="P497" i="1"/>
  <c r="P515" i="1"/>
  <c r="P514" i="1" s="1"/>
  <c r="P526" i="1"/>
  <c r="P540" i="1"/>
  <c r="P544" i="1"/>
  <c r="P543" i="1" s="1"/>
  <c r="P551" i="1"/>
  <c r="P570" i="1"/>
  <c r="P569" i="1" s="1"/>
  <c r="P568" i="1" s="1"/>
  <c r="R589" i="1"/>
  <c r="R588" i="1" s="1"/>
  <c r="R579" i="1" s="1"/>
  <c r="R578" i="1" s="1"/>
  <c r="P605" i="1"/>
  <c r="P604" i="1" s="1"/>
  <c r="P609" i="1"/>
  <c r="P608" i="1" s="1"/>
  <c r="P618" i="1"/>
  <c r="P617" i="1" s="1"/>
  <c r="P622" i="1"/>
  <c r="P621" i="1" s="1"/>
  <c r="P664" i="1"/>
  <c r="P663" i="1" s="1"/>
  <c r="P668" i="1"/>
  <c r="P667" i="1" s="1"/>
  <c r="P681" i="1"/>
  <c r="P680" i="1" s="1"/>
  <c r="P685" i="1"/>
  <c r="P684" i="1" s="1"/>
  <c r="O718" i="1"/>
  <c r="O717" i="1" s="1"/>
  <c r="N718" i="1"/>
  <c r="R718" i="1" s="1"/>
  <c r="R717" i="1" s="1"/>
  <c r="O778" i="1"/>
  <c r="R778" i="1"/>
  <c r="Q778" i="1"/>
  <c r="O810" i="1"/>
  <c r="R810" i="1"/>
  <c r="Q810" i="1"/>
  <c r="O827" i="1"/>
  <c r="R827" i="1"/>
  <c r="Q827" i="1"/>
  <c r="O836" i="1"/>
  <c r="R836" i="1"/>
  <c r="Q836" i="1"/>
  <c r="O862" i="1"/>
  <c r="R862" i="1"/>
  <c r="Q862" i="1"/>
  <c r="O875" i="1"/>
  <c r="R875" i="1"/>
  <c r="Q875" i="1"/>
  <c r="O884" i="1"/>
  <c r="R884" i="1"/>
  <c r="Q884" i="1"/>
  <c r="O888" i="1"/>
  <c r="R888" i="1"/>
  <c r="Q888" i="1"/>
  <c r="R918" i="1"/>
  <c r="O948" i="1"/>
  <c r="R948" i="1"/>
  <c r="Q948" i="1"/>
  <c r="R968" i="1"/>
  <c r="R1142" i="1"/>
  <c r="O345" i="1"/>
  <c r="O352" i="1"/>
  <c r="O355" i="1"/>
  <c r="O365" i="1"/>
  <c r="O364" i="1" s="1"/>
  <c r="O377" i="1"/>
  <c r="O392" i="1"/>
  <c r="O406" i="1"/>
  <c r="O419" i="1"/>
  <c r="O426" i="1"/>
  <c r="O430" i="1"/>
  <c r="O429" i="1" s="1"/>
  <c r="O441" i="1"/>
  <c r="O440" i="1" s="1"/>
  <c r="O452" i="1"/>
  <c r="O459" i="1"/>
  <c r="O458" i="1" s="1"/>
  <c r="O463" i="1"/>
  <c r="O466" i="1"/>
  <c r="O470" i="1"/>
  <c r="O477" i="1"/>
  <c r="O492" i="1"/>
  <c r="O499" i="1"/>
  <c r="O496" i="1" s="1"/>
  <c r="O503" i="1"/>
  <c r="O502" i="1" s="1"/>
  <c r="Q526" i="1"/>
  <c r="O528" i="1"/>
  <c r="O539" i="1"/>
  <c r="Q551" i="1"/>
  <c r="O553" i="1"/>
  <c r="O557" i="1"/>
  <c r="O556" i="1" s="1"/>
  <c r="Q570" i="1"/>
  <c r="Q569" i="1" s="1"/>
  <c r="Q568" i="1" s="1"/>
  <c r="O573" i="1"/>
  <c r="O572" i="1" s="1"/>
  <c r="O571" i="1" s="1"/>
  <c r="O595" i="1"/>
  <c r="O594" i="1" s="1"/>
  <c r="O599" i="1"/>
  <c r="O598" i="1" s="1"/>
  <c r="Q605" i="1"/>
  <c r="Q604" i="1" s="1"/>
  <c r="Q609" i="1"/>
  <c r="Q608" i="1" s="1"/>
  <c r="Q618" i="1"/>
  <c r="Q617" i="1" s="1"/>
  <c r="Q622" i="1"/>
  <c r="Q621" i="1" s="1"/>
  <c r="O625" i="1"/>
  <c r="O624" i="1" s="1"/>
  <c r="O629" i="1"/>
  <c r="O628" i="1" s="1"/>
  <c r="O654" i="1"/>
  <c r="O653" i="1" s="1"/>
  <c r="Q664" i="1"/>
  <c r="Q663" i="1" s="1"/>
  <c r="Q668" i="1"/>
  <c r="Q667" i="1" s="1"/>
  <c r="O671" i="1"/>
  <c r="O670" i="1" s="1"/>
  <c r="O675" i="1"/>
  <c r="O674" i="1" s="1"/>
  <c r="Q681" i="1"/>
  <c r="Q680" i="1" s="1"/>
  <c r="Q685" i="1"/>
  <c r="Q684" i="1" s="1"/>
  <c r="O688" i="1"/>
  <c r="O687" i="1" s="1"/>
  <c r="O692" i="1"/>
  <c r="O691" i="1" s="1"/>
  <c r="R707" i="1"/>
  <c r="R706" i="1" s="1"/>
  <c r="P714" i="1"/>
  <c r="P713" i="1" s="1"/>
  <c r="P712" i="1" s="1"/>
  <c r="R716" i="1"/>
  <c r="R715" i="1" s="1"/>
  <c r="P719" i="1"/>
  <c r="O721" i="1"/>
  <c r="O719" i="1" s="1"/>
  <c r="R721" i="1"/>
  <c r="P726" i="1"/>
  <c r="P725" i="1" s="1"/>
  <c r="P722" i="1" s="1"/>
  <c r="R728" i="1"/>
  <c r="R727" i="1" s="1"/>
  <c r="Q731" i="1"/>
  <c r="Q730" i="1" s="1"/>
  <c r="O745" i="1"/>
  <c r="R745" i="1"/>
  <c r="Q745" i="1"/>
  <c r="Q767" i="1"/>
  <c r="P776" i="1"/>
  <c r="R777" i="1"/>
  <c r="N780" i="1"/>
  <c r="O788" i="1"/>
  <c r="R788" i="1"/>
  <c r="Q788" i="1"/>
  <c r="Q799" i="1"/>
  <c r="R806" i="1"/>
  <c r="P808" i="1"/>
  <c r="Q816" i="1"/>
  <c r="Q813" i="1" s="1"/>
  <c r="Q825" i="1"/>
  <c r="R832" i="1"/>
  <c r="P834" i="1"/>
  <c r="N838" i="1"/>
  <c r="N847" i="1"/>
  <c r="R858" i="1"/>
  <c r="P860" i="1"/>
  <c r="Q873" i="1"/>
  <c r="R880" i="1"/>
  <c r="P882" i="1"/>
  <c r="R893" i="1"/>
  <c r="P895" i="1"/>
  <c r="N899" i="1"/>
  <c r="N908" i="1"/>
  <c r="O919" i="1"/>
  <c r="R919" i="1"/>
  <c r="Q919" i="1"/>
  <c r="N924" i="1"/>
  <c r="Q934" i="1"/>
  <c r="R944" i="1"/>
  <c r="P946" i="1"/>
  <c r="Q959" i="1"/>
  <c r="O965" i="1"/>
  <c r="O964" i="1" s="1"/>
  <c r="R965" i="1"/>
  <c r="R964" i="1" s="1"/>
  <c r="Q965" i="1"/>
  <c r="Q964" i="1" s="1"/>
  <c r="O969" i="1"/>
  <c r="R969" i="1"/>
  <c r="Q969" i="1"/>
  <c r="O1141" i="1"/>
  <c r="R1141" i="1"/>
  <c r="Q1141" i="1"/>
  <c r="Q1138" i="1" s="1"/>
  <c r="P1141" i="1"/>
  <c r="R1415" i="1"/>
  <c r="Q1415" i="1"/>
  <c r="O1415" i="1"/>
  <c r="P1415" i="1"/>
  <c r="P345" i="1"/>
  <c r="P352" i="1"/>
  <c r="P355" i="1"/>
  <c r="P365" i="1"/>
  <c r="P377" i="1"/>
  <c r="P375" i="1" s="1"/>
  <c r="P392" i="1"/>
  <c r="P406" i="1"/>
  <c r="P419" i="1"/>
  <c r="P417" i="1" s="1"/>
  <c r="P426" i="1"/>
  <c r="P430" i="1"/>
  <c r="P429" i="1" s="1"/>
  <c r="P441" i="1"/>
  <c r="P440" i="1" s="1"/>
  <c r="O448" i="1"/>
  <c r="O447" i="1" s="1"/>
  <c r="P452" i="1"/>
  <c r="O455" i="1"/>
  <c r="O454" i="1" s="1"/>
  <c r="P459" i="1"/>
  <c r="P458" i="1" s="1"/>
  <c r="P463" i="1"/>
  <c r="P466" i="1"/>
  <c r="P470" i="1"/>
  <c r="P468" i="1" s="1"/>
  <c r="O473" i="1"/>
  <c r="P477" i="1"/>
  <c r="O480" i="1"/>
  <c r="O479" i="1" s="1"/>
  <c r="O484" i="1"/>
  <c r="O487" i="1"/>
  <c r="P492" i="1"/>
  <c r="P490" i="1" s="1"/>
  <c r="O495" i="1"/>
  <c r="P499" i="1"/>
  <c r="P503" i="1"/>
  <c r="P502" i="1" s="1"/>
  <c r="O506" i="1"/>
  <c r="O509" i="1"/>
  <c r="O513" i="1"/>
  <c r="O517" i="1"/>
  <c r="O520" i="1"/>
  <c r="O524" i="1"/>
  <c r="P528" i="1"/>
  <c r="P539" i="1"/>
  <c r="O549" i="1"/>
  <c r="R551" i="1"/>
  <c r="P553" i="1"/>
  <c r="P557" i="1"/>
  <c r="P556" i="1" s="1"/>
  <c r="R570" i="1"/>
  <c r="R569" i="1" s="1"/>
  <c r="R568" i="1" s="1"/>
  <c r="P573" i="1"/>
  <c r="P572" i="1" s="1"/>
  <c r="P571" i="1" s="1"/>
  <c r="P595" i="1"/>
  <c r="P594" i="1" s="1"/>
  <c r="P599" i="1"/>
  <c r="P598" i="1" s="1"/>
  <c r="R622" i="1"/>
  <c r="R621" i="1" s="1"/>
  <c r="P625" i="1"/>
  <c r="P624" i="1" s="1"/>
  <c r="P629" i="1"/>
  <c r="P628" i="1" s="1"/>
  <c r="P654" i="1"/>
  <c r="P653" i="1" s="1"/>
  <c r="R664" i="1"/>
  <c r="R663" i="1" s="1"/>
  <c r="R662" i="1" s="1"/>
  <c r="R668" i="1"/>
  <c r="R667" i="1" s="1"/>
  <c r="P671" i="1"/>
  <c r="P670" i="1" s="1"/>
  <c r="P675" i="1"/>
  <c r="P674" i="1" s="1"/>
  <c r="R681" i="1"/>
  <c r="R680" i="1" s="1"/>
  <c r="R685" i="1"/>
  <c r="R684" i="1" s="1"/>
  <c r="P688" i="1"/>
  <c r="P687" i="1" s="1"/>
  <c r="P686" i="1" s="1"/>
  <c r="P692" i="1"/>
  <c r="P691" i="1" s="1"/>
  <c r="O709" i="1"/>
  <c r="O708" i="1" s="1"/>
  <c r="R709" i="1"/>
  <c r="R708" i="1" s="1"/>
  <c r="O714" i="1"/>
  <c r="O713" i="1" s="1"/>
  <c r="N714" i="1"/>
  <c r="R714" i="1" s="1"/>
  <c r="R713" i="1" s="1"/>
  <c r="O726" i="1"/>
  <c r="O725" i="1" s="1"/>
  <c r="N726" i="1"/>
  <c r="R726" i="1" s="1"/>
  <c r="R725" i="1" s="1"/>
  <c r="R733" i="1"/>
  <c r="R732" i="1" s="1"/>
  <c r="Q733" i="1"/>
  <c r="Q732" i="1" s="1"/>
  <c r="O741" i="1"/>
  <c r="O740" i="1" s="1"/>
  <c r="R741" i="1"/>
  <c r="R740" i="1" s="1"/>
  <c r="Q741" i="1"/>
  <c r="Q740" i="1" s="1"/>
  <c r="Q743" i="1"/>
  <c r="Q742" i="1" s="1"/>
  <c r="Q760" i="1"/>
  <c r="Q754" i="1" s="1"/>
  <c r="Q753" i="1" s="1"/>
  <c r="O775" i="1"/>
  <c r="R775" i="1"/>
  <c r="Q775" i="1"/>
  <c r="Q786" i="1"/>
  <c r="R793" i="1"/>
  <c r="O807" i="1"/>
  <c r="R807" i="1"/>
  <c r="Q807" i="1"/>
  <c r="O833" i="1"/>
  <c r="R833" i="1"/>
  <c r="Q833" i="1"/>
  <c r="Q844" i="1"/>
  <c r="Q837" i="1" s="1"/>
  <c r="R851" i="1"/>
  <c r="O859" i="1"/>
  <c r="R859" i="1"/>
  <c r="Q859" i="1"/>
  <c r="N873" i="1"/>
  <c r="O881" i="1"/>
  <c r="R881" i="1"/>
  <c r="Q881" i="1"/>
  <c r="O894" i="1"/>
  <c r="R894" i="1"/>
  <c r="Q894" i="1"/>
  <c r="Q905" i="1"/>
  <c r="Q897" i="1" s="1"/>
  <c r="R915" i="1"/>
  <c r="O945" i="1"/>
  <c r="R945" i="1"/>
  <c r="Q945" i="1"/>
  <c r="Q963" i="1"/>
  <c r="Q962" i="1" s="1"/>
  <c r="O993" i="1"/>
  <c r="Q993" i="1"/>
  <c r="P993" i="1"/>
  <c r="P320" i="1"/>
  <c r="P318" i="1" s="1"/>
  <c r="P334" i="1"/>
  <c r="P331" i="1" s="1"/>
  <c r="P338" i="1"/>
  <c r="P341" i="1"/>
  <c r="Q345" i="1"/>
  <c r="Q343" i="1" s="1"/>
  <c r="P348" i="1"/>
  <c r="P347" i="1" s="1"/>
  <c r="Q352" i="1"/>
  <c r="Q351" i="1" s="1"/>
  <c r="Q355" i="1"/>
  <c r="P361" i="1"/>
  <c r="P358" i="1" s="1"/>
  <c r="Q365" i="1"/>
  <c r="Q364" i="1" s="1"/>
  <c r="P373" i="1"/>
  <c r="P371" i="1" s="1"/>
  <c r="Q377" i="1"/>
  <c r="P387" i="1"/>
  <c r="P384" i="1" s="1"/>
  <c r="Q392" i="1"/>
  <c r="Q390" i="1" s="1"/>
  <c r="P395" i="1"/>
  <c r="P398" i="1"/>
  <c r="P402" i="1"/>
  <c r="P401" i="1" s="1"/>
  <c r="Q406" i="1"/>
  <c r="Q403" i="1" s="1"/>
  <c r="Q419" i="1"/>
  <c r="Q417" i="1" s="1"/>
  <c r="P422" i="1"/>
  <c r="P420" i="1" s="1"/>
  <c r="Q426" i="1"/>
  <c r="Q423" i="1" s="1"/>
  <c r="Q430" i="1"/>
  <c r="Q429" i="1" s="1"/>
  <c r="P433" i="1"/>
  <c r="P431" i="1" s="1"/>
  <c r="Q441" i="1"/>
  <c r="Q440" i="1" s="1"/>
  <c r="P444" i="1"/>
  <c r="P442" i="1" s="1"/>
  <c r="P448" i="1"/>
  <c r="P447" i="1" s="1"/>
  <c r="Q452" i="1"/>
  <c r="Q450" i="1" s="1"/>
  <c r="P455" i="1"/>
  <c r="P454" i="1" s="1"/>
  <c r="Q459" i="1"/>
  <c r="Q458" i="1" s="1"/>
  <c r="Q463" i="1"/>
  <c r="Q466" i="1"/>
  <c r="Q470" i="1"/>
  <c r="Q468" i="1" s="1"/>
  <c r="P473" i="1"/>
  <c r="P471" i="1" s="1"/>
  <c r="Q477" i="1"/>
  <c r="Q475" i="1" s="1"/>
  <c r="P480" i="1"/>
  <c r="P479" i="1" s="1"/>
  <c r="P484" i="1"/>
  <c r="P487" i="1"/>
  <c r="Q492" i="1"/>
  <c r="Q490" i="1" s="1"/>
  <c r="P495" i="1"/>
  <c r="Q499" i="1"/>
  <c r="Q496" i="1" s="1"/>
  <c r="Q503" i="1"/>
  <c r="Q502" i="1" s="1"/>
  <c r="P506" i="1"/>
  <c r="P509" i="1"/>
  <c r="P513" i="1"/>
  <c r="P511" i="1" s="1"/>
  <c r="P517" i="1"/>
  <c r="P520" i="1"/>
  <c r="P524" i="1"/>
  <c r="P522" i="1" s="1"/>
  <c r="Q528" i="1"/>
  <c r="P531" i="1"/>
  <c r="Q539" i="1"/>
  <c r="Q537" i="1" s="1"/>
  <c r="P549" i="1"/>
  <c r="P546" i="1" s="1"/>
  <c r="Q553" i="1"/>
  <c r="Q557" i="1"/>
  <c r="Q556" i="1" s="1"/>
  <c r="P560" i="1"/>
  <c r="P563" i="1"/>
  <c r="O567" i="1"/>
  <c r="O566" i="1" s="1"/>
  <c r="O565" i="1" s="1"/>
  <c r="Q573" i="1"/>
  <c r="Q572" i="1" s="1"/>
  <c r="Q571" i="1" s="1"/>
  <c r="O576" i="1"/>
  <c r="O575" i="1" s="1"/>
  <c r="O574" i="1" s="1"/>
  <c r="O581" i="1"/>
  <c r="O580" i="1" s="1"/>
  <c r="O585" i="1"/>
  <c r="O584" i="1" s="1"/>
  <c r="O589" i="1"/>
  <c r="O588" i="1" s="1"/>
  <c r="Q595" i="1"/>
  <c r="Q594" i="1" s="1"/>
  <c r="Q599" i="1"/>
  <c r="Q598" i="1" s="1"/>
  <c r="P603" i="1"/>
  <c r="P602" i="1" s="1"/>
  <c r="P607" i="1"/>
  <c r="P606" i="1" s="1"/>
  <c r="P611" i="1"/>
  <c r="P610" i="1" s="1"/>
  <c r="P616" i="1"/>
  <c r="P615" i="1" s="1"/>
  <c r="P614" i="1" s="1"/>
  <c r="P620" i="1"/>
  <c r="P619" i="1" s="1"/>
  <c r="Q625" i="1"/>
  <c r="Q624" i="1" s="1"/>
  <c r="Q629" i="1"/>
  <c r="Q628" i="1" s="1"/>
  <c r="O632" i="1"/>
  <c r="O631" i="1" s="1"/>
  <c r="O636" i="1"/>
  <c r="O635" i="1" s="1"/>
  <c r="O644" i="1"/>
  <c r="O643" i="1" s="1"/>
  <c r="O640" i="1" s="1"/>
  <c r="O648" i="1"/>
  <c r="O647" i="1" s="1"/>
  <c r="Q654" i="1"/>
  <c r="Q653" i="1" s="1"/>
  <c r="O661" i="1"/>
  <c r="O660" i="1" s="1"/>
  <c r="O657" i="1" s="1"/>
  <c r="P666" i="1"/>
  <c r="P665" i="1" s="1"/>
  <c r="Q671" i="1"/>
  <c r="Q670" i="1" s="1"/>
  <c r="Q675" i="1"/>
  <c r="Q674" i="1" s="1"/>
  <c r="P679" i="1"/>
  <c r="P678" i="1" s="1"/>
  <c r="P683" i="1"/>
  <c r="P682" i="1" s="1"/>
  <c r="Q688" i="1"/>
  <c r="Q687" i="1" s="1"/>
  <c r="Q692" i="1"/>
  <c r="Q691" i="1" s="1"/>
  <c r="O695" i="1"/>
  <c r="O694" i="1" s="1"/>
  <c r="O699" i="1"/>
  <c r="O698" i="1" s="1"/>
  <c r="O701" i="1"/>
  <c r="R701" i="1"/>
  <c r="Q702" i="1"/>
  <c r="Q700" i="1" s="1"/>
  <c r="Q693" i="1" s="1"/>
  <c r="O737" i="1"/>
  <c r="O736" i="1" s="1"/>
  <c r="Q737" i="1"/>
  <c r="Q736" i="1" s="1"/>
  <c r="Q739" i="1"/>
  <c r="Q738" i="1" s="1"/>
  <c r="N743" i="1"/>
  <c r="O751" i="1"/>
  <c r="Q751" i="1"/>
  <c r="N760" i="1"/>
  <c r="Q764" i="1"/>
  <c r="P773" i="1"/>
  <c r="N786" i="1"/>
  <c r="O794" i="1"/>
  <c r="Q794" i="1"/>
  <c r="Q796" i="1"/>
  <c r="Q795" i="1" s="1"/>
  <c r="P805" i="1"/>
  <c r="Q822" i="1"/>
  <c r="R829" i="1"/>
  <c r="P831" i="1"/>
  <c r="N844" i="1"/>
  <c r="R855" i="1"/>
  <c r="P857" i="1"/>
  <c r="Q870" i="1"/>
  <c r="R877" i="1"/>
  <c r="P879" i="1"/>
  <c r="R890" i="1"/>
  <c r="P892" i="1"/>
  <c r="N905" i="1"/>
  <c r="O916" i="1"/>
  <c r="R916" i="1"/>
  <c r="Q916" i="1"/>
  <c r="Q931" i="1"/>
  <c r="R941" i="1"/>
  <c r="P943" i="1"/>
  <c r="Q956" i="1"/>
  <c r="Q950" i="1" s="1"/>
  <c r="N963" i="1"/>
  <c r="O1048" i="1"/>
  <c r="O1047" i="1" s="1"/>
  <c r="Q1048" i="1"/>
  <c r="Q1047" i="1" s="1"/>
  <c r="P1048" i="1"/>
  <c r="P1047" i="1" s="1"/>
  <c r="O1089" i="1"/>
  <c r="O1088" i="1" s="1"/>
  <c r="R1089" i="1"/>
  <c r="R1088" i="1" s="1"/>
  <c r="Q1089" i="1"/>
  <c r="Q1088" i="1" s="1"/>
  <c r="P1089" i="1"/>
  <c r="P1088" i="1" s="1"/>
  <c r="R1308" i="1"/>
  <c r="Q1308" i="1"/>
  <c r="P1308" i="1"/>
  <c r="O1308" i="1"/>
  <c r="R1479" i="1"/>
  <c r="N702" i="1"/>
  <c r="R711" i="1"/>
  <c r="R710" i="1" s="1"/>
  <c r="Q719" i="1"/>
  <c r="N739" i="1"/>
  <c r="P749" i="1"/>
  <c r="R750" i="1"/>
  <c r="N764" i="1"/>
  <c r="O772" i="1"/>
  <c r="R772" i="1"/>
  <c r="Q772" i="1"/>
  <c r="P778" i="1"/>
  <c r="R790" i="1"/>
  <c r="P792" i="1"/>
  <c r="P787" i="1" s="1"/>
  <c r="N796" i="1"/>
  <c r="O804" i="1"/>
  <c r="R804" i="1"/>
  <c r="Q804" i="1"/>
  <c r="P810" i="1"/>
  <c r="N822" i="1"/>
  <c r="P827" i="1"/>
  <c r="O830" i="1"/>
  <c r="R830" i="1"/>
  <c r="Q830" i="1"/>
  <c r="P836" i="1"/>
  <c r="P850" i="1"/>
  <c r="O856" i="1"/>
  <c r="R856" i="1"/>
  <c r="Q856" i="1"/>
  <c r="P862" i="1"/>
  <c r="N870" i="1"/>
  <c r="P875" i="1"/>
  <c r="O878" i="1"/>
  <c r="R878" i="1"/>
  <c r="Q878" i="1"/>
  <c r="P884" i="1"/>
  <c r="P888" i="1"/>
  <c r="O891" i="1"/>
  <c r="R891" i="1"/>
  <c r="Q891" i="1"/>
  <c r="Q886" i="1" s="1"/>
  <c r="R912" i="1"/>
  <c r="P914" i="1"/>
  <c r="Q921" i="1"/>
  <c r="N931" i="1"/>
  <c r="O942" i="1"/>
  <c r="R942" i="1"/>
  <c r="Q942" i="1"/>
  <c r="P948" i="1"/>
  <c r="N956" i="1"/>
  <c r="R971" i="1"/>
  <c r="R1109" i="1"/>
  <c r="R1108" i="1" s="1"/>
  <c r="O707" i="1"/>
  <c r="O706" i="1" s="1"/>
  <c r="O711" i="1"/>
  <c r="O710" i="1" s="1"/>
  <c r="O747" i="1"/>
  <c r="O750" i="1"/>
  <c r="R756" i="1"/>
  <c r="R759" i="1"/>
  <c r="R766" i="1"/>
  <c r="R769" i="1"/>
  <c r="O774" i="1"/>
  <c r="O777" i="1"/>
  <c r="R782" i="1"/>
  <c r="R785" i="1"/>
  <c r="O790" i="1"/>
  <c r="O793" i="1"/>
  <c r="R798" i="1"/>
  <c r="R801" i="1"/>
  <c r="O806" i="1"/>
  <c r="O809" i="1"/>
  <c r="R815" i="1"/>
  <c r="R818" i="1"/>
  <c r="R824" i="1"/>
  <c r="O829" i="1"/>
  <c r="O832" i="1"/>
  <c r="O835" i="1"/>
  <c r="R840" i="1"/>
  <c r="R846" i="1"/>
  <c r="O851" i="1"/>
  <c r="O855" i="1"/>
  <c r="O858" i="1"/>
  <c r="O861" i="1"/>
  <c r="R866" i="1"/>
  <c r="R869" i="1"/>
  <c r="R872" i="1"/>
  <c r="O877" i="1"/>
  <c r="O880" i="1"/>
  <c r="O883" i="1"/>
  <c r="O887" i="1"/>
  <c r="O890" i="1"/>
  <c r="O893" i="1"/>
  <c r="O896" i="1"/>
  <c r="R898" i="1"/>
  <c r="R904" i="1"/>
  <c r="R907" i="1"/>
  <c r="O912" i="1"/>
  <c r="O915" i="1"/>
  <c r="O918" i="1"/>
  <c r="R923" i="1"/>
  <c r="R930" i="1"/>
  <c r="R933" i="1"/>
  <c r="R936" i="1"/>
  <c r="O941" i="1"/>
  <c r="O944" i="1"/>
  <c r="O947" i="1"/>
  <c r="R952" i="1"/>
  <c r="R955" i="1"/>
  <c r="R958" i="1"/>
  <c r="O968" i="1"/>
  <c r="O971" i="1"/>
  <c r="N974" i="1"/>
  <c r="R974" i="1" s="1"/>
  <c r="R977" i="1"/>
  <c r="Q977" i="1"/>
  <c r="O977" i="1"/>
  <c r="N993" i="1"/>
  <c r="R993" i="1" s="1"/>
  <c r="N994" i="1"/>
  <c r="R994" i="1" s="1"/>
  <c r="Q995" i="1"/>
  <c r="Q1004" i="1"/>
  <c r="R1040" i="1"/>
  <c r="O1041" i="1"/>
  <c r="R1041" i="1"/>
  <c r="Q1041" i="1"/>
  <c r="Q1039" i="1" s="1"/>
  <c r="N1042" i="1"/>
  <c r="R1042" i="1" s="1"/>
  <c r="R1051" i="1"/>
  <c r="O1052" i="1"/>
  <c r="R1052" i="1"/>
  <c r="Q1052" i="1"/>
  <c r="Q1050" i="1" s="1"/>
  <c r="N1053" i="1"/>
  <c r="R1053" i="1" s="1"/>
  <c r="R1062" i="1"/>
  <c r="O1063" i="1"/>
  <c r="R1063" i="1"/>
  <c r="Q1063" i="1"/>
  <c r="Q1061" i="1" s="1"/>
  <c r="Q1060" i="1" s="1"/>
  <c r="N1064" i="1"/>
  <c r="R1064" i="1" s="1"/>
  <c r="Q1065" i="1"/>
  <c r="O1082" i="1"/>
  <c r="R1082" i="1"/>
  <c r="Q1082" i="1"/>
  <c r="Q1081" i="1" s="1"/>
  <c r="N1083" i="1"/>
  <c r="R1083" i="1" s="1"/>
  <c r="R1084" i="1"/>
  <c r="R1092" i="1"/>
  <c r="O1093" i="1"/>
  <c r="R1093" i="1"/>
  <c r="Q1093" i="1"/>
  <c r="Q1091" i="1" s="1"/>
  <c r="N1094" i="1"/>
  <c r="R1094" i="1" s="1"/>
  <c r="Q1095" i="1"/>
  <c r="N1106" i="1"/>
  <c r="O1112" i="1"/>
  <c r="R1112" i="1"/>
  <c r="Q1112" i="1"/>
  <c r="Q1111" i="1" s="1"/>
  <c r="N1113" i="1"/>
  <c r="R1114" i="1"/>
  <c r="R1117" i="1"/>
  <c r="P1134" i="1"/>
  <c r="P1132" i="1" s="1"/>
  <c r="N1199" i="1"/>
  <c r="R1199" i="1" s="1"/>
  <c r="R1206" i="1"/>
  <c r="O1237" i="1"/>
  <c r="R1237" i="1"/>
  <c r="Q1237" i="1"/>
  <c r="P1237" i="1"/>
  <c r="R1280" i="1"/>
  <c r="Q1280" i="1"/>
  <c r="P1280" i="1"/>
  <c r="O1280" i="1"/>
  <c r="R1311" i="1"/>
  <c r="Q1311" i="1"/>
  <c r="P1311" i="1"/>
  <c r="O1311" i="1"/>
  <c r="R1352" i="1"/>
  <c r="R1356" i="1"/>
  <c r="R1398" i="1"/>
  <c r="R1441" i="1"/>
  <c r="R1454" i="1"/>
  <c r="O702" i="1"/>
  <c r="P707" i="1"/>
  <c r="P706" i="1" s="1"/>
  <c r="P711" i="1"/>
  <c r="P710" i="1" s="1"/>
  <c r="O731" i="1"/>
  <c r="O730" i="1" s="1"/>
  <c r="O735" i="1"/>
  <c r="O734" i="1" s="1"/>
  <c r="O739" i="1"/>
  <c r="O738" i="1" s="1"/>
  <c r="O743" i="1"/>
  <c r="O742" i="1" s="1"/>
  <c r="N746" i="1"/>
  <c r="R746" i="1" s="1"/>
  <c r="P747" i="1"/>
  <c r="N749" i="1"/>
  <c r="R749" i="1" s="1"/>
  <c r="P750" i="1"/>
  <c r="O757" i="1"/>
  <c r="O760" i="1"/>
  <c r="O764" i="1"/>
  <c r="O767" i="1"/>
  <c r="O770" i="1"/>
  <c r="N773" i="1"/>
  <c r="R773" i="1" s="1"/>
  <c r="P774" i="1"/>
  <c r="N776" i="1"/>
  <c r="R776" i="1" s="1"/>
  <c r="P777" i="1"/>
  <c r="O780" i="1"/>
  <c r="O783" i="1"/>
  <c r="O786" i="1"/>
  <c r="N789" i="1"/>
  <c r="R789" i="1" s="1"/>
  <c r="N792" i="1"/>
  <c r="R792" i="1" s="1"/>
  <c r="O796" i="1"/>
  <c r="O799" i="1"/>
  <c r="O802" i="1"/>
  <c r="N805" i="1"/>
  <c r="R805" i="1" s="1"/>
  <c r="N808" i="1"/>
  <c r="R808" i="1" s="1"/>
  <c r="O816" i="1"/>
  <c r="O819" i="1"/>
  <c r="O822" i="1"/>
  <c r="O825" i="1"/>
  <c r="N828" i="1"/>
  <c r="R828" i="1" s="1"/>
  <c r="N831" i="1"/>
  <c r="R831" i="1" s="1"/>
  <c r="N834" i="1"/>
  <c r="R834" i="1" s="1"/>
  <c r="O838" i="1"/>
  <c r="O841" i="1"/>
  <c r="O844" i="1"/>
  <c r="O847" i="1"/>
  <c r="N850" i="1"/>
  <c r="R850" i="1" s="1"/>
  <c r="N854" i="1"/>
  <c r="R854" i="1" s="1"/>
  <c r="N857" i="1"/>
  <c r="R857" i="1" s="1"/>
  <c r="N860" i="1"/>
  <c r="R860" i="1" s="1"/>
  <c r="N863" i="1"/>
  <c r="R863" i="1" s="1"/>
  <c r="O867" i="1"/>
  <c r="O870" i="1"/>
  <c r="O873" i="1"/>
  <c r="N876" i="1"/>
  <c r="R876" i="1" s="1"/>
  <c r="N879" i="1"/>
  <c r="R879" i="1" s="1"/>
  <c r="N882" i="1"/>
  <c r="R882" i="1" s="1"/>
  <c r="N889" i="1"/>
  <c r="R889" i="1" s="1"/>
  <c r="N892" i="1"/>
  <c r="R892" i="1" s="1"/>
  <c r="N895" i="1"/>
  <c r="R895" i="1" s="1"/>
  <c r="O899" i="1"/>
  <c r="O902" i="1"/>
  <c r="O905" i="1"/>
  <c r="O908" i="1"/>
  <c r="N911" i="1"/>
  <c r="R911" i="1" s="1"/>
  <c r="N914" i="1"/>
  <c r="R914" i="1" s="1"/>
  <c r="N917" i="1"/>
  <c r="R917" i="1" s="1"/>
  <c r="N920" i="1"/>
  <c r="R920" i="1" s="1"/>
  <c r="O924" i="1"/>
  <c r="O928" i="1"/>
  <c r="O931" i="1"/>
  <c r="O934" i="1"/>
  <c r="O937" i="1"/>
  <c r="N940" i="1"/>
  <c r="R940" i="1" s="1"/>
  <c r="N943" i="1"/>
  <c r="R943" i="1" s="1"/>
  <c r="N946" i="1"/>
  <c r="R946" i="1" s="1"/>
  <c r="N949" i="1"/>
  <c r="R949" i="1" s="1"/>
  <c r="O953" i="1"/>
  <c r="O956" i="1"/>
  <c r="O959" i="1"/>
  <c r="O963" i="1"/>
  <c r="O962" i="1" s="1"/>
  <c r="N970" i="1"/>
  <c r="R970" i="1" s="1"/>
  <c r="Q985" i="1"/>
  <c r="O985" i="1"/>
  <c r="P1005" i="1"/>
  <c r="P1008" i="1"/>
  <c r="N1019" i="1"/>
  <c r="N1046" i="1"/>
  <c r="N1057" i="1"/>
  <c r="R1069" i="1"/>
  <c r="R1068" i="1" s="1"/>
  <c r="N1087" i="1"/>
  <c r="R1087" i="1" s="1"/>
  <c r="R1099" i="1"/>
  <c r="R1098" i="1" s="1"/>
  <c r="P1124" i="1"/>
  <c r="R1124" i="1"/>
  <c r="P1127" i="1"/>
  <c r="R1127" i="1"/>
  <c r="O1133" i="1"/>
  <c r="O1132" i="1" s="1"/>
  <c r="R1133" i="1"/>
  <c r="Q1133" i="1"/>
  <c r="Q1132" i="1" s="1"/>
  <c r="N1134" i="1"/>
  <c r="N1146" i="1"/>
  <c r="P1152" i="1"/>
  <c r="P1150" i="1" s="1"/>
  <c r="R1152" i="1"/>
  <c r="P1166" i="1"/>
  <c r="R1166" i="1"/>
  <c r="N1171" i="1"/>
  <c r="N1180" i="1"/>
  <c r="R1180" i="1" s="1"/>
  <c r="R1283" i="1"/>
  <c r="Q1283" i="1"/>
  <c r="P1283" i="1"/>
  <c r="O1283" i="1"/>
  <c r="Q1314" i="1"/>
  <c r="R1322" i="1"/>
  <c r="Q1338" i="1"/>
  <c r="R1399" i="1"/>
  <c r="Q1399" i="1"/>
  <c r="O1399" i="1"/>
  <c r="R1866" i="1"/>
  <c r="P702" i="1"/>
  <c r="P700" i="1" s="1"/>
  <c r="P693" i="1" s="1"/>
  <c r="Q707" i="1"/>
  <c r="Q706" i="1" s="1"/>
  <c r="P731" i="1"/>
  <c r="P730" i="1" s="1"/>
  <c r="P735" i="1"/>
  <c r="P734" i="1" s="1"/>
  <c r="P739" i="1"/>
  <c r="P738" i="1" s="1"/>
  <c r="P743" i="1"/>
  <c r="P742" i="1" s="1"/>
  <c r="R755" i="1"/>
  <c r="P757" i="1"/>
  <c r="R758" i="1"/>
  <c r="P760" i="1"/>
  <c r="R761" i="1"/>
  <c r="P764" i="1"/>
  <c r="R765" i="1"/>
  <c r="P767" i="1"/>
  <c r="R768" i="1"/>
  <c r="P770" i="1"/>
  <c r="P780" i="1"/>
  <c r="R781" i="1"/>
  <c r="P783" i="1"/>
  <c r="R784" i="1"/>
  <c r="P786" i="1"/>
  <c r="P796" i="1"/>
  <c r="R797" i="1"/>
  <c r="P799" i="1"/>
  <c r="R800" i="1"/>
  <c r="P802" i="1"/>
  <c r="R814" i="1"/>
  <c r="P816" i="1"/>
  <c r="R817" i="1"/>
  <c r="P819" i="1"/>
  <c r="R820" i="1"/>
  <c r="P822" i="1"/>
  <c r="R823" i="1"/>
  <c r="P825" i="1"/>
  <c r="P838" i="1"/>
  <c r="R839" i="1"/>
  <c r="P841" i="1"/>
  <c r="R842" i="1"/>
  <c r="P844" i="1"/>
  <c r="R845" i="1"/>
  <c r="P847" i="1"/>
  <c r="R865" i="1"/>
  <c r="P867" i="1"/>
  <c r="R868" i="1"/>
  <c r="P870" i="1"/>
  <c r="R871" i="1"/>
  <c r="P873" i="1"/>
  <c r="P899" i="1"/>
  <c r="R900" i="1"/>
  <c r="P902" i="1"/>
  <c r="R903" i="1"/>
  <c r="P905" i="1"/>
  <c r="R906" i="1"/>
  <c r="P908" i="1"/>
  <c r="R909" i="1"/>
  <c r="R922" i="1"/>
  <c r="P924" i="1"/>
  <c r="P921" i="1" s="1"/>
  <c r="P928" i="1"/>
  <c r="R929" i="1"/>
  <c r="P931" i="1"/>
  <c r="R932" i="1"/>
  <c r="P934" i="1"/>
  <c r="R935" i="1"/>
  <c r="P937" i="1"/>
  <c r="R938" i="1"/>
  <c r="R951" i="1"/>
  <c r="P953" i="1"/>
  <c r="R954" i="1"/>
  <c r="P956" i="1"/>
  <c r="R957" i="1"/>
  <c r="P959" i="1"/>
  <c r="R960" i="1"/>
  <c r="P963" i="1"/>
  <c r="P962" i="1" s="1"/>
  <c r="P961" i="1" s="1"/>
  <c r="P974" i="1"/>
  <c r="N985" i="1"/>
  <c r="P990" i="1"/>
  <c r="O1007" i="1"/>
  <c r="R1007" i="1"/>
  <c r="R1004" i="1" s="1"/>
  <c r="Q1007" i="1"/>
  <c r="N1036" i="1"/>
  <c r="R1036" i="1" s="1"/>
  <c r="O1126" i="1"/>
  <c r="Q1126" i="1"/>
  <c r="Q1123" i="1" s="1"/>
  <c r="O1151" i="1"/>
  <c r="O1150" i="1" s="1"/>
  <c r="R1151" i="1"/>
  <c r="Q1151" i="1"/>
  <c r="Q1150" i="1" s="1"/>
  <c r="P1156" i="1"/>
  <c r="O1165" i="1"/>
  <c r="R1165" i="1"/>
  <c r="Q1165" i="1"/>
  <c r="Q1163" i="1" s="1"/>
  <c r="O1231" i="1"/>
  <c r="R1231" i="1"/>
  <c r="Q1231" i="1"/>
  <c r="P1231" i="1"/>
  <c r="O1240" i="1"/>
  <c r="R1240" i="1"/>
  <c r="Q1240" i="1"/>
  <c r="P1240" i="1"/>
  <c r="R1279" i="1"/>
  <c r="R1310" i="1"/>
  <c r="R1347" i="1"/>
  <c r="Q1347" i="1"/>
  <c r="P1347" i="1"/>
  <c r="O1347" i="1"/>
  <c r="O1367" i="1"/>
  <c r="Q1367" i="1"/>
  <c r="P1367" i="1"/>
  <c r="O756" i="1"/>
  <c r="O759" i="1"/>
  <c r="O766" i="1"/>
  <c r="O769" i="1"/>
  <c r="O782" i="1"/>
  <c r="O785" i="1"/>
  <c r="O798" i="1"/>
  <c r="O801" i="1"/>
  <c r="O815" i="1"/>
  <c r="O818" i="1"/>
  <c r="O821" i="1"/>
  <c r="O824" i="1"/>
  <c r="O840" i="1"/>
  <c r="O843" i="1"/>
  <c r="O846" i="1"/>
  <c r="O866" i="1"/>
  <c r="O869" i="1"/>
  <c r="O872" i="1"/>
  <c r="O898" i="1"/>
  <c r="O901" i="1"/>
  <c r="O904" i="1"/>
  <c r="O907" i="1"/>
  <c r="O923" i="1"/>
  <c r="O921" i="1" s="1"/>
  <c r="O927" i="1"/>
  <c r="O930" i="1"/>
  <c r="O933" i="1"/>
  <c r="O936" i="1"/>
  <c r="O952" i="1"/>
  <c r="O955" i="1"/>
  <c r="O958" i="1"/>
  <c r="O973" i="1"/>
  <c r="R973" i="1"/>
  <c r="Q973" i="1"/>
  <c r="P988" i="1"/>
  <c r="N1002" i="1"/>
  <c r="R1002" i="1" s="1"/>
  <c r="N1016" i="1"/>
  <c r="P1022" i="1"/>
  <c r="P1025" i="1"/>
  <c r="N1032" i="1"/>
  <c r="R1032" i="1" s="1"/>
  <c r="P1072" i="1"/>
  <c r="P1102" i="1"/>
  <c r="R1149" i="1"/>
  <c r="O1155" i="1"/>
  <c r="R1155" i="1"/>
  <c r="Q1155" i="1"/>
  <c r="N1156" i="1"/>
  <c r="O1158" i="1"/>
  <c r="R1158" i="1"/>
  <c r="Q1158" i="1"/>
  <c r="R1160" i="1"/>
  <c r="N1177" i="1"/>
  <c r="R1177" i="1" s="1"/>
  <c r="P1186" i="1"/>
  <c r="P1189" i="1"/>
  <c r="P1192" i="1"/>
  <c r="P1195" i="1"/>
  <c r="O1273" i="1"/>
  <c r="R1273" i="1"/>
  <c r="Q1273" i="1"/>
  <c r="P1273" i="1"/>
  <c r="P1271" i="1" s="1"/>
  <c r="R1350" i="1"/>
  <c r="Q1350" i="1"/>
  <c r="P1350" i="1"/>
  <c r="O1350" i="1"/>
  <c r="R1464" i="1"/>
  <c r="Q974" i="1"/>
  <c r="O974" i="1"/>
  <c r="N988" i="1"/>
  <c r="R988" i="1" s="1"/>
  <c r="R989" i="1"/>
  <c r="O990" i="1"/>
  <c r="R990" i="1"/>
  <c r="Q990" i="1"/>
  <c r="N1012" i="1"/>
  <c r="R1012" i="1" s="1"/>
  <c r="O1021" i="1"/>
  <c r="R1021" i="1"/>
  <c r="Q1021" i="1"/>
  <c r="N1022" i="1"/>
  <c r="R1022" i="1" s="1"/>
  <c r="O1024" i="1"/>
  <c r="R1024" i="1"/>
  <c r="Q1024" i="1"/>
  <c r="N1025" i="1"/>
  <c r="R1025" i="1" s="1"/>
  <c r="R1029" i="1"/>
  <c r="N1072" i="1"/>
  <c r="R1072" i="1" s="1"/>
  <c r="O1074" i="1"/>
  <c r="R1074" i="1"/>
  <c r="Q1074" i="1"/>
  <c r="Q1071" i="1" s="1"/>
  <c r="N1102" i="1"/>
  <c r="O1104" i="1"/>
  <c r="R1104" i="1"/>
  <c r="Q1104" i="1"/>
  <c r="Q1101" i="1" s="1"/>
  <c r="N1131" i="1"/>
  <c r="R1131" i="1" s="1"/>
  <c r="O1185" i="1"/>
  <c r="R1185" i="1"/>
  <c r="Q1185" i="1"/>
  <c r="N1186" i="1"/>
  <c r="O1188" i="1"/>
  <c r="Q1188" i="1"/>
  <c r="N1189" i="1"/>
  <c r="O1191" i="1"/>
  <c r="R1191" i="1"/>
  <c r="Q1191" i="1"/>
  <c r="N1192" i="1"/>
  <c r="O1194" i="1"/>
  <c r="R1194" i="1"/>
  <c r="Q1194" i="1"/>
  <c r="N1195" i="1"/>
  <c r="O1197" i="1"/>
  <c r="R1197" i="1"/>
  <c r="Q1197" i="1"/>
  <c r="N1202" i="1"/>
  <c r="O1234" i="1"/>
  <c r="R1234" i="1"/>
  <c r="Q1234" i="1"/>
  <c r="P1234" i="1"/>
  <c r="O1243" i="1"/>
  <c r="R1243" i="1"/>
  <c r="Q1243" i="1"/>
  <c r="P1243" i="1"/>
  <c r="R1353" i="1"/>
  <c r="Q1353" i="1"/>
  <c r="P1353" i="1"/>
  <c r="O1353" i="1"/>
  <c r="R1414" i="1"/>
  <c r="O1448" i="1"/>
  <c r="R1448" i="1"/>
  <c r="Q1448" i="1"/>
  <c r="P1448" i="1"/>
  <c r="R1480" i="1"/>
  <c r="P975" i="1"/>
  <c r="R976" i="1"/>
  <c r="P978" i="1"/>
  <c r="P983" i="1"/>
  <c r="R984" i="1"/>
  <c r="P986" i="1"/>
  <c r="O989" i="1"/>
  <c r="O992" i="1"/>
  <c r="P996" i="1"/>
  <c r="P995" i="1" s="1"/>
  <c r="R997" i="1"/>
  <c r="R995" i="1" s="1"/>
  <c r="P1000" i="1"/>
  <c r="R1001" i="1"/>
  <c r="P1003" i="1"/>
  <c r="O1006" i="1"/>
  <c r="O1009" i="1"/>
  <c r="R1011" i="1"/>
  <c r="P1017" i="1"/>
  <c r="R1018" i="1"/>
  <c r="O1023" i="1"/>
  <c r="O1026" i="1"/>
  <c r="R1028" i="1"/>
  <c r="P1030" i="1"/>
  <c r="R1031" i="1"/>
  <c r="R1035" i="1"/>
  <c r="P1037" i="1"/>
  <c r="R1038" i="1"/>
  <c r="O1040" i="1"/>
  <c r="P1044" i="1"/>
  <c r="R1045" i="1"/>
  <c r="O1051" i="1"/>
  <c r="O1050" i="1" s="1"/>
  <c r="P1055" i="1"/>
  <c r="R1056" i="1"/>
  <c r="O1062" i="1"/>
  <c r="P1066" i="1"/>
  <c r="P1065" i="1" s="1"/>
  <c r="R1067" i="1"/>
  <c r="R1065" i="1" s="1"/>
  <c r="O1069" i="1"/>
  <c r="O1068" i="1" s="1"/>
  <c r="O1073" i="1"/>
  <c r="P1077" i="1"/>
  <c r="O1084" i="1"/>
  <c r="R1086" i="1"/>
  <c r="O1092" i="1"/>
  <c r="O1091" i="1" s="1"/>
  <c r="P1096" i="1"/>
  <c r="P1095" i="1" s="1"/>
  <c r="R1097" i="1"/>
  <c r="O1099" i="1"/>
  <c r="O1098" i="1" s="1"/>
  <c r="O1103" i="1"/>
  <c r="P1107" i="1"/>
  <c r="O1114" i="1"/>
  <c r="R1116" i="1"/>
  <c r="P1118" i="1"/>
  <c r="R1119" i="1"/>
  <c r="O1121" i="1"/>
  <c r="O1120" i="1" s="1"/>
  <c r="O1125" i="1"/>
  <c r="P1129" i="1"/>
  <c r="R1130" i="1"/>
  <c r="O1140" i="1"/>
  <c r="O1143" i="1"/>
  <c r="R1145" i="1"/>
  <c r="P1147" i="1"/>
  <c r="R1148" i="1"/>
  <c r="O1157" i="1"/>
  <c r="P1161" i="1"/>
  <c r="R1162" i="1"/>
  <c r="O1164" i="1"/>
  <c r="P1168" i="1"/>
  <c r="P1167" i="1" s="1"/>
  <c r="P1172" i="1"/>
  <c r="R1173" i="1"/>
  <c r="P1175" i="1"/>
  <c r="R1176" i="1"/>
  <c r="P1178" i="1"/>
  <c r="R1179" i="1"/>
  <c r="P1181" i="1"/>
  <c r="R1182" i="1"/>
  <c r="O1184" i="1"/>
  <c r="O1187" i="1"/>
  <c r="O1190" i="1"/>
  <c r="O1193" i="1"/>
  <c r="O1196" i="1"/>
  <c r="P1200" i="1"/>
  <c r="P1203" i="1"/>
  <c r="R1210" i="1"/>
  <c r="R1211" i="1"/>
  <c r="Q1211" i="1"/>
  <c r="P1212" i="1"/>
  <c r="R1213" i="1"/>
  <c r="R1214" i="1"/>
  <c r="Q1214" i="1"/>
  <c r="N1232" i="1"/>
  <c r="N1235" i="1"/>
  <c r="N1238" i="1"/>
  <c r="N1241" i="1"/>
  <c r="N1244" i="1"/>
  <c r="N1281" i="1"/>
  <c r="R1281" i="1" s="1"/>
  <c r="N1300" i="1"/>
  <c r="N1309" i="1"/>
  <c r="R1309" i="1" s="1"/>
  <c r="N1312" i="1"/>
  <c r="R1312" i="1" s="1"/>
  <c r="O1315" i="1"/>
  <c r="R1315" i="1"/>
  <c r="P1316" i="1"/>
  <c r="P1318" i="1"/>
  <c r="R1324" i="1"/>
  <c r="Q1324" i="1"/>
  <c r="P1325" i="1"/>
  <c r="R1326" i="1"/>
  <c r="R1327" i="1"/>
  <c r="Q1327" i="1"/>
  <c r="P1328" i="1"/>
  <c r="N1339" i="1"/>
  <c r="R1342" i="1"/>
  <c r="R1343" i="1"/>
  <c r="N1348" i="1"/>
  <c r="R1348" i="1" s="1"/>
  <c r="N1351" i="1"/>
  <c r="R1351" i="1" s="1"/>
  <c r="N1354" i="1"/>
  <c r="R1354" i="1" s="1"/>
  <c r="P1357" i="1"/>
  <c r="R1363" i="1"/>
  <c r="N1368" i="1"/>
  <c r="N1378" i="1"/>
  <c r="R1381" i="1"/>
  <c r="R1382" i="1"/>
  <c r="N1397" i="1"/>
  <c r="R1397" i="1" s="1"/>
  <c r="P1400" i="1"/>
  <c r="R1402" i="1"/>
  <c r="P1403" i="1"/>
  <c r="R1405" i="1"/>
  <c r="P1406" i="1"/>
  <c r="P1401" i="1" s="1"/>
  <c r="N1413" i="1"/>
  <c r="R1413" i="1" s="1"/>
  <c r="P1416" i="1"/>
  <c r="R1418" i="1"/>
  <c r="P1419" i="1"/>
  <c r="R1421" i="1"/>
  <c r="N1450" i="1"/>
  <c r="R1450" i="1" s="1"/>
  <c r="R1451" i="1"/>
  <c r="R1457" i="1"/>
  <c r="N1460" i="1"/>
  <c r="R1461" i="1"/>
  <c r="O1462" i="1"/>
  <c r="N1462" i="1"/>
  <c r="R1462" i="1" s="1"/>
  <c r="O1471" i="1"/>
  <c r="R1471" i="1"/>
  <c r="Q1471" i="1"/>
  <c r="N1476" i="1"/>
  <c r="R1477" i="1"/>
  <c r="O1478" i="1"/>
  <c r="N1478" i="1"/>
  <c r="R1478" i="1" s="1"/>
  <c r="O1583" i="1"/>
  <c r="R1583" i="1"/>
  <c r="Q1583" i="1"/>
  <c r="P1583" i="1"/>
  <c r="O1706" i="1"/>
  <c r="R1706" i="1"/>
  <c r="Q1706" i="1"/>
  <c r="P1706" i="1"/>
  <c r="O1738" i="1"/>
  <c r="R1738" i="1"/>
  <c r="Q1738" i="1"/>
  <c r="P1738" i="1"/>
  <c r="Q975" i="1"/>
  <c r="Q978" i="1"/>
  <c r="Q983" i="1"/>
  <c r="Q986" i="1"/>
  <c r="P989" i="1"/>
  <c r="P992" i="1"/>
  <c r="O1002" i="1"/>
  <c r="P1006" i="1"/>
  <c r="P1009" i="1"/>
  <c r="O1012" i="1"/>
  <c r="O1016" i="1"/>
  <c r="O1019" i="1"/>
  <c r="P1023" i="1"/>
  <c r="P1026" i="1"/>
  <c r="O1029" i="1"/>
  <c r="O1032" i="1"/>
  <c r="O1036" i="1"/>
  <c r="P1040" i="1"/>
  <c r="P1039" i="1" s="1"/>
  <c r="O1046" i="1"/>
  <c r="P1051" i="1"/>
  <c r="P1050" i="1" s="1"/>
  <c r="O1057" i="1"/>
  <c r="P1062" i="1"/>
  <c r="P1061" i="1" s="1"/>
  <c r="P1069" i="1"/>
  <c r="P1068" i="1" s="1"/>
  <c r="P1073" i="1"/>
  <c r="O1076" i="1"/>
  <c r="O1075" i="1" s="1"/>
  <c r="P1084" i="1"/>
  <c r="P1081" i="1" s="1"/>
  <c r="O1087" i="1"/>
  <c r="P1092" i="1"/>
  <c r="P1091" i="1" s="1"/>
  <c r="P1099" i="1"/>
  <c r="P1098" i="1" s="1"/>
  <c r="P1103" i="1"/>
  <c r="O1106" i="1"/>
  <c r="O1105" i="1" s="1"/>
  <c r="P1114" i="1"/>
  <c r="P1111" i="1" s="1"/>
  <c r="O1117" i="1"/>
  <c r="P1121" i="1"/>
  <c r="P1120" i="1" s="1"/>
  <c r="P1125" i="1"/>
  <c r="O1131" i="1"/>
  <c r="P1140" i="1"/>
  <c r="P1143" i="1"/>
  <c r="O1146" i="1"/>
  <c r="O1149" i="1"/>
  <c r="P1157" i="1"/>
  <c r="O1160" i="1"/>
  <c r="P1164" i="1"/>
  <c r="O1171" i="1"/>
  <c r="O1174" i="1"/>
  <c r="O1177" i="1"/>
  <c r="O1180" i="1"/>
  <c r="P1184" i="1"/>
  <c r="P1187" i="1"/>
  <c r="P1190" i="1"/>
  <c r="P1193" i="1"/>
  <c r="P1196" i="1"/>
  <c r="O1199" i="1"/>
  <c r="O1202" i="1"/>
  <c r="N1212" i="1"/>
  <c r="R1212" i="1" s="1"/>
  <c r="R1248" i="1"/>
  <c r="R1249" i="1"/>
  <c r="Q1249" i="1"/>
  <c r="R1251" i="1"/>
  <c r="R1252" i="1"/>
  <c r="Q1252" i="1"/>
  <c r="R1254" i="1"/>
  <c r="R1255" i="1"/>
  <c r="Q1255" i="1"/>
  <c r="R1265" i="1"/>
  <c r="O1266" i="1"/>
  <c r="R1266" i="1"/>
  <c r="O1302" i="1"/>
  <c r="R1302" i="1"/>
  <c r="N1316" i="1"/>
  <c r="R1317" i="1"/>
  <c r="N1325" i="1"/>
  <c r="R1325" i="1" s="1"/>
  <c r="N1328" i="1"/>
  <c r="R1328" i="1" s="1"/>
  <c r="O1341" i="1"/>
  <c r="P1355" i="1"/>
  <c r="Q1355" i="1"/>
  <c r="R1359" i="1"/>
  <c r="O1380" i="1"/>
  <c r="R1380" i="1"/>
  <c r="R1388" i="1"/>
  <c r="R1389" i="1"/>
  <c r="Q1389" i="1"/>
  <c r="R1391" i="1"/>
  <c r="N1400" i="1"/>
  <c r="R1400" i="1" s="1"/>
  <c r="N1416" i="1"/>
  <c r="R1416" i="1" s="1"/>
  <c r="O1432" i="1"/>
  <c r="R1432" i="1"/>
  <c r="Q1432" i="1"/>
  <c r="R1458" i="1"/>
  <c r="R1474" i="1"/>
  <c r="O1563" i="1"/>
  <c r="R1563" i="1"/>
  <c r="Q1563" i="1"/>
  <c r="P1563" i="1"/>
  <c r="R1974" i="1"/>
  <c r="O1974" i="1"/>
  <c r="P1974" i="1"/>
  <c r="Q1974" i="1"/>
  <c r="P1002" i="1"/>
  <c r="P1012" i="1"/>
  <c r="P1010" i="1" s="1"/>
  <c r="P1016" i="1"/>
  <c r="P1019" i="1"/>
  <c r="P1029" i="1"/>
  <c r="P1032" i="1"/>
  <c r="P1036" i="1"/>
  <c r="P1046" i="1"/>
  <c r="P1057" i="1"/>
  <c r="P1076" i="1"/>
  <c r="P1087" i="1"/>
  <c r="P1085" i="1" s="1"/>
  <c r="P1106" i="1"/>
  <c r="P1117" i="1"/>
  <c r="P1131" i="1"/>
  <c r="P1146" i="1"/>
  <c r="P1149" i="1"/>
  <c r="P1160" i="1"/>
  <c r="P1171" i="1"/>
  <c r="P1174" i="1"/>
  <c r="P1177" i="1"/>
  <c r="P1180" i="1"/>
  <c r="P1199" i="1"/>
  <c r="P1202" i="1"/>
  <c r="R1269" i="1"/>
  <c r="Q1269" i="1"/>
  <c r="Q1268" i="1" s="1"/>
  <c r="P1269" i="1"/>
  <c r="Q1271" i="1"/>
  <c r="O1318" i="1"/>
  <c r="R1318" i="1"/>
  <c r="O1357" i="1"/>
  <c r="R1357" i="1"/>
  <c r="P1362" i="1"/>
  <c r="R1366" i="1"/>
  <c r="R1385" i="1"/>
  <c r="O1403" i="1"/>
  <c r="R1403" i="1"/>
  <c r="O1406" i="1"/>
  <c r="R1406" i="1"/>
  <c r="O1419" i="1"/>
  <c r="O1417" i="1" s="1"/>
  <c r="R1419" i="1"/>
  <c r="P1422" i="1"/>
  <c r="P1417" i="1" s="1"/>
  <c r="O1422" i="1"/>
  <c r="R1422" i="1"/>
  <c r="O1429" i="1"/>
  <c r="R1429" i="1"/>
  <c r="Q1429" i="1"/>
  <c r="P1430" i="1"/>
  <c r="P1434" i="1"/>
  <c r="R1444" i="1"/>
  <c r="O1925" i="1"/>
  <c r="N1925" i="1"/>
  <c r="R1925" i="1" s="1"/>
  <c r="O976" i="1"/>
  <c r="O984" i="1"/>
  <c r="O982" i="1" s="1"/>
  <c r="O997" i="1"/>
  <c r="O995" i="1" s="1"/>
  <c r="O1001" i="1"/>
  <c r="Q1002" i="1"/>
  <c r="Q999" i="1" s="1"/>
  <c r="O1011" i="1"/>
  <c r="O1010" i="1" s="1"/>
  <c r="Q1012" i="1"/>
  <c r="Q1010" i="1" s="1"/>
  <c r="O1015" i="1"/>
  <c r="Q1016" i="1"/>
  <c r="O1018" i="1"/>
  <c r="Q1019" i="1"/>
  <c r="O1028" i="1"/>
  <c r="Q1029" i="1"/>
  <c r="O1031" i="1"/>
  <c r="Q1032" i="1"/>
  <c r="O1035" i="1"/>
  <c r="Q1036" i="1"/>
  <c r="Q1034" i="1" s="1"/>
  <c r="O1038" i="1"/>
  <c r="O1045" i="1"/>
  <c r="O1043" i="1" s="1"/>
  <c r="Q1046" i="1"/>
  <c r="Q1043" i="1" s="1"/>
  <c r="O1056" i="1"/>
  <c r="Q1057" i="1"/>
  <c r="Q1054" i="1" s="1"/>
  <c r="O1067" i="1"/>
  <c r="O1065" i="1" s="1"/>
  <c r="Q1076" i="1"/>
  <c r="Q1075" i="1" s="1"/>
  <c r="O1086" i="1"/>
  <c r="Q1087" i="1"/>
  <c r="Q1085" i="1" s="1"/>
  <c r="O1097" i="1"/>
  <c r="O1095" i="1" s="1"/>
  <c r="Q1106" i="1"/>
  <c r="Q1105" i="1" s="1"/>
  <c r="O1116" i="1"/>
  <c r="Q1117" i="1"/>
  <c r="Q1115" i="1" s="1"/>
  <c r="O1119" i="1"/>
  <c r="O1130" i="1"/>
  <c r="Q1131" i="1"/>
  <c r="Q1128" i="1" s="1"/>
  <c r="O1145" i="1"/>
  <c r="Q1146" i="1"/>
  <c r="O1148" i="1"/>
  <c r="Q1149" i="1"/>
  <c r="Q1160" i="1"/>
  <c r="Q1159" i="1" s="1"/>
  <c r="O1162" i="1"/>
  <c r="Q1171" i="1"/>
  <c r="O1173" i="1"/>
  <c r="Q1174" i="1"/>
  <c r="O1176" i="1"/>
  <c r="Q1177" i="1"/>
  <c r="O1179" i="1"/>
  <c r="Q1180" i="1"/>
  <c r="O1182" i="1"/>
  <c r="Q1199" i="1"/>
  <c r="O1201" i="1"/>
  <c r="Q1202" i="1"/>
  <c r="Q1257" i="1"/>
  <c r="O1259" i="1"/>
  <c r="Q1260" i="1"/>
  <c r="R1261" i="1"/>
  <c r="O1262" i="1"/>
  <c r="R1262" i="1"/>
  <c r="P1270" i="1"/>
  <c r="R1272" i="1"/>
  <c r="O1277" i="1"/>
  <c r="O1275" i="1" s="1"/>
  <c r="R1277" i="1"/>
  <c r="R1275" i="1" s="1"/>
  <c r="O1288" i="1"/>
  <c r="R1288" i="1"/>
  <c r="Q1289" i="1"/>
  <c r="Q1287" i="1" s="1"/>
  <c r="O1305" i="1"/>
  <c r="R1305" i="1"/>
  <c r="Q1306" i="1"/>
  <c r="N1319" i="1"/>
  <c r="R1320" i="1"/>
  <c r="R1331" i="1"/>
  <c r="Q1331" i="1"/>
  <c r="P1332" i="1"/>
  <c r="R1333" i="1"/>
  <c r="R1334" i="1"/>
  <c r="Q1334" i="1"/>
  <c r="P1335" i="1"/>
  <c r="R1336" i="1"/>
  <c r="R1337" i="1"/>
  <c r="Q1337" i="1"/>
  <c r="O1344" i="1"/>
  <c r="R1344" i="1"/>
  <c r="N1358" i="1"/>
  <c r="O1364" i="1"/>
  <c r="O1362" i="1" s="1"/>
  <c r="R1364" i="1"/>
  <c r="P1365" i="1"/>
  <c r="P1371" i="1"/>
  <c r="R1372" i="1"/>
  <c r="Q1373" i="1"/>
  <c r="P1374" i="1"/>
  <c r="R1375" i="1"/>
  <c r="R1376" i="1"/>
  <c r="Q1376" i="1"/>
  <c r="O1383" i="1"/>
  <c r="R1383" i="1"/>
  <c r="P1384" i="1"/>
  <c r="R1409" i="1"/>
  <c r="Q1409" i="1"/>
  <c r="P1409" i="1"/>
  <c r="O1426" i="1"/>
  <c r="R1426" i="1"/>
  <c r="Q1426" i="1"/>
  <c r="P1427" i="1"/>
  <c r="R1428" i="1"/>
  <c r="N1430" i="1"/>
  <c r="R1430" i="1" s="1"/>
  <c r="O1468" i="1"/>
  <c r="R1468" i="1"/>
  <c r="Q1468" i="1"/>
  <c r="R1484" i="1"/>
  <c r="O1484" i="1"/>
  <c r="P1484" i="1"/>
  <c r="O1683" i="1"/>
  <c r="R1683" i="1"/>
  <c r="Q1683" i="1"/>
  <c r="P1683" i="1"/>
  <c r="R1764" i="1"/>
  <c r="O1765" i="1"/>
  <c r="N1765" i="1"/>
  <c r="R1204" i="1"/>
  <c r="Q1204" i="1"/>
  <c r="P1204" i="1"/>
  <c r="O1205" i="1"/>
  <c r="R1205" i="1"/>
  <c r="O1208" i="1"/>
  <c r="R1208" i="1"/>
  <c r="R1217" i="1"/>
  <c r="R1218" i="1"/>
  <c r="Q1218" i="1"/>
  <c r="R1220" i="1"/>
  <c r="R1221" i="1"/>
  <c r="Q1221" i="1"/>
  <c r="R1223" i="1"/>
  <c r="Q1224" i="1"/>
  <c r="R1226" i="1"/>
  <c r="R1227" i="1"/>
  <c r="Q1227" i="1"/>
  <c r="R1229" i="1"/>
  <c r="N1257" i="1"/>
  <c r="N1260" i="1"/>
  <c r="N1270" i="1"/>
  <c r="O1271" i="1"/>
  <c r="N1289" i="1"/>
  <c r="R1291" i="1"/>
  <c r="Q1291" i="1"/>
  <c r="R1293" i="1"/>
  <c r="R1294" i="1"/>
  <c r="Q1294" i="1"/>
  <c r="N1306" i="1"/>
  <c r="O1321" i="1"/>
  <c r="R1321" i="1"/>
  <c r="N1332" i="1"/>
  <c r="R1332" i="1" s="1"/>
  <c r="N1335" i="1"/>
  <c r="R1335" i="1" s="1"/>
  <c r="R1340" i="1"/>
  <c r="O1360" i="1"/>
  <c r="R1360" i="1"/>
  <c r="N1365" i="1"/>
  <c r="R1369" i="1"/>
  <c r="N1371" i="1"/>
  <c r="R1371" i="1" s="1"/>
  <c r="N1374" i="1"/>
  <c r="R1374" i="1" s="1"/>
  <c r="R1379" i="1"/>
  <c r="N1384" i="1"/>
  <c r="Q1395" i="1"/>
  <c r="Q1393" i="1" s="1"/>
  <c r="R1396" i="1"/>
  <c r="Q1396" i="1"/>
  <c r="P1396" i="1"/>
  <c r="Q1411" i="1"/>
  <c r="R1412" i="1"/>
  <c r="Q1412" i="1"/>
  <c r="P1412" i="1"/>
  <c r="N1427" i="1"/>
  <c r="R1427" i="1" s="1"/>
  <c r="R1453" i="1"/>
  <c r="R1463" i="1"/>
  <c r="O1521" i="1"/>
  <c r="Q1521" i="1"/>
  <c r="P1521" i="1"/>
  <c r="P1207" i="1"/>
  <c r="O1210" i="1"/>
  <c r="O1213" i="1"/>
  <c r="O1217" i="1"/>
  <c r="O1220" i="1"/>
  <c r="O1223" i="1"/>
  <c r="O1226" i="1"/>
  <c r="O1229" i="1"/>
  <c r="P1233" i="1"/>
  <c r="P1236" i="1"/>
  <c r="P1239" i="1"/>
  <c r="P1242" i="1"/>
  <c r="P1245" i="1"/>
  <c r="O1248" i="1"/>
  <c r="O1251" i="1"/>
  <c r="O1254" i="1"/>
  <c r="P1258" i="1"/>
  <c r="P1261" i="1"/>
  <c r="P1265" i="1"/>
  <c r="P1264" i="1" s="1"/>
  <c r="P1276" i="1"/>
  <c r="O1279" i="1"/>
  <c r="O1282" i="1"/>
  <c r="O1293" i="1"/>
  <c r="P1297" i="1"/>
  <c r="P1296" i="1" s="1"/>
  <c r="P1301" i="1"/>
  <c r="P1304" i="1"/>
  <c r="O1310" i="1"/>
  <c r="O1313" i="1"/>
  <c r="P1317" i="1"/>
  <c r="P1320" i="1"/>
  <c r="O1326" i="1"/>
  <c r="O1333" i="1"/>
  <c r="O1336" i="1"/>
  <c r="O1346" i="1"/>
  <c r="O1349" i="1"/>
  <c r="O1352" i="1"/>
  <c r="O1372" i="1"/>
  <c r="O1375" i="1"/>
  <c r="O1388" i="1"/>
  <c r="O1391" i="1"/>
  <c r="O1395" i="1"/>
  <c r="O1398" i="1"/>
  <c r="N1404" i="1"/>
  <c r="N1407" i="1"/>
  <c r="O1411" i="1"/>
  <c r="O1414" i="1"/>
  <c r="N1420" i="1"/>
  <c r="O1428" i="1"/>
  <c r="O1431" i="1"/>
  <c r="R1436" i="1"/>
  <c r="N1437" i="1"/>
  <c r="R1439" i="1"/>
  <c r="N1440" i="1"/>
  <c r="R1442" i="1"/>
  <c r="N1443" i="1"/>
  <c r="O1447" i="1"/>
  <c r="R1452" i="1"/>
  <c r="R1459" i="1"/>
  <c r="O1467" i="1"/>
  <c r="O1470" i="1"/>
  <c r="R1475" i="1"/>
  <c r="O1483" i="1"/>
  <c r="O1489" i="1"/>
  <c r="R1489" i="1"/>
  <c r="Q1489" i="1"/>
  <c r="O1499" i="1"/>
  <c r="R1499" i="1"/>
  <c r="Q1499" i="1"/>
  <c r="N1500" i="1"/>
  <c r="R1505" i="1"/>
  <c r="N1529" i="1"/>
  <c r="N1535" i="1"/>
  <c r="N1545" i="1"/>
  <c r="N1549" i="1"/>
  <c r="N1571" i="1"/>
  <c r="R1571" i="1" s="1"/>
  <c r="O1647" i="1"/>
  <c r="R1647" i="1"/>
  <c r="Q1647" i="1"/>
  <c r="N1648" i="1"/>
  <c r="R1648" i="1" s="1"/>
  <c r="O1657" i="1"/>
  <c r="N1657" i="1"/>
  <c r="R1694" i="1"/>
  <c r="O1699" i="1"/>
  <c r="R1699" i="1"/>
  <c r="Q1699" i="1"/>
  <c r="R1709" i="1"/>
  <c r="O1710" i="1"/>
  <c r="N1710" i="1"/>
  <c r="R1710" i="1" s="1"/>
  <c r="R1736" i="1"/>
  <c r="N1760" i="1"/>
  <c r="O1791" i="1"/>
  <c r="R1791" i="1"/>
  <c r="Q1791" i="1"/>
  <c r="O1206" i="1"/>
  <c r="Q1207" i="1"/>
  <c r="P1210" i="1"/>
  <c r="P1213" i="1"/>
  <c r="P1217" i="1"/>
  <c r="P1220" i="1"/>
  <c r="P1223" i="1"/>
  <c r="P1226" i="1"/>
  <c r="P1229" i="1"/>
  <c r="O1232" i="1"/>
  <c r="Q1233" i="1"/>
  <c r="O1235" i="1"/>
  <c r="Q1236" i="1"/>
  <c r="O1238" i="1"/>
  <c r="Q1239" i="1"/>
  <c r="O1241" i="1"/>
  <c r="Q1242" i="1"/>
  <c r="O1244" i="1"/>
  <c r="Q1245" i="1"/>
  <c r="P1248" i="1"/>
  <c r="P1251" i="1"/>
  <c r="P1254" i="1"/>
  <c r="O1257" i="1"/>
  <c r="Q1258" i="1"/>
  <c r="O1260" i="1"/>
  <c r="Q1261" i="1"/>
  <c r="Q1265" i="1"/>
  <c r="O1267" i="1"/>
  <c r="Q1276" i="1"/>
  <c r="Q1275" i="1" s="1"/>
  <c r="P1279" i="1"/>
  <c r="P1282" i="1"/>
  <c r="O1285" i="1"/>
  <c r="O1284" i="1" s="1"/>
  <c r="O1289" i="1"/>
  <c r="P1293" i="1"/>
  <c r="P1290" i="1" s="1"/>
  <c r="P1310" i="1"/>
  <c r="P1313" i="1"/>
  <c r="P1326" i="1"/>
  <c r="P1333" i="1"/>
  <c r="P1336" i="1"/>
  <c r="P1346" i="1"/>
  <c r="P1349" i="1"/>
  <c r="P1352" i="1"/>
  <c r="P1372" i="1"/>
  <c r="P1375" i="1"/>
  <c r="P1388" i="1"/>
  <c r="P1391" i="1"/>
  <c r="P1395" i="1"/>
  <c r="P1398" i="1"/>
  <c r="P1411" i="1"/>
  <c r="P1414" i="1"/>
  <c r="P1428" i="1"/>
  <c r="P1431" i="1"/>
  <c r="P1447" i="1"/>
  <c r="P1467" i="1"/>
  <c r="P1470" i="1"/>
  <c r="P1483" i="1"/>
  <c r="O1485" i="1"/>
  <c r="R1485" i="1"/>
  <c r="Q1485" i="1"/>
  <c r="O1590" i="1"/>
  <c r="R1590" i="1"/>
  <c r="Q1590" i="1"/>
  <c r="O1600" i="1"/>
  <c r="R1600" i="1"/>
  <c r="Q1600" i="1"/>
  <c r="O1616" i="1"/>
  <c r="Q1616" i="1"/>
  <c r="R1656" i="1"/>
  <c r="O1663" i="1"/>
  <c r="R1663" i="1"/>
  <c r="Q1663" i="1"/>
  <c r="R1666" i="1"/>
  <c r="R1679" i="1"/>
  <c r="R1695" i="1"/>
  <c r="O1727" i="1"/>
  <c r="R1727" i="1"/>
  <c r="Q1727" i="1"/>
  <c r="Q1741" i="1"/>
  <c r="O1745" i="1"/>
  <c r="N1745" i="1"/>
  <c r="R1745" i="1" s="1"/>
  <c r="O1749" i="1"/>
  <c r="R1749" i="1"/>
  <c r="Q1749" i="1"/>
  <c r="O1755" i="1"/>
  <c r="R1755" i="1"/>
  <c r="Q1755" i="1"/>
  <c r="R1758" i="1"/>
  <c r="O1819" i="1"/>
  <c r="R1819" i="1"/>
  <c r="Q1819" i="1"/>
  <c r="Q1816" i="1" s="1"/>
  <c r="P1819" i="1"/>
  <c r="O1848" i="1"/>
  <c r="N1848" i="1"/>
  <c r="R1896" i="1"/>
  <c r="P1206" i="1"/>
  <c r="R1207" i="1"/>
  <c r="Q1210" i="1"/>
  <c r="O1212" i="1"/>
  <c r="Q1213" i="1"/>
  <c r="Q1217" i="1"/>
  <c r="O1219" i="1"/>
  <c r="Q1220" i="1"/>
  <c r="O1222" i="1"/>
  <c r="Q1223" i="1"/>
  <c r="O1225" i="1"/>
  <c r="Q1226" i="1"/>
  <c r="O1228" i="1"/>
  <c r="Q1229" i="1"/>
  <c r="P1232" i="1"/>
  <c r="P1235" i="1"/>
  <c r="R1236" i="1"/>
  <c r="P1238" i="1"/>
  <c r="R1239" i="1"/>
  <c r="P1241" i="1"/>
  <c r="R1242" i="1"/>
  <c r="P1244" i="1"/>
  <c r="R1245" i="1"/>
  <c r="O1247" i="1"/>
  <c r="Q1248" i="1"/>
  <c r="O1250" i="1"/>
  <c r="Q1251" i="1"/>
  <c r="O1253" i="1"/>
  <c r="Q1254" i="1"/>
  <c r="P1257" i="1"/>
  <c r="R1258" i="1"/>
  <c r="P1260" i="1"/>
  <c r="O1270" i="1"/>
  <c r="O1268" i="1" s="1"/>
  <c r="Q1279" i="1"/>
  <c r="O1281" i="1"/>
  <c r="Q1282" i="1"/>
  <c r="P1285" i="1"/>
  <c r="P1284" i="1" s="1"/>
  <c r="P1289" i="1"/>
  <c r="P1287" i="1" s="1"/>
  <c r="O1292" i="1"/>
  <c r="Q1293" i="1"/>
  <c r="O1295" i="1"/>
  <c r="R1297" i="1"/>
  <c r="R1296" i="1" s="1"/>
  <c r="P1300" i="1"/>
  <c r="R1301" i="1"/>
  <c r="P1303" i="1"/>
  <c r="R1304" i="1"/>
  <c r="P1306" i="1"/>
  <c r="O1309" i="1"/>
  <c r="Q1310" i="1"/>
  <c r="O1312" i="1"/>
  <c r="Q1313" i="1"/>
  <c r="O1325" i="1"/>
  <c r="Q1326" i="1"/>
  <c r="O1328" i="1"/>
  <c r="O1332" i="1"/>
  <c r="Q1333" i="1"/>
  <c r="O1335" i="1"/>
  <c r="Q1336" i="1"/>
  <c r="Q1346" i="1"/>
  <c r="O1348" i="1"/>
  <c r="Q1349" i="1"/>
  <c r="O1351" i="1"/>
  <c r="Q1352" i="1"/>
  <c r="O1354" i="1"/>
  <c r="O1371" i="1"/>
  <c r="Q1372" i="1"/>
  <c r="O1374" i="1"/>
  <c r="Q1375" i="1"/>
  <c r="O1387" i="1"/>
  <c r="Q1388" i="1"/>
  <c r="O1390" i="1"/>
  <c r="Q1391" i="1"/>
  <c r="O1394" i="1"/>
  <c r="O1397" i="1"/>
  <c r="O1400" i="1"/>
  <c r="O1410" i="1"/>
  <c r="O1413" i="1"/>
  <c r="O1416" i="1"/>
  <c r="O1427" i="1"/>
  <c r="Q1428" i="1"/>
  <c r="O1430" i="1"/>
  <c r="Q1431" i="1"/>
  <c r="O1433" i="1"/>
  <c r="R1435" i="1"/>
  <c r="R1438" i="1"/>
  <c r="O1446" i="1"/>
  <c r="Q1447" i="1"/>
  <c r="Q1445" i="1" s="1"/>
  <c r="P1450" i="1"/>
  <c r="P1453" i="1"/>
  <c r="P1457" i="1"/>
  <c r="P1460" i="1"/>
  <c r="P1463" i="1"/>
  <c r="O1466" i="1"/>
  <c r="Q1467" i="1"/>
  <c r="O1469" i="1"/>
  <c r="Q1470" i="1"/>
  <c r="P1473" i="1"/>
  <c r="P1476" i="1"/>
  <c r="O1482" i="1"/>
  <c r="Q1483" i="1"/>
  <c r="O1518" i="1"/>
  <c r="R1518" i="1"/>
  <c r="Q1518" i="1"/>
  <c r="N1519" i="1"/>
  <c r="R1519" i="1" s="1"/>
  <c r="O1524" i="1"/>
  <c r="R1524" i="1"/>
  <c r="Q1524" i="1"/>
  <c r="N1525" i="1"/>
  <c r="R1525" i="1" s="1"/>
  <c r="R1532" i="1"/>
  <c r="O1540" i="1"/>
  <c r="Q1540" i="1"/>
  <c r="O1560" i="1"/>
  <c r="R1560" i="1"/>
  <c r="Q1560" i="1"/>
  <c r="N1561" i="1"/>
  <c r="R1561" i="1" s="1"/>
  <c r="O1576" i="1"/>
  <c r="R1576" i="1"/>
  <c r="Q1576" i="1"/>
  <c r="N1577" i="1"/>
  <c r="R1577" i="1" s="1"/>
  <c r="N1608" i="1"/>
  <c r="N1624" i="1"/>
  <c r="R1624" i="1" s="1"/>
  <c r="N1628" i="1"/>
  <c r="R1628" i="1" s="1"/>
  <c r="O1644" i="1"/>
  <c r="R1644" i="1"/>
  <c r="Q1644" i="1"/>
  <c r="Q1649" i="1"/>
  <c r="R1676" i="1"/>
  <c r="O1686" i="1"/>
  <c r="R1686" i="1"/>
  <c r="Q1686" i="1"/>
  <c r="R1723" i="1"/>
  <c r="R1730" i="1"/>
  <c r="R1729" i="1" s="1"/>
  <c r="R1744" i="1"/>
  <c r="O1771" i="1"/>
  <c r="R1771" i="1"/>
  <c r="Q1771" i="1"/>
  <c r="R1777" i="1"/>
  <c r="R1787" i="1"/>
  <c r="O1861" i="1"/>
  <c r="R1861" i="1"/>
  <c r="Q1861" i="1"/>
  <c r="P1861" i="1"/>
  <c r="O1436" i="1"/>
  <c r="O1439" i="1"/>
  <c r="O1442" i="1"/>
  <c r="P1446" i="1"/>
  <c r="R1447" i="1"/>
  <c r="Q1450" i="1"/>
  <c r="O1452" i="1"/>
  <c r="O1449" i="1" s="1"/>
  <c r="Q1453" i="1"/>
  <c r="Q1457" i="1"/>
  <c r="O1459" i="1"/>
  <c r="O1456" i="1" s="1"/>
  <c r="Q1460" i="1"/>
  <c r="Q1463" i="1"/>
  <c r="P1466" i="1"/>
  <c r="R1467" i="1"/>
  <c r="P1469" i="1"/>
  <c r="R1470" i="1"/>
  <c r="Q1473" i="1"/>
  <c r="O1475" i="1"/>
  <c r="P1482" i="1"/>
  <c r="R1483" i="1"/>
  <c r="O1492" i="1"/>
  <c r="R1492" i="1"/>
  <c r="Q1492" i="1"/>
  <c r="O1510" i="1"/>
  <c r="R1510" i="1"/>
  <c r="Q1510" i="1"/>
  <c r="N1542" i="1"/>
  <c r="N1552" i="1"/>
  <c r="N1568" i="1"/>
  <c r="N1588" i="1"/>
  <c r="R1588" i="1" s="1"/>
  <c r="N1675" i="1"/>
  <c r="R1675" i="1" s="1"/>
  <c r="N1688" i="1"/>
  <c r="R1689" i="1"/>
  <c r="O1716" i="1"/>
  <c r="R1716" i="1"/>
  <c r="Q1716" i="1"/>
  <c r="N1722" i="1"/>
  <c r="R1722" i="1" s="1"/>
  <c r="R1734" i="1"/>
  <c r="N1773" i="1"/>
  <c r="R1774" i="1"/>
  <c r="N1783" i="1"/>
  <c r="R1784" i="1"/>
  <c r="O1785" i="1"/>
  <c r="N1785" i="1"/>
  <c r="O1794" i="1"/>
  <c r="R1794" i="1"/>
  <c r="Q1794" i="1"/>
  <c r="N1799" i="1"/>
  <c r="R1799" i="1" s="1"/>
  <c r="R1800" i="1"/>
  <c r="O1801" i="1"/>
  <c r="N1801" i="1"/>
  <c r="R1801" i="1" s="1"/>
  <c r="O1597" i="1"/>
  <c r="R1597" i="1"/>
  <c r="Q1597" i="1"/>
  <c r="N1598" i="1"/>
  <c r="R1598" i="1" s="1"/>
  <c r="R1605" i="1"/>
  <c r="O1613" i="1"/>
  <c r="Q1613" i="1"/>
  <c r="N1614" i="1"/>
  <c r="R1614" i="1" s="1"/>
  <c r="R1621" i="1"/>
  <c r="O1633" i="1"/>
  <c r="R1633" i="1"/>
  <c r="Q1633" i="1"/>
  <c r="O1641" i="1"/>
  <c r="R1641" i="1"/>
  <c r="Q1641" i="1"/>
  <c r="R1653" i="1"/>
  <c r="R1659" i="1"/>
  <c r="R1668" i="1"/>
  <c r="R1669" i="1"/>
  <c r="R1672" i="1"/>
  <c r="R1673" i="1"/>
  <c r="R1711" i="1"/>
  <c r="R1712" i="1"/>
  <c r="O1742" i="1"/>
  <c r="O1741" i="1" s="1"/>
  <c r="N1742" i="1"/>
  <c r="R1742" i="1" s="1"/>
  <c r="O1752" i="1"/>
  <c r="R1752" i="1"/>
  <c r="Q1752" i="1"/>
  <c r="R1763" i="1"/>
  <c r="R1767" i="1"/>
  <c r="R1781" i="1"/>
  <c r="O1782" i="1"/>
  <c r="N1782" i="1"/>
  <c r="R1782" i="1" s="1"/>
  <c r="R1797" i="1"/>
  <c r="O1798" i="1"/>
  <c r="N1798" i="1"/>
  <c r="R1798" i="1" s="1"/>
  <c r="O1868" i="1"/>
  <c r="N1868" i="1"/>
  <c r="O1491" i="1"/>
  <c r="P1495" i="1"/>
  <c r="R1496" i="1"/>
  <c r="O1498" i="1"/>
  <c r="P1502" i="1"/>
  <c r="P1501" i="1" s="1"/>
  <c r="P1506" i="1"/>
  <c r="R1507" i="1"/>
  <c r="O1509" i="1"/>
  <c r="O1512" i="1"/>
  <c r="R1514" i="1"/>
  <c r="R1513" i="1" s="1"/>
  <c r="O1520" i="1"/>
  <c r="O1523" i="1"/>
  <c r="P1527" i="1"/>
  <c r="P1530" i="1"/>
  <c r="R1531" i="1"/>
  <c r="P1533" i="1"/>
  <c r="R1534" i="1"/>
  <c r="P1536" i="1"/>
  <c r="O1539" i="1"/>
  <c r="P1543" i="1"/>
  <c r="R1544" i="1"/>
  <c r="P1546" i="1"/>
  <c r="P1550" i="1"/>
  <c r="R1551" i="1"/>
  <c r="P1553" i="1"/>
  <c r="R1554" i="1"/>
  <c r="N1555" i="1"/>
  <c r="P1556" i="1"/>
  <c r="O1559" i="1"/>
  <c r="O1562" i="1"/>
  <c r="P1566" i="1"/>
  <c r="R1567" i="1"/>
  <c r="P1569" i="1"/>
  <c r="R1570" i="1"/>
  <c r="P1572" i="1"/>
  <c r="O1575" i="1"/>
  <c r="O1578" i="1"/>
  <c r="O1582" i="1"/>
  <c r="P1586" i="1"/>
  <c r="R1587" i="1"/>
  <c r="O1592" i="1"/>
  <c r="O1596" i="1"/>
  <c r="O1599" i="1"/>
  <c r="O1602" i="1"/>
  <c r="R1604" i="1"/>
  <c r="P1606" i="1"/>
  <c r="R1607" i="1"/>
  <c r="P1609" i="1"/>
  <c r="O1612" i="1"/>
  <c r="O1615" i="1"/>
  <c r="O1618" i="1"/>
  <c r="R1620" i="1"/>
  <c r="P1622" i="1"/>
  <c r="R1623" i="1"/>
  <c r="P1625" i="1"/>
  <c r="P1629" i="1"/>
  <c r="R1630" i="1"/>
  <c r="O1632" i="1"/>
  <c r="O1635" i="1"/>
  <c r="R1637" i="1"/>
  <c r="R1636" i="1" s="1"/>
  <c r="O1643" i="1"/>
  <c r="O1646" i="1"/>
  <c r="R1651" i="1"/>
  <c r="N1652" i="1"/>
  <c r="R1654" i="1"/>
  <c r="N1655" i="1"/>
  <c r="R1657" i="1"/>
  <c r="N1658" i="1"/>
  <c r="O1662" i="1"/>
  <c r="R1667" i="1"/>
  <c r="R1674" i="1"/>
  <c r="R1677" i="1"/>
  <c r="O1682" i="1"/>
  <c r="O1685" i="1"/>
  <c r="R1690" i="1"/>
  <c r="R1693" i="1"/>
  <c r="O1698" i="1"/>
  <c r="O1701" i="1"/>
  <c r="O1705" i="1"/>
  <c r="O1703" i="1" s="1"/>
  <c r="O1715" i="1"/>
  <c r="R1721" i="1"/>
  <c r="O1726" i="1"/>
  <c r="O1724" i="1" s="1"/>
  <c r="R1735" i="1"/>
  <c r="R1732" i="1" s="1"/>
  <c r="O1740" i="1"/>
  <c r="N1743" i="1"/>
  <c r="O1751" i="1"/>
  <c r="O1754" i="1"/>
  <c r="R1759" i="1"/>
  <c r="R1762" i="1"/>
  <c r="O1770" i="1"/>
  <c r="R1785" i="1"/>
  <c r="O1790" i="1"/>
  <c r="O1793" i="1"/>
  <c r="R1814" i="1"/>
  <c r="O1844" i="1"/>
  <c r="R1844" i="1"/>
  <c r="Q1844" i="1"/>
  <c r="N1863" i="1"/>
  <c r="O1865" i="1"/>
  <c r="N1865" i="1"/>
  <c r="R1881" i="1"/>
  <c r="N1883" i="1"/>
  <c r="O1885" i="1"/>
  <c r="N1885" i="1"/>
  <c r="R1885" i="1" s="1"/>
  <c r="O1895" i="1"/>
  <c r="N1895" i="1"/>
  <c r="R1918" i="1"/>
  <c r="R1917" i="1" s="1"/>
  <c r="O1918" i="1"/>
  <c r="O1917" i="1" s="1"/>
  <c r="Q1918" i="1"/>
  <c r="Q1917" i="1" s="1"/>
  <c r="O1948" i="1"/>
  <c r="O1947" i="1" s="1"/>
  <c r="R1948" i="1"/>
  <c r="R1947" i="1" s="1"/>
  <c r="Q1948" i="1"/>
  <c r="Q1947" i="1" s="1"/>
  <c r="Q2022" i="1"/>
  <c r="P2022" i="1"/>
  <c r="P2019" i="1" s="1"/>
  <c r="O2022" i="1"/>
  <c r="R2022" i="1"/>
  <c r="P1491" i="1"/>
  <c r="O1494" i="1"/>
  <c r="Q1495" i="1"/>
  <c r="P1498" i="1"/>
  <c r="Q1502" i="1"/>
  <c r="Q1501" i="1" s="1"/>
  <c r="O1505" i="1"/>
  <c r="Q1506" i="1"/>
  <c r="P1509" i="1"/>
  <c r="P1512" i="1"/>
  <c r="P1520" i="1"/>
  <c r="P1523" i="1"/>
  <c r="Q1527" i="1"/>
  <c r="O1529" i="1"/>
  <c r="Q1530" i="1"/>
  <c r="O1532" i="1"/>
  <c r="Q1533" i="1"/>
  <c r="O1535" i="1"/>
  <c r="Q1536" i="1"/>
  <c r="P1539" i="1"/>
  <c r="O1542" i="1"/>
  <c r="Q1543" i="1"/>
  <c r="O1545" i="1"/>
  <c r="Q1546" i="1"/>
  <c r="O1549" i="1"/>
  <c r="Q1550" i="1"/>
  <c r="O1552" i="1"/>
  <c r="Q1553" i="1"/>
  <c r="Q1556" i="1"/>
  <c r="P1559" i="1"/>
  <c r="P1562" i="1"/>
  <c r="O1565" i="1"/>
  <c r="Q1566" i="1"/>
  <c r="O1568" i="1"/>
  <c r="Q1569" i="1"/>
  <c r="O1571" i="1"/>
  <c r="Q1572" i="1"/>
  <c r="P1575" i="1"/>
  <c r="P1578" i="1"/>
  <c r="P1582" i="1"/>
  <c r="Q1586" i="1"/>
  <c r="O1588" i="1"/>
  <c r="P1592" i="1"/>
  <c r="P1596" i="1"/>
  <c r="P1599" i="1"/>
  <c r="P1602" i="1"/>
  <c r="O1605" i="1"/>
  <c r="Q1606" i="1"/>
  <c r="O1608" i="1"/>
  <c r="Q1609" i="1"/>
  <c r="P1612" i="1"/>
  <c r="P1615" i="1"/>
  <c r="P1618" i="1"/>
  <c r="O1621" i="1"/>
  <c r="Q1622" i="1"/>
  <c r="O1624" i="1"/>
  <c r="Q1625" i="1"/>
  <c r="O1628" i="1"/>
  <c r="Q1629" i="1"/>
  <c r="P1632" i="1"/>
  <c r="P1635" i="1"/>
  <c r="P1643" i="1"/>
  <c r="P1646" i="1"/>
  <c r="P1662" i="1"/>
  <c r="O1665" i="1"/>
  <c r="O1668" i="1"/>
  <c r="O1672" i="1"/>
  <c r="O1675" i="1"/>
  <c r="P1682" i="1"/>
  <c r="P1685" i="1"/>
  <c r="P1698" i="1"/>
  <c r="P1701" i="1"/>
  <c r="P1705" i="1"/>
  <c r="O1711" i="1"/>
  <c r="P1715" i="1"/>
  <c r="O1718" i="1"/>
  <c r="O1717" i="1" s="1"/>
  <c r="O1722" i="1"/>
  <c r="P1726" i="1"/>
  <c r="O1733" i="1"/>
  <c r="O1736" i="1"/>
  <c r="P1740" i="1"/>
  <c r="P1751" i="1"/>
  <c r="P1754" i="1"/>
  <c r="P1770" i="1"/>
  <c r="P1790" i="1"/>
  <c r="P1793" i="1"/>
  <c r="O1802" i="1"/>
  <c r="Q1802" i="1"/>
  <c r="O1840" i="1"/>
  <c r="R1840" i="1"/>
  <c r="Q1840" i="1"/>
  <c r="O1878" i="1"/>
  <c r="R1878" i="1"/>
  <c r="Q1878" i="1"/>
  <c r="O1882" i="1"/>
  <c r="N1882" i="1"/>
  <c r="O1891" i="1"/>
  <c r="R1891" i="1"/>
  <c r="Q1891" i="1"/>
  <c r="Q1899" i="1"/>
  <c r="O1899" i="1"/>
  <c r="R1899" i="1"/>
  <c r="O1906" i="1"/>
  <c r="N1906" i="1"/>
  <c r="R1906" i="1" s="1"/>
  <c r="O1936" i="1"/>
  <c r="N1936" i="1"/>
  <c r="R1936" i="1" s="1"/>
  <c r="R1938" i="1"/>
  <c r="R1966" i="1"/>
  <c r="R2001" i="1"/>
  <c r="O2001" i="1"/>
  <c r="Q2001" i="1"/>
  <c r="P2001" i="1"/>
  <c r="N2041" i="1"/>
  <c r="O2041" i="1"/>
  <c r="O2040" i="1" s="1"/>
  <c r="O2245" i="1"/>
  <c r="N2245" i="1"/>
  <c r="O2264" i="1"/>
  <c r="R2264" i="1"/>
  <c r="P2264" i="1"/>
  <c r="Q2264" i="1"/>
  <c r="Q2260" i="1" s="1"/>
  <c r="O1486" i="1"/>
  <c r="O1490" i="1"/>
  <c r="Q1491" i="1"/>
  <c r="P1494" i="1"/>
  <c r="R1495" i="1"/>
  <c r="Q1498" i="1"/>
  <c r="Q1497" i="1" s="1"/>
  <c r="O1500" i="1"/>
  <c r="R1502" i="1"/>
  <c r="R1501" i="1" s="1"/>
  <c r="P1505" i="1"/>
  <c r="R1506" i="1"/>
  <c r="Q1509" i="1"/>
  <c r="O1511" i="1"/>
  <c r="Q1512" i="1"/>
  <c r="O1519" i="1"/>
  <c r="Q1520" i="1"/>
  <c r="O1522" i="1"/>
  <c r="Q1523" i="1"/>
  <c r="O1525" i="1"/>
  <c r="R1527" i="1"/>
  <c r="P1529" i="1"/>
  <c r="R1530" i="1"/>
  <c r="P1532" i="1"/>
  <c r="R1533" i="1"/>
  <c r="P1535" i="1"/>
  <c r="R1536" i="1"/>
  <c r="O1538" i="1"/>
  <c r="Q1539" i="1"/>
  <c r="Q1537" i="1" s="1"/>
  <c r="P1542" i="1"/>
  <c r="R1543" i="1"/>
  <c r="P1545" i="1"/>
  <c r="R1546" i="1"/>
  <c r="P1549" i="1"/>
  <c r="R1550" i="1"/>
  <c r="P1552" i="1"/>
  <c r="R1553" i="1"/>
  <c r="P1555" i="1"/>
  <c r="R1556" i="1"/>
  <c r="O1558" i="1"/>
  <c r="Q1559" i="1"/>
  <c r="O1561" i="1"/>
  <c r="Q1562" i="1"/>
  <c r="P1565" i="1"/>
  <c r="R1566" i="1"/>
  <c r="P1568" i="1"/>
  <c r="R1569" i="1"/>
  <c r="P1571" i="1"/>
  <c r="R1572" i="1"/>
  <c r="O1574" i="1"/>
  <c r="Q1575" i="1"/>
  <c r="O1577" i="1"/>
  <c r="Q1578" i="1"/>
  <c r="O1581" i="1"/>
  <c r="Q1582" i="1"/>
  <c r="Q1580" i="1" s="1"/>
  <c r="O1584" i="1"/>
  <c r="R1586" i="1"/>
  <c r="P1588" i="1"/>
  <c r="O1591" i="1"/>
  <c r="Q1592" i="1"/>
  <c r="O1595" i="1"/>
  <c r="Q1596" i="1"/>
  <c r="O1598" i="1"/>
  <c r="Q1599" i="1"/>
  <c r="O1601" i="1"/>
  <c r="Q1602" i="1"/>
  <c r="P1605" i="1"/>
  <c r="R1606" i="1"/>
  <c r="P1608" i="1"/>
  <c r="O1611" i="1"/>
  <c r="Q1612" i="1"/>
  <c r="O1614" i="1"/>
  <c r="Q1615" i="1"/>
  <c r="O1617" i="1"/>
  <c r="Q1618" i="1"/>
  <c r="P1621" i="1"/>
  <c r="R1622" i="1"/>
  <c r="P1624" i="1"/>
  <c r="R1625" i="1"/>
  <c r="P1628" i="1"/>
  <c r="P1627" i="1" s="1"/>
  <c r="R1629" i="1"/>
  <c r="Q1632" i="1"/>
  <c r="O1634" i="1"/>
  <c r="Q1635" i="1"/>
  <c r="O1642" i="1"/>
  <c r="Q1643" i="1"/>
  <c r="O1645" i="1"/>
  <c r="Q1646" i="1"/>
  <c r="O1648" i="1"/>
  <c r="R1650" i="1"/>
  <c r="P1655" i="1"/>
  <c r="P1658" i="1"/>
  <c r="O1661" i="1"/>
  <c r="Q1662" i="1"/>
  <c r="P1665" i="1"/>
  <c r="P1668" i="1"/>
  <c r="P1672" i="1"/>
  <c r="P1675" i="1"/>
  <c r="P1678" i="1"/>
  <c r="O1681" i="1"/>
  <c r="Q1682" i="1"/>
  <c r="O1684" i="1"/>
  <c r="Q1685" i="1"/>
  <c r="P1688" i="1"/>
  <c r="P1691" i="1"/>
  <c r="P1694" i="1"/>
  <c r="Q1698" i="1"/>
  <c r="Q1701" i="1"/>
  <c r="Q1705" i="1"/>
  <c r="P1711" i="1"/>
  <c r="P1708" i="1" s="1"/>
  <c r="Q1715" i="1"/>
  <c r="Q1713" i="1" s="1"/>
  <c r="P1718" i="1"/>
  <c r="P1717" i="1" s="1"/>
  <c r="P1722" i="1"/>
  <c r="P1720" i="1" s="1"/>
  <c r="Q1726" i="1"/>
  <c r="P1733" i="1"/>
  <c r="P1736" i="1"/>
  <c r="O1739" i="1"/>
  <c r="Q1740" i="1"/>
  <c r="P1743" i="1"/>
  <c r="O1750" i="1"/>
  <c r="Q1751" i="1"/>
  <c r="O1753" i="1"/>
  <c r="Q1754" i="1"/>
  <c r="O1756" i="1"/>
  <c r="P1760" i="1"/>
  <c r="P1763" i="1"/>
  <c r="P1766" i="1"/>
  <c r="O1769" i="1"/>
  <c r="O1768" i="1" s="1"/>
  <c r="Q1770" i="1"/>
  <c r="Q1768" i="1" s="1"/>
  <c r="P1773" i="1"/>
  <c r="P1776" i="1"/>
  <c r="P1780" i="1"/>
  <c r="P1783" i="1"/>
  <c r="P1786" i="1"/>
  <c r="O1789" i="1"/>
  <c r="Q1790" i="1"/>
  <c r="O1792" i="1"/>
  <c r="Q1793" i="1"/>
  <c r="P1796" i="1"/>
  <c r="P1799" i="1"/>
  <c r="N1802" i="1"/>
  <c r="N1803" i="1"/>
  <c r="R1803" i="1" s="1"/>
  <c r="Q1847" i="1"/>
  <c r="O1858" i="1"/>
  <c r="R1858" i="1"/>
  <c r="Q1858" i="1"/>
  <c r="O1902" i="1"/>
  <c r="N1902" i="1"/>
  <c r="R1913" i="1"/>
  <c r="R1912" i="1" s="1"/>
  <c r="O1946" i="1"/>
  <c r="O1944" i="1" s="1"/>
  <c r="O1943" i="1" s="1"/>
  <c r="N1946" i="1"/>
  <c r="Q2060" i="1"/>
  <c r="Q2059" i="1" s="1"/>
  <c r="N2060" i="1"/>
  <c r="N2102" i="1"/>
  <c r="P2102" i="1"/>
  <c r="P1486" i="1"/>
  <c r="P1490" i="1"/>
  <c r="R1491" i="1"/>
  <c r="Q1494" i="1"/>
  <c r="O1496" i="1"/>
  <c r="R1498" i="1"/>
  <c r="P1500" i="1"/>
  <c r="Q1505" i="1"/>
  <c r="O1507" i="1"/>
  <c r="R1509" i="1"/>
  <c r="P1511" i="1"/>
  <c r="R1512" i="1"/>
  <c r="O1514" i="1"/>
  <c r="O1513" i="1" s="1"/>
  <c r="P1519" i="1"/>
  <c r="R1520" i="1"/>
  <c r="P1522" i="1"/>
  <c r="R1523" i="1"/>
  <c r="P1525" i="1"/>
  <c r="O1528" i="1"/>
  <c r="Q1529" i="1"/>
  <c r="O1531" i="1"/>
  <c r="Q1532" i="1"/>
  <c r="O1534" i="1"/>
  <c r="Q1535" i="1"/>
  <c r="P1538" i="1"/>
  <c r="R1539" i="1"/>
  <c r="Q1542" i="1"/>
  <c r="O1544" i="1"/>
  <c r="Q1545" i="1"/>
  <c r="Q1549" i="1"/>
  <c r="O1551" i="1"/>
  <c r="Q1552" i="1"/>
  <c r="O1554" i="1"/>
  <c r="Q1555" i="1"/>
  <c r="P1558" i="1"/>
  <c r="R1559" i="1"/>
  <c r="P1561" i="1"/>
  <c r="R1562" i="1"/>
  <c r="Q1565" i="1"/>
  <c r="O1567" i="1"/>
  <c r="Q1568" i="1"/>
  <c r="O1570" i="1"/>
  <c r="Q1571" i="1"/>
  <c r="P1574" i="1"/>
  <c r="R1575" i="1"/>
  <c r="R1573" i="1" s="1"/>
  <c r="P1577" i="1"/>
  <c r="R1578" i="1"/>
  <c r="P1581" i="1"/>
  <c r="R1582" i="1"/>
  <c r="R1580" i="1" s="1"/>
  <c r="P1584" i="1"/>
  <c r="O1587" i="1"/>
  <c r="O1585" i="1" s="1"/>
  <c r="Q1588" i="1"/>
  <c r="P1591" i="1"/>
  <c r="P1589" i="1" s="1"/>
  <c r="R1592" i="1"/>
  <c r="P1595" i="1"/>
  <c r="R1596" i="1"/>
  <c r="P1598" i="1"/>
  <c r="R1599" i="1"/>
  <c r="P1601" i="1"/>
  <c r="R1602" i="1"/>
  <c r="O1604" i="1"/>
  <c r="Q1605" i="1"/>
  <c r="O1607" i="1"/>
  <c r="Q1608" i="1"/>
  <c r="P1611" i="1"/>
  <c r="R1612" i="1"/>
  <c r="P1614" i="1"/>
  <c r="R1615" i="1"/>
  <c r="P1617" i="1"/>
  <c r="R1618" i="1"/>
  <c r="O1620" i="1"/>
  <c r="Q1621" i="1"/>
  <c r="O1623" i="1"/>
  <c r="Q1624" i="1"/>
  <c r="Q1628" i="1"/>
  <c r="O1630" i="1"/>
  <c r="R1632" i="1"/>
  <c r="P1634" i="1"/>
  <c r="R1635" i="1"/>
  <c r="O1637" i="1"/>
  <c r="O1636" i="1" s="1"/>
  <c r="P1642" i="1"/>
  <c r="P1645" i="1"/>
  <c r="R1646" i="1"/>
  <c r="P1648" i="1"/>
  <c r="O1651" i="1"/>
  <c r="O1649" i="1" s="1"/>
  <c r="O1654" i="1"/>
  <c r="P1661" i="1"/>
  <c r="P1660" i="1" s="1"/>
  <c r="R1662" i="1"/>
  <c r="R1660" i="1" s="1"/>
  <c r="Q1665" i="1"/>
  <c r="O1667" i="1"/>
  <c r="Q1668" i="1"/>
  <c r="Q1672" i="1"/>
  <c r="O1674" i="1"/>
  <c r="Q1675" i="1"/>
  <c r="O1677" i="1"/>
  <c r="Q1678" i="1"/>
  <c r="P1681" i="1"/>
  <c r="R1682" i="1"/>
  <c r="P1684" i="1"/>
  <c r="R1685" i="1"/>
  <c r="Q1688" i="1"/>
  <c r="O1690" i="1"/>
  <c r="Q1691" i="1"/>
  <c r="O1693" i="1"/>
  <c r="Q1694" i="1"/>
  <c r="P1697" i="1"/>
  <c r="R1698" i="1"/>
  <c r="P1700" i="1"/>
  <c r="R1701" i="1"/>
  <c r="P1704" i="1"/>
  <c r="R1705" i="1"/>
  <c r="P1707" i="1"/>
  <c r="Q1711" i="1"/>
  <c r="Q1708" i="1" s="1"/>
  <c r="P1714" i="1"/>
  <c r="R1715" i="1"/>
  <c r="Q1718" i="1"/>
  <c r="Q1717" i="1" s="1"/>
  <c r="O1721" i="1"/>
  <c r="O1720" i="1" s="1"/>
  <c r="Q1722" i="1"/>
  <c r="Q1720" i="1" s="1"/>
  <c r="P1725" i="1"/>
  <c r="R1726" i="1"/>
  <c r="R1724" i="1" s="1"/>
  <c r="P1728" i="1"/>
  <c r="Q1733" i="1"/>
  <c r="O1735" i="1"/>
  <c r="Q1736" i="1"/>
  <c r="P1739" i="1"/>
  <c r="P1750" i="1"/>
  <c r="R1751" i="1"/>
  <c r="P1753" i="1"/>
  <c r="R1754" i="1"/>
  <c r="P1756" i="1"/>
  <c r="O1759" i="1"/>
  <c r="Q1760" i="1"/>
  <c r="Q1757" i="1" s="1"/>
  <c r="O1762" i="1"/>
  <c r="Q1763" i="1"/>
  <c r="P1769" i="1"/>
  <c r="R1770" i="1"/>
  <c r="Q1773" i="1"/>
  <c r="O1775" i="1"/>
  <c r="Q1776" i="1"/>
  <c r="Q1780" i="1"/>
  <c r="Q1783" i="1"/>
  <c r="Q1786" i="1"/>
  <c r="P1789" i="1"/>
  <c r="R1790" i="1"/>
  <c r="R1788" i="1" s="1"/>
  <c r="P1792" i="1"/>
  <c r="R1793" i="1"/>
  <c r="Q1796" i="1"/>
  <c r="Q1795" i="1" s="1"/>
  <c r="O1826" i="1"/>
  <c r="O1825" i="1" s="1"/>
  <c r="R1826" i="1"/>
  <c r="R1825" i="1" s="1"/>
  <c r="Q1826" i="1"/>
  <c r="Q1825" i="1" s="1"/>
  <c r="N1835" i="1"/>
  <c r="R1835" i="1" s="1"/>
  <c r="R1849" i="1"/>
  <c r="O1862" i="1"/>
  <c r="O1897" i="1"/>
  <c r="R1897" i="1"/>
  <c r="Q1897" i="1"/>
  <c r="N1898" i="1"/>
  <c r="R1905" i="1"/>
  <c r="O1927" i="1"/>
  <c r="N1927" i="1"/>
  <c r="R1931" i="1"/>
  <c r="P1967" i="1"/>
  <c r="Q1975" i="1"/>
  <c r="P1975" i="1"/>
  <c r="O1975" i="1"/>
  <c r="Q2013" i="1"/>
  <c r="Q2012" i="1" s="1"/>
  <c r="P2013" i="1"/>
  <c r="P2012" i="1" s="1"/>
  <c r="O2013" i="1"/>
  <c r="O2012" i="1" s="1"/>
  <c r="P1801" i="1"/>
  <c r="N1805" i="1"/>
  <c r="R1805" i="1" s="1"/>
  <c r="Q1821" i="1"/>
  <c r="R1824" i="1"/>
  <c r="O1830" i="1"/>
  <c r="R1830" i="1"/>
  <c r="Q1830" i="1"/>
  <c r="O1851" i="1"/>
  <c r="N1851" i="1"/>
  <c r="R1851" i="1" s="1"/>
  <c r="R1867" i="1"/>
  <c r="O1875" i="1"/>
  <c r="R1875" i="1"/>
  <c r="Q1875" i="1"/>
  <c r="O1888" i="1"/>
  <c r="R1888" i="1"/>
  <c r="Q1888" i="1"/>
  <c r="R1950" i="1"/>
  <c r="R1949" i="1" s="1"/>
  <c r="Q1963" i="1"/>
  <c r="O1963" i="1"/>
  <c r="R1963" i="1"/>
  <c r="P1805" i="1"/>
  <c r="R1806" i="1"/>
  <c r="P1808" i="1"/>
  <c r="R1809" i="1"/>
  <c r="P1812" i="1"/>
  <c r="R1813" i="1"/>
  <c r="R1811" i="1" s="1"/>
  <c r="P1815" i="1"/>
  <c r="O1818" i="1"/>
  <c r="O1816" i="1" s="1"/>
  <c r="P1822" i="1"/>
  <c r="R1823" i="1"/>
  <c r="O1829" i="1"/>
  <c r="O1832" i="1"/>
  <c r="R1834" i="1"/>
  <c r="P1836" i="1"/>
  <c r="O1839" i="1"/>
  <c r="O1846" i="1"/>
  <c r="R1848" i="1"/>
  <c r="P1850" i="1"/>
  <c r="O1853" i="1"/>
  <c r="O1852" i="1" s="1"/>
  <c r="O1857" i="1"/>
  <c r="O1860" i="1"/>
  <c r="P1864" i="1"/>
  <c r="P1862" i="1" s="1"/>
  <c r="P1867" i="1"/>
  <c r="R1868" i="1"/>
  <c r="P1870" i="1"/>
  <c r="O1877" i="1"/>
  <c r="P1881" i="1"/>
  <c r="R1882" i="1"/>
  <c r="P1884" i="1"/>
  <c r="O1887" i="1"/>
  <c r="O1890" i="1"/>
  <c r="O1893" i="1"/>
  <c r="P1907" i="1"/>
  <c r="O1920" i="1"/>
  <c r="Q1920" i="1"/>
  <c r="P1922" i="1"/>
  <c r="P1926" i="1"/>
  <c r="Q1933" i="1"/>
  <c r="O1935" i="1"/>
  <c r="O1934" i="1" s="1"/>
  <c r="P1945" i="1"/>
  <c r="P1944" i="1" s="1"/>
  <c r="P1943" i="1" s="1"/>
  <c r="O1953" i="1"/>
  <c r="O1952" i="1" s="1"/>
  <c r="R1953" i="1"/>
  <c r="R1969" i="1"/>
  <c r="R1985" i="1"/>
  <c r="R1988" i="1"/>
  <c r="R1991" i="1"/>
  <c r="R1994" i="1"/>
  <c r="O1996" i="1"/>
  <c r="R2004" i="1"/>
  <c r="O2004" i="1"/>
  <c r="R2018" i="1"/>
  <c r="Q2054" i="1"/>
  <c r="O2137" i="1"/>
  <c r="N2137" i="1"/>
  <c r="R2137" i="1" s="1"/>
  <c r="R2144" i="1"/>
  <c r="Q1805" i="1"/>
  <c r="O1807" i="1"/>
  <c r="Q1808" i="1"/>
  <c r="Q1812" i="1"/>
  <c r="O1814" i="1"/>
  <c r="Q1815" i="1"/>
  <c r="P1818" i="1"/>
  <c r="O1824" i="1"/>
  <c r="P1829" i="1"/>
  <c r="P1832" i="1"/>
  <c r="P1839" i="1"/>
  <c r="P1846" i="1"/>
  <c r="P1853" i="1"/>
  <c r="P1852" i="1" s="1"/>
  <c r="P1857" i="1"/>
  <c r="P1860" i="1"/>
  <c r="P1877" i="1"/>
  <c r="P1887" i="1"/>
  <c r="P1890" i="1"/>
  <c r="P1893" i="1"/>
  <c r="R1903" i="1"/>
  <c r="P1903" i="1"/>
  <c r="Q1907" i="1"/>
  <c r="P1915" i="1"/>
  <c r="P1914" i="1" s="1"/>
  <c r="Q1926" i="1"/>
  <c r="Q1924" i="1" s="1"/>
  <c r="P1935" i="1"/>
  <c r="Q1945" i="1"/>
  <c r="Q1944" i="1" s="1"/>
  <c r="Q1958" i="1"/>
  <c r="Q1957" i="1" s="1"/>
  <c r="O1958" i="1"/>
  <c r="O1957" i="1" s="1"/>
  <c r="R1958" i="1"/>
  <c r="R1957" i="1" s="1"/>
  <c r="R1981" i="1"/>
  <c r="O2003" i="1"/>
  <c r="N2003" i="1"/>
  <c r="R2003" i="1" s="1"/>
  <c r="R2007" i="1"/>
  <c r="O2007" i="1"/>
  <c r="O2133" i="1"/>
  <c r="O2131" i="1" s="1"/>
  <c r="R2133" i="1"/>
  <c r="Q2133" i="1"/>
  <c r="P2133" i="1"/>
  <c r="P2131" i="1" s="1"/>
  <c r="O2202" i="1"/>
  <c r="O2201" i="1" s="1"/>
  <c r="R2202" i="1"/>
  <c r="P2202" i="1"/>
  <c r="P2201" i="1" s="1"/>
  <c r="Q2202" i="1"/>
  <c r="P1807" i="1"/>
  <c r="P1814" i="1"/>
  <c r="P1824" i="1"/>
  <c r="Q1832" i="1"/>
  <c r="P1835" i="1"/>
  <c r="P1833" i="1" s="1"/>
  <c r="R1836" i="1"/>
  <c r="O1838" i="1"/>
  <c r="Q1839" i="1"/>
  <c r="Q1837" i="1" s="1"/>
  <c r="O1841" i="1"/>
  <c r="O1845" i="1"/>
  <c r="Q1846" i="1"/>
  <c r="P1849" i="1"/>
  <c r="Q1853" i="1"/>
  <c r="Q1852" i="1" s="1"/>
  <c r="O1856" i="1"/>
  <c r="Q1857" i="1"/>
  <c r="O1859" i="1"/>
  <c r="Q1860" i="1"/>
  <c r="O1872" i="1"/>
  <c r="O1871" i="1" s="1"/>
  <c r="O1876" i="1"/>
  <c r="Q1877" i="1"/>
  <c r="O1879" i="1"/>
  <c r="Q1887" i="1"/>
  <c r="O1889" i="1"/>
  <c r="Q1890" i="1"/>
  <c r="O1892" i="1"/>
  <c r="Q1893" i="1"/>
  <c r="Q1896" i="1"/>
  <c r="P1896" i="1"/>
  <c r="O1898" i="1"/>
  <c r="Q1898" i="1"/>
  <c r="P1900" i="1"/>
  <c r="Q1903" i="1"/>
  <c r="Q1901" i="1" s="1"/>
  <c r="O1904" i="1"/>
  <c r="N1907" i="1"/>
  <c r="R1907" i="1"/>
  <c r="Q1909" i="1"/>
  <c r="Q1908" i="1" s="1"/>
  <c r="P1909" i="1"/>
  <c r="P1908" i="1" s="1"/>
  <c r="Q1915" i="1"/>
  <c r="O1921" i="1"/>
  <c r="R1922" i="1"/>
  <c r="P1923" i="1"/>
  <c r="P1919" i="1" s="1"/>
  <c r="N1926" i="1"/>
  <c r="R1926" i="1" s="1"/>
  <c r="P1930" i="1"/>
  <c r="R1935" i="1"/>
  <c r="N1945" i="1"/>
  <c r="R1945" i="1" s="1"/>
  <c r="Q1954" i="1"/>
  <c r="Q1952" i="1" s="1"/>
  <c r="R1954" i="1"/>
  <c r="P1954" i="1"/>
  <c r="P1952" i="1" s="1"/>
  <c r="Q1956" i="1"/>
  <c r="Q1955" i="1" s="1"/>
  <c r="R1971" i="1"/>
  <c r="O1971" i="1"/>
  <c r="P1971" i="1"/>
  <c r="O1977" i="1"/>
  <c r="P1977" i="1"/>
  <c r="Q1978" i="1"/>
  <c r="O1978" i="1"/>
  <c r="N1984" i="1"/>
  <c r="R1984" i="1" s="1"/>
  <c r="N1987" i="1"/>
  <c r="R1987" i="1" s="1"/>
  <c r="N1990" i="1"/>
  <c r="N1993" i="1"/>
  <c r="O2006" i="1"/>
  <c r="N2006" i="1"/>
  <c r="R2006" i="1" s="1"/>
  <c r="R2010" i="1"/>
  <c r="O2010" i="1"/>
  <c r="Q2017" i="1"/>
  <c r="P2017" i="1"/>
  <c r="O2017" i="1"/>
  <c r="R2042" i="1"/>
  <c r="R2072" i="1"/>
  <c r="Q2072" i="1"/>
  <c r="O2072" i="1"/>
  <c r="Q2080" i="1"/>
  <c r="P2080" i="1"/>
  <c r="P2078" i="1" s="1"/>
  <c r="O2080" i="1"/>
  <c r="R2080" i="1"/>
  <c r="O2107" i="1"/>
  <c r="O2106" i="1" s="1"/>
  <c r="N2107" i="1"/>
  <c r="R2107" i="1" s="1"/>
  <c r="R2106" i="1" s="1"/>
  <c r="O2130" i="1"/>
  <c r="N2130" i="1"/>
  <c r="R2130" i="1" s="1"/>
  <c r="P1803" i="1"/>
  <c r="O1806" i="1"/>
  <c r="Q1807" i="1"/>
  <c r="O1809" i="1"/>
  <c r="O1813" i="1"/>
  <c r="Q1814" i="1"/>
  <c r="P1817" i="1"/>
  <c r="R1818" i="1"/>
  <c r="P1820" i="1"/>
  <c r="O1823" i="1"/>
  <c r="Q1824" i="1"/>
  <c r="R1829" i="1"/>
  <c r="P1831" i="1"/>
  <c r="R1832" i="1"/>
  <c r="O1834" i="1"/>
  <c r="O1833" i="1" s="1"/>
  <c r="Q1835" i="1"/>
  <c r="Q1833" i="1" s="1"/>
  <c r="P1838" i="1"/>
  <c r="R1839" i="1"/>
  <c r="P1841" i="1"/>
  <c r="P1845" i="1"/>
  <c r="R1846" i="1"/>
  <c r="R1853" i="1"/>
  <c r="R1852" i="1" s="1"/>
  <c r="P1856" i="1"/>
  <c r="R1857" i="1"/>
  <c r="P1859" i="1"/>
  <c r="R1860" i="1"/>
  <c r="P1872" i="1"/>
  <c r="P1871" i="1" s="1"/>
  <c r="P1876" i="1"/>
  <c r="R1877" i="1"/>
  <c r="P1879" i="1"/>
  <c r="R1887" i="1"/>
  <c r="P1889" i="1"/>
  <c r="R1890" i="1"/>
  <c r="P1892" i="1"/>
  <c r="R1893" i="1"/>
  <c r="R1915" i="1"/>
  <c r="R1914" i="1" s="1"/>
  <c r="P1921" i="1"/>
  <c r="Q1923" i="1"/>
  <c r="Q1930" i="1"/>
  <c r="R1932" i="1"/>
  <c r="P1932" i="1"/>
  <c r="R1939" i="1"/>
  <c r="P1939" i="1"/>
  <c r="P1937" i="1" s="1"/>
  <c r="N1956" i="1"/>
  <c r="Q1967" i="1"/>
  <c r="N1968" i="1"/>
  <c r="N1971" i="1"/>
  <c r="N1977" i="1"/>
  <c r="Q1980" i="1"/>
  <c r="Q1979" i="1" s="1"/>
  <c r="P1980" i="1"/>
  <c r="P1979" i="1" s="1"/>
  <c r="O1980" i="1"/>
  <c r="O1979" i="1" s="1"/>
  <c r="P1998" i="1"/>
  <c r="P1995" i="1" s="1"/>
  <c r="O2009" i="1"/>
  <c r="N2009" i="1"/>
  <c r="R2009" i="1" s="1"/>
  <c r="P2015" i="1"/>
  <c r="P2035" i="1"/>
  <c r="P2034" i="1" s="1"/>
  <c r="R2036" i="1"/>
  <c r="O2036" i="1"/>
  <c r="Q2036" i="1"/>
  <c r="Q2034" i="1" s="1"/>
  <c r="Q2039" i="1"/>
  <c r="O2039" i="1"/>
  <c r="R2049" i="1"/>
  <c r="R2047" i="1" s="1"/>
  <c r="R2129" i="1"/>
  <c r="Q2129" i="1"/>
  <c r="P2129" i="1"/>
  <c r="P2128" i="1" s="1"/>
  <c r="O2129" i="1"/>
  <c r="O2128" i="1" s="1"/>
  <c r="P1906" i="1"/>
  <c r="O1916" i="1"/>
  <c r="O1914" i="1" s="1"/>
  <c r="Q1916" i="1"/>
  <c r="R1921" i="1"/>
  <c r="R1923" i="1"/>
  <c r="P1925" i="1"/>
  <c r="N1930" i="1"/>
  <c r="R1930" i="1" s="1"/>
  <c r="Q1932" i="1"/>
  <c r="O1933" i="1"/>
  <c r="O1929" i="1" s="1"/>
  <c r="P1936" i="1"/>
  <c r="Q1939" i="1"/>
  <c r="Q1937" i="1" s="1"/>
  <c r="O1941" i="1"/>
  <c r="O1940" i="1" s="1"/>
  <c r="Q1941" i="1"/>
  <c r="Q1940" i="1" s="1"/>
  <c r="O1965" i="1"/>
  <c r="Q1965" i="1"/>
  <c r="N1967" i="1"/>
  <c r="N1980" i="1"/>
  <c r="R1980" i="1" s="1"/>
  <c r="R1979" i="1" s="1"/>
  <c r="O1985" i="1"/>
  <c r="O1988" i="1"/>
  <c r="O1991" i="1"/>
  <c r="O1994" i="1"/>
  <c r="O2035" i="1"/>
  <c r="N2035" i="1"/>
  <c r="O2038" i="1"/>
  <c r="R2038" i="1"/>
  <c r="Q2038" i="1"/>
  <c r="P2038" i="1"/>
  <c r="P2037" i="1" s="1"/>
  <c r="O2045" i="1"/>
  <c r="O2044" i="1" s="1"/>
  <c r="Q2045" i="1"/>
  <c r="Q2044" i="1" s="1"/>
  <c r="P2045" i="1"/>
  <c r="Q2065" i="1"/>
  <c r="P2065" i="1"/>
  <c r="O2065" i="1"/>
  <c r="O2063" i="1" s="1"/>
  <c r="O2213" i="1"/>
  <c r="N2213" i="1"/>
  <c r="N2223" i="1"/>
  <c r="P2223" i="1"/>
  <c r="P2218" i="1" s="1"/>
  <c r="Q2086" i="1"/>
  <c r="Q2085" i="1" s="1"/>
  <c r="P2086" i="1"/>
  <c r="P2085" i="1" s="1"/>
  <c r="O2086" i="1"/>
  <c r="O2085" i="1" s="1"/>
  <c r="R2124" i="1"/>
  <c r="O2143" i="1"/>
  <c r="O2142" i="1" s="1"/>
  <c r="R2143" i="1"/>
  <c r="Q2143" i="1"/>
  <c r="Q2142" i="1" s="1"/>
  <c r="P2143" i="1"/>
  <c r="O2147" i="1"/>
  <c r="O2145" i="1" s="1"/>
  <c r="N2147" i="1"/>
  <c r="R2147" i="1" s="1"/>
  <c r="P2152" i="1"/>
  <c r="R2200" i="1"/>
  <c r="R2199" i="1" s="1"/>
  <c r="O2200" i="1"/>
  <c r="O2199" i="1" s="1"/>
  <c r="P2200" i="1"/>
  <c r="P2199" i="1" s="1"/>
  <c r="R2320" i="1"/>
  <c r="Q2320" i="1"/>
  <c r="P2320" i="1"/>
  <c r="O2320" i="1"/>
  <c r="R2416" i="1"/>
  <c r="P1964" i="1"/>
  <c r="Q1966" i="1"/>
  <c r="P1966" i="1"/>
  <c r="O1968" i="1"/>
  <c r="Q1968" i="1"/>
  <c r="P1970" i="1"/>
  <c r="Q1970" i="1"/>
  <c r="N1972" i="1"/>
  <c r="P1973" i="1"/>
  <c r="N1975" i="1"/>
  <c r="R1975" i="1" s="1"/>
  <c r="P1976" i="1"/>
  <c r="N1978" i="1"/>
  <c r="R1978" i="1" s="1"/>
  <c r="O1984" i="1"/>
  <c r="O1986" i="1"/>
  <c r="R1986" i="1"/>
  <c r="Q1986" i="1"/>
  <c r="O1987" i="1"/>
  <c r="O1989" i="1"/>
  <c r="R1989" i="1"/>
  <c r="Q1989" i="1"/>
  <c r="O1990" i="1"/>
  <c r="O1992" i="1"/>
  <c r="R1992" i="1"/>
  <c r="Q1992" i="1"/>
  <c r="O1993" i="1"/>
  <c r="R1997" i="1"/>
  <c r="O1997" i="1"/>
  <c r="Q1997" i="1"/>
  <c r="O1998" i="1"/>
  <c r="Q2002" i="1"/>
  <c r="Q2005" i="1"/>
  <c r="Q2008" i="1"/>
  <c r="Q2011" i="1"/>
  <c r="N2013" i="1"/>
  <c r="R2013" i="1" s="1"/>
  <c r="R2012" i="1" s="1"/>
  <c r="O2024" i="1"/>
  <c r="O2026" i="1"/>
  <c r="R2026" i="1"/>
  <c r="Q2026" i="1"/>
  <c r="O2029" i="1"/>
  <c r="R2029" i="1"/>
  <c r="Q2029" i="1"/>
  <c r="O2032" i="1"/>
  <c r="R2032" i="1"/>
  <c r="Q2032" i="1"/>
  <c r="N2039" i="1"/>
  <c r="O2061" i="1"/>
  <c r="O2059" i="1" s="1"/>
  <c r="P2062" i="1"/>
  <c r="P2059" i="1" s="1"/>
  <c r="Q2070" i="1"/>
  <c r="O2076" i="1"/>
  <c r="N2082" i="1"/>
  <c r="P2082" i="1"/>
  <c r="P2081" i="1" s="1"/>
  <c r="R2094" i="1"/>
  <c r="R2105" i="1"/>
  <c r="R2104" i="1" s="1"/>
  <c r="O2111" i="1"/>
  <c r="O2110" i="1" s="1"/>
  <c r="N2111" i="1"/>
  <c r="R2111" i="1" s="1"/>
  <c r="R2110" i="1" s="1"/>
  <c r="N2120" i="1"/>
  <c r="O2151" i="1"/>
  <c r="O2149" i="1" s="1"/>
  <c r="N2151" i="1"/>
  <c r="R2151" i="1" s="1"/>
  <c r="N2159" i="1"/>
  <c r="R2170" i="1"/>
  <c r="O2185" i="1"/>
  <c r="N2185" i="1"/>
  <c r="R2185" i="1" s="1"/>
  <c r="O2190" i="1"/>
  <c r="O2187" i="1" s="1"/>
  <c r="R2190" i="1"/>
  <c r="P2190" i="1"/>
  <c r="O2238" i="1"/>
  <c r="R2238" i="1"/>
  <c r="P2238" i="1"/>
  <c r="Q2238" i="1"/>
  <c r="Q2236" i="1" s="1"/>
  <c r="R2364" i="1"/>
  <c r="O2016" i="1"/>
  <c r="R2016" i="1"/>
  <c r="Q2016" i="1"/>
  <c r="R2021" i="1"/>
  <c r="R2019" i="1" s="1"/>
  <c r="O2021" i="1"/>
  <c r="O2019" i="1" s="1"/>
  <c r="Q2021" i="1"/>
  <c r="Q2019" i="1" s="1"/>
  <c r="O2054" i="1"/>
  <c r="P2055" i="1"/>
  <c r="R2057" i="1"/>
  <c r="Q2057" i="1"/>
  <c r="O2057" i="1"/>
  <c r="N2061" i="1"/>
  <c r="R2061" i="1" s="1"/>
  <c r="N2075" i="1"/>
  <c r="R2075" i="1" s="1"/>
  <c r="R2097" i="1"/>
  <c r="R2095" i="1" s="1"/>
  <c r="Q2097" i="1"/>
  <c r="Q2095" i="1" s="1"/>
  <c r="O2097" i="1"/>
  <c r="O2095" i="1" s="1"/>
  <c r="P2097" i="1"/>
  <c r="O2099" i="1"/>
  <c r="O2098" i="1" s="1"/>
  <c r="Q2099" i="1"/>
  <c r="Q2098" i="1" s="1"/>
  <c r="P2099" i="1"/>
  <c r="P2098" i="1" s="1"/>
  <c r="R2101" i="1"/>
  <c r="Q2101" i="1"/>
  <c r="O2101" i="1"/>
  <c r="O2100" i="1" s="1"/>
  <c r="P2101" i="1"/>
  <c r="R2109" i="1"/>
  <c r="R2108" i="1" s="1"/>
  <c r="R2132" i="1"/>
  <c r="P2166" i="1"/>
  <c r="R2167" i="1"/>
  <c r="R2179" i="1"/>
  <c r="Q2179" i="1"/>
  <c r="P2179" i="1"/>
  <c r="O2183" i="1"/>
  <c r="O2180" i="1" s="1"/>
  <c r="P2183" i="1"/>
  <c r="Q2183" i="1"/>
  <c r="O2214" i="1"/>
  <c r="P2214" i="1"/>
  <c r="Q2214" i="1"/>
  <c r="O2284" i="1"/>
  <c r="R2284" i="1"/>
  <c r="P2284" i="1"/>
  <c r="Q2284" i="1"/>
  <c r="Q2279" i="1" s="1"/>
  <c r="Q1984" i="1"/>
  <c r="Q1987" i="1"/>
  <c r="Q1990" i="1"/>
  <c r="Q1993" i="1"/>
  <c r="Q1998" i="1"/>
  <c r="R1998" i="1"/>
  <c r="N2002" i="1"/>
  <c r="P2003" i="1"/>
  <c r="N2005" i="1"/>
  <c r="P2006" i="1"/>
  <c r="N2008" i="1"/>
  <c r="P2009" i="1"/>
  <c r="N2011" i="1"/>
  <c r="Q2024" i="1"/>
  <c r="R2024" i="1"/>
  <c r="Q2027" i="1"/>
  <c r="R2027" i="1"/>
  <c r="Q2030" i="1"/>
  <c r="R2030" i="1"/>
  <c r="N2054" i="1"/>
  <c r="R2054" i="1" s="1"/>
  <c r="O2056" i="1"/>
  <c r="N2056" i="1"/>
  <c r="R2069" i="1"/>
  <c r="R2068" i="1" s="1"/>
  <c r="Q2069" i="1"/>
  <c r="Q2068" i="1" s="1"/>
  <c r="O2069" i="1"/>
  <c r="O2070" i="1"/>
  <c r="P2070" i="1"/>
  <c r="P2068" i="1" s="1"/>
  <c r="N2099" i="1"/>
  <c r="O2140" i="1"/>
  <c r="N2140" i="1"/>
  <c r="R2140" i="1" s="1"/>
  <c r="O2176" i="1"/>
  <c r="P2176" i="1"/>
  <c r="P2174" i="1" s="1"/>
  <c r="R2178" i="1"/>
  <c r="N2181" i="1"/>
  <c r="O2271" i="1"/>
  <c r="N2271" i="1"/>
  <c r="P2042" i="1"/>
  <c r="P2040" i="1" s="1"/>
  <c r="N2045" i="1"/>
  <c r="O2049" i="1"/>
  <c r="Q2049" i="1"/>
  <c r="P2051" i="1"/>
  <c r="O2073" i="1"/>
  <c r="N2076" i="1"/>
  <c r="R2076" i="1" s="1"/>
  <c r="P2096" i="1"/>
  <c r="Q2131" i="1"/>
  <c r="R2146" i="1"/>
  <c r="Q2146" i="1"/>
  <c r="Q2145" i="1" s="1"/>
  <c r="P2147" i="1"/>
  <c r="P2145" i="1" s="1"/>
  <c r="O2154" i="1"/>
  <c r="O2152" i="1" s="1"/>
  <c r="R2154" i="1"/>
  <c r="O2161" i="1"/>
  <c r="R2161" i="1"/>
  <c r="O2166" i="1"/>
  <c r="N2166" i="1"/>
  <c r="O2169" i="1"/>
  <c r="O2168" i="1" s="1"/>
  <c r="R2169" i="1"/>
  <c r="R2168" i="1" s="1"/>
  <c r="Q2170" i="1"/>
  <c r="Q2168" i="1" s="1"/>
  <c r="N2262" i="1"/>
  <c r="N2282" i="1"/>
  <c r="R2319" i="1"/>
  <c r="O2268" i="1"/>
  <c r="N2268" i="1"/>
  <c r="R2268" i="1" s="1"/>
  <c r="R2300" i="1"/>
  <c r="Q2300" i="1"/>
  <c r="P2300" i="1"/>
  <c r="O2300" i="1"/>
  <c r="O2318" i="1"/>
  <c r="Q2318" i="1"/>
  <c r="P2318" i="1"/>
  <c r="O2341" i="1"/>
  <c r="R2341" i="1"/>
  <c r="P2341" i="1"/>
  <c r="Q2341" i="1"/>
  <c r="Q2339" i="1" s="1"/>
  <c r="O2359" i="1"/>
  <c r="O2357" i="1" s="1"/>
  <c r="R2359" i="1"/>
  <c r="P2359" i="1"/>
  <c r="Q2359" i="1"/>
  <c r="Q2357" i="1" s="1"/>
  <c r="N2436" i="1"/>
  <c r="O2436" i="1"/>
  <c r="R2465" i="1"/>
  <c r="R2463" i="1" s="1"/>
  <c r="P2046" i="1"/>
  <c r="N2055" i="1"/>
  <c r="R2055" i="1" s="1"/>
  <c r="N2062" i="1"/>
  <c r="R2062" i="1" s="1"/>
  <c r="Q2064" i="1"/>
  <c r="P2064" i="1"/>
  <c r="Q2066" i="1"/>
  <c r="Q2073" i="1"/>
  <c r="P2075" i="1"/>
  <c r="P2071" i="1" s="1"/>
  <c r="O2079" i="1"/>
  <c r="R2079" i="1"/>
  <c r="R2078" i="1" s="1"/>
  <c r="Q2079" i="1"/>
  <c r="Q2078" i="1" s="1"/>
  <c r="N2084" i="1"/>
  <c r="Q2088" i="1"/>
  <c r="Q2087" i="1" s="1"/>
  <c r="N2093" i="1"/>
  <c r="Q2102" i="1"/>
  <c r="R2102" i="1"/>
  <c r="P2115" i="1"/>
  <c r="P2114" i="1" s="1"/>
  <c r="R2117" i="1"/>
  <c r="R2116" i="1" s="1"/>
  <c r="R2121" i="1"/>
  <c r="O2123" i="1"/>
  <c r="N2123" i="1"/>
  <c r="R2123" i="1" s="1"/>
  <c r="O2126" i="1"/>
  <c r="O2125" i="1" s="1"/>
  <c r="R2126" i="1"/>
  <c r="Q2127" i="1"/>
  <c r="Q2125" i="1" s="1"/>
  <c r="R2156" i="1"/>
  <c r="Q2157" i="1"/>
  <c r="O2158" i="1"/>
  <c r="R2163" i="1"/>
  <c r="R2162" i="1" s="1"/>
  <c r="R2172" i="1"/>
  <c r="Q2172" i="1"/>
  <c r="Q2171" i="1" s="1"/>
  <c r="P2173" i="1"/>
  <c r="P2171" i="1" s="1"/>
  <c r="R2175" i="1"/>
  <c r="R2182" i="1"/>
  <c r="N2206" i="1"/>
  <c r="R2206" i="1" s="1"/>
  <c r="R2205" i="1" s="1"/>
  <c r="O2224" i="1"/>
  <c r="N2224" i="1"/>
  <c r="R2224" i="1" s="1"/>
  <c r="O2248" i="1"/>
  <c r="R2248" i="1"/>
  <c r="Q2248" i="1"/>
  <c r="P2248" i="1"/>
  <c r="R2322" i="1"/>
  <c r="O2434" i="1"/>
  <c r="N2434" i="1"/>
  <c r="P2048" i="1"/>
  <c r="P2050" i="1"/>
  <c r="O2052" i="1"/>
  <c r="Q2052" i="1"/>
  <c r="R2064" i="1"/>
  <c r="N2073" i="1"/>
  <c r="Q2075" i="1"/>
  <c r="Q2082" i="1"/>
  <c r="Q2081" i="1" s="1"/>
  <c r="N2088" i="1"/>
  <c r="P2103" i="1"/>
  <c r="P2111" i="1"/>
  <c r="P2110" i="1" s="1"/>
  <c r="R2113" i="1"/>
  <c r="R2112" i="1" s="1"/>
  <c r="O2115" i="1"/>
  <c r="O2114" i="1" s="1"/>
  <c r="N2115" i="1"/>
  <c r="N2127" i="1"/>
  <c r="R2135" i="1"/>
  <c r="R2136" i="1"/>
  <c r="Q2136" i="1"/>
  <c r="P2137" i="1"/>
  <c r="R2138" i="1"/>
  <c r="R2139" i="1"/>
  <c r="Q2139" i="1"/>
  <c r="P2140" i="1"/>
  <c r="R2141" i="1"/>
  <c r="R2150" i="1"/>
  <c r="Q2150" i="1"/>
  <c r="Q2149" i="1" s="1"/>
  <c r="P2151" i="1"/>
  <c r="P2149" i="1" s="1"/>
  <c r="R2153" i="1"/>
  <c r="R2160" i="1"/>
  <c r="O2173" i="1"/>
  <c r="O2171" i="1" s="1"/>
  <c r="N2173" i="1"/>
  <c r="R2173" i="1" s="1"/>
  <c r="O2174" i="1"/>
  <c r="N2194" i="1"/>
  <c r="R2194" i="1" s="1"/>
  <c r="R2193" i="1" s="1"/>
  <c r="N2209" i="1"/>
  <c r="P2209" i="1"/>
  <c r="P2207" i="1" s="1"/>
  <c r="P2204" i="1" s="1"/>
  <c r="R2219" i="1"/>
  <c r="Q2219" i="1"/>
  <c r="O2219" i="1"/>
  <c r="R2226" i="1"/>
  <c r="R2240" i="1"/>
  <c r="R2266" i="1"/>
  <c r="R2286" i="1"/>
  <c r="R2331" i="1"/>
  <c r="Q2331" i="1"/>
  <c r="O2331" i="1"/>
  <c r="O2330" i="1" s="1"/>
  <c r="O2124" i="1"/>
  <c r="O2135" i="1"/>
  <c r="O2138" i="1"/>
  <c r="O2141" i="1"/>
  <c r="O2156" i="1"/>
  <c r="O2163" i="1"/>
  <c r="O2162" i="1" s="1"/>
  <c r="O2167" i="1"/>
  <c r="O2178" i="1"/>
  <c r="O2177" i="1" s="1"/>
  <c r="Q2188" i="1"/>
  <c r="Q2187" i="1" s="1"/>
  <c r="R2188" i="1"/>
  <c r="O2198" i="1"/>
  <c r="O2197" i="1" s="1"/>
  <c r="R2198" i="1"/>
  <c r="R2197" i="1" s="1"/>
  <c r="Q2198" i="1"/>
  <c r="Q2197" i="1" s="1"/>
  <c r="Q2203" i="1"/>
  <c r="R2203" i="1"/>
  <c r="N2214" i="1"/>
  <c r="R2214" i="1" s="1"/>
  <c r="Q2215" i="1"/>
  <c r="Q2212" i="1" s="1"/>
  <c r="Q2220" i="1"/>
  <c r="R2220" i="1"/>
  <c r="N2239" i="1"/>
  <c r="O2251" i="1"/>
  <c r="R2251" i="1"/>
  <c r="Q2252" i="1"/>
  <c r="N2265" i="1"/>
  <c r="Q2274" i="1"/>
  <c r="P2275" i="1"/>
  <c r="R2276" i="1"/>
  <c r="R2277" i="1"/>
  <c r="Q2277" i="1"/>
  <c r="P2278" i="1"/>
  <c r="R2280" i="1"/>
  <c r="N2285" i="1"/>
  <c r="N2299" i="1"/>
  <c r="R2299" i="1" s="1"/>
  <c r="R2298" i="1" s="1"/>
  <c r="O2305" i="1"/>
  <c r="N2305" i="1"/>
  <c r="O2311" i="1"/>
  <c r="P2311" i="1"/>
  <c r="R2316" i="1"/>
  <c r="R2326" i="1"/>
  <c r="R2328" i="1"/>
  <c r="N2332" i="1"/>
  <c r="R2332" i="1" s="1"/>
  <c r="O2334" i="1"/>
  <c r="N2334" i="1"/>
  <c r="R2334" i="1" s="1"/>
  <c r="R2391" i="1"/>
  <c r="P2124" i="1"/>
  <c r="P2122" i="1" s="1"/>
  <c r="P2135" i="1"/>
  <c r="P2138" i="1"/>
  <c r="P2141" i="1"/>
  <c r="P2156" i="1"/>
  <c r="P2155" i="1" s="1"/>
  <c r="P2163" i="1"/>
  <c r="P2162" i="1" s="1"/>
  <c r="P2167" i="1"/>
  <c r="P2178" i="1"/>
  <c r="Q2184" i="1"/>
  <c r="R2196" i="1"/>
  <c r="R2195" i="1" s="1"/>
  <c r="O2196" i="1"/>
  <c r="O2195" i="1" s="1"/>
  <c r="Q2196" i="1"/>
  <c r="Q2195" i="1" s="1"/>
  <c r="R2208" i="1"/>
  <c r="O2208" i="1"/>
  <c r="O2207" i="1" s="1"/>
  <c r="Q2208" i="1"/>
  <c r="Q2207" i="1" s="1"/>
  <c r="O2241" i="1"/>
  <c r="R2241" i="1"/>
  <c r="O2275" i="1"/>
  <c r="N2275" i="1"/>
  <c r="R2275" i="1" s="1"/>
  <c r="O2278" i="1"/>
  <c r="N2278" i="1"/>
  <c r="R2278" i="1" s="1"/>
  <c r="P2287" i="1"/>
  <c r="O2287" i="1"/>
  <c r="Q2295" i="1"/>
  <c r="R2295" i="1"/>
  <c r="Q2309" i="1"/>
  <c r="O2309" i="1"/>
  <c r="R2346" i="1"/>
  <c r="R2353" i="1"/>
  <c r="O2412" i="1"/>
  <c r="N2412" i="1"/>
  <c r="P2084" i="1"/>
  <c r="P2083" i="1" s="1"/>
  <c r="P2088" i="1"/>
  <c r="P2087" i="1" s="1"/>
  <c r="P2093" i="1"/>
  <c r="P2092" i="1" s="1"/>
  <c r="P2120" i="1"/>
  <c r="P2119" i="1" s="1"/>
  <c r="Q2124" i="1"/>
  <c r="Q2122" i="1" s="1"/>
  <c r="P2127" i="1"/>
  <c r="P2125" i="1" s="1"/>
  <c r="Q2135" i="1"/>
  <c r="Q2138" i="1"/>
  <c r="Q2141" i="1"/>
  <c r="P2144" i="1"/>
  <c r="Q2156" i="1"/>
  <c r="P2159" i="1"/>
  <c r="P2158" i="1" s="1"/>
  <c r="Q2163" i="1"/>
  <c r="Q2162" i="1" s="1"/>
  <c r="Q2167" i="1"/>
  <c r="Q2165" i="1" s="1"/>
  <c r="P2170" i="1"/>
  <c r="P2168" i="1" s="1"/>
  <c r="Q2178" i="1"/>
  <c r="Q2177" i="1" s="1"/>
  <c r="P2181" i="1"/>
  <c r="N2184" i="1"/>
  <c r="R2184" i="1" s="1"/>
  <c r="O2194" i="1"/>
  <c r="O2193" i="1" s="1"/>
  <c r="Q2194" i="1"/>
  <c r="Q2193" i="1" s="1"/>
  <c r="O2206" i="1"/>
  <c r="O2205" i="1" s="1"/>
  <c r="Q2206" i="1"/>
  <c r="Q2205" i="1" s="1"/>
  <c r="O2217" i="1"/>
  <c r="R2222" i="1"/>
  <c r="Q2222" i="1"/>
  <c r="O2222" i="1"/>
  <c r="P2225" i="1"/>
  <c r="R2231" i="1"/>
  <c r="Q2231" i="1"/>
  <c r="P2232" i="1"/>
  <c r="P2230" i="1" s="1"/>
  <c r="R2234" i="1"/>
  <c r="Q2234" i="1"/>
  <c r="P2235" i="1"/>
  <c r="R2237" i="1"/>
  <c r="R2254" i="1"/>
  <c r="Q2254" i="1"/>
  <c r="P2255" i="1"/>
  <c r="R2256" i="1"/>
  <c r="R2257" i="1"/>
  <c r="Q2257" i="1"/>
  <c r="P2258" i="1"/>
  <c r="R2259" i="1"/>
  <c r="R2263" i="1"/>
  <c r="R2283" i="1"/>
  <c r="Q2289" i="1"/>
  <c r="R2289" i="1"/>
  <c r="O2291" i="1"/>
  <c r="O2288" i="1" s="1"/>
  <c r="R2291" i="1"/>
  <c r="R2293" i="1"/>
  <c r="Q2293" i="1"/>
  <c r="N2296" i="1"/>
  <c r="R2296" i="1" s="1"/>
  <c r="N2307" i="1"/>
  <c r="O2307" i="1"/>
  <c r="R2354" i="1"/>
  <c r="Q2354" i="1"/>
  <c r="O2354" i="1"/>
  <c r="R2367" i="1"/>
  <c r="Q2371" i="1"/>
  <c r="R2371" i="1"/>
  <c r="O2371" i="1"/>
  <c r="O2373" i="1"/>
  <c r="R2373" i="1"/>
  <c r="Q2373" i="1"/>
  <c r="O2431" i="1"/>
  <c r="N2431" i="1"/>
  <c r="R2192" i="1"/>
  <c r="R2191" i="1" s="1"/>
  <c r="O2192" i="1"/>
  <c r="O2191" i="1" s="1"/>
  <c r="Q2192" i="1"/>
  <c r="Q2191" i="1" s="1"/>
  <c r="R2209" i="1"/>
  <c r="P2213" i="1"/>
  <c r="N2217" i="1"/>
  <c r="R2217" i="1" s="1"/>
  <c r="Q2223" i="1"/>
  <c r="R2223" i="1"/>
  <c r="O2227" i="1"/>
  <c r="O2225" i="1" s="1"/>
  <c r="R2227" i="1"/>
  <c r="O2232" i="1"/>
  <c r="N2232" i="1"/>
  <c r="R2232" i="1" s="1"/>
  <c r="O2235" i="1"/>
  <c r="N2235" i="1"/>
  <c r="R2235" i="1" s="1"/>
  <c r="R2243" i="1"/>
  <c r="R2244" i="1"/>
  <c r="Q2244" i="1"/>
  <c r="P2245" i="1"/>
  <c r="R2246" i="1"/>
  <c r="R2250" i="1"/>
  <c r="O2255" i="1"/>
  <c r="N2255" i="1"/>
  <c r="O2258" i="1"/>
  <c r="N2258" i="1"/>
  <c r="R2258" i="1" s="1"/>
  <c r="O2261" i="1"/>
  <c r="O2260" i="1" s="1"/>
  <c r="R2261" i="1"/>
  <c r="P2268" i="1"/>
  <c r="R2269" i="1"/>
  <c r="R2270" i="1"/>
  <c r="Q2270" i="1"/>
  <c r="P2271" i="1"/>
  <c r="O2281" i="1"/>
  <c r="R2281" i="1"/>
  <c r="N2290" i="1"/>
  <c r="R2290" i="1" s="1"/>
  <c r="N2294" i="1"/>
  <c r="R2294" i="1" s="1"/>
  <c r="Q2302" i="1"/>
  <c r="R2302" i="1"/>
  <c r="N2325" i="1"/>
  <c r="O2327" i="1"/>
  <c r="N2327" i="1"/>
  <c r="R2336" i="1"/>
  <c r="O2428" i="1"/>
  <c r="N2428" i="1"/>
  <c r="P2471" i="1"/>
  <c r="O2471" i="1"/>
  <c r="Q2471" i="1"/>
  <c r="R2471" i="1"/>
  <c r="P2185" i="1"/>
  <c r="P2189" i="1"/>
  <c r="P2187" i="1" s="1"/>
  <c r="O2233" i="1"/>
  <c r="O2243" i="1"/>
  <c r="O2246" i="1"/>
  <c r="O2256" i="1"/>
  <c r="O2259" i="1"/>
  <c r="O2269" i="1"/>
  <c r="O2276" i="1"/>
  <c r="R2306" i="1"/>
  <c r="P2306" i="1"/>
  <c r="N2318" i="1"/>
  <c r="O2322" i="1"/>
  <c r="Q2322" i="1"/>
  <c r="P2324" i="1"/>
  <c r="Q2326" i="1"/>
  <c r="P2326" i="1"/>
  <c r="O2328" i="1"/>
  <c r="Q2328" i="1"/>
  <c r="P2335" i="1"/>
  <c r="O2335" i="1"/>
  <c r="N2342" i="1"/>
  <c r="R2344" i="1"/>
  <c r="Q2344" i="1"/>
  <c r="P2344" i="1"/>
  <c r="R2350" i="1"/>
  <c r="R2362" i="1"/>
  <c r="Q2362" i="1"/>
  <c r="P2362" i="1"/>
  <c r="R2375" i="1"/>
  <c r="Q2375" i="1"/>
  <c r="P2375" i="1"/>
  <c r="P2379" i="1"/>
  <c r="N2382" i="1"/>
  <c r="N2404" i="1"/>
  <c r="R2404" i="1" s="1"/>
  <c r="Q2414" i="1"/>
  <c r="O2420" i="1"/>
  <c r="N2420" i="1"/>
  <c r="R2420" i="1" s="1"/>
  <c r="O2425" i="1"/>
  <c r="N2425" i="1"/>
  <c r="Q2456" i="1"/>
  <c r="O2456" i="1"/>
  <c r="P2456" i="1"/>
  <c r="R2456" i="1"/>
  <c r="P2233" i="1"/>
  <c r="P2243" i="1"/>
  <c r="P2246" i="1"/>
  <c r="P2256" i="1"/>
  <c r="P2259" i="1"/>
  <c r="P2269" i="1"/>
  <c r="P2276" i="1"/>
  <c r="O2298" i="1"/>
  <c r="R2304" i="1"/>
  <c r="P2310" i="1"/>
  <c r="Q2312" i="1"/>
  <c r="P2312" i="1"/>
  <c r="O2337" i="1"/>
  <c r="R2337" i="1"/>
  <c r="Q2346" i="1"/>
  <c r="Q2347" i="1"/>
  <c r="Q2364" i="1"/>
  <c r="R2365" i="1"/>
  <c r="Q2365" i="1"/>
  <c r="P2365" i="1"/>
  <c r="R2390" i="1"/>
  <c r="R2440" i="1"/>
  <c r="R2442" i="1"/>
  <c r="R2517" i="1"/>
  <c r="P2215" i="1"/>
  <c r="Q2233" i="1"/>
  <c r="P2239" i="1"/>
  <c r="Q2243" i="1"/>
  <c r="Q2246" i="1"/>
  <c r="P2249" i="1"/>
  <c r="P2252" i="1"/>
  <c r="Q2256" i="1"/>
  <c r="Q2259" i="1"/>
  <c r="P2262" i="1"/>
  <c r="P2265" i="1"/>
  <c r="Q2269" i="1"/>
  <c r="Q2276" i="1"/>
  <c r="P2282" i="1"/>
  <c r="P2285" i="1"/>
  <c r="P2290" i="1"/>
  <c r="Q2292" i="1"/>
  <c r="P2292" i="1"/>
  <c r="Q2294" i="1"/>
  <c r="P2296" i="1"/>
  <c r="Q2299" i="1"/>
  <c r="P2299" i="1"/>
  <c r="Q2301" i="1"/>
  <c r="Q2310" i="1"/>
  <c r="R2312" i="1"/>
  <c r="R2317" i="1"/>
  <c r="P2317" i="1"/>
  <c r="P2319" i="1"/>
  <c r="Q2332" i="1"/>
  <c r="O2348" i="1"/>
  <c r="R2348" i="1"/>
  <c r="P2349" i="1"/>
  <c r="P2347" i="1" s="1"/>
  <c r="Q2351" i="1"/>
  <c r="P2366" i="1"/>
  <c r="Q2367" i="1"/>
  <c r="N2376" i="1"/>
  <c r="O2417" i="1"/>
  <c r="N2417" i="1"/>
  <c r="R2417" i="1" s="1"/>
  <c r="R2439" i="1"/>
  <c r="P2477" i="1"/>
  <c r="O2477" i="1"/>
  <c r="Q2477" i="1"/>
  <c r="R2477" i="1"/>
  <c r="O2512" i="1"/>
  <c r="O2511" i="1" s="1"/>
  <c r="N2512" i="1"/>
  <c r="O2524" i="1"/>
  <c r="O2522" i="1" s="1"/>
  <c r="R2524" i="1"/>
  <c r="Q2524" i="1"/>
  <c r="Q2522" i="1" s="1"/>
  <c r="P2524" i="1"/>
  <c r="P2522" i="1" s="1"/>
  <c r="Q2290" i="1"/>
  <c r="R2292" i="1"/>
  <c r="Q2296" i="1"/>
  <c r="R2301" i="1"/>
  <c r="P2305" i="1"/>
  <c r="R2310" i="1"/>
  <c r="Q2317" i="1"/>
  <c r="P2323" i="1"/>
  <c r="O2325" i="1"/>
  <c r="Q2325" i="1"/>
  <c r="P2327" i="1"/>
  <c r="P2334" i="1"/>
  <c r="R2340" i="1"/>
  <c r="N2349" i="1"/>
  <c r="R2358" i="1"/>
  <c r="N2366" i="1"/>
  <c r="R2366" i="1" s="1"/>
  <c r="P2369" i="1"/>
  <c r="P2368" i="1" s="1"/>
  <c r="O2369" i="1"/>
  <c r="O2368" i="1" s="1"/>
  <c r="O2405" i="1"/>
  <c r="O2346" i="1"/>
  <c r="O2353" i="1"/>
  <c r="N2360" i="1"/>
  <c r="O2364" i="1"/>
  <c r="O2367" i="1"/>
  <c r="N2372" i="1"/>
  <c r="R2372" i="1" s="1"/>
  <c r="N2380" i="1"/>
  <c r="N2387" i="1"/>
  <c r="Q2398" i="1"/>
  <c r="Q2402" i="1"/>
  <c r="O2402" i="1"/>
  <c r="R2402" i="1"/>
  <c r="R2406" i="1"/>
  <c r="Q2406" i="1"/>
  <c r="Q2405" i="1" s="1"/>
  <c r="N2415" i="1"/>
  <c r="R2418" i="1"/>
  <c r="N2419" i="1"/>
  <c r="R2421" i="1"/>
  <c r="N2422" i="1"/>
  <c r="R2437" i="1"/>
  <c r="N2445" i="1"/>
  <c r="Q2447" i="1"/>
  <c r="P2447" i="1"/>
  <c r="P2448" i="1"/>
  <c r="O2481" i="1"/>
  <c r="N2481" i="1"/>
  <c r="O2499" i="1"/>
  <c r="P2499" i="1"/>
  <c r="Q2499" i="1"/>
  <c r="Q2483" i="1" s="1"/>
  <c r="R2507" i="1"/>
  <c r="O2342" i="1"/>
  <c r="P2346" i="1"/>
  <c r="O2349" i="1"/>
  <c r="P2353" i="1"/>
  <c r="P2351" i="1" s="1"/>
  <c r="P2364" i="1"/>
  <c r="P2367" i="1"/>
  <c r="Q2378" i="1"/>
  <c r="O2379" i="1"/>
  <c r="R2381" i="1"/>
  <c r="Q2381" i="1"/>
  <c r="P2381" i="1"/>
  <c r="P2382" i="1"/>
  <c r="O2383" i="1"/>
  <c r="R2388" i="1"/>
  <c r="Q2388" i="1"/>
  <c r="Q2386" i="1" s="1"/>
  <c r="P2388" i="1"/>
  <c r="P2386" i="1" s="1"/>
  <c r="O2403" i="1"/>
  <c r="R2403" i="1"/>
  <c r="Q2403" i="1"/>
  <c r="O2407" i="1"/>
  <c r="O2411" i="1"/>
  <c r="O2410" i="1" s="1"/>
  <c r="O2469" i="1"/>
  <c r="N2469" i="1"/>
  <c r="Q2472" i="1"/>
  <c r="N2472" i="1"/>
  <c r="O2475" i="1"/>
  <c r="N2475" i="1"/>
  <c r="O2345" i="1"/>
  <c r="O2352" i="1"/>
  <c r="O2363" i="1"/>
  <c r="O2366" i="1"/>
  <c r="P2372" i="1"/>
  <c r="Q2374" i="1"/>
  <c r="P2374" i="1"/>
  <c r="O2376" i="1"/>
  <c r="Q2376" i="1"/>
  <c r="N2378" i="1"/>
  <c r="R2378" i="1" s="1"/>
  <c r="P2384" i="1"/>
  <c r="O2391" i="1"/>
  <c r="O2393" i="1"/>
  <c r="Q2393" i="1"/>
  <c r="O2397" i="1"/>
  <c r="O2396" i="1" s="1"/>
  <c r="R2397" i="1"/>
  <c r="R2396" i="1" s="1"/>
  <c r="O2404" i="1"/>
  <c r="P2404" i="1"/>
  <c r="P2401" i="1" s="1"/>
  <c r="N2424" i="1"/>
  <c r="N2427" i="1"/>
  <c r="R2467" i="1"/>
  <c r="O2467" i="1"/>
  <c r="Q2467" i="1"/>
  <c r="R2473" i="1"/>
  <c r="O2473" i="1"/>
  <c r="Q2473" i="1"/>
  <c r="R2479" i="1"/>
  <c r="O2479" i="1"/>
  <c r="Q2479" i="1"/>
  <c r="P2479" i="1"/>
  <c r="Q2379" i="1"/>
  <c r="O2382" i="1"/>
  <c r="P2391" i="1"/>
  <c r="N2400" i="1"/>
  <c r="P2411" i="1"/>
  <c r="N2430" i="1"/>
  <c r="N2433" i="1"/>
  <c r="O2458" i="1"/>
  <c r="P2458" i="1"/>
  <c r="R2458" i="1"/>
  <c r="R2491" i="1"/>
  <c r="R2497" i="1"/>
  <c r="O2503" i="1"/>
  <c r="O2502" i="1" s="1"/>
  <c r="P2503" i="1"/>
  <c r="Q2503" i="1"/>
  <c r="N2407" i="1"/>
  <c r="R2407" i="1" s="1"/>
  <c r="P2409" i="1"/>
  <c r="P2408" i="1" s="1"/>
  <c r="P2416" i="1"/>
  <c r="P2420" i="1"/>
  <c r="P2422" i="1"/>
  <c r="R2426" i="1"/>
  <c r="P2426" i="1"/>
  <c r="P2428" i="1"/>
  <c r="R2432" i="1"/>
  <c r="P2432" i="1"/>
  <c r="P2434" i="1"/>
  <c r="R2436" i="1"/>
  <c r="O2441" i="1"/>
  <c r="R2441" i="1"/>
  <c r="R2443" i="1"/>
  <c r="N2484" i="1"/>
  <c r="O2484" i="1"/>
  <c r="O2488" i="1"/>
  <c r="N2488" i="1"/>
  <c r="O2498" i="1"/>
  <c r="N2498" i="1"/>
  <c r="R2498" i="1" s="1"/>
  <c r="O2536" i="1"/>
  <c r="R2536" i="1"/>
  <c r="Q2536" i="1"/>
  <c r="Q2534" i="1" s="1"/>
  <c r="P2536" i="1"/>
  <c r="O2572" i="1"/>
  <c r="R2572" i="1"/>
  <c r="Q2572" i="1"/>
  <c r="P2572" i="1"/>
  <c r="O2583" i="1"/>
  <c r="R2583" i="1"/>
  <c r="R2582" i="1" s="1"/>
  <c r="Q2583" i="1"/>
  <c r="P2583" i="1"/>
  <c r="O2586" i="1"/>
  <c r="O2585" i="1" s="1"/>
  <c r="K2585" i="1" s="1"/>
  <c r="R2586" i="1"/>
  <c r="R2585" i="1" s="1"/>
  <c r="N2585" i="1" s="1"/>
  <c r="Q2586" i="1"/>
  <c r="Q2585" i="1" s="1"/>
  <c r="M2585" i="1" s="1"/>
  <c r="P2586" i="1"/>
  <c r="P2585" i="1" s="1"/>
  <c r="L2585" i="1" s="1"/>
  <c r="O2532" i="1"/>
  <c r="O2531" i="1" s="1"/>
  <c r="R2532" i="1"/>
  <c r="R2531" i="1" s="1"/>
  <c r="Q2532" i="1"/>
  <c r="Q2531" i="1" s="1"/>
  <c r="P2532" i="1"/>
  <c r="P2531" i="1" s="1"/>
  <c r="N2490" i="1"/>
  <c r="O2490" i="1"/>
  <c r="O2494" i="1"/>
  <c r="N2494" i="1"/>
  <c r="R2505" i="1"/>
  <c r="O2554" i="1"/>
  <c r="O2553" i="1" s="1"/>
  <c r="O2550" i="1" s="1"/>
  <c r="N2554" i="1"/>
  <c r="O2569" i="1"/>
  <c r="R2569" i="1"/>
  <c r="Q2569" i="1"/>
  <c r="Q2568" i="1" s="1"/>
  <c r="P2569" i="1"/>
  <c r="O2579" i="1"/>
  <c r="R2579" i="1"/>
  <c r="Q2579" i="1"/>
  <c r="Q2577" i="1" s="1"/>
  <c r="P2579" i="1"/>
  <c r="P2577" i="1" s="1"/>
  <c r="R2581" i="1"/>
  <c r="R2580" i="1" s="1"/>
  <c r="N2379" i="1"/>
  <c r="P2385" i="1"/>
  <c r="O2390" i="1"/>
  <c r="Q2390" i="1"/>
  <c r="P2392" i="1"/>
  <c r="Q2394" i="1"/>
  <c r="P2394" i="1"/>
  <c r="R2399" i="1"/>
  <c r="P2399" i="1"/>
  <c r="P2398" i="1" s="1"/>
  <c r="P2417" i="1"/>
  <c r="P2419" i="1"/>
  <c r="R2423" i="1"/>
  <c r="P2423" i="1"/>
  <c r="P2425" i="1"/>
  <c r="R2429" i="1"/>
  <c r="P2429" i="1"/>
  <c r="P2431" i="1"/>
  <c r="R2435" i="1"/>
  <c r="P2435" i="1"/>
  <c r="O2438" i="1"/>
  <c r="R2438" i="1"/>
  <c r="O2444" i="1"/>
  <c r="O2449" i="1"/>
  <c r="R2449" i="1"/>
  <c r="P2449" i="1"/>
  <c r="Q2450" i="1"/>
  <c r="O2450" i="1"/>
  <c r="R2451" i="1"/>
  <c r="Q2451" i="1"/>
  <c r="O2451" i="1"/>
  <c r="O2452" i="1"/>
  <c r="P2452" i="1"/>
  <c r="Q2453" i="1"/>
  <c r="R2453" i="1"/>
  <c r="O2453" i="1"/>
  <c r="O2454" i="1"/>
  <c r="R2462" i="1"/>
  <c r="N2478" i="1"/>
  <c r="R2485" i="1"/>
  <c r="O2576" i="1"/>
  <c r="O2574" i="1" s="1"/>
  <c r="N2576" i="1"/>
  <c r="O2577" i="1"/>
  <c r="P2455" i="1"/>
  <c r="O2461" i="1"/>
  <c r="O2460" i="1" s="1"/>
  <c r="P2464" i="1"/>
  <c r="P2463" i="1" s="1"/>
  <c r="P2468" i="1"/>
  <c r="P2474" i="1"/>
  <c r="P2480" i="1"/>
  <c r="P2485" i="1"/>
  <c r="R2489" i="1"/>
  <c r="P2489" i="1"/>
  <c r="P2491" i="1"/>
  <c r="N2499" i="1"/>
  <c r="N2503" i="1"/>
  <c r="R2503" i="1" s="1"/>
  <c r="N2510" i="1"/>
  <c r="N2526" i="1"/>
  <c r="R2526" i="1" s="1"/>
  <c r="R2525" i="1" s="1"/>
  <c r="O2529" i="1"/>
  <c r="N2529" i="1"/>
  <c r="N2530" i="1"/>
  <c r="N2538" i="1"/>
  <c r="Q2540" i="1"/>
  <c r="R2552" i="1"/>
  <c r="R2551" i="1" s="1"/>
  <c r="O2562" i="1"/>
  <c r="O2561" i="1" s="1"/>
  <c r="R2562" i="1"/>
  <c r="Q2562" i="1"/>
  <c r="Q2561" i="1" s="1"/>
  <c r="R2567" i="1"/>
  <c r="R2575" i="1"/>
  <c r="N2581" i="1"/>
  <c r="Q2455" i="1"/>
  <c r="P2457" i="1"/>
  <c r="Q2459" i="1"/>
  <c r="P2459" i="1"/>
  <c r="Q2468" i="1"/>
  <c r="R2470" i="1"/>
  <c r="P2470" i="1"/>
  <c r="Q2474" i="1"/>
  <c r="R2476" i="1"/>
  <c r="P2476" i="1"/>
  <c r="Q2480" i="1"/>
  <c r="R2487" i="1"/>
  <c r="R2493" i="1"/>
  <c r="O2508" i="1"/>
  <c r="O2506" i="1" s="1"/>
  <c r="R2508" i="1"/>
  <c r="Q2508" i="1"/>
  <c r="Q2518" i="1"/>
  <c r="Q2516" i="1" s="1"/>
  <c r="O2518" i="1"/>
  <c r="O2516" i="1" s="1"/>
  <c r="P2534" i="1"/>
  <c r="O2549" i="1"/>
  <c r="O2548" i="1" s="1"/>
  <c r="R2549" i="1"/>
  <c r="R2548" i="1" s="1"/>
  <c r="Q2549" i="1"/>
  <c r="Q2548" i="1" s="1"/>
  <c r="R2557" i="1"/>
  <c r="R2556" i="1" s="1"/>
  <c r="R2555" i="1" s="1"/>
  <c r="O2566" i="1"/>
  <c r="N2566" i="1"/>
  <c r="P2439" i="1"/>
  <c r="P2442" i="1"/>
  <c r="P2445" i="1"/>
  <c r="R2455" i="1"/>
  <c r="Q2457" i="1"/>
  <c r="R2459" i="1"/>
  <c r="Q2461" i="1"/>
  <c r="Q2460" i="1" s="1"/>
  <c r="N2468" i="1"/>
  <c r="R2468" i="1" s="1"/>
  <c r="Q2470" i="1"/>
  <c r="N2474" i="1"/>
  <c r="R2474" i="1" s="1"/>
  <c r="Q2476" i="1"/>
  <c r="N2480" i="1"/>
  <c r="R2480" i="1" s="1"/>
  <c r="P2484" i="1"/>
  <c r="P2490" i="1"/>
  <c r="O2496" i="1"/>
  <c r="O2501" i="1"/>
  <c r="O2500" i="1" s="1"/>
  <c r="R2501" i="1"/>
  <c r="R2500" i="1" s="1"/>
  <c r="Q2501" i="1"/>
  <c r="Q2500" i="1" s="1"/>
  <c r="N2504" i="1"/>
  <c r="P2504" i="1"/>
  <c r="Q2509" i="1"/>
  <c r="P2509" i="1"/>
  <c r="P2506" i="1" s="1"/>
  <c r="N2518" i="1"/>
  <c r="R2518" i="1" s="1"/>
  <c r="O2520" i="1"/>
  <c r="O2519" i="1" s="1"/>
  <c r="R2520" i="1"/>
  <c r="R2519" i="1" s="1"/>
  <c r="Q2520" i="1"/>
  <c r="Q2519" i="1" s="1"/>
  <c r="R2571" i="1"/>
  <c r="R2578" i="1"/>
  <c r="R2457" i="1"/>
  <c r="N2461" i="1"/>
  <c r="O2465" i="1"/>
  <c r="O2463" i="1" s="1"/>
  <c r="Q2465" i="1"/>
  <c r="Q2463" i="1" s="1"/>
  <c r="R2486" i="1"/>
  <c r="P2486" i="1"/>
  <c r="P2488" i="1"/>
  <c r="R2492" i="1"/>
  <c r="P2492" i="1"/>
  <c r="P2494" i="1"/>
  <c r="N2496" i="1"/>
  <c r="P2497" i="1"/>
  <c r="R2523" i="1"/>
  <c r="R2535" i="1"/>
  <c r="R2544" i="1"/>
  <c r="R2543" i="1" s="1"/>
  <c r="R2540" i="1" s="1"/>
  <c r="N2547" i="1"/>
  <c r="R2564" i="1"/>
  <c r="R2495" i="1"/>
  <c r="P2544" i="1"/>
  <c r="P2543" i="1" s="1"/>
  <c r="P2557" i="1"/>
  <c r="P2556" i="1" s="1"/>
  <c r="P2575" i="1"/>
  <c r="P2574" i="1" s="1"/>
  <c r="O2526" i="1"/>
  <c r="O2525" i="1" s="1"/>
  <c r="O2530" i="1"/>
  <c r="O2538" i="1"/>
  <c r="O2537" i="1" s="1"/>
  <c r="O2547" i="1"/>
  <c r="O2546" i="1" s="1"/>
  <c r="O2567" i="1"/>
  <c r="O2581" i="1"/>
  <c r="O2580" i="1" s="1"/>
  <c r="P2526" i="1"/>
  <c r="P2525" i="1" s="1"/>
  <c r="P2530" i="1"/>
  <c r="P2528" i="1" s="1"/>
  <c r="P2538" i="1"/>
  <c r="P2537" i="1" s="1"/>
  <c r="P2547" i="1"/>
  <c r="P2546" i="1" s="1"/>
  <c r="P2545" i="1" s="1"/>
  <c r="P2567" i="1"/>
  <c r="P2565" i="1" s="1"/>
  <c r="P2581" i="1"/>
  <c r="P2580" i="1" s="1"/>
  <c r="O2584" i="1"/>
  <c r="Q2526" i="1"/>
  <c r="Q2525" i="1" s="1"/>
  <c r="Q2530" i="1"/>
  <c r="Q2528" i="1" s="1"/>
  <c r="Q2538" i="1"/>
  <c r="Q2537" i="1" s="1"/>
  <c r="P2542" i="1"/>
  <c r="P2541" i="1" s="1"/>
  <c r="Q2547" i="1"/>
  <c r="Q2546" i="1" s="1"/>
  <c r="P2559" i="1"/>
  <c r="P2558" i="1" s="1"/>
  <c r="P2563" i="1"/>
  <c r="P2561" i="1" s="1"/>
  <c r="Q2567" i="1"/>
  <c r="Q2565" i="1" s="1"/>
  <c r="P2570" i="1"/>
  <c r="P2573" i="1"/>
  <c r="P2584" i="1"/>
  <c r="R2577" i="1" l="1"/>
  <c r="O2528" i="1"/>
  <c r="O2527" i="1" s="1"/>
  <c r="Q2582" i="1"/>
  <c r="O2303" i="1"/>
  <c r="O2155" i="1"/>
  <c r="R1929" i="1"/>
  <c r="Q1929" i="1"/>
  <c r="Q1951" i="1"/>
  <c r="P1488" i="1"/>
  <c r="Q1703" i="1"/>
  <c r="O1472" i="1"/>
  <c r="Q1449" i="1"/>
  <c r="R1095" i="1"/>
  <c r="Q987" i="1"/>
  <c r="Q926" i="1"/>
  <c r="P273" i="1"/>
  <c r="P1983" i="1"/>
  <c r="P1982" i="1" s="1"/>
  <c r="Q219" i="1"/>
  <c r="P579" i="1"/>
  <c r="P578" i="1" s="1"/>
  <c r="P2063" i="1"/>
  <c r="P1537" i="1"/>
  <c r="Q1724" i="1"/>
  <c r="Q1472" i="1"/>
  <c r="R1445" i="1"/>
  <c r="O1264" i="1"/>
  <c r="Q1299" i="1"/>
  <c r="R1115" i="1"/>
  <c r="Q779" i="1"/>
  <c r="O722" i="1"/>
  <c r="P390" i="1"/>
  <c r="R18" i="1"/>
  <c r="Q260" i="1"/>
  <c r="O384" i="1"/>
  <c r="O210" i="1"/>
  <c r="Q2225" i="1"/>
  <c r="R1345" i="1"/>
  <c r="P2339" i="1"/>
  <c r="Q2015" i="1"/>
  <c r="P1880" i="1"/>
  <c r="O1772" i="1"/>
  <c r="P1748" i="1"/>
  <c r="O1687" i="1"/>
  <c r="R1610" i="1"/>
  <c r="P1741" i="1"/>
  <c r="O1880" i="1"/>
  <c r="Q1585" i="1"/>
  <c r="Q1264" i="1"/>
  <c r="P1377" i="1"/>
  <c r="O1027" i="1"/>
  <c r="O1054" i="1"/>
  <c r="O1081" i="1"/>
  <c r="Q375" i="1"/>
  <c r="P537" i="1"/>
  <c r="Q601" i="1"/>
  <c r="Q600" i="1" s="1"/>
  <c r="O303" i="1"/>
  <c r="O331" i="1"/>
  <c r="R41" i="1"/>
  <c r="O529" i="1"/>
  <c r="P2410" i="1"/>
  <c r="Q2502" i="1"/>
  <c r="Q2521" i="1"/>
  <c r="O2347" i="1"/>
  <c r="Q2267" i="1"/>
  <c r="P2053" i="1"/>
  <c r="R1919" i="1"/>
  <c r="P1275" i="1"/>
  <c r="O1355" i="1"/>
  <c r="O1299" i="1"/>
  <c r="P1075" i="1"/>
  <c r="R564" i="1"/>
  <c r="R210" i="1"/>
  <c r="R49" i="1"/>
  <c r="O139" i="1"/>
  <c r="O60" i="1"/>
  <c r="R2155" i="1"/>
  <c r="R1952" i="1"/>
  <c r="O2534" i="1"/>
  <c r="R2152" i="1"/>
  <c r="P2357" i="1"/>
  <c r="Q2128" i="1"/>
  <c r="P1951" i="1"/>
  <c r="P1286" i="1"/>
  <c r="O1323" i="1"/>
  <c r="O999" i="1"/>
  <c r="P1154" i="1"/>
  <c r="O475" i="1"/>
  <c r="O431" i="1"/>
  <c r="R450" i="1"/>
  <c r="Q1862" i="1"/>
  <c r="R2401" i="1"/>
  <c r="O1508" i="1"/>
  <c r="R1481" i="1"/>
  <c r="O1128" i="1"/>
  <c r="P1323" i="1"/>
  <c r="R1163" i="1"/>
  <c r="P950" i="1"/>
  <c r="P826" i="1"/>
  <c r="Q358" i="1"/>
  <c r="P219" i="1"/>
  <c r="Q640" i="1"/>
  <c r="Q1928" i="1"/>
  <c r="O2351" i="1"/>
  <c r="R2187" i="1"/>
  <c r="O2339" i="1"/>
  <c r="P2044" i="1"/>
  <c r="P1924" i="1"/>
  <c r="P1894" i="1"/>
  <c r="P1687" i="1"/>
  <c r="R1585" i="1"/>
  <c r="Q1573" i="1"/>
  <c r="O1434" i="1"/>
  <c r="O1290" i="1"/>
  <c r="P1115" i="1"/>
  <c r="O1071" i="1"/>
  <c r="O1070" i="1" s="1"/>
  <c r="O1004" i="1"/>
  <c r="Q1100" i="1"/>
  <c r="Q1154" i="1"/>
  <c r="P450" i="1"/>
  <c r="P343" i="1"/>
  <c r="O318" i="1"/>
  <c r="O550" i="1"/>
  <c r="R640" i="1"/>
  <c r="O97" i="1"/>
  <c r="Q712" i="1"/>
  <c r="R483" i="1"/>
  <c r="O207" i="1"/>
  <c r="O204" i="1" s="1"/>
  <c r="Q53" i="1"/>
  <c r="O2545" i="1"/>
  <c r="O2539" i="1" s="1"/>
  <c r="O2343" i="1"/>
  <c r="Q2401" i="1"/>
  <c r="Q2315" i="1"/>
  <c r="P2279" i="1"/>
  <c r="R2343" i="1"/>
  <c r="P2253" i="1"/>
  <c r="R2351" i="1"/>
  <c r="P1901" i="1"/>
  <c r="O1919" i="1"/>
  <c r="R1737" i="1"/>
  <c r="O149" i="1"/>
  <c r="O148" i="1" s="1"/>
  <c r="Q2395" i="1"/>
  <c r="O2204" i="1"/>
  <c r="Q1943" i="1"/>
  <c r="P270" i="1"/>
  <c r="R197" i="1"/>
  <c r="P1338" i="1"/>
  <c r="Q2527" i="1"/>
  <c r="R2177" i="1"/>
  <c r="Q2180" i="1"/>
  <c r="O2186" i="1"/>
  <c r="O1811" i="1"/>
  <c r="O1757" i="1"/>
  <c r="R1696" i="1"/>
  <c r="P1664" i="1"/>
  <c r="O1713" i="1"/>
  <c r="Q1386" i="1"/>
  <c r="P1278" i="1"/>
  <c r="O1338" i="1"/>
  <c r="O1123" i="1"/>
  <c r="Q939" i="1"/>
  <c r="Q853" i="1"/>
  <c r="Q677" i="1"/>
  <c r="P496" i="1"/>
  <c r="R270" i="1"/>
  <c r="P117" i="1"/>
  <c r="P111" i="1" s="1"/>
  <c r="P56" i="1"/>
  <c r="O82" i="1"/>
  <c r="Q1434" i="1"/>
  <c r="O219" i="1"/>
  <c r="O18" i="1"/>
  <c r="Q2047" i="1"/>
  <c r="R2122" i="1"/>
  <c r="O1821" i="1"/>
  <c r="P1847" i="1"/>
  <c r="Q1660" i="1"/>
  <c r="P1504" i="1"/>
  <c r="O1795" i="1"/>
  <c r="Q1481" i="1"/>
  <c r="P1393" i="1"/>
  <c r="O1256" i="1"/>
  <c r="O1708" i="1"/>
  <c r="P1144" i="1"/>
  <c r="P1014" i="1"/>
  <c r="O1101" i="1"/>
  <c r="O1061" i="1"/>
  <c r="O1060" i="1" s="1"/>
  <c r="R999" i="1"/>
  <c r="O950" i="1"/>
  <c r="P754" i="1"/>
  <c r="P753" i="1" s="1"/>
  <c r="P803" i="1"/>
  <c r="P623" i="1"/>
  <c r="O623" i="1"/>
  <c r="R311" i="1"/>
  <c r="O358" i="1"/>
  <c r="R1768" i="1"/>
  <c r="R273" i="1"/>
  <c r="R1703" i="1"/>
  <c r="O2533" i="1"/>
  <c r="R2389" i="1"/>
  <c r="P2321" i="1"/>
  <c r="Q2545" i="1"/>
  <c r="P2533" i="1"/>
  <c r="O2361" i="1"/>
  <c r="P2303" i="1"/>
  <c r="P2242" i="1"/>
  <c r="O2315" i="1"/>
  <c r="O2068" i="1"/>
  <c r="O2015" i="1"/>
  <c r="Q2037" i="1"/>
  <c r="P1855" i="1"/>
  <c r="P1929" i="1"/>
  <c r="O1837" i="1"/>
  <c r="R1833" i="1"/>
  <c r="Q1894" i="1"/>
  <c r="Q1779" i="1"/>
  <c r="Q1732" i="1"/>
  <c r="P1703" i="1"/>
  <c r="R1680" i="1"/>
  <c r="Q1671" i="1"/>
  <c r="Q1619" i="1"/>
  <c r="Q1603" i="1"/>
  <c r="R1594" i="1"/>
  <c r="P1573" i="1"/>
  <c r="R1557" i="1"/>
  <c r="R1537" i="1"/>
  <c r="P1619" i="1"/>
  <c r="Q1557" i="1"/>
  <c r="O1517" i="1"/>
  <c r="O1370" i="1"/>
  <c r="R1589" i="1"/>
  <c r="R1579" i="1" s="1"/>
  <c r="Q1290" i="1"/>
  <c r="P1425" i="1"/>
  <c r="P1159" i="1"/>
  <c r="O1163" i="1"/>
  <c r="O1100" i="1"/>
  <c r="R1159" i="1"/>
  <c r="O864" i="1"/>
  <c r="P779" i="1"/>
  <c r="O837" i="1"/>
  <c r="O795" i="1"/>
  <c r="Q864" i="1"/>
  <c r="Q669" i="1"/>
  <c r="P558" i="1"/>
  <c r="P504" i="1"/>
  <c r="P483" i="1"/>
  <c r="Q462" i="1"/>
  <c r="Q446" i="1" s="1"/>
  <c r="Q961" i="1"/>
  <c r="P475" i="1"/>
  <c r="Q967" i="1"/>
  <c r="Q966" i="1" s="1"/>
  <c r="O390" i="1"/>
  <c r="O703" i="1"/>
  <c r="R471" i="1"/>
  <c r="R24" i="1"/>
  <c r="R347" i="1"/>
  <c r="Q247" i="1"/>
  <c r="P149" i="1"/>
  <c r="O233" i="1"/>
  <c r="Q197" i="1"/>
  <c r="Q591" i="1"/>
  <c r="Q590" i="1" s="1"/>
  <c r="O323" i="1"/>
  <c r="R159" i="1"/>
  <c r="P2515" i="1"/>
  <c r="Q1377" i="1"/>
  <c r="Q409" i="1"/>
  <c r="Q408" i="1" s="1"/>
  <c r="P284" i="1"/>
  <c r="P640" i="1"/>
  <c r="Q2515" i="1"/>
  <c r="Q2506" i="1"/>
  <c r="P2555" i="1"/>
  <c r="O2446" i="1"/>
  <c r="R2308" i="1"/>
  <c r="O2273" i="1"/>
  <c r="P2177" i="1"/>
  <c r="O2218" i="1"/>
  <c r="O2122" i="1"/>
  <c r="O2091" i="1"/>
  <c r="O2090" i="1" s="1"/>
  <c r="P2058" i="1"/>
  <c r="R2128" i="1"/>
  <c r="P1874" i="1"/>
  <c r="R1713" i="1"/>
  <c r="O1526" i="1"/>
  <c r="O1504" i="1"/>
  <c r="R1493" i="1"/>
  <c r="R1465" i="1"/>
  <c r="O1408" i="1"/>
  <c r="O1589" i="1"/>
  <c r="O1209" i="1"/>
  <c r="R1216" i="1"/>
  <c r="Q1465" i="1"/>
  <c r="Q1144" i="1"/>
  <c r="O1085" i="1"/>
  <c r="Q1027" i="1"/>
  <c r="O1401" i="1"/>
  <c r="Q1246" i="1"/>
  <c r="P1090" i="1"/>
  <c r="R1071" i="1"/>
  <c r="O813" i="1"/>
  <c r="P813" i="1"/>
  <c r="P886" i="1"/>
  <c r="P939" i="1"/>
  <c r="P370" i="1"/>
  <c r="P369" i="1" s="1"/>
  <c r="P525" i="1"/>
  <c r="P197" i="1"/>
  <c r="P24" i="1"/>
  <c r="O423" i="1"/>
  <c r="O403" i="1"/>
  <c r="O48" i="1"/>
  <c r="O24" i="1"/>
  <c r="R591" i="1"/>
  <c r="R590" i="1" s="1"/>
  <c r="P2023" i="1"/>
  <c r="R1847" i="1"/>
  <c r="O1737" i="1"/>
  <c r="P771" i="1"/>
  <c r="P657" i="1"/>
  <c r="O186" i="1"/>
  <c r="P2273" i="1"/>
  <c r="P2047" i="1"/>
  <c r="R2247" i="1"/>
  <c r="R2131" i="1"/>
  <c r="P2236" i="1"/>
  <c r="O2148" i="1"/>
  <c r="Q1995" i="1"/>
  <c r="P2067" i="1"/>
  <c r="R1816" i="1"/>
  <c r="P1843" i="1"/>
  <c r="R1821" i="1"/>
  <c r="Q1702" i="1"/>
  <c r="Q1594" i="1"/>
  <c r="P1564" i="1"/>
  <c r="O1664" i="1"/>
  <c r="Q1843" i="1"/>
  <c r="Q1788" i="1"/>
  <c r="O1445" i="1"/>
  <c r="P1345" i="1"/>
  <c r="R1488" i="1"/>
  <c r="Q1033" i="1"/>
  <c r="R1246" i="1"/>
  <c r="R1128" i="1"/>
  <c r="O987" i="1"/>
  <c r="O981" i="1" s="1"/>
  <c r="O754" i="1"/>
  <c r="O753" i="1" s="1"/>
  <c r="O939" i="1"/>
  <c r="Q771" i="1"/>
  <c r="Q763" i="1"/>
  <c r="Q623" i="1"/>
  <c r="P516" i="1"/>
  <c r="P510" i="1" s="1"/>
  <c r="P394" i="1"/>
  <c r="P337" i="1"/>
  <c r="P853" i="1"/>
  <c r="Q744" i="1"/>
  <c r="Q614" i="1"/>
  <c r="Q564" i="1"/>
  <c r="Q874" i="1"/>
  <c r="P564" i="1"/>
  <c r="P967" i="1"/>
  <c r="P966" i="1" s="1"/>
  <c r="P311" i="1"/>
  <c r="Q251" i="1"/>
  <c r="Q18" i="1"/>
  <c r="Q276" i="1"/>
  <c r="P65" i="1"/>
  <c r="R454" i="1"/>
  <c r="Q296" i="1"/>
  <c r="P233" i="1"/>
  <c r="R601" i="1"/>
  <c r="R600" i="1" s="1"/>
  <c r="O276" i="1"/>
  <c r="R2534" i="1"/>
  <c r="O2401" i="1"/>
  <c r="P2267" i="1"/>
  <c r="R2288" i="1"/>
  <c r="P2527" i="1"/>
  <c r="Q2389" i="1"/>
  <c r="O2568" i="1"/>
  <c r="P2389" i="1"/>
  <c r="O2466" i="1"/>
  <c r="P2370" i="1"/>
  <c r="R2333" i="1"/>
  <c r="P2260" i="1"/>
  <c r="P2308" i="1"/>
  <c r="O2253" i="1"/>
  <c r="O2279" i="1"/>
  <c r="Q2164" i="1"/>
  <c r="O2308" i="1"/>
  <c r="O2297" i="1" s="1"/>
  <c r="O2134" i="1"/>
  <c r="Q2077" i="1"/>
  <c r="P2315" i="1"/>
  <c r="P2314" i="1" s="1"/>
  <c r="O2165" i="1"/>
  <c r="R2142" i="1"/>
  <c r="P2014" i="1"/>
  <c r="P1821" i="1"/>
  <c r="Q1719" i="1"/>
  <c r="O1627" i="1"/>
  <c r="R1843" i="1"/>
  <c r="O1696" i="1"/>
  <c r="O1779" i="1"/>
  <c r="Q1855" i="1"/>
  <c r="P1472" i="1"/>
  <c r="O1330" i="1"/>
  <c r="R1664" i="1"/>
  <c r="P1386" i="1"/>
  <c r="Q1263" i="1"/>
  <c r="P1209" i="1"/>
  <c r="P1034" i="1"/>
  <c r="O1377" i="1"/>
  <c r="P1163" i="1"/>
  <c r="P1138" i="1"/>
  <c r="O1090" i="1"/>
  <c r="Q1070" i="1"/>
  <c r="O1020" i="1"/>
  <c r="O926" i="1"/>
  <c r="P864" i="1"/>
  <c r="O729" i="1"/>
  <c r="R1081" i="1"/>
  <c r="R1039" i="1"/>
  <c r="O910" i="1"/>
  <c r="O853" i="1"/>
  <c r="O803" i="1"/>
  <c r="Q910" i="1"/>
  <c r="Q885" i="1" s="1"/>
  <c r="O700" i="1"/>
  <c r="O693" i="1" s="1"/>
  <c r="O564" i="1"/>
  <c r="O712" i="1"/>
  <c r="O1138" i="1"/>
  <c r="R719" i="1"/>
  <c r="P436" i="1"/>
  <c r="R371" i="1"/>
  <c r="Q24" i="1"/>
  <c r="O546" i="1"/>
  <c r="O522" i="1"/>
  <c r="Q111" i="1"/>
  <c r="Q89" i="1"/>
  <c r="Q76" i="1"/>
  <c r="P89" i="1"/>
  <c r="P76" i="1"/>
  <c r="Q60" i="1"/>
  <c r="R394" i="1"/>
  <c r="R468" i="1"/>
  <c r="O182" i="1"/>
  <c r="O650" i="1"/>
  <c r="R152" i="1"/>
  <c r="P2333" i="1"/>
  <c r="P2329" i="1" s="1"/>
  <c r="P2395" i="1"/>
  <c r="Q2134" i="1"/>
  <c r="Q2118" i="1" s="1"/>
  <c r="Q2308" i="1"/>
  <c r="R2015" i="1"/>
  <c r="O2236" i="1"/>
  <c r="R1995" i="1"/>
  <c r="R1837" i="1"/>
  <c r="R1828" i="1"/>
  <c r="Q1828" i="1"/>
  <c r="P1768" i="1"/>
  <c r="P1640" i="1"/>
  <c r="Q1541" i="1"/>
  <c r="P1757" i="1"/>
  <c r="Q1680" i="1"/>
  <c r="Q1610" i="1"/>
  <c r="O1541" i="1"/>
  <c r="O1493" i="1"/>
  <c r="R1720" i="1"/>
  <c r="P1445" i="1"/>
  <c r="R1855" i="1"/>
  <c r="P1456" i="1"/>
  <c r="Q1370" i="1"/>
  <c r="P1256" i="1"/>
  <c r="O1246" i="1"/>
  <c r="P1246" i="1"/>
  <c r="Q1696" i="1"/>
  <c r="R1393" i="1"/>
  <c r="Q1014" i="1"/>
  <c r="O1159" i="1"/>
  <c r="P1314" i="1"/>
  <c r="R1085" i="1"/>
  <c r="P1043" i="1"/>
  <c r="P1027" i="1"/>
  <c r="P999" i="1"/>
  <c r="Q1183" i="1"/>
  <c r="P1071" i="1"/>
  <c r="P1070" i="1" s="1"/>
  <c r="P926" i="1"/>
  <c r="P897" i="1"/>
  <c r="P763" i="1"/>
  <c r="P1004" i="1"/>
  <c r="P744" i="1"/>
  <c r="R1091" i="1"/>
  <c r="R1090" i="1" s="1"/>
  <c r="O525" i="1"/>
  <c r="P251" i="1"/>
  <c r="Q233" i="1"/>
  <c r="R13" i="1"/>
  <c r="R546" i="1"/>
  <c r="R337" i="1"/>
  <c r="R623" i="1"/>
  <c r="P2460" i="1"/>
  <c r="R2481" i="1"/>
  <c r="O2321" i="1"/>
  <c r="R2255" i="1"/>
  <c r="R2115" i="1"/>
  <c r="R2114" i="1" s="1"/>
  <c r="R2088" i="1"/>
  <c r="R2087" i="1" s="1"/>
  <c r="R2504" i="1"/>
  <c r="R2502" i="1" s="1"/>
  <c r="R2496" i="1"/>
  <c r="R2529" i="1"/>
  <c r="P2466" i="1"/>
  <c r="R2327" i="1"/>
  <c r="R2285" i="1"/>
  <c r="R2265" i="1"/>
  <c r="R2039" i="1"/>
  <c r="R2011" i="1"/>
  <c r="Q2033" i="1"/>
  <c r="O1804" i="1"/>
  <c r="P1911" i="1"/>
  <c r="P1842" i="1"/>
  <c r="Q1827" i="1"/>
  <c r="P1517" i="1"/>
  <c r="Q1504" i="1"/>
  <c r="Q1216" i="1"/>
  <c r="P1330" i="1"/>
  <c r="P1183" i="1"/>
  <c r="P1137" i="1"/>
  <c r="P1020" i="1"/>
  <c r="P1013" i="1" s="1"/>
  <c r="Q489" i="1"/>
  <c r="Q467" i="1"/>
  <c r="Q389" i="1"/>
  <c r="Q388" i="1" s="1"/>
  <c r="O64" i="1"/>
  <c r="O59" i="1" s="1"/>
  <c r="R2494" i="1"/>
  <c r="R2400" i="1"/>
  <c r="R1967" i="1"/>
  <c r="R2245" i="1"/>
  <c r="R1244" i="1"/>
  <c r="O1122" i="1"/>
  <c r="P467" i="1"/>
  <c r="O246" i="1"/>
  <c r="O232" i="1" s="1"/>
  <c r="O12" i="1"/>
  <c r="R2446" i="1"/>
  <c r="Q2482" i="1"/>
  <c r="O2230" i="1"/>
  <c r="O2118" i="1"/>
  <c r="R1990" i="1"/>
  <c r="P1649" i="1"/>
  <c r="R1842" i="1"/>
  <c r="R1549" i="1"/>
  <c r="R1500" i="1"/>
  <c r="R1440" i="1"/>
  <c r="R1270" i="1"/>
  <c r="R1156" i="1"/>
  <c r="Q1137" i="1"/>
  <c r="P1153" i="1"/>
  <c r="Q1049" i="1"/>
  <c r="R276" i="1"/>
  <c r="R2499" i="1"/>
  <c r="P2540" i="1"/>
  <c r="P2539" i="1" s="1"/>
  <c r="P2568" i="1"/>
  <c r="R2554" i="1"/>
  <c r="R2553" i="1" s="1"/>
  <c r="R2550" i="1" s="1"/>
  <c r="Q2533" i="1"/>
  <c r="Q2514" i="1" s="1"/>
  <c r="R2469" i="1"/>
  <c r="P2288" i="1"/>
  <c r="P2272" i="1" s="1"/>
  <c r="R2073" i="1"/>
  <c r="O2314" i="1"/>
  <c r="R2271" i="1"/>
  <c r="O1810" i="1"/>
  <c r="P1603" i="1"/>
  <c r="O1748" i="1"/>
  <c r="O1747" i="1" s="1"/>
  <c r="P1268" i="1"/>
  <c r="R2566" i="1"/>
  <c r="R2565" i="1" s="1"/>
  <c r="P2414" i="1"/>
  <c r="R2419" i="1"/>
  <c r="R2380" i="1"/>
  <c r="O2414" i="1"/>
  <c r="O2413" i="1" s="1"/>
  <c r="Q2242" i="1"/>
  <c r="R2253" i="1"/>
  <c r="O2272" i="1"/>
  <c r="R2262" i="1"/>
  <c r="R2166" i="1"/>
  <c r="R2165" i="1" s="1"/>
  <c r="R2082" i="1"/>
  <c r="R2081" i="1" s="1"/>
  <c r="R2002" i="1"/>
  <c r="O1983" i="1"/>
  <c r="R1956" i="1"/>
  <c r="R1955" i="1" s="1"/>
  <c r="P2077" i="1"/>
  <c r="R1384" i="1"/>
  <c r="Q998" i="1"/>
  <c r="Q336" i="1"/>
  <c r="Q330" i="1" s="1"/>
  <c r="O2338" i="1"/>
  <c r="P1962" i="1"/>
  <c r="P1961" i="1" s="1"/>
  <c r="R1898" i="1"/>
  <c r="P1639" i="1"/>
  <c r="R1688" i="1"/>
  <c r="R1687" i="1" s="1"/>
  <c r="O1263" i="1"/>
  <c r="P1263" i="1"/>
  <c r="R1386" i="1"/>
  <c r="O925" i="1"/>
  <c r="R1113" i="1"/>
  <c r="O967" i="1"/>
  <c r="O966" i="1" s="1"/>
  <c r="Q925" i="1"/>
  <c r="R870" i="1"/>
  <c r="R702" i="1"/>
  <c r="Q1307" i="1"/>
  <c r="Q852" i="1"/>
  <c r="R760" i="1"/>
  <c r="R679" i="1"/>
  <c r="R678" i="1" s="1"/>
  <c r="R677" i="1" s="1"/>
  <c r="O389" i="1"/>
  <c r="O388" i="1" s="1"/>
  <c r="Q436" i="1"/>
  <c r="P82" i="1"/>
  <c r="R392" i="1"/>
  <c r="Q290" i="1"/>
  <c r="Q269" i="1"/>
  <c r="R12" i="1"/>
  <c r="P269" i="1"/>
  <c r="R139" i="1"/>
  <c r="R516" i="1"/>
  <c r="R214" i="1"/>
  <c r="R213" i="1" s="1"/>
  <c r="R188" i="1"/>
  <c r="Q170" i="1"/>
  <c r="P170" i="1"/>
  <c r="R2475" i="1"/>
  <c r="R2349" i="1"/>
  <c r="P1795" i="1"/>
  <c r="P1671" i="1"/>
  <c r="O1503" i="1"/>
  <c r="O1702" i="1"/>
  <c r="R1358" i="1"/>
  <c r="R1355" i="1" s="1"/>
  <c r="Q1198" i="1"/>
  <c r="O1198" i="1"/>
  <c r="R771" i="1"/>
  <c r="R874" i="1"/>
  <c r="R413" i="1"/>
  <c r="R412" i="1" s="1"/>
  <c r="R409" i="1" s="1"/>
  <c r="R408" i="1" s="1"/>
  <c r="O130" i="1"/>
  <c r="R106" i="1"/>
  <c r="Q82" i="1"/>
  <c r="R324" i="1"/>
  <c r="R323" i="1" s="1"/>
  <c r="R2433" i="1"/>
  <c r="R2445" i="1"/>
  <c r="R2360" i="1"/>
  <c r="O2164" i="1"/>
  <c r="R2056" i="1"/>
  <c r="R2053" i="1" s="1"/>
  <c r="P2043" i="1"/>
  <c r="O1603" i="1"/>
  <c r="O1573" i="1"/>
  <c r="R1241" i="1"/>
  <c r="Q1153" i="1"/>
  <c r="P837" i="1"/>
  <c r="Q1110" i="1"/>
  <c r="O998" i="1"/>
  <c r="R822" i="1"/>
  <c r="R1307" i="1"/>
  <c r="R1171" i="1"/>
  <c r="R1170" i="1" s="1"/>
  <c r="O787" i="1"/>
  <c r="R343" i="1"/>
  <c r="R170" i="1"/>
  <c r="O2565" i="1"/>
  <c r="Q2560" i="1"/>
  <c r="Q2539" i="1"/>
  <c r="R2576" i="1"/>
  <c r="R2478" i="1"/>
  <c r="R2398" i="1"/>
  <c r="O2389" i="1"/>
  <c r="R2568" i="1"/>
  <c r="R2484" i="1"/>
  <c r="P2502" i="1"/>
  <c r="R2430" i="1"/>
  <c r="R2382" i="1"/>
  <c r="R2461" i="1"/>
  <c r="R2460" i="1" s="1"/>
  <c r="R2415" i="1"/>
  <c r="O2521" i="1"/>
  <c r="R2425" i="1"/>
  <c r="R2325" i="1"/>
  <c r="O2370" i="1"/>
  <c r="Q2288" i="1"/>
  <c r="P2180" i="1"/>
  <c r="Q2155" i="1"/>
  <c r="R2218" i="1"/>
  <c r="R2063" i="1"/>
  <c r="R2434" i="1"/>
  <c r="O2247" i="1"/>
  <c r="O2078" i="1"/>
  <c r="O2077" i="1" s="1"/>
  <c r="Q2063" i="1"/>
  <c r="Q2058" i="1" s="1"/>
  <c r="R2318" i="1"/>
  <c r="P2095" i="1"/>
  <c r="O2047" i="1"/>
  <c r="R2023" i="1"/>
  <c r="R2014" i="1" s="1"/>
  <c r="P2100" i="1"/>
  <c r="R2099" i="1"/>
  <c r="R2098" i="1" s="1"/>
  <c r="O2053" i="1"/>
  <c r="R2008" i="1"/>
  <c r="O2212" i="1"/>
  <c r="O2211" i="1" s="1"/>
  <c r="O2037" i="1"/>
  <c r="O1928" i="1"/>
  <c r="R1977" i="1"/>
  <c r="R1934" i="1"/>
  <c r="Q2201" i="1"/>
  <c r="Q1804" i="1"/>
  <c r="Q1778" i="1" s="1"/>
  <c r="Q2053" i="1"/>
  <c r="Q2043" i="1" s="1"/>
  <c r="O1886" i="1"/>
  <c r="R1865" i="1"/>
  <c r="O1962" i="1"/>
  <c r="O1961" i="1" s="1"/>
  <c r="Q1874" i="1"/>
  <c r="R1804" i="1"/>
  <c r="P1713" i="1"/>
  <c r="P1702" i="1" s="1"/>
  <c r="P1580" i="1"/>
  <c r="Q1548" i="1"/>
  <c r="R1497" i="1"/>
  <c r="R1487" i="1" s="1"/>
  <c r="P1779" i="1"/>
  <c r="O1594" i="1"/>
  <c r="Q1508" i="1"/>
  <c r="P2000" i="1"/>
  <c r="P1999" i="1" s="1"/>
  <c r="R1937" i="1"/>
  <c r="O1894" i="1"/>
  <c r="O1843" i="1"/>
  <c r="Q1640" i="1"/>
  <c r="Q1456" i="1"/>
  <c r="Q1455" i="1" s="1"/>
  <c r="R1773" i="1"/>
  <c r="R1772" i="1" s="1"/>
  <c r="R1568" i="1"/>
  <c r="R1564" i="1" s="1"/>
  <c r="R1552" i="1"/>
  <c r="P1449" i="1"/>
  <c r="P1424" i="1" s="1"/>
  <c r="Q1278" i="1"/>
  <c r="R1708" i="1"/>
  <c r="R1702" i="1" s="1"/>
  <c r="O1488" i="1"/>
  <c r="R1437" i="1"/>
  <c r="R1535" i="1"/>
  <c r="R1306" i="1"/>
  <c r="R1290" i="1"/>
  <c r="R1257" i="1"/>
  <c r="Q1425" i="1"/>
  <c r="Q1424" i="1" s="1"/>
  <c r="Q1408" i="1"/>
  <c r="Q1392" i="1" s="1"/>
  <c r="P1370" i="1"/>
  <c r="P1361" i="1" s="1"/>
  <c r="R1319" i="1"/>
  <c r="O1115" i="1"/>
  <c r="O1924" i="1"/>
  <c r="O1911" i="1" s="1"/>
  <c r="R1268" i="1"/>
  <c r="O1170" i="1"/>
  <c r="P1737" i="1"/>
  <c r="R1368" i="1"/>
  <c r="Q1323" i="1"/>
  <c r="R1300" i="1"/>
  <c r="R1238" i="1"/>
  <c r="P1054" i="1"/>
  <c r="P1049" i="1" s="1"/>
  <c r="O1039" i="1"/>
  <c r="R1027" i="1"/>
  <c r="R1186" i="1"/>
  <c r="R987" i="1"/>
  <c r="R1154" i="1"/>
  <c r="R1153" i="1" s="1"/>
  <c r="O1230" i="1"/>
  <c r="R1150" i="1"/>
  <c r="P795" i="1"/>
  <c r="P762" i="1" s="1"/>
  <c r="R1760" i="1"/>
  <c r="R1134" i="1"/>
  <c r="R985" i="1"/>
  <c r="R982" i="1" s="1"/>
  <c r="O779" i="1"/>
  <c r="R1111" i="1"/>
  <c r="R1110" i="1" s="1"/>
  <c r="R1061" i="1"/>
  <c r="R1060" i="1" s="1"/>
  <c r="R739" i="1"/>
  <c r="R738" i="1" s="1"/>
  <c r="R786" i="1"/>
  <c r="R700" i="1"/>
  <c r="R693" i="1" s="1"/>
  <c r="Q686" i="1"/>
  <c r="P601" i="1"/>
  <c r="P600" i="1" s="1"/>
  <c r="R1138" i="1"/>
  <c r="R1019" i="1"/>
  <c r="O483" i="1"/>
  <c r="P462" i="1"/>
  <c r="P364" i="1"/>
  <c r="R908" i="1"/>
  <c r="R780" i="1"/>
  <c r="Q550" i="1"/>
  <c r="Q826" i="1"/>
  <c r="Q812" i="1" s="1"/>
  <c r="Q431" i="1"/>
  <c r="Q416" i="1" s="1"/>
  <c r="O310" i="1"/>
  <c r="P41" i="1"/>
  <c r="P703" i="1"/>
  <c r="O471" i="1"/>
  <c r="R305" i="1"/>
  <c r="R303" i="1" s="1"/>
  <c r="P210" i="1"/>
  <c r="P204" i="1" s="1"/>
  <c r="P203" i="1" s="1"/>
  <c r="O490" i="1"/>
  <c r="P121" i="1"/>
  <c r="R537" i="1"/>
  <c r="R504" i="1"/>
  <c r="R358" i="1"/>
  <c r="R256" i="1"/>
  <c r="R190" i="1"/>
  <c r="P131" i="1"/>
  <c r="P130" i="1" s="1"/>
  <c r="R466" i="1"/>
  <c r="R543" i="1"/>
  <c r="Q510" i="1"/>
  <c r="O468" i="1"/>
  <c r="Q256" i="1"/>
  <c r="Q246" i="1" s="1"/>
  <c r="Q232" i="1" s="1"/>
  <c r="R243" i="1"/>
  <c r="R242" i="1" s="1"/>
  <c r="R195" i="1"/>
  <c r="R194" i="1" s="1"/>
  <c r="R103" i="1"/>
  <c r="R80" i="1"/>
  <c r="Q41" i="1"/>
  <c r="R637" i="1"/>
  <c r="R630" i="1" s="1"/>
  <c r="R355" i="1"/>
  <c r="R121" i="1"/>
  <c r="O2483" i="1"/>
  <c r="O2482" i="1" s="1"/>
  <c r="R2260" i="1"/>
  <c r="Q2218" i="1"/>
  <c r="P1886" i="1"/>
  <c r="P1873" i="1" s="1"/>
  <c r="P1854" i="1" s="1"/>
  <c r="Q1345" i="1"/>
  <c r="R1365" i="1"/>
  <c r="R1260" i="1"/>
  <c r="P1408" i="1"/>
  <c r="P1392" i="1" s="1"/>
  <c r="R1378" i="1"/>
  <c r="R1377" i="1" s="1"/>
  <c r="O1080" i="1"/>
  <c r="O630" i="1"/>
  <c r="O613" i="1" s="1"/>
  <c r="R744" i="1"/>
  <c r="Q662" i="1"/>
  <c r="O558" i="1"/>
  <c r="O542" i="1" s="1"/>
  <c r="O450" i="1"/>
  <c r="Q121" i="1"/>
  <c r="P256" i="1"/>
  <c r="R1146" i="1"/>
  <c r="R2522" i="1"/>
  <c r="R2521" i="1" s="1"/>
  <c r="R2547" i="1"/>
  <c r="R2546" i="1" s="1"/>
  <c r="R2545" i="1" s="1"/>
  <c r="R2539" i="1" s="1"/>
  <c r="P2483" i="1"/>
  <c r="P2482" i="1" s="1"/>
  <c r="R2561" i="1"/>
  <c r="R2490" i="1"/>
  <c r="O2582" i="1"/>
  <c r="R2538" i="1"/>
  <c r="R2537" i="1" s="1"/>
  <c r="R2533" i="1" s="1"/>
  <c r="R2427" i="1"/>
  <c r="P2361" i="1"/>
  <c r="P2343" i="1"/>
  <c r="P2338" i="1" s="1"/>
  <c r="P2313" i="1" s="1"/>
  <c r="R2242" i="1"/>
  <c r="R2207" i="1"/>
  <c r="P2134" i="1"/>
  <c r="R2305" i="1"/>
  <c r="Q2273" i="1"/>
  <c r="Q2148" i="1"/>
  <c r="R2171" i="1"/>
  <c r="R2093" i="1"/>
  <c r="R2092" i="1" s="1"/>
  <c r="R2181" i="1"/>
  <c r="R2180" i="1" s="1"/>
  <c r="Q2023" i="1"/>
  <c r="Q2014" i="1" s="1"/>
  <c r="R1993" i="1"/>
  <c r="R1983" i="1" s="1"/>
  <c r="R1982" i="1" s="1"/>
  <c r="P2165" i="1"/>
  <c r="R2120" i="1"/>
  <c r="R2119" i="1" s="1"/>
  <c r="P2142" i="1"/>
  <c r="R2045" i="1"/>
  <c r="R2044" i="1" s="1"/>
  <c r="R2035" i="1"/>
  <c r="R2034" i="1" s="1"/>
  <c r="R1968" i="1"/>
  <c r="R1962" i="1" s="1"/>
  <c r="R1961" i="1" s="1"/>
  <c r="R1886" i="1"/>
  <c r="P1816" i="1"/>
  <c r="O2071" i="1"/>
  <c r="O2067" i="1" s="1"/>
  <c r="R1972" i="1"/>
  <c r="Q1886" i="1"/>
  <c r="P1828" i="1"/>
  <c r="Q1811" i="1"/>
  <c r="Q1810" i="1" s="1"/>
  <c r="O1995" i="1"/>
  <c r="R1951" i="1"/>
  <c r="R1895" i="1"/>
  <c r="R1894" i="1" s="1"/>
  <c r="O1828" i="1"/>
  <c r="O1827" i="1" s="1"/>
  <c r="P1804" i="1"/>
  <c r="Q1962" i="1"/>
  <c r="Q1961" i="1" s="1"/>
  <c r="R1874" i="1"/>
  <c r="R1810" i="1"/>
  <c r="P1788" i="1"/>
  <c r="Q1772" i="1"/>
  <c r="P1724" i="1"/>
  <c r="P1719" i="1" s="1"/>
  <c r="Q1687" i="1"/>
  <c r="Q1670" i="1" s="1"/>
  <c r="Q1664" i="1"/>
  <c r="R1631" i="1"/>
  <c r="O1619" i="1"/>
  <c r="P1610" i="1"/>
  <c r="P1557" i="1"/>
  <c r="R1946" i="1"/>
  <c r="R1944" i="1" s="1"/>
  <c r="R1943" i="1" s="1"/>
  <c r="O1580" i="1"/>
  <c r="O1579" i="1" s="1"/>
  <c r="P1541" i="1"/>
  <c r="P1493" i="1"/>
  <c r="Q2000" i="1"/>
  <c r="Q1999" i="1" s="1"/>
  <c r="O1732" i="1"/>
  <c r="O1731" i="1" s="1"/>
  <c r="P1497" i="1"/>
  <c r="R1863" i="1"/>
  <c r="R1862" i="1" s="1"/>
  <c r="R1719" i="1"/>
  <c r="O1631" i="1"/>
  <c r="R1619" i="1"/>
  <c r="P1526" i="1"/>
  <c r="R1640" i="1"/>
  <c r="R1542" i="1"/>
  <c r="Q1517" i="1"/>
  <c r="O1481" i="1"/>
  <c r="O1465" i="1"/>
  <c r="O1455" i="1" s="1"/>
  <c r="O1386" i="1"/>
  <c r="O1361" i="1" s="1"/>
  <c r="Q1209" i="1"/>
  <c r="Q1748" i="1"/>
  <c r="R1655" i="1"/>
  <c r="R1420" i="1"/>
  <c r="R1407" i="1"/>
  <c r="O1278" i="1"/>
  <c r="O1274" i="1" s="1"/>
  <c r="R1425" i="1"/>
  <c r="R1408" i="1"/>
  <c r="Q1170" i="1"/>
  <c r="O1144" i="1"/>
  <c r="O1137" i="1" s="1"/>
  <c r="O1034" i="1"/>
  <c r="O1033" i="1" s="1"/>
  <c r="Q1286" i="1"/>
  <c r="P1170" i="1"/>
  <c r="P1105" i="1"/>
  <c r="R1264" i="1"/>
  <c r="P1060" i="1"/>
  <c r="Q1737" i="1"/>
  <c r="Q1731" i="1" s="1"/>
  <c r="R1529" i="1"/>
  <c r="R1526" i="1" s="1"/>
  <c r="R1362" i="1"/>
  <c r="R1323" i="1"/>
  <c r="O1314" i="1"/>
  <c r="R1235" i="1"/>
  <c r="O1183" i="1"/>
  <c r="R1014" i="1"/>
  <c r="P982" i="1"/>
  <c r="R1189" i="1"/>
  <c r="P1110" i="1"/>
  <c r="R1102" i="1"/>
  <c r="R1101" i="1" s="1"/>
  <c r="P1101" i="1"/>
  <c r="R1278" i="1"/>
  <c r="R1274" i="1" s="1"/>
  <c r="R813" i="1"/>
  <c r="P729" i="1"/>
  <c r="R1016" i="1"/>
  <c r="R939" i="1"/>
  <c r="R1555" i="1"/>
  <c r="Q1122" i="1"/>
  <c r="R1057" i="1"/>
  <c r="R1054" i="1" s="1"/>
  <c r="O886" i="1"/>
  <c r="Q803" i="1"/>
  <c r="O771" i="1"/>
  <c r="R963" i="1"/>
  <c r="R962" i="1" s="1"/>
  <c r="R961" i="1" s="1"/>
  <c r="R873" i="1"/>
  <c r="R864" i="1" s="1"/>
  <c r="Q1090" i="1"/>
  <c r="R899" i="1"/>
  <c r="O744" i="1"/>
  <c r="O351" i="1"/>
  <c r="O874" i="1"/>
  <c r="O852" i="1" s="1"/>
  <c r="R826" i="1"/>
  <c r="P662" i="1"/>
  <c r="R425" i="1"/>
  <c r="R423" i="1" s="1"/>
  <c r="R375" i="1"/>
  <c r="R560" i="1"/>
  <c r="R431" i="1"/>
  <c r="R403" i="1"/>
  <c r="Q318" i="1"/>
  <c r="Q310" i="1" s="1"/>
  <c r="R886" i="1"/>
  <c r="O848" i="1"/>
  <c r="Q703" i="1"/>
  <c r="P529" i="1"/>
  <c r="P521" i="1" s="1"/>
  <c r="P323" i="1"/>
  <c r="Q159" i="1"/>
  <c r="O375" i="1"/>
  <c r="O370" i="1" s="1"/>
  <c r="O369" i="1" s="1"/>
  <c r="O368" i="1" s="1"/>
  <c r="R477" i="1"/>
  <c r="R437" i="1"/>
  <c r="R436" i="1" s="1"/>
  <c r="R321" i="1"/>
  <c r="O537" i="1"/>
  <c r="O521" i="1" s="1"/>
  <c r="R331" i="1"/>
  <c r="R65" i="1"/>
  <c r="P49" i="1"/>
  <c r="P48" i="1" s="1"/>
  <c r="R686" i="1"/>
  <c r="R511" i="1"/>
  <c r="R510" i="1" s="1"/>
  <c r="O269" i="1"/>
  <c r="R254" i="1"/>
  <c r="R251" i="1" s="1"/>
  <c r="Q204" i="1"/>
  <c r="Q203" i="1" s="1"/>
  <c r="O181" i="1"/>
  <c r="O169" i="1" s="1"/>
  <c r="Q139" i="1"/>
  <c r="R77" i="1"/>
  <c r="Q65" i="1"/>
  <c r="R55" i="1"/>
  <c r="R53" i="1" s="1"/>
  <c r="O591" i="1"/>
  <c r="O590" i="1" s="1"/>
  <c r="R186" i="1"/>
  <c r="R2431" i="1"/>
  <c r="P2186" i="1"/>
  <c r="R2037" i="1"/>
  <c r="P1680" i="1"/>
  <c r="P1594" i="1"/>
  <c r="P1732" i="1"/>
  <c r="P1731" i="1" s="1"/>
  <c r="O1626" i="1"/>
  <c r="R1339" i="1"/>
  <c r="R1338" i="1" s="1"/>
  <c r="R1209" i="1"/>
  <c r="P987" i="1"/>
  <c r="R1449" i="1"/>
  <c r="R796" i="1"/>
  <c r="R795" i="1" s="1"/>
  <c r="R844" i="1"/>
  <c r="R924" i="1"/>
  <c r="R921" i="1" s="1"/>
  <c r="O686" i="1"/>
  <c r="R848" i="1"/>
  <c r="P591" i="1"/>
  <c r="P590" i="1" s="1"/>
  <c r="P577" i="1" s="1"/>
  <c r="Q100" i="1"/>
  <c r="Q97" i="1" s="1"/>
  <c r="O417" i="1"/>
  <c r="O416" i="1" s="1"/>
  <c r="P2521" i="1"/>
  <c r="P2514" i="1" s="1"/>
  <c r="R2510" i="1"/>
  <c r="R2506" i="1" s="1"/>
  <c r="Q2466" i="1"/>
  <c r="R2424" i="1"/>
  <c r="P2383" i="1"/>
  <c r="R2472" i="1"/>
  <c r="R2466" i="1" s="1"/>
  <c r="P2446" i="1"/>
  <c r="R2422" i="1"/>
  <c r="R2512" i="1"/>
  <c r="R2511" i="1" s="1"/>
  <c r="P2298" i="1"/>
  <c r="P2297" i="1" s="1"/>
  <c r="Q2361" i="1"/>
  <c r="Q2343" i="1"/>
  <c r="Q2338" i="1" s="1"/>
  <c r="O2242" i="1"/>
  <c r="Q2211" i="1"/>
  <c r="R2307" i="1"/>
  <c r="Q2230" i="1"/>
  <c r="Q2204" i="1"/>
  <c r="P2091" i="1"/>
  <c r="P2090" i="1" s="1"/>
  <c r="O2333" i="1"/>
  <c r="O2329" i="1" s="1"/>
  <c r="R2315" i="1"/>
  <c r="R2273" i="1"/>
  <c r="Q2330" i="1"/>
  <c r="Q2329" i="1" s="1"/>
  <c r="R2225" i="1"/>
  <c r="R2149" i="1"/>
  <c r="R2134" i="1"/>
  <c r="P2247" i="1"/>
  <c r="P2229" i="1" s="1"/>
  <c r="R2267" i="1"/>
  <c r="R2145" i="1"/>
  <c r="Q1983" i="1"/>
  <c r="Q1982" i="1" s="1"/>
  <c r="Q2100" i="1"/>
  <c r="Q2091" i="1" s="1"/>
  <c r="Q2090" i="1" s="1"/>
  <c r="O2023" i="1"/>
  <c r="O2014" i="1" s="1"/>
  <c r="R2005" i="1"/>
  <c r="O2043" i="1"/>
  <c r="O2034" i="1"/>
  <c r="O2033" i="1" s="1"/>
  <c r="R1827" i="1"/>
  <c r="Q2071" i="1"/>
  <c r="Q2067" i="1" s="1"/>
  <c r="Q1914" i="1"/>
  <c r="R2201" i="1"/>
  <c r="R2186" i="1" s="1"/>
  <c r="P1934" i="1"/>
  <c r="P1928" i="1" s="1"/>
  <c r="O1951" i="1"/>
  <c r="P1696" i="1"/>
  <c r="R1508" i="1"/>
  <c r="Q1493" i="1"/>
  <c r="R1902" i="1"/>
  <c r="R1901" i="1" s="1"/>
  <c r="P1772" i="1"/>
  <c r="P1747" i="1" s="1"/>
  <c r="O1680" i="1"/>
  <c r="Q1631" i="1"/>
  <c r="O1610" i="1"/>
  <c r="R2041" i="1"/>
  <c r="R2040" i="1" s="1"/>
  <c r="O2000" i="1"/>
  <c r="O1999" i="1" s="1"/>
  <c r="R1802" i="1"/>
  <c r="R1795" i="1" s="1"/>
  <c r="O1671" i="1"/>
  <c r="P1631" i="1"/>
  <c r="P1626" i="1" s="1"/>
  <c r="O1564" i="1"/>
  <c r="P1508" i="1"/>
  <c r="P1503" i="1" s="1"/>
  <c r="R1765" i="1"/>
  <c r="R1757" i="1" s="1"/>
  <c r="R1671" i="1"/>
  <c r="R1670" i="1" s="1"/>
  <c r="R1658" i="1"/>
  <c r="P1481" i="1"/>
  <c r="P1465" i="1"/>
  <c r="P1455" i="1" s="1"/>
  <c r="R1783" i="1"/>
  <c r="R1779" i="1" s="1"/>
  <c r="R1743" i="1"/>
  <c r="R1741" i="1" s="1"/>
  <c r="R1731" i="1" s="1"/>
  <c r="R1517" i="1"/>
  <c r="R1748" i="1"/>
  <c r="Q1589" i="1"/>
  <c r="Q1579" i="1" s="1"/>
  <c r="Q1274" i="1"/>
  <c r="P1216" i="1"/>
  <c r="R1443" i="1"/>
  <c r="R1404" i="1"/>
  <c r="R1401" i="1" s="1"/>
  <c r="P1274" i="1"/>
  <c r="O1216" i="1"/>
  <c r="O1215" i="1" s="1"/>
  <c r="R1370" i="1"/>
  <c r="R1289" i="1"/>
  <c r="R1287" i="1" s="1"/>
  <c r="R1286" i="1" s="1"/>
  <c r="Q1330" i="1"/>
  <c r="Q1329" i="1" s="1"/>
  <c r="R1271" i="1"/>
  <c r="Q1256" i="1"/>
  <c r="Q982" i="1"/>
  <c r="Q981" i="1" s="1"/>
  <c r="R1417" i="1"/>
  <c r="R1232" i="1"/>
  <c r="R1230" i="1" s="1"/>
  <c r="O1049" i="1"/>
  <c r="R1010" i="1"/>
  <c r="R998" i="1" s="1"/>
  <c r="R1192" i="1"/>
  <c r="R1106" i="1"/>
  <c r="R1105" i="1" s="1"/>
  <c r="Q1020" i="1"/>
  <c r="Q1013" i="1" s="1"/>
  <c r="O1154" i="1"/>
  <c r="O1153" i="1" s="1"/>
  <c r="P1230" i="1"/>
  <c r="R1202" i="1"/>
  <c r="R1198" i="1" s="1"/>
  <c r="R1132" i="1"/>
  <c r="R1123" i="1"/>
  <c r="R1476" i="1"/>
  <c r="R1472" i="1" s="1"/>
  <c r="O1111" i="1"/>
  <c r="O1110" i="1" s="1"/>
  <c r="Q1080" i="1"/>
  <c r="R1050" i="1"/>
  <c r="R1460" i="1"/>
  <c r="R1456" i="1" s="1"/>
  <c r="R803" i="1"/>
  <c r="R764" i="1"/>
  <c r="R763" i="1" s="1"/>
  <c r="O1307" i="1"/>
  <c r="O1298" i="1" s="1"/>
  <c r="P677" i="1"/>
  <c r="P676" i="1" s="1"/>
  <c r="P446" i="1"/>
  <c r="P669" i="1"/>
  <c r="P351" i="1"/>
  <c r="P336" i="1" s="1"/>
  <c r="P330" i="1" s="1"/>
  <c r="R847" i="1"/>
  <c r="Q787" i="1"/>
  <c r="Q729" i="1"/>
  <c r="Q525" i="1"/>
  <c r="Q521" i="1" s="1"/>
  <c r="O462" i="1"/>
  <c r="R967" i="1"/>
  <c r="R966" i="1" s="1"/>
  <c r="P423" i="1"/>
  <c r="P416" i="1" s="1"/>
  <c r="P403" i="1"/>
  <c r="P389" i="1" s="1"/>
  <c r="P388" i="1" s="1"/>
  <c r="P368" i="1" s="1"/>
  <c r="R390" i="1"/>
  <c r="Q558" i="1"/>
  <c r="R318" i="1"/>
  <c r="R703" i="1"/>
  <c r="P650" i="1"/>
  <c r="P493" i="1"/>
  <c r="P489" i="1" s="1"/>
  <c r="R365" i="1"/>
  <c r="R364" i="1" s="1"/>
  <c r="R352" i="1"/>
  <c r="R351" i="1" s="1"/>
  <c r="R336" i="1" s="1"/>
  <c r="Q131" i="1"/>
  <c r="Q130" i="1" s="1"/>
  <c r="P100" i="1"/>
  <c r="P97" i="1" s="1"/>
  <c r="P64" i="1" s="1"/>
  <c r="R327" i="1"/>
  <c r="O504" i="1"/>
  <c r="P182" i="1"/>
  <c r="P181" i="1" s="1"/>
  <c r="R149" i="1"/>
  <c r="R148" i="1" s="1"/>
  <c r="P910" i="1"/>
  <c r="P885" i="1" s="1"/>
  <c r="R620" i="1"/>
  <c r="R619" i="1" s="1"/>
  <c r="R614" i="1" s="1"/>
  <c r="R613" i="1" s="1"/>
  <c r="Q577" i="1"/>
  <c r="O296" i="1"/>
  <c r="O290" i="1" s="1"/>
  <c r="R239" i="1"/>
  <c r="R238" i="1" s="1"/>
  <c r="R233" i="1" s="1"/>
  <c r="R218" i="1"/>
  <c r="R217" i="1" s="1"/>
  <c r="R204" i="1" s="1"/>
  <c r="R202" i="1"/>
  <c r="R201" i="1" s="1"/>
  <c r="R181" i="1" s="1"/>
  <c r="Q149" i="1"/>
  <c r="R137" i="1"/>
  <c r="R135" i="1" s="1"/>
  <c r="Q650" i="1"/>
  <c r="Q649" i="1" s="1"/>
  <c r="O343" i="1"/>
  <c r="O336" i="1" s="1"/>
  <c r="O330" i="1" s="1"/>
  <c r="R284" i="1"/>
  <c r="R287" i="1"/>
  <c r="R2342" i="1"/>
  <c r="R2339" i="1" s="1"/>
  <c r="R2412" i="1"/>
  <c r="R2410" i="1" s="1"/>
  <c r="R2213" i="1"/>
  <c r="R2212" i="1" s="1"/>
  <c r="R2211" i="1" s="1"/>
  <c r="R1927" i="1"/>
  <c r="R1924" i="1" s="1"/>
  <c r="R1911" i="1" s="1"/>
  <c r="O1548" i="1"/>
  <c r="R1545" i="1"/>
  <c r="R1316" i="1"/>
  <c r="R1314" i="1" s="1"/>
  <c r="R1144" i="1"/>
  <c r="O579" i="1"/>
  <c r="O578" i="1" s="1"/>
  <c r="O577" i="1" s="1"/>
  <c r="O2515" i="1"/>
  <c r="O2514" i="1" s="1"/>
  <c r="R2574" i="1"/>
  <c r="O2560" i="1"/>
  <c r="R2530" i="1"/>
  <c r="P2560" i="1"/>
  <c r="P2582" i="1"/>
  <c r="R2488" i="1"/>
  <c r="R2379" i="1"/>
  <c r="O2395" i="1"/>
  <c r="Q2446" i="1"/>
  <c r="Q2413" i="1" s="1"/>
  <c r="R2405" i="1"/>
  <c r="R2395" i="1" s="1"/>
  <c r="R2387" i="1"/>
  <c r="R2386" i="1" s="1"/>
  <c r="R2357" i="1"/>
  <c r="R2376" i="1"/>
  <c r="R2347" i="1"/>
  <c r="Q2298" i="1"/>
  <c r="Q2297" i="1" s="1"/>
  <c r="R2516" i="1"/>
  <c r="R2515" i="1" s="1"/>
  <c r="R2303" i="1"/>
  <c r="R2297" i="1" s="1"/>
  <c r="R2361" i="1"/>
  <c r="Q2321" i="1"/>
  <c r="Q2314" i="1" s="1"/>
  <c r="Q2313" i="1" s="1"/>
  <c r="R2428" i="1"/>
  <c r="P2212" i="1"/>
  <c r="P2211" i="1" s="1"/>
  <c r="Q2370" i="1"/>
  <c r="Q2253" i="1"/>
  <c r="R2230" i="1"/>
  <c r="R2204" i="1"/>
  <c r="R2239" i="1"/>
  <c r="R2236" i="1" s="1"/>
  <c r="Q2186" i="1"/>
  <c r="R2330" i="1"/>
  <c r="R2329" i="1" s="1"/>
  <c r="R2127" i="1"/>
  <c r="R2125" i="1" s="1"/>
  <c r="R2321" i="1"/>
  <c r="Q2247" i="1"/>
  <c r="R2174" i="1"/>
  <c r="P2148" i="1"/>
  <c r="R2084" i="1"/>
  <c r="R2083" i="1" s="1"/>
  <c r="O2267" i="1"/>
  <c r="R2282" i="1"/>
  <c r="R2279" i="1" s="1"/>
  <c r="R2100" i="1"/>
  <c r="O2058" i="1"/>
  <c r="R2159" i="1"/>
  <c r="R2158" i="1" s="1"/>
  <c r="P2033" i="1"/>
  <c r="P1837" i="1"/>
  <c r="R2071" i="1"/>
  <c r="R2067" i="1" s="1"/>
  <c r="O1855" i="1"/>
  <c r="Q1919" i="1"/>
  <c r="P1811" i="1"/>
  <c r="P1810" i="1" s="1"/>
  <c r="O1874" i="1"/>
  <c r="O1719" i="1"/>
  <c r="Q1627" i="1"/>
  <c r="Q1564" i="1"/>
  <c r="R2060" i="1"/>
  <c r="R2059" i="1" s="1"/>
  <c r="R2058" i="1" s="1"/>
  <c r="O1901" i="1"/>
  <c r="O1788" i="1"/>
  <c r="O1778" i="1" s="1"/>
  <c r="O1660" i="1"/>
  <c r="O1557" i="1"/>
  <c r="P1548" i="1"/>
  <c r="P1547" i="1" s="1"/>
  <c r="O1537" i="1"/>
  <c r="O1516" i="1" s="1"/>
  <c r="R2000" i="1"/>
  <c r="R1999" i="1" s="1"/>
  <c r="Q1526" i="1"/>
  <c r="R1883" i="1"/>
  <c r="R1880" i="1" s="1"/>
  <c r="Q1842" i="1"/>
  <c r="R1652" i="1"/>
  <c r="R1649" i="1" s="1"/>
  <c r="P1585" i="1"/>
  <c r="O1497" i="1"/>
  <c r="O1640" i="1"/>
  <c r="O1393" i="1"/>
  <c r="O1392" i="1" s="1"/>
  <c r="P1299" i="1"/>
  <c r="O1847" i="1"/>
  <c r="R1627" i="1"/>
  <c r="R1626" i="1" s="1"/>
  <c r="R1608" i="1"/>
  <c r="R1603" i="1" s="1"/>
  <c r="R1593" i="1" s="1"/>
  <c r="R1504" i="1"/>
  <c r="R1503" i="1" s="1"/>
  <c r="Q1488" i="1"/>
  <c r="Q1487" i="1" s="1"/>
  <c r="O1345" i="1"/>
  <c r="O1329" i="1" s="1"/>
  <c r="O1425" i="1"/>
  <c r="O1424" i="1" s="1"/>
  <c r="R1330" i="1"/>
  <c r="O1287" i="1"/>
  <c r="O1286" i="1" s="1"/>
  <c r="O1014" i="1"/>
  <c r="O1013" i="1" s="1"/>
  <c r="Q1361" i="1"/>
  <c r="P1198" i="1"/>
  <c r="P1128" i="1"/>
  <c r="R1034" i="1"/>
  <c r="P998" i="1"/>
  <c r="R1195" i="1"/>
  <c r="P1080" i="1"/>
  <c r="R1070" i="1"/>
  <c r="R1020" i="1"/>
  <c r="O897" i="1"/>
  <c r="Q1230" i="1"/>
  <c r="R754" i="1"/>
  <c r="R753" i="1" s="1"/>
  <c r="P1123" i="1"/>
  <c r="O961" i="1"/>
  <c r="R910" i="1"/>
  <c r="R853" i="1"/>
  <c r="O763" i="1"/>
  <c r="O762" i="1" s="1"/>
  <c r="R1080" i="1"/>
  <c r="R1046" i="1"/>
  <c r="R1043" i="1" s="1"/>
  <c r="R956" i="1"/>
  <c r="R950" i="1" s="1"/>
  <c r="R931" i="1"/>
  <c r="R926" i="1" s="1"/>
  <c r="P874" i="1"/>
  <c r="P852" i="1" s="1"/>
  <c r="P1307" i="1"/>
  <c r="R905" i="1"/>
  <c r="Q762" i="1"/>
  <c r="R743" i="1"/>
  <c r="R742" i="1" s="1"/>
  <c r="P613" i="1"/>
  <c r="R712" i="1"/>
  <c r="R550" i="1"/>
  <c r="O516" i="1"/>
  <c r="R838" i="1"/>
  <c r="R787" i="1"/>
  <c r="O669" i="1"/>
  <c r="O649" i="1" s="1"/>
  <c r="O826" i="1"/>
  <c r="O812" i="1" s="1"/>
  <c r="P550" i="1"/>
  <c r="P542" i="1" s="1"/>
  <c r="R558" i="1"/>
  <c r="Q542" i="1"/>
  <c r="R475" i="1"/>
  <c r="R467" i="1" s="1"/>
  <c r="Q370" i="1"/>
  <c r="Q369" i="1" s="1"/>
  <c r="Q368" i="1" s="1"/>
  <c r="P13" i="1"/>
  <c r="P848" i="1"/>
  <c r="P310" i="1"/>
  <c r="P246" i="1"/>
  <c r="P232" i="1" s="1"/>
  <c r="R131" i="1"/>
  <c r="R56" i="1"/>
  <c r="P18" i="1"/>
  <c r="O493" i="1"/>
  <c r="R499" i="1"/>
  <c r="R496" i="1" s="1"/>
  <c r="R489" i="1" s="1"/>
  <c r="R463" i="1"/>
  <c r="R462" i="1" s="1"/>
  <c r="R446" i="1" s="1"/>
  <c r="R296" i="1"/>
  <c r="P159" i="1"/>
  <c r="P148" i="1" s="1"/>
  <c r="Q56" i="1"/>
  <c r="Q48" i="1" s="1"/>
  <c r="P296" i="1"/>
  <c r="P290" i="1" s="1"/>
  <c r="R82" i="1"/>
  <c r="P60" i="1"/>
  <c r="R529" i="1"/>
  <c r="R521" i="1" s="1"/>
  <c r="O511" i="1"/>
  <c r="R384" i="1"/>
  <c r="R261" i="1"/>
  <c r="R260" i="1" s="1"/>
  <c r="Q190" i="1"/>
  <c r="Q181" i="1" s="1"/>
  <c r="R147" i="1"/>
  <c r="R143" i="1" s="1"/>
  <c r="R96" i="1"/>
  <c r="R89" i="1" s="1"/>
  <c r="R73" i="1"/>
  <c r="R70" i="1" s="1"/>
  <c r="Q13" i="1"/>
  <c r="Q12" i="1" s="1"/>
  <c r="R650" i="1"/>
  <c r="R649" i="1" s="1"/>
  <c r="R430" i="1"/>
  <c r="R429" i="1" s="1"/>
  <c r="R112" i="1"/>
  <c r="R111" i="1" s="1"/>
  <c r="R219" i="1"/>
  <c r="O120" i="1"/>
  <c r="O110" i="1" s="1"/>
  <c r="P2118" i="1" l="1"/>
  <c r="P2089" i="1" s="1"/>
  <c r="R779" i="1"/>
  <c r="P1329" i="1"/>
  <c r="P925" i="1"/>
  <c r="O203" i="1"/>
  <c r="P2164" i="1"/>
  <c r="O2089" i="1"/>
  <c r="P2228" i="1"/>
  <c r="O1639" i="1"/>
  <c r="P1100" i="1"/>
  <c r="O1910" i="1"/>
  <c r="R269" i="1"/>
  <c r="R837" i="1"/>
  <c r="P1122" i="1"/>
  <c r="R1392" i="1"/>
  <c r="Q268" i="1"/>
  <c r="R577" i="1"/>
  <c r="Q148" i="1"/>
  <c r="R290" i="1"/>
  <c r="R310" i="1"/>
  <c r="Q415" i="1"/>
  <c r="R1329" i="1"/>
  <c r="Q2356" i="1"/>
  <c r="Q2355" i="1" s="1"/>
  <c r="P1487" i="1"/>
  <c r="Q676" i="1"/>
  <c r="R1434" i="1"/>
  <c r="Q1298" i="1"/>
  <c r="Q1593" i="1"/>
  <c r="R925" i="1"/>
  <c r="R2338" i="1"/>
  <c r="P649" i="1"/>
  <c r="P612" i="1" s="1"/>
  <c r="P415" i="1"/>
  <c r="R762" i="1"/>
  <c r="R370" i="1"/>
  <c r="R369" i="1" s="1"/>
  <c r="R981" i="1"/>
  <c r="R2077" i="1"/>
  <c r="Q613" i="1"/>
  <c r="Q612" i="1" s="1"/>
  <c r="R2370" i="1"/>
  <c r="Q1911" i="1"/>
  <c r="Q1910" i="1" s="1"/>
  <c r="R416" i="1"/>
  <c r="R897" i="1"/>
  <c r="R885" i="1" s="1"/>
  <c r="Q811" i="1"/>
  <c r="P812" i="1"/>
  <c r="Q752" i="1"/>
  <c r="R203" i="1"/>
  <c r="Q2089" i="1"/>
  <c r="O676" i="1"/>
  <c r="O612" i="1" s="1"/>
  <c r="R48" i="1"/>
  <c r="R246" i="1"/>
  <c r="R232" i="1" s="1"/>
  <c r="R729" i="1"/>
  <c r="Q1639" i="1"/>
  <c r="Q1638" i="1" s="1"/>
  <c r="P120" i="1"/>
  <c r="P110" i="1" s="1"/>
  <c r="O2356" i="1"/>
  <c r="O2355" i="1" s="1"/>
  <c r="Q2513" i="1"/>
  <c r="P1033" i="1"/>
  <c r="P2356" i="1"/>
  <c r="P2355" i="1" s="1"/>
  <c r="O446" i="1"/>
  <c r="R1928" i="1"/>
  <c r="R1910" i="1" s="1"/>
  <c r="O980" i="1"/>
  <c r="R268" i="1"/>
  <c r="P488" i="1"/>
  <c r="R1455" i="1"/>
  <c r="R1778" i="1"/>
  <c r="R415" i="1"/>
  <c r="P12" i="1"/>
  <c r="R852" i="1"/>
  <c r="O510" i="1"/>
  <c r="P1298" i="1"/>
  <c r="Q1626" i="1"/>
  <c r="R389" i="1"/>
  <c r="R388" i="1" s="1"/>
  <c r="R368" i="1" s="1"/>
  <c r="R2148" i="1"/>
  <c r="P1593" i="1"/>
  <c r="R76" i="1"/>
  <c r="O885" i="1"/>
  <c r="O811" i="1" s="1"/>
  <c r="O752" i="1" s="1"/>
  <c r="R812" i="1"/>
  <c r="Q1747" i="1"/>
  <c r="Q1746" i="1" s="1"/>
  <c r="Q1516" i="1"/>
  <c r="R2043" i="1"/>
  <c r="Q2272" i="1"/>
  <c r="R100" i="1"/>
  <c r="R97" i="1" s="1"/>
  <c r="R542" i="1"/>
  <c r="R488" i="1" s="1"/>
  <c r="R1137" i="1"/>
  <c r="Q1873" i="1"/>
  <c r="Q1854" i="1" s="1"/>
  <c r="R2483" i="1"/>
  <c r="R2482" i="1" s="1"/>
  <c r="P169" i="1"/>
  <c r="Q169" i="1"/>
  <c r="Q168" i="1" s="1"/>
  <c r="P1910" i="1"/>
  <c r="O2513" i="1"/>
  <c r="R1424" i="1"/>
  <c r="R1541" i="1"/>
  <c r="R1516" i="1" s="1"/>
  <c r="R2091" i="1"/>
  <c r="R2090" i="1" s="1"/>
  <c r="Q120" i="1"/>
  <c r="Q110" i="1" s="1"/>
  <c r="O489" i="1"/>
  <c r="O488" i="1" s="1"/>
  <c r="R1299" i="1"/>
  <c r="R1298" i="1" s="1"/>
  <c r="R169" i="1"/>
  <c r="P268" i="1"/>
  <c r="R676" i="1"/>
  <c r="R612" i="1" s="1"/>
  <c r="Q488" i="1"/>
  <c r="Q414" i="1" s="1"/>
  <c r="R2356" i="1"/>
  <c r="R2355" i="1" s="1"/>
  <c r="R1747" i="1"/>
  <c r="R1263" i="1"/>
  <c r="R1873" i="1"/>
  <c r="R1854" i="1" s="1"/>
  <c r="R2118" i="1"/>
  <c r="O1169" i="1"/>
  <c r="O1136" i="1" s="1"/>
  <c r="O1593" i="1"/>
  <c r="Q1547" i="1"/>
  <c r="R2414" i="1"/>
  <c r="R2413" i="1" s="1"/>
  <c r="P1423" i="1"/>
  <c r="O1982" i="1"/>
  <c r="O1960" i="1" s="1"/>
  <c r="O1959" i="1" s="1"/>
  <c r="O1942" i="1" s="1"/>
  <c r="Q1215" i="1"/>
  <c r="P59" i="1"/>
  <c r="R1033" i="1"/>
  <c r="O1547" i="1"/>
  <c r="P1215" i="1"/>
  <c r="O1670" i="1"/>
  <c r="O1638" i="1" s="1"/>
  <c r="Q2229" i="1"/>
  <c r="P2513" i="1"/>
  <c r="P981" i="1"/>
  <c r="Q1169" i="1"/>
  <c r="Q1960" i="1"/>
  <c r="R2560" i="1"/>
  <c r="O1487" i="1"/>
  <c r="O1423" i="1" s="1"/>
  <c r="O1842" i="1"/>
  <c r="O1746" i="1" s="1"/>
  <c r="P1579" i="1"/>
  <c r="P1960" i="1"/>
  <c r="R2164" i="1"/>
  <c r="O2313" i="1"/>
  <c r="R130" i="1"/>
  <c r="R120" i="1" s="1"/>
  <c r="R110" i="1" s="1"/>
  <c r="O1873" i="1"/>
  <c r="O1854" i="1" s="1"/>
  <c r="R1049" i="1"/>
  <c r="R1122" i="1"/>
  <c r="Q980" i="1"/>
  <c r="R2272" i="1"/>
  <c r="R1100" i="1"/>
  <c r="R1013" i="1"/>
  <c r="R1361" i="1"/>
  <c r="P1169" i="1"/>
  <c r="P1136" i="1" s="1"/>
  <c r="P1827" i="1"/>
  <c r="R2033" i="1"/>
  <c r="R1960" i="1" s="1"/>
  <c r="O467" i="1"/>
  <c r="R1183" i="1"/>
  <c r="R1169" i="1" s="1"/>
  <c r="P1778" i="1"/>
  <c r="P1670" i="1"/>
  <c r="P1638" i="1" s="1"/>
  <c r="O2229" i="1"/>
  <c r="O2228" i="1" s="1"/>
  <c r="Q1503" i="1"/>
  <c r="Q1423" i="1" s="1"/>
  <c r="R2528" i="1"/>
  <c r="R2527" i="1" s="1"/>
  <c r="R2514" i="1" s="1"/>
  <c r="R2229" i="1"/>
  <c r="R2314" i="1"/>
  <c r="R2313" i="1" s="1"/>
  <c r="Q64" i="1"/>
  <c r="Q59" i="1" s="1"/>
  <c r="O268" i="1"/>
  <c r="O168" i="1" s="1"/>
  <c r="O109" i="1" s="1"/>
  <c r="R330" i="1"/>
  <c r="R1639" i="1"/>
  <c r="R1638" i="1" s="1"/>
  <c r="R1256" i="1"/>
  <c r="R1215" i="1" s="1"/>
  <c r="P2413" i="1"/>
  <c r="R1548" i="1"/>
  <c r="R1547" i="1" s="1"/>
  <c r="P1516" i="1"/>
  <c r="P2210" i="1" l="1"/>
  <c r="O2210" i="1"/>
  <c r="Q1959" i="1"/>
  <c r="Q1942" i="1" s="1"/>
  <c r="R1515" i="1"/>
  <c r="R64" i="1"/>
  <c r="R59" i="1" s="1"/>
  <c r="P414" i="1"/>
  <c r="P1959" i="1"/>
  <c r="P1942" i="1" s="1"/>
  <c r="Q1136" i="1"/>
  <c r="P811" i="1"/>
  <c r="P752" i="1" s="1"/>
  <c r="O415" i="1"/>
  <c r="O414" i="1" s="1"/>
  <c r="O367" i="1" s="1"/>
  <c r="Q367" i="1"/>
  <c r="Q109" i="1"/>
  <c r="O1515" i="1"/>
  <c r="P980" i="1"/>
  <c r="R2228" i="1"/>
  <c r="R2210" i="1" s="1"/>
  <c r="R980" i="1"/>
  <c r="R2513" i="1"/>
  <c r="R168" i="1"/>
  <c r="R109" i="1" s="1"/>
  <c r="R1423" i="1"/>
  <c r="P168" i="1"/>
  <c r="P109" i="1" s="1"/>
  <c r="P1746" i="1"/>
  <c r="Q2228" i="1"/>
  <c r="Q2210" i="1" s="1"/>
  <c r="P367" i="1"/>
  <c r="O1135" i="1"/>
  <c r="O979" i="1" s="1"/>
  <c r="O11" i="1" s="1"/>
  <c r="O2587" i="1" s="1"/>
  <c r="O2589" i="1" s="1"/>
  <c r="P1515" i="1"/>
  <c r="R1746" i="1"/>
  <c r="R2089" i="1"/>
  <c r="R1959" i="1" s="1"/>
  <c r="R1942" i="1" s="1"/>
  <c r="R1136" i="1"/>
  <c r="Q1515" i="1"/>
  <c r="Q1135" i="1" s="1"/>
  <c r="Q979" i="1" s="1"/>
  <c r="Q11" i="1" s="1"/>
  <c r="Q2587" i="1" s="1"/>
  <c r="Q2589" i="1" s="1"/>
  <c r="R811" i="1"/>
  <c r="R752" i="1" s="1"/>
  <c r="R414" i="1"/>
  <c r="R367" i="1" s="1"/>
  <c r="R1135" i="1" l="1"/>
  <c r="R979" i="1" s="1"/>
  <c r="R11" i="1" s="1"/>
  <c r="R2587" i="1" s="1"/>
  <c r="R2589" i="1" s="1"/>
  <c r="P1135" i="1"/>
  <c r="P979" i="1" s="1"/>
  <c r="P11" i="1" s="1"/>
  <c r="P2587" i="1" s="1"/>
  <c r="P2589" i="1" s="1"/>
</calcChain>
</file>

<file path=xl/sharedStrings.xml><?xml version="1.0" encoding="utf-8"?>
<sst xmlns="http://schemas.openxmlformats.org/spreadsheetml/2006/main" count="8687" uniqueCount="4726">
  <si>
    <t xml:space="preserve"> </t>
  </si>
  <si>
    <t xml:space="preserve">Предмет тендера: </t>
  </si>
  <si>
    <t>№449-ТУ "Cityzen Tr. 1 оч_Генподряд"</t>
  </si>
  <si>
    <t xml:space="preserve">Объект: </t>
  </si>
  <si>
    <t>Cityzen Tr. 1 UB8b</t>
  </si>
  <si>
    <t>Адрес объекта</t>
  </si>
  <si>
    <t xml:space="preserve">ул. Тушинская вл 24 </t>
  </si>
  <si>
    <t>Наименование контрагента</t>
  </si>
  <si>
    <t>ИНН</t>
  </si>
  <si>
    <t>Адрес (юр., факт.)</t>
  </si>
  <si>
    <t>№ п/п</t>
  </si>
  <si>
    <t>№ раздела</t>
  </si>
  <si>
    <t>Статья СМР</t>
  </si>
  <si>
    <t>Наименование работ</t>
  </si>
  <si>
    <t>Комментарий</t>
  </si>
  <si>
    <t xml:space="preserve">Ед. изм </t>
  </si>
  <si>
    <t>Общее кол-во</t>
  </si>
  <si>
    <t xml:space="preserve">Цена за ед. изм., RUB, </t>
  </si>
  <si>
    <t xml:space="preserve">Стоимость всего, RUB, </t>
  </si>
  <si>
    <t>Комментарий участника</t>
  </si>
  <si>
    <t>Предлагаемое количество</t>
  </si>
  <si>
    <t>Материалы</t>
  </si>
  <si>
    <t>СМР</t>
  </si>
  <si>
    <t>Косвенные расходы</t>
  </si>
  <si>
    <t>Всего</t>
  </si>
  <si>
    <t>1</t>
  </si>
  <si>
    <t>Лот №1 - Cityzen Tr. 1 оч_Генподряд</t>
  </si>
  <si>
    <t>1. Подготовительные работы, содержание площадки</t>
  </si>
  <si>
    <t>Подготовительные работы и содержание площадки (включая содержание прилегающей территории, аренда оборудования и механизмов и т.п.)</t>
  </si>
  <si>
    <t>компл</t>
  </si>
  <si>
    <t>2</t>
  </si>
  <si>
    <t>1.1</t>
  </si>
  <si>
    <t>1.1. Обеспечение финансовых условий контракта</t>
  </si>
  <si>
    <t>Обеспечение финансовых условий контракта</t>
  </si>
  <si>
    <t>3</t>
  </si>
  <si>
    <t>Банковская гарантия на авансовые платежи</t>
  </si>
  <si>
    <t>4</t>
  </si>
  <si>
    <t>Банковкская гаранития на исполнение контракта</t>
  </si>
  <si>
    <t>5</t>
  </si>
  <si>
    <t>Гарантийное удержание выполненных работ</t>
  </si>
  <si>
    <t>6</t>
  </si>
  <si>
    <t>Страхование всех рисков</t>
  </si>
  <si>
    <t>7</t>
  </si>
  <si>
    <t>1.2</t>
  </si>
  <si>
    <t>1.2. Мобилизация площадки (в т.ч. снос и демонтаж)</t>
  </si>
  <si>
    <t>Мобилизация</t>
  </si>
  <si>
    <t>8</t>
  </si>
  <si>
    <t>Организация светопрозрачного КПП со шлагбаумом/воротами</t>
  </si>
  <si>
    <t>9</t>
  </si>
  <si>
    <t>Устройство бытового городка (в т.ч. перемещение в процессе производства работ)</t>
  </si>
  <si>
    <t>10</t>
  </si>
  <si>
    <t>Ограждение площадки под бытовой городок в соответствии с стандартами МР Групп</t>
  </si>
  <si>
    <t>11</t>
  </si>
  <si>
    <t>Временные дороги с учетом пункта мойки колес, пешеходные галереи и проходы, ограждения участков работ и проходов на территории площадке</t>
  </si>
  <si>
    <t>12</t>
  </si>
  <si>
    <t>Устройство временных внутриплощадочных сетей с приборами учета потребления (от границы участка)</t>
  </si>
  <si>
    <t>13</t>
  </si>
  <si>
    <t>1.3</t>
  </si>
  <si>
    <t>1.3. Содержание площадки, генподрядные функции</t>
  </si>
  <si>
    <t>Содержание площадки, генподрядные функции</t>
  </si>
  <si>
    <t>14</t>
  </si>
  <si>
    <t>Устройство временной подсветки строящегося здания</t>
  </si>
  <si>
    <t>15</t>
  </si>
  <si>
    <t>Устройство временной подсветки кранов</t>
  </si>
  <si>
    <t>16</t>
  </si>
  <si>
    <t>Устройство нумерации этажей - лайтбокс 2*3 м</t>
  </si>
  <si>
    <t>17</t>
  </si>
  <si>
    <t>Поэтажная установка белых светодиодных светильников на потолке напротив окна</t>
  </si>
  <si>
    <t>18</t>
  </si>
  <si>
    <t>Окончательная уборка объекта, включая фасады и окна</t>
  </si>
  <si>
    <t>19</t>
  </si>
  <si>
    <t>Содержание бытового городка с учетом необходимого количества перебазировок в пределах участка.</t>
  </si>
  <si>
    <t>мес</t>
  </si>
  <si>
    <t>20</t>
  </si>
  <si>
    <t>Содержание фирменного ограждения, ремонт и замена панелей в случае повреждения, уборка и очистка ограждения в ответственности Генерального подрядчика, демонтаж по завершению работ</t>
  </si>
  <si>
    <t>21</t>
  </si>
  <si>
    <t>Ежемесячная уборка строительной площадки и прилегающей территории</t>
  </si>
  <si>
    <t>22</t>
  </si>
  <si>
    <t>Ежемесячная уборка снега в зимний период с утилизацией</t>
  </si>
  <si>
    <t>23</t>
  </si>
  <si>
    <t>Временное отопление помещений для выполнения отделочных работ в зимний период, до момента подлкючения ТС по постоянной схеме</t>
  </si>
  <si>
    <t>24</t>
  </si>
  <si>
    <t>ИТР и вспомогательный персонал</t>
  </si>
  <si>
    <t>25</t>
  </si>
  <si>
    <t>Строительная техника и оборудования</t>
  </si>
  <si>
    <t>26</t>
  </si>
  <si>
    <t>Вывоз строительного мусора</t>
  </si>
  <si>
    <t>27</t>
  </si>
  <si>
    <t>Ручные инструменты и малая механизация</t>
  </si>
  <si>
    <t>28</t>
  </si>
  <si>
    <t>Частное охранное предприятие/организация</t>
  </si>
  <si>
    <t>29</t>
  </si>
  <si>
    <t>Коммунальные и экплуатационные расходы: все эксплуатационные и коммунальные расходы, в том числе на отопление, электроснабжение и прочее по Башняам в период отделочных работ по квартирам</t>
  </si>
  <si>
    <t>30</t>
  </si>
  <si>
    <t>1.4</t>
  </si>
  <si>
    <t>1.4. Мокап</t>
  </si>
  <si>
    <t>МОКАП</t>
  </si>
  <si>
    <t>31</t>
  </si>
  <si>
    <t>1.4.1</t>
  </si>
  <si>
    <t>МОКАП Фасада</t>
  </si>
  <si>
    <t>32</t>
  </si>
  <si>
    <t>МОКАП - Фасады в соответствии с рабочим проектом</t>
  </si>
  <si>
    <t>м2</t>
  </si>
  <si>
    <t>33</t>
  </si>
  <si>
    <t>1.4.2</t>
  </si>
  <si>
    <t>МОКАП Отделки</t>
  </si>
  <si>
    <t>34</t>
  </si>
  <si>
    <t>МОКАП - Чистовая отделка МОП (Типые этажи)</t>
  </si>
  <si>
    <t>Отделочные работы в типовом лифтовом холле в башне и коридоре площадью 120 м2 с учетом инженерных коммуникаций в полном объеме;</t>
  </si>
  <si>
    <t>35</t>
  </si>
  <si>
    <t>1.4.3</t>
  </si>
  <si>
    <t>МОКАП Shell&amp;Core</t>
  </si>
  <si>
    <t>36</t>
  </si>
  <si>
    <t>МОКАП - Shell&amp;Core</t>
  </si>
  <si>
    <t>37</t>
  </si>
  <si>
    <t>2. Котлован</t>
  </si>
  <si>
    <t>Устройство котлована</t>
  </si>
  <si>
    <t>м3</t>
  </si>
  <si>
    <t>38</t>
  </si>
  <si>
    <t>2.1</t>
  </si>
  <si>
    <t>2.6. Земляные работы</t>
  </si>
  <si>
    <t>Земляные работы</t>
  </si>
  <si>
    <t>39</t>
  </si>
  <si>
    <t>Разработка грунта вручную</t>
  </si>
  <si>
    <t>40</t>
  </si>
  <si>
    <t>Обратная засыпка пазухи песком</t>
  </si>
  <si>
    <t>41</t>
  </si>
  <si>
    <t>Вывоз грунта</t>
  </si>
  <si>
    <t>42</t>
  </si>
  <si>
    <t>2.2</t>
  </si>
  <si>
    <t>2.2. Срез оголовка сваи</t>
  </si>
  <si>
    <t>Срезка оголовка сваи</t>
  </si>
  <si>
    <t>43</t>
  </si>
  <si>
    <t>Буронабивная свая B40. Корпус 3 (Срезка оголовок свай)</t>
  </si>
  <si>
    <t>шт</t>
  </si>
  <si>
    <t>44</t>
  </si>
  <si>
    <t>Буронабивная свая B40. Корпус 4 (Срезка оголовок свай)</t>
  </si>
  <si>
    <t>45</t>
  </si>
  <si>
    <t>2.3</t>
  </si>
  <si>
    <t>2.5. Строительное водопонижение</t>
  </si>
  <si>
    <t>Строительное водопонижение</t>
  </si>
  <si>
    <t>46</t>
  </si>
  <si>
    <t>Эксплуатация строительного водопонижения</t>
  </si>
  <si>
    <t>47</t>
  </si>
  <si>
    <t>Демонтаж строительного водопонижения</t>
  </si>
  <si>
    <t>48</t>
  </si>
  <si>
    <t>3. Устройство гидроизоляции подземной части</t>
  </si>
  <si>
    <t>Устройство гидроизоляции подземной части здания</t>
  </si>
  <si>
    <t>49</t>
  </si>
  <si>
    <t>3.1</t>
  </si>
  <si>
    <t>3.1. Устройство подготовки под фундаментную плиту</t>
  </si>
  <si>
    <t>Подготовка основания под устройство гидроизоляции фундаментной плиты</t>
  </si>
  <si>
    <t>50</t>
  </si>
  <si>
    <t>Бетонная подготовка (подбетонка В7.5) - 100мм</t>
  </si>
  <si>
    <t>51</t>
  </si>
  <si>
    <t>Утрамбованный щебень фр. 5-20 = 200мм</t>
  </si>
  <si>
    <t>для ФП на свайном основании</t>
  </si>
  <si>
    <t>52</t>
  </si>
  <si>
    <t>Щебень фр. 5-20 h-перем (hmin=200мм) (для прокладки дренажных трубопроводов)</t>
  </si>
  <si>
    <t>для прокладки дренажных трубопрводов</t>
  </si>
  <si>
    <t>53</t>
  </si>
  <si>
    <t>3.2</t>
  </si>
  <si>
    <t>3.2. Устройство гидроизоляции фундамента и подземной части здания</t>
  </si>
  <si>
    <t>Устройство гидроизоляции фундамента и подземной части здания</t>
  </si>
  <si>
    <t>54</t>
  </si>
  <si>
    <t>3.2.1</t>
  </si>
  <si>
    <t>Гидроизоляция фундаментной плиты</t>
  </si>
  <si>
    <t>55</t>
  </si>
  <si>
    <t>ЦПС М150 - 40 мм</t>
  </si>
  <si>
    <t>56</t>
  </si>
  <si>
    <t>Гидроизоляция Техноэласт ЭПП (2 слоя), с учетом праймера</t>
  </si>
  <si>
    <t>57</t>
  </si>
  <si>
    <t>Пленка полиэтиленовая 200 мкм в два слоя</t>
  </si>
  <si>
    <t>58</t>
  </si>
  <si>
    <t>Геотекстиль  150 г/м2</t>
  </si>
  <si>
    <t>59</t>
  </si>
  <si>
    <t>3.2.2</t>
  </si>
  <si>
    <t>Гидроизоляция стен подземной части</t>
  </si>
  <si>
    <t>60</t>
  </si>
  <si>
    <t>Профилированная мембрана PLANTER standart</t>
  </si>
  <si>
    <t>61</t>
  </si>
  <si>
    <t>62</t>
  </si>
  <si>
    <t>Утеплитель на глубину промерзания</t>
  </si>
  <si>
    <t>63</t>
  </si>
  <si>
    <t>3.2.3</t>
  </si>
  <si>
    <t>Гидроизоляция оголовков свай</t>
  </si>
  <si>
    <t>64</t>
  </si>
  <si>
    <t>65</t>
  </si>
  <si>
    <t>3.2.4</t>
  </si>
  <si>
    <t>Устройство гидроизоляции в зоне горизонтального деформационного шва в фундаментной плите</t>
  </si>
  <si>
    <t>66</t>
  </si>
  <si>
    <t>Контрольно-инъекционный штуцер</t>
  </si>
  <si>
    <t>67</t>
  </si>
  <si>
    <t>Инъекционные шланги</t>
  </si>
  <si>
    <t>м</t>
  </si>
  <si>
    <t>68</t>
  </si>
  <si>
    <t>Мембрана</t>
  </si>
  <si>
    <t>69</t>
  </si>
  <si>
    <t>Гидрошпонка ТехноНИКОЛЬ ЕС-220-3</t>
  </si>
  <si>
    <t>70</t>
  </si>
  <si>
    <t>Экструзионный пенополистирол</t>
  </si>
  <si>
    <t>указать толщину</t>
  </si>
  <si>
    <t>71</t>
  </si>
  <si>
    <t>3.2.5</t>
  </si>
  <si>
    <t>Устройство гидроизоляции в зоне сопряжения горизонтальной и вертикальной части фундамента</t>
  </si>
  <si>
    <t>72</t>
  </si>
  <si>
    <t>73</t>
  </si>
  <si>
    <t>74</t>
  </si>
  <si>
    <t>75</t>
  </si>
  <si>
    <t>Профиль полимерный ТехноНИКОЛЬ IC-SP 20*10</t>
  </si>
  <si>
    <t>76</t>
  </si>
  <si>
    <t>77</t>
  </si>
  <si>
    <t>78</t>
  </si>
  <si>
    <t>3.2.6</t>
  </si>
  <si>
    <t>Устройство гидроизоляции в зоне деформационного шва в наружной стене подземной части</t>
  </si>
  <si>
    <t>79</t>
  </si>
  <si>
    <t>Гидрошпонка ТехноНИКОЛЬ FM-140/50</t>
  </si>
  <si>
    <t>80</t>
  </si>
  <si>
    <t>Герметик ТехноНИКОЛЬ ПУ</t>
  </si>
  <si>
    <t>кг</t>
  </si>
  <si>
    <t>81</t>
  </si>
  <si>
    <t>Уплотнитель (шнур типа "Вилатерм")</t>
  </si>
  <si>
    <t>82</t>
  </si>
  <si>
    <t>Экструзионный пенополистирол CARBON PROF</t>
  </si>
  <si>
    <t>83</t>
  </si>
  <si>
    <t>Герниовый шнур ТН Фундамент 40/20</t>
  </si>
  <si>
    <t>84</t>
  </si>
  <si>
    <t>Гидроизоляция Техноэласт ЭПП</t>
  </si>
  <si>
    <t>85</t>
  </si>
  <si>
    <t>ТенхноНиколь Флекс</t>
  </si>
  <si>
    <t>86</t>
  </si>
  <si>
    <t>3.2.7</t>
  </si>
  <si>
    <t>Устройство дренажной системы</t>
  </si>
  <si>
    <t>87</t>
  </si>
  <si>
    <t>Устройство дренажного трубопровода</t>
  </si>
  <si>
    <t>88</t>
  </si>
  <si>
    <t>Устройство дренажных колодцев</t>
  </si>
  <si>
    <t>89</t>
  </si>
  <si>
    <t>3.2.7.1</t>
  </si>
  <si>
    <t>Обустройство трубных проходок</t>
  </si>
  <si>
    <t>90</t>
  </si>
  <si>
    <t>Техноэласт Фундамент</t>
  </si>
  <si>
    <t>91</t>
  </si>
  <si>
    <t>Мастика ТехноНиколь №21</t>
  </si>
  <si>
    <t>92</t>
  </si>
  <si>
    <t>93</t>
  </si>
  <si>
    <t>Пена ТехноНиколь Proffessional 70</t>
  </si>
  <si>
    <t>94</t>
  </si>
  <si>
    <t>95</t>
  </si>
  <si>
    <t>Профиль набухающий ТехноНиколь Фундамент Б 20*25</t>
  </si>
  <si>
    <t>96</t>
  </si>
  <si>
    <t>97</t>
  </si>
  <si>
    <t>Лента NICOBAND</t>
  </si>
  <si>
    <t>98</t>
  </si>
  <si>
    <t>4. Конструктивные решения</t>
  </si>
  <si>
    <t>Возведение несущих конструкций здания</t>
  </si>
  <si>
    <t>99</t>
  </si>
  <si>
    <t>4.1</t>
  </si>
  <si>
    <t>4.1. Подземная часть. Конструктивные решения</t>
  </si>
  <si>
    <t>Ж/Б конструкции подземной части</t>
  </si>
  <si>
    <t>100</t>
  </si>
  <si>
    <t>4.1.1</t>
  </si>
  <si>
    <t>4.1.1. Устройство фундаментной плиты</t>
  </si>
  <si>
    <t>Устройство фундаментной плиты</t>
  </si>
  <si>
    <t>101</t>
  </si>
  <si>
    <t>4.1.1.1</t>
  </si>
  <si>
    <t>Фундаментная плита</t>
  </si>
  <si>
    <t>102</t>
  </si>
  <si>
    <t>Фундаментная плита B40. Корпус 1</t>
  </si>
  <si>
    <t>103</t>
  </si>
  <si>
    <t>Фундаментная плита B40. Корпус 3</t>
  </si>
  <si>
    <t>104</t>
  </si>
  <si>
    <t>Фундаментная плита B40. Корпус 4</t>
  </si>
  <si>
    <t>105</t>
  </si>
  <si>
    <t>Фундаментная плита B40. Стилобат</t>
  </si>
  <si>
    <t>106</t>
  </si>
  <si>
    <t>4.1.1.2</t>
  </si>
  <si>
    <t>Ростверк</t>
  </si>
  <si>
    <t>107</t>
  </si>
  <si>
    <t>Ростверк B40. Корпус 3</t>
  </si>
  <si>
    <t>108</t>
  </si>
  <si>
    <t>Ростверк B40. Корпус 4</t>
  </si>
  <si>
    <t>109</t>
  </si>
  <si>
    <t>4.1.2</t>
  </si>
  <si>
    <t>4.1.2. Устройство горизонтальных монолитных ж/б конструкций подземной части</t>
  </si>
  <si>
    <t>Устройство горизонтальных монолитных ж/б конструкций подземной части</t>
  </si>
  <si>
    <t>110</t>
  </si>
  <si>
    <t>4.1.2.1</t>
  </si>
  <si>
    <t>Плита перекрытия/покрытия</t>
  </si>
  <si>
    <t>111</t>
  </si>
  <si>
    <t>4.1.2.1.1</t>
  </si>
  <si>
    <t>Плита перекрытия/покрытия. Корпус 1</t>
  </si>
  <si>
    <t>112</t>
  </si>
  <si>
    <t>Плита перекрытия/покрытия B40</t>
  </si>
  <si>
    <t>113</t>
  </si>
  <si>
    <t>4.1.2.1.2</t>
  </si>
  <si>
    <t>Плита перекрытия/покрытия. Корпус 3</t>
  </si>
  <si>
    <t>114</t>
  </si>
  <si>
    <t>115</t>
  </si>
  <si>
    <t>4.1.2.1.3</t>
  </si>
  <si>
    <t>Плита перекрытия/покрытия. Корпус 4</t>
  </si>
  <si>
    <t>116</t>
  </si>
  <si>
    <t>117</t>
  </si>
  <si>
    <t>4.1.2.1.4</t>
  </si>
  <si>
    <t>Плита перекрытия/покрытия. Стилобат</t>
  </si>
  <si>
    <t>118</t>
  </si>
  <si>
    <t>119</t>
  </si>
  <si>
    <t>4.1.2.2</t>
  </si>
  <si>
    <t>Балки, капители, трансферные конструкции, лестницы</t>
  </si>
  <si>
    <t>120</t>
  </si>
  <si>
    <t>4.1.2.2.1</t>
  </si>
  <si>
    <t>Балки, капители, трансферные конструкции, лестницы. Корпус 1</t>
  </si>
  <si>
    <t>121</t>
  </si>
  <si>
    <t>Балки B40</t>
  </si>
  <si>
    <t>122</t>
  </si>
  <si>
    <t>Лестничные площадки B30</t>
  </si>
  <si>
    <t>123</t>
  </si>
  <si>
    <t>Лестничные марши B30</t>
  </si>
  <si>
    <t>124</t>
  </si>
  <si>
    <t>4.1.2.2.2</t>
  </si>
  <si>
    <t>Балки, капители, трансферные конструкции, лестницы. Корпус 3</t>
  </si>
  <si>
    <t>125</t>
  </si>
  <si>
    <t>126</t>
  </si>
  <si>
    <t>127</t>
  </si>
  <si>
    <t>128</t>
  </si>
  <si>
    <t>4.1.2.2.3</t>
  </si>
  <si>
    <t>Балки, капители, трансферные конструкции, лестницы. Корпус 4</t>
  </si>
  <si>
    <t>129</t>
  </si>
  <si>
    <t>130</t>
  </si>
  <si>
    <t>131</t>
  </si>
  <si>
    <t>132</t>
  </si>
  <si>
    <t>4.1.2.2.4</t>
  </si>
  <si>
    <t>Балки, капители, трансферные конструкции, лестницы. Стилобат</t>
  </si>
  <si>
    <t>133</t>
  </si>
  <si>
    <t>134</t>
  </si>
  <si>
    <t>135</t>
  </si>
  <si>
    <t>136</t>
  </si>
  <si>
    <t>Рампа B40</t>
  </si>
  <si>
    <t>137</t>
  </si>
  <si>
    <t>4.1.3</t>
  </si>
  <si>
    <t xml:space="preserve">4.1.3. Устройство вертикальных монолитных ж/б конструкций подземной части </t>
  </si>
  <si>
    <t>Устройство вертикальных монолитных ж/б конструкций подземной части</t>
  </si>
  <si>
    <t>138</t>
  </si>
  <si>
    <t>4.1.3.1</t>
  </si>
  <si>
    <t>Стены</t>
  </si>
  <si>
    <t>139</t>
  </si>
  <si>
    <t>4.1.3.1.1</t>
  </si>
  <si>
    <t>Стены. Корпус 1</t>
  </si>
  <si>
    <t>140</t>
  </si>
  <si>
    <t>Стены B40</t>
  </si>
  <si>
    <t>141</t>
  </si>
  <si>
    <t>4.1.3.1.2</t>
  </si>
  <si>
    <t>Стены. Корпус 3</t>
  </si>
  <si>
    <t>142</t>
  </si>
  <si>
    <t>143</t>
  </si>
  <si>
    <t>Стены B60</t>
  </si>
  <si>
    <t>144</t>
  </si>
  <si>
    <t>4.1.3.1.3</t>
  </si>
  <si>
    <t>Стены. Корпус 4</t>
  </si>
  <si>
    <t>145</t>
  </si>
  <si>
    <t>Стены B50</t>
  </si>
  <si>
    <t>146</t>
  </si>
  <si>
    <t>4.1.3.1.4</t>
  </si>
  <si>
    <t>Стены. Стилобат</t>
  </si>
  <si>
    <t>147</t>
  </si>
  <si>
    <t>148</t>
  </si>
  <si>
    <t>4.1.3.2</t>
  </si>
  <si>
    <t>Колонны, пилоны, трансферные конструкции</t>
  </si>
  <si>
    <t>149</t>
  </si>
  <si>
    <t>4.1.3.2.1</t>
  </si>
  <si>
    <t>Колонны, пилоны, трансферные конструкции. Корпус 1</t>
  </si>
  <si>
    <t>150</t>
  </si>
  <si>
    <t>Колонны прямоугольные B40</t>
  </si>
  <si>
    <t>151</t>
  </si>
  <si>
    <t>4.1.3.2.2</t>
  </si>
  <si>
    <t>Колонны, пилоны, трансферные конструкции. Корпус 3</t>
  </si>
  <si>
    <t>152</t>
  </si>
  <si>
    <t>Колонны прямоугольные B60</t>
  </si>
  <si>
    <t>153</t>
  </si>
  <si>
    <t>4.1.3.2.3</t>
  </si>
  <si>
    <t>Колонны, пилоны, трансферные конструкции. Корпус 4</t>
  </si>
  <si>
    <t>154</t>
  </si>
  <si>
    <t>Колонны прямоугольные B50</t>
  </si>
  <si>
    <t>155</t>
  </si>
  <si>
    <t>4.1.3.2.4</t>
  </si>
  <si>
    <t>Колонны, пилоны, трансферные конструкции. Стилобат</t>
  </si>
  <si>
    <t>156</t>
  </si>
  <si>
    <t>157</t>
  </si>
  <si>
    <t>4.2</t>
  </si>
  <si>
    <t>4.2. Надземная часть. Конструктивные решения</t>
  </si>
  <si>
    <t>Ж/Б конструкции надземной части</t>
  </si>
  <si>
    <t>158</t>
  </si>
  <si>
    <t>4.2.1</t>
  </si>
  <si>
    <t>4.2.1. Устройство горизонтальных монолитных конструкций 1-го этажа</t>
  </si>
  <si>
    <t>Устройство горизонтальных монолитных конструкций 1-го этажа</t>
  </si>
  <si>
    <t>159</t>
  </si>
  <si>
    <t>4.2.1.1</t>
  </si>
  <si>
    <t>160</t>
  </si>
  <si>
    <t>4.2.1.1.1</t>
  </si>
  <si>
    <t>161</t>
  </si>
  <si>
    <t>162</t>
  </si>
  <si>
    <t>4.2.1.1.2</t>
  </si>
  <si>
    <t>163</t>
  </si>
  <si>
    <t>164</t>
  </si>
  <si>
    <t>4.2.1.1.3</t>
  </si>
  <si>
    <t>165</t>
  </si>
  <si>
    <t>166</t>
  </si>
  <si>
    <t>4.2.1.1.4</t>
  </si>
  <si>
    <t>Плита перекрытия/покрытия. Стилобат между корпусами 1-4</t>
  </si>
  <si>
    <t>167</t>
  </si>
  <si>
    <t>168</t>
  </si>
  <si>
    <t>4.2.1.1.5</t>
  </si>
  <si>
    <t>Плита перекрытия/покрытия. Стилобат между корпусами 3-4</t>
  </si>
  <si>
    <t>169</t>
  </si>
  <si>
    <t>170</t>
  </si>
  <si>
    <t>4.2.1.2</t>
  </si>
  <si>
    <t>Балки, капители, трансферные конструкции</t>
  </si>
  <si>
    <t>171</t>
  </si>
  <si>
    <t>4.2.1.2.1</t>
  </si>
  <si>
    <t>Балки, капители, трансферные конструкции. Корпус 1</t>
  </si>
  <si>
    <t>172</t>
  </si>
  <si>
    <t>173</t>
  </si>
  <si>
    <t>174</t>
  </si>
  <si>
    <t>175</t>
  </si>
  <si>
    <t>4.2.1.2.2</t>
  </si>
  <si>
    <t>Балки, капители, трансферные конструкции. Корпус 3</t>
  </si>
  <si>
    <t>176</t>
  </si>
  <si>
    <t>177</t>
  </si>
  <si>
    <t>178</t>
  </si>
  <si>
    <t>179</t>
  </si>
  <si>
    <t>4.2.1.2.3</t>
  </si>
  <si>
    <t>Балки, капители, трансферные конструкции. Корпус 4</t>
  </si>
  <si>
    <t>180</t>
  </si>
  <si>
    <t>181</t>
  </si>
  <si>
    <t>182</t>
  </si>
  <si>
    <t>183</t>
  </si>
  <si>
    <t>4.2.1.2.4</t>
  </si>
  <si>
    <t>Балки, капители, трансферные конструкции. Стилобат между корпусами 1-3</t>
  </si>
  <si>
    <t>184</t>
  </si>
  <si>
    <t>185</t>
  </si>
  <si>
    <t>186</t>
  </si>
  <si>
    <t>4.2.1.2.5</t>
  </si>
  <si>
    <t>Балки, капители, трансферные конструкции. Стилобат между корпусами 1-4</t>
  </si>
  <si>
    <t>187</t>
  </si>
  <si>
    <t>188</t>
  </si>
  <si>
    <t>189</t>
  </si>
  <si>
    <t>190</t>
  </si>
  <si>
    <t>4.2.1.2.6</t>
  </si>
  <si>
    <t>Балки, капители, трансферные конструкции. Стилобат между корпусами 3-4</t>
  </si>
  <si>
    <t>191</t>
  </si>
  <si>
    <t>192</t>
  </si>
  <si>
    <t>4.2.2</t>
  </si>
  <si>
    <t>4.2.2. Устройство вертикальных монолитных конструкций 1-го этажа</t>
  </si>
  <si>
    <t>Устройство вертикальных монолитных конструкций 1-го этажа</t>
  </si>
  <si>
    <t>193</t>
  </si>
  <si>
    <t>4.2.2.1</t>
  </si>
  <si>
    <t>194</t>
  </si>
  <si>
    <t>4.2.2.1.1</t>
  </si>
  <si>
    <t>195</t>
  </si>
  <si>
    <t>196</t>
  </si>
  <si>
    <t>4.2.2.1.2</t>
  </si>
  <si>
    <t>197</t>
  </si>
  <si>
    <t>198</t>
  </si>
  <si>
    <t>199</t>
  </si>
  <si>
    <t>4.2.2.1.3</t>
  </si>
  <si>
    <t>200</t>
  </si>
  <si>
    <t>201</t>
  </si>
  <si>
    <t>202</t>
  </si>
  <si>
    <t>4.2.2.1.4</t>
  </si>
  <si>
    <t>Стены. Стилобат между корпусами 1-3</t>
  </si>
  <si>
    <t>203</t>
  </si>
  <si>
    <t>204</t>
  </si>
  <si>
    <t>4.2.2.1.5</t>
  </si>
  <si>
    <t>Стены. Стилобат между корпусами 1-4</t>
  </si>
  <si>
    <t>205</t>
  </si>
  <si>
    <t>206</t>
  </si>
  <si>
    <t>4.2.2.1.6</t>
  </si>
  <si>
    <t>Стены. Стилобат между корпусами 3-4</t>
  </si>
  <si>
    <t>207</t>
  </si>
  <si>
    <t>208</t>
  </si>
  <si>
    <t>4.2.2.2</t>
  </si>
  <si>
    <t>209</t>
  </si>
  <si>
    <t>4.2.2.2.1</t>
  </si>
  <si>
    <t>210</t>
  </si>
  <si>
    <t>211</t>
  </si>
  <si>
    <t>4.2.2.2.2</t>
  </si>
  <si>
    <t>212</t>
  </si>
  <si>
    <t>213</t>
  </si>
  <si>
    <t>4.2.2.2.3</t>
  </si>
  <si>
    <t>214</t>
  </si>
  <si>
    <t>215</t>
  </si>
  <si>
    <t>4.2.2.2.4</t>
  </si>
  <si>
    <t>Колонны, пилоны, трансферные конструкции. Стилобат между корпусами 1-3</t>
  </si>
  <si>
    <t>216</t>
  </si>
  <si>
    <t>217</t>
  </si>
  <si>
    <t>4.2.2.2.5</t>
  </si>
  <si>
    <t>Колонны, пилоны, трансферные конструкции. Стилобат между корпусами 1-4</t>
  </si>
  <si>
    <t>218</t>
  </si>
  <si>
    <t>219</t>
  </si>
  <si>
    <t>4.2.2.2.6</t>
  </si>
  <si>
    <t>Колонны, пилоны, трансферные конструкции. Стилобат между корпусами 3-4</t>
  </si>
  <si>
    <t>220</t>
  </si>
  <si>
    <t>221</t>
  </si>
  <si>
    <t>4.2.3</t>
  </si>
  <si>
    <t>4.2.3. Устройство горизонтальных монолитных конструкций надземных этажей (кроме 1-го)</t>
  </si>
  <si>
    <t>Устройство горизонтальных монолитных конструкций надземных этажей (выше 1-го этажа)</t>
  </si>
  <si>
    <t>222</t>
  </si>
  <si>
    <t>4.2.3.1</t>
  </si>
  <si>
    <t>223</t>
  </si>
  <si>
    <t>4.2.3.1.1</t>
  </si>
  <si>
    <t>224</t>
  </si>
  <si>
    <t>Плита перекрытия/покрытия В40</t>
  </si>
  <si>
    <t>225</t>
  </si>
  <si>
    <t>4.2.3.1.2</t>
  </si>
  <si>
    <t>Плита перекрытия/покрытия. Корпус 2</t>
  </si>
  <si>
    <t>226</t>
  </si>
  <si>
    <t>227</t>
  </si>
  <si>
    <t>4.2.3.1.3</t>
  </si>
  <si>
    <t>228</t>
  </si>
  <si>
    <t>229</t>
  </si>
  <si>
    <t>4.2.3.1.4</t>
  </si>
  <si>
    <t>230</t>
  </si>
  <si>
    <t>231</t>
  </si>
  <si>
    <t>4.2.3.1.5</t>
  </si>
  <si>
    <t>232</t>
  </si>
  <si>
    <t>233</t>
  </si>
  <si>
    <t>4.2.3.1.6</t>
  </si>
  <si>
    <t>234</t>
  </si>
  <si>
    <t>235</t>
  </si>
  <si>
    <t>4.2.3.2</t>
  </si>
  <si>
    <t>236</t>
  </si>
  <si>
    <t>4.2.3.2.1</t>
  </si>
  <si>
    <t>237</t>
  </si>
  <si>
    <t>238</t>
  </si>
  <si>
    <t>239</t>
  </si>
  <si>
    <t>240</t>
  </si>
  <si>
    <t>4.2.3.2.2</t>
  </si>
  <si>
    <t>Балки, капители, трансферные конструкции, лестницы. Корпус 2</t>
  </si>
  <si>
    <t>241</t>
  </si>
  <si>
    <t>242</t>
  </si>
  <si>
    <t>243</t>
  </si>
  <si>
    <t>244</t>
  </si>
  <si>
    <t>Капитель</t>
  </si>
  <si>
    <t>245</t>
  </si>
  <si>
    <t>4.2.3.2.3</t>
  </si>
  <si>
    <t>246</t>
  </si>
  <si>
    <t>247</t>
  </si>
  <si>
    <t>248</t>
  </si>
  <si>
    <t>249</t>
  </si>
  <si>
    <t>4.2.3.2.4</t>
  </si>
  <si>
    <t>250</t>
  </si>
  <si>
    <t>251</t>
  </si>
  <si>
    <t>252</t>
  </si>
  <si>
    <t>253</t>
  </si>
  <si>
    <t>4.2.3.2.5</t>
  </si>
  <si>
    <t>Балки, капители, трансферные конструкции, лестницы. Стилобат между корпусами 1-4</t>
  </si>
  <si>
    <t>254</t>
  </si>
  <si>
    <t>255</t>
  </si>
  <si>
    <t>4.2.3.2.6</t>
  </si>
  <si>
    <t>Балки, капители, трансферные конструкции, лестницы. Стилобат между корпусами 3-4</t>
  </si>
  <si>
    <t>256</t>
  </si>
  <si>
    <t>257</t>
  </si>
  <si>
    <t>4.2.4</t>
  </si>
  <si>
    <t>4.2.4. Устройство вертикальных монолитных конструкций надземных этажей (кроме 1-го)</t>
  </si>
  <si>
    <t>Устройство вертикальных монолитных конструкций надземных этажей (выше 1-го этажа)</t>
  </si>
  <si>
    <t>258</t>
  </si>
  <si>
    <t>4.2.4.1</t>
  </si>
  <si>
    <t>259</t>
  </si>
  <si>
    <t>4.2.4.1.1</t>
  </si>
  <si>
    <t>260</t>
  </si>
  <si>
    <t>261</t>
  </si>
  <si>
    <t>Парапет B40</t>
  </si>
  <si>
    <t>262</t>
  </si>
  <si>
    <t>4.2.4.1.2</t>
  </si>
  <si>
    <t>Стены. Корпус 2</t>
  </si>
  <si>
    <t>263</t>
  </si>
  <si>
    <t>264</t>
  </si>
  <si>
    <t>265</t>
  </si>
  <si>
    <t>4.2.4.1.3</t>
  </si>
  <si>
    <t>266</t>
  </si>
  <si>
    <t>267</t>
  </si>
  <si>
    <t>268</t>
  </si>
  <si>
    <t>269</t>
  </si>
  <si>
    <t>270</t>
  </si>
  <si>
    <t>4.2.4.1.4</t>
  </si>
  <si>
    <t>271</t>
  </si>
  <si>
    <t>272</t>
  </si>
  <si>
    <t>273</t>
  </si>
  <si>
    <t>4.2.4.1.5</t>
  </si>
  <si>
    <t>274</t>
  </si>
  <si>
    <t>275</t>
  </si>
  <si>
    <t>276</t>
  </si>
  <si>
    <t>4.2.4.1.6</t>
  </si>
  <si>
    <t>277</t>
  </si>
  <si>
    <t>278</t>
  </si>
  <si>
    <t>279</t>
  </si>
  <si>
    <t>4.2.4.2</t>
  </si>
  <si>
    <t>280</t>
  </si>
  <si>
    <t>4.2.4.2.1</t>
  </si>
  <si>
    <t>281</t>
  </si>
  <si>
    <t>282</t>
  </si>
  <si>
    <t>Пилоны B40</t>
  </si>
  <si>
    <t>283</t>
  </si>
  <si>
    <t>4.2.4.2.2</t>
  </si>
  <si>
    <t>Колонны, пилоны, трансферные конструкции. Корпус 2</t>
  </si>
  <si>
    <t>284</t>
  </si>
  <si>
    <t>285</t>
  </si>
  <si>
    <t>4.2.4.2.3</t>
  </si>
  <si>
    <t>286</t>
  </si>
  <si>
    <t>287</t>
  </si>
  <si>
    <t>288</t>
  </si>
  <si>
    <t>289</t>
  </si>
  <si>
    <t>290</t>
  </si>
  <si>
    <t>Пилоны B50</t>
  </si>
  <si>
    <t>291</t>
  </si>
  <si>
    <t>Пилоны B60</t>
  </si>
  <si>
    <t>292</t>
  </si>
  <si>
    <t>4.2.4.2.4</t>
  </si>
  <si>
    <t>293</t>
  </si>
  <si>
    <t>294</t>
  </si>
  <si>
    <t>295</t>
  </si>
  <si>
    <t>4.2.4.2.5</t>
  </si>
  <si>
    <t>296</t>
  </si>
  <si>
    <t>297</t>
  </si>
  <si>
    <t>4.2.4.2.6</t>
  </si>
  <si>
    <t>298</t>
  </si>
  <si>
    <t>299</t>
  </si>
  <si>
    <t>4.3</t>
  </si>
  <si>
    <t>4.3. Металлоконструкции</t>
  </si>
  <si>
    <t>Металлоконструкции</t>
  </si>
  <si>
    <t>т</t>
  </si>
  <si>
    <t>300</t>
  </si>
  <si>
    <t>4.3.1</t>
  </si>
  <si>
    <t>Металлоконструкции. Корпус 1</t>
  </si>
  <si>
    <t>301</t>
  </si>
  <si>
    <t>Настил металлический</t>
  </si>
  <si>
    <t>302</t>
  </si>
  <si>
    <t>Стальная балка</t>
  </si>
  <si>
    <t>303</t>
  </si>
  <si>
    <t>Стальная стойка</t>
  </si>
  <si>
    <t>304</t>
  </si>
  <si>
    <t>4.3.2</t>
  </si>
  <si>
    <t>Металлоконструкции. Корпус 2</t>
  </si>
  <si>
    <t>305</t>
  </si>
  <si>
    <t>306</t>
  </si>
  <si>
    <t>307</t>
  </si>
  <si>
    <t>4.3.3</t>
  </si>
  <si>
    <t>Металлоконструкции. Корпус 3</t>
  </si>
  <si>
    <t>308</t>
  </si>
  <si>
    <t>309</t>
  </si>
  <si>
    <t>310</t>
  </si>
  <si>
    <t>311</t>
  </si>
  <si>
    <t>Откидной люк на пол технического балкона</t>
  </si>
  <si>
    <t>312</t>
  </si>
  <si>
    <t>4.3.4</t>
  </si>
  <si>
    <t>Металлоконструкции. Корпус 4</t>
  </si>
  <si>
    <t>313</t>
  </si>
  <si>
    <t>314</t>
  </si>
  <si>
    <t>315</t>
  </si>
  <si>
    <t>316</t>
  </si>
  <si>
    <t>4.3.5</t>
  </si>
  <si>
    <t>Металлоконструкции. Стилобат между корпусами 1-4</t>
  </si>
  <si>
    <t>317</t>
  </si>
  <si>
    <t>318</t>
  </si>
  <si>
    <t>319</t>
  </si>
  <si>
    <t>5. Общестроительные работы (без отделки)</t>
  </si>
  <si>
    <t>Общестроительные работы - перегородки и стены</t>
  </si>
  <si>
    <t>320</t>
  </si>
  <si>
    <t>5.1</t>
  </si>
  <si>
    <t>5.1. Устройство перегородок и стен подземной части (каменная кладка, ГКЛ)</t>
  </si>
  <si>
    <t>Подземная часть</t>
  </si>
  <si>
    <t>321</t>
  </si>
  <si>
    <t>Газобетон D500, t=100</t>
  </si>
  <si>
    <t>322</t>
  </si>
  <si>
    <t>Газобетон D500, t=150</t>
  </si>
  <si>
    <t>323</t>
  </si>
  <si>
    <t>Газобетон D500, t=200</t>
  </si>
  <si>
    <t>324</t>
  </si>
  <si>
    <t>Газобетон D500, t=300</t>
  </si>
  <si>
    <t>325</t>
  </si>
  <si>
    <t>5.2</t>
  </si>
  <si>
    <t>5.2. Устройство перегородок и стен надземной части (каменная кладка, ГКЛ)</t>
  </si>
  <si>
    <t>Надземная часть</t>
  </si>
  <si>
    <t>326</t>
  </si>
  <si>
    <t>5.2.1</t>
  </si>
  <si>
    <t>Надземная часть. 1 этаж</t>
  </si>
  <si>
    <t>327</t>
  </si>
  <si>
    <t>328</t>
  </si>
  <si>
    <t>329</t>
  </si>
  <si>
    <t>330</t>
  </si>
  <si>
    <t>Газобетон D500, t=250</t>
  </si>
  <si>
    <t>331</t>
  </si>
  <si>
    <t>332</t>
  </si>
  <si>
    <t>5.2.2</t>
  </si>
  <si>
    <t>Надземная часть. Корпус 1</t>
  </si>
  <si>
    <t>333</t>
  </si>
  <si>
    <t>334</t>
  </si>
  <si>
    <t>335</t>
  </si>
  <si>
    <t>336</t>
  </si>
  <si>
    <t>5.2.3</t>
  </si>
  <si>
    <t>Надземная часть. Корпус 2</t>
  </si>
  <si>
    <t>337</t>
  </si>
  <si>
    <t>338</t>
  </si>
  <si>
    <t>339</t>
  </si>
  <si>
    <t>340</t>
  </si>
  <si>
    <t>5.2.4</t>
  </si>
  <si>
    <t>Надземная часть. Корпус 3</t>
  </si>
  <si>
    <t>341</t>
  </si>
  <si>
    <t>342</t>
  </si>
  <si>
    <t>343</t>
  </si>
  <si>
    <t>344</t>
  </si>
  <si>
    <t>345</t>
  </si>
  <si>
    <t>Газобетон D500, t=350</t>
  </si>
  <si>
    <t>346</t>
  </si>
  <si>
    <t>Газобетон D500, t=400</t>
  </si>
  <si>
    <t>347</t>
  </si>
  <si>
    <t>5.2.5</t>
  </si>
  <si>
    <t>Надземная часть. Корпус 4</t>
  </si>
  <si>
    <t>348</t>
  </si>
  <si>
    <t>349</t>
  </si>
  <si>
    <t>Газобетон D500, t=125</t>
  </si>
  <si>
    <t>350</t>
  </si>
  <si>
    <t>351</t>
  </si>
  <si>
    <t>352</t>
  </si>
  <si>
    <t>353</t>
  </si>
  <si>
    <t>5.3</t>
  </si>
  <si>
    <t>5.3. Устройство светопрозрачных перегородок</t>
  </si>
  <si>
    <t>Светопрозрачные перегородки</t>
  </si>
  <si>
    <t>354</t>
  </si>
  <si>
    <t>Светопрозрачные перегородки подземной части (в тч перегородки в ИТП, тамбурах и тд)</t>
  </si>
  <si>
    <t>355</t>
  </si>
  <si>
    <t>Светопрозрачные перегородки 1 этажа (в тч перегородки в ИТП, тамбурах и тд)</t>
  </si>
  <si>
    <t>356</t>
  </si>
  <si>
    <t>6. Фасадные работы</t>
  </si>
  <si>
    <t>Устройство фасадов</t>
  </si>
  <si>
    <t>357</t>
  </si>
  <si>
    <t>6.1</t>
  </si>
  <si>
    <t>6.1. Светопрозрачные конструкции 1 этажа</t>
  </si>
  <si>
    <t>Светопрозрачные конструкции 1 этажа</t>
  </si>
  <si>
    <t>358</t>
  </si>
  <si>
    <t>6.1.1</t>
  </si>
  <si>
    <t>6.1.1. Устройство профильной системы (профиль, метизы, комплектующие, кронштейны и т.п.)</t>
  </si>
  <si>
    <t>Устройство профильной системы (профиль, метизы, комплектующие, кронштейны и т.п.)</t>
  </si>
  <si>
    <t>359</t>
  </si>
  <si>
    <t>6.1.1.1</t>
  </si>
  <si>
    <t>Стилобат.</t>
  </si>
  <si>
    <t>360</t>
  </si>
  <si>
    <t>6.1.1.1.1</t>
  </si>
  <si>
    <t>Тип фасада FAC - 2.1, объемный алюминиевый стоечно-ригельный фасад, армированный
стальной трубой</t>
  </si>
  <si>
    <t>на отметках
с +6,650м до +16,500м.</t>
  </si>
  <si>
    <t>361</t>
  </si>
  <si>
    <t>Тип 1.2 - Стоечно-ригельное полуструктурное остекление.
Светопрозрачное заполнение. Цвет профиля RAL 7024 муар</t>
  </si>
  <si>
    <t>Профильная система</t>
  </si>
  <si>
    <t>362</t>
  </si>
  <si>
    <t>Тип 2.2 - Стоечно-ригельное полуструктурное остекление. Непрозрачное
заполнение. Покрытие стемалита RAL 7016.
Цвет профиля RAL 7024 муар</t>
  </si>
  <si>
    <t>363</t>
  </si>
  <si>
    <t>Тип 3 - Модульное/стоечно-ригельное полуструктурное остекление. Светопрозрачное
заполнение. Цвет профиля RAL 7024 муар</t>
  </si>
  <si>
    <t>364</t>
  </si>
  <si>
    <t>6.1.1.1.2</t>
  </si>
  <si>
    <t>Тип фасада FAC - 2.3, алюминиевый стоечно-ригельный фасад</t>
  </si>
  <si>
    <t>на отметках
0,000, до +6,650м.</t>
  </si>
  <si>
    <t>365</t>
  </si>
  <si>
    <t>366</t>
  </si>
  <si>
    <t>Тип 13 - Стоечно-ригельное структурное остекление.Светопрозрачное заполнение. (1 этаж)</t>
  </si>
  <si>
    <t>367</t>
  </si>
  <si>
    <t>Тип 14 - Стоечно-ригельное структурное остекление.
Непрозрачное заполнение. Покрытие стемалита RAL 7016. (1 этаж)</t>
  </si>
  <si>
    <t>368</t>
  </si>
  <si>
    <t>Тип 16 - Вентиляционная жалюзийная решетка с горизонтальными
ламелями в составе фасадной системы. Цвет решетки RAL 9007. (1 этаж)</t>
  </si>
  <si>
    <t>369</t>
  </si>
  <si>
    <t>6.1.1.1.3</t>
  </si>
  <si>
    <t>Тип фасада FAC - 7, алюминиевая теплая оконная система со скрытой створкой с ограждением в системе "французский балкон".</t>
  </si>
  <si>
    <t>Данный тип фасада размещен на типовых модулях, тип фасада FAC-1, FAC - 2.1</t>
  </si>
  <si>
    <t>370</t>
  </si>
  <si>
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</si>
  <si>
    <t>371</t>
  </si>
  <si>
    <t>6.1.1.1.4</t>
  </si>
  <si>
    <t>Тип фасада FAC - 8. Входные двери - алюминиевая теплая дверная система структурная с плоским порогом, тип открывания наружу, доводчик. Двери расположены на первом этаже,</t>
  </si>
  <si>
    <t>на отметках
 с 0,000 до +1,450м</t>
  </si>
  <si>
    <t>372</t>
  </si>
  <si>
    <t>Тип 17 - Алюминиевая теплая дверная система структурная в составе
фасадной системы, с плоским порогом. Наружные двери. Тип
открывания – распашная наружу. Цвет профиля RAL 7024 муар. (1 этаж)</t>
  </si>
  <si>
    <t>373</t>
  </si>
  <si>
    <t>6.1.1.1.5</t>
  </si>
  <si>
    <t>Тип фасада FAC - 1, модульное полуструктурное остекление.</t>
  </si>
  <si>
    <t>на отметках
c +6,650м до +14,550м</t>
  </si>
  <si>
    <t>374</t>
  </si>
  <si>
    <t>Тип 1.1 - Модульное полуструктурное остекление.
Светопрозрачное заполнение. Цвет профиля RAL 7024 муар</t>
  </si>
  <si>
    <t>375</t>
  </si>
  <si>
    <t>Тип 2.1 - Модульное полуструктурное остекление.
Непрозрачное заполнение. Покрытие стемалита RAL 7016.
Цвет профиля RAL 7024 муар</t>
  </si>
  <si>
    <t>376</t>
  </si>
  <si>
    <t>377</t>
  </si>
  <si>
    <t>6.1.2</t>
  </si>
  <si>
    <t>6.1.2. Устройство  заполнения (стекло, стемалит, кассеты в составе витража, решетки в составе витража и т.п.)</t>
  </si>
  <si>
    <t>Устройство  заполнения (стекло, стемалит, кассеты в составе витража, решетки в составе витража, и т.п.)</t>
  </si>
  <si>
    <t>378</t>
  </si>
  <si>
    <t>6.1.2.1</t>
  </si>
  <si>
    <t>379</t>
  </si>
  <si>
    <t>6.1.2.1.1</t>
  </si>
  <si>
    <t>380</t>
  </si>
  <si>
    <t>88.4 LartaPro HD Platinum 67(поз.4) термоупр. - 18Ar "теплый край"- 6 ExtraClear зак. - 16Ar "теплый край" - 8 LartaPro Premium T (поз.7) зак.</t>
  </si>
  <si>
    <t>381</t>
  </si>
  <si>
    <t>66.4 LartaPro HD Platinum 67(поз.4) термоупр. - 18 - 6 ExtraClear зак., RAL7016(поз. 6)</t>
  </si>
  <si>
    <t>382</t>
  </si>
  <si>
    <t>88.4 LartaPro HD Platinum 67(поз.2) термоупр</t>
  </si>
  <si>
    <t>383</t>
  </si>
  <si>
    <t>6.1.2.1.2</t>
  </si>
  <si>
    <t>Тип фасада FAC - 2.3, алюминиевый стоечно-ригельный фасад.</t>
  </si>
  <si>
    <t>384</t>
  </si>
  <si>
    <t>385</t>
  </si>
  <si>
    <t>1010.4(констр. пленка) LartaPro HD Platinum 67(поз.4) зак. - 18Ar "теплый край" - 8 ExtraClear зак. - 18Ar "теплый край" - 10 LartaPro Premium T(поз. 7) зак.</t>
  </si>
  <si>
    <t>386</t>
  </si>
  <si>
    <t>1010.4 LartaPro HD Platinum 67(поз.4) термоупр. - 16 AL "черная" - 8 ExtraClear зак. RAL(поз.6)</t>
  </si>
  <si>
    <t>387</t>
  </si>
  <si>
    <t>Вентиляционная жалюзийная решетка с горизонтальными ламелями</t>
  </si>
  <si>
    <t>388</t>
  </si>
  <si>
    <t>6.1.2.1.3</t>
  </si>
  <si>
    <t>389</t>
  </si>
  <si>
    <t>66.4 LartaPro HD Platinum 67(поз.4) термоупр. - 14Ar "теплый край" - 6 ExtraClear зак. - 14Ar "теплый край" - 6 LartaPro Premium T (поз.7) зак.</t>
  </si>
  <si>
    <t>390</t>
  </si>
  <si>
    <t>6.1.2.1.4</t>
  </si>
  <si>
    <t>391</t>
  </si>
  <si>
    <t>прозрачный стуктурный стеклопакет с зубом 76 мм - СПД 48 мм , 
8 LartaPro HD Platinum 67(поз.2) зак. - 14Ar "теплый край" - 6 ExtraClear зак. - 14Ar "теплый
край"- 6 LartaPro Premium T(поз. 5) зак.;</t>
  </si>
  <si>
    <t>392</t>
  </si>
  <si>
    <t>6.1.2.1.5</t>
  </si>
  <si>
    <t>393</t>
  </si>
  <si>
    <t>Формуды стеклопакетов :
66.4 LartaPro HD Platinum 67(поз.4) термоупр. - 14Ar "теплый край"- 6 ExtraClear зак. - 14r "теплый край" - 6 LartaPro Premium T (поз.7) зак.</t>
  </si>
  <si>
    <t>394</t>
  </si>
  <si>
    <t>88.4 LartaPro HD Platinum 67(поз.4) термоупр. - 18Ar "теплый край"- 6 ExtraClear зак. частичная окраска (поз.6) - 16Ar "теплый край" - 8 LartaPro Premium T (поз.7) зак. D49</t>
  </si>
  <si>
    <t>395</t>
  </si>
  <si>
    <t>Формуды стеклопакетов :
- 66.4 LartaPro HD Platinum 67(поз.4) термоупр. - 18 - 6 ExtraClear зак., RAL7016(поз. 6</t>
  </si>
  <si>
    <t>396</t>
  </si>
  <si>
    <t>Формуды стеклопакетов :
- 88.4 LartaPro HD Platinum 67(поз.2) термоупр</t>
  </si>
  <si>
    <t>397</t>
  </si>
  <si>
    <t>6.1.3</t>
  </si>
  <si>
    <t>6.1.3. Прочее (стеклянное ограждение , козырьки и т.п.)</t>
  </si>
  <si>
    <t>Прочее (стеклянное ограждение , козырьки и т.п.)</t>
  </si>
  <si>
    <t>398</t>
  </si>
  <si>
    <t>6.1.3.1</t>
  </si>
  <si>
    <t>399</t>
  </si>
  <si>
    <t>6.1.3.1.1</t>
  </si>
  <si>
    <t>Тип фасала FAC-4, цельностеклянные козырьки на зажимном профиле</t>
  </si>
  <si>
    <t>400</t>
  </si>
  <si>
    <t>Тип 19 - Стеклянный козырек на зажимном профиле над входными
группами. Цвет профиля RAL 7024 муар. (1 этаж)</t>
  </si>
  <si>
    <t>Стеклянный козырек на зажимном профиле над входными
группами. Цвет профиля RAL 7024 муар</t>
  </si>
  <si>
    <t>401</t>
  </si>
  <si>
    <t>6.1.3.1.2</t>
  </si>
  <si>
    <t>402</t>
  </si>
  <si>
    <t>Тип 7.2 - Система стеклянного ограждения французского балкона на
зажимном алюминиевом профиле. Цвет профиля RAL 7024 муар</t>
  </si>
  <si>
    <t>66.4 UltraClear термоупр.</t>
  </si>
  <si>
    <t>403</t>
  </si>
  <si>
    <t>6.2</t>
  </si>
  <si>
    <t>6.2. Светопрозрачные конструкции типового этажа</t>
  </si>
  <si>
    <t>Светопрозрачные конструкции типового этажа</t>
  </si>
  <si>
    <t>404</t>
  </si>
  <si>
    <t>6.2.1</t>
  </si>
  <si>
    <t>6.2.1. Устройство профильной системы (профиль, метизы, комплектующие, кронштейны и т.п.)</t>
  </si>
  <si>
    <t>405</t>
  </si>
  <si>
    <t>6.2.1.1</t>
  </si>
  <si>
    <t>Корпус 1</t>
  </si>
  <si>
    <t>406</t>
  </si>
  <si>
    <t>6.2.1.1.1</t>
  </si>
  <si>
    <t>Тип фасада FAC - 2.1, объемный алюминиевый стоечно-ригельный фасад, армированный стальной трубой</t>
  </si>
  <si>
    <t>на отметках
с +16,500м до +28,200м.</t>
  </si>
  <si>
    <t>407</t>
  </si>
  <si>
    <t>408</t>
  </si>
  <si>
    <t>409</t>
  </si>
  <si>
    <t>6.2.1.1.2</t>
  </si>
  <si>
    <t>Тип фасада FAC - 2.2, алюминиевый стоечно-ригельный фасад.</t>
  </si>
  <si>
    <t>Расположение -террасы. 4 этаж, +13,350м</t>
  </si>
  <si>
    <t>410</t>
  </si>
  <si>
    <t>411</t>
  </si>
  <si>
    <t>412</t>
  </si>
  <si>
    <t>6.2.1.1.3</t>
  </si>
  <si>
    <t>Тип фасада FAC - 2.4, алюминиевый стоечно-ригельный фасад. Расположение -короны.</t>
  </si>
  <si>
    <t>на отметках
С +44,800 до +51,200м</t>
  </si>
  <si>
    <t>413</t>
  </si>
  <si>
    <t>414</t>
  </si>
  <si>
    <t>415</t>
  </si>
  <si>
    <t>Тип 27 - Стоечно-ригельное структурное остекление. Светопрозрачное заполнение выше двух метров от уровня террасы. 
Цвет профиля RAL 7024 муар</t>
  </si>
  <si>
    <t>416</t>
  </si>
  <si>
    <t>6.2.1.1.4</t>
  </si>
  <si>
    <t>Тип фасада FAC - 7, алюминиевая теплая оконная система со скрытой створкой с ограждением в системе "французский балкон"</t>
  </si>
  <si>
    <t>тип фасада FAC-1.</t>
  </si>
  <si>
    <t>417</t>
  </si>
  <si>
    <t>418</t>
  </si>
  <si>
    <t>6.2.1.1.5</t>
  </si>
  <si>
    <t>Тип фасада FAC - 8. Выходы на террасы - алюминиевая теплая оконная система с плоским порогом</t>
  </si>
  <si>
    <t>тип фасада FAC -2.2.</t>
  </si>
  <si>
    <t>419</t>
  </si>
  <si>
    <t>Тип 8 - Алюминиевая теплая оконная система в составе фасадной
системы, с плоским порогом. Террасные двери. Тип открывания –
поворотный внутрь. Цвет профиля RAL 7024 муар</t>
  </si>
  <si>
    <t>420</t>
  </si>
  <si>
    <t>6.2.1.1.6</t>
  </si>
  <si>
    <t>Тип фасада FAC - 1, модульное полуструктурное остекление</t>
  </si>
  <si>
    <t>на отметках
c +16,500м до +46,200м.</t>
  </si>
  <si>
    <t>421</t>
  </si>
  <si>
    <t>Профильная система ;</t>
  </si>
  <si>
    <t>422</t>
  </si>
  <si>
    <t>423</t>
  </si>
  <si>
    <t>Тип 2.3 - Модульное полуструктурное остекление.
Непрозрачное заполнение с печатью. Сплошная печать RAL 7021.
Покрытие стемалита RAL 7016. Цвет профиля RAL 7024 муар</t>
  </si>
  <si>
    <t>424</t>
  </si>
  <si>
    <t>Тип 3 - Модульное полуструктурное остекление. Светопрозрачное
заполнение. Цвет профиля RAL 7024 муар</t>
  </si>
  <si>
    <t>425</t>
  </si>
  <si>
    <t>6.2.1.2</t>
  </si>
  <si>
    <t>Корпус 2</t>
  </si>
  <si>
    <t>426</t>
  </si>
  <si>
    <t>6.2.1.2.1</t>
  </si>
  <si>
    <t>Тип фасада FAC - 2.1, объемный алюминиевый стоечно-ригельный фасад, армированный стальной трубой. Расположение типа - подрезка углов башни.</t>
  </si>
  <si>
    <t>на отметках
с +6,150м до +14,450м.</t>
  </si>
  <si>
    <t>427</t>
  </si>
  <si>
    <t>428</t>
  </si>
  <si>
    <t>429</t>
  </si>
  <si>
    <t>6.2.1.2.2</t>
  </si>
  <si>
    <t>430</t>
  </si>
  <si>
    <t>431</t>
  </si>
  <si>
    <t>6.2.1.2.3</t>
  </si>
  <si>
    <t>432</t>
  </si>
  <si>
    <t>433</t>
  </si>
  <si>
    <t>434</t>
  </si>
  <si>
    <t>435</t>
  </si>
  <si>
    <t>6.2.1.3</t>
  </si>
  <si>
    <t>Корпус 3</t>
  </si>
  <si>
    <t>436</t>
  </si>
  <si>
    <t>6.2.1.3.1</t>
  </si>
  <si>
    <t>на отметках
с +16,500м до +28,200м; с +85,200м до +96,900м; с +147,600м до +159,300м</t>
  </si>
  <si>
    <t>437</t>
  </si>
  <si>
    <t>438</t>
  </si>
  <si>
    <t>439</t>
  </si>
  <si>
    <t>6.2.1.3.2</t>
  </si>
  <si>
    <t>Расположение -террасы. 4 этажа, +13,350м; 25 этажа, +82,050м;
44 этажа, +144,450м.</t>
  </si>
  <si>
    <t>440</t>
  </si>
  <si>
    <t>441</t>
  </si>
  <si>
    <t>442</t>
  </si>
  <si>
    <t>Тип 4 - Металлические панели с перфорацией для ниш кондиционеров в
составе фасадной системы. Цвет панели RAL 9007</t>
  </si>
  <si>
    <t>443</t>
  </si>
  <si>
    <t>6.2.1.3.3</t>
  </si>
  <si>
    <t>Тип фасада FAC - 2.4, алюминиевый стоечно-ригельный фасад.</t>
  </si>
  <si>
    <t>Расположение -короны. С +192,750 до +200,000м</t>
  </si>
  <si>
    <t>444</t>
  </si>
  <si>
    <t>445</t>
  </si>
  <si>
    <t>446</t>
  </si>
  <si>
    <t>447</t>
  </si>
  <si>
    <t>6.2.1.3.4</t>
  </si>
  <si>
    <t>Данный тип фасада размещен на типовых модулях, отметки смотри тип фасада FAC-1.</t>
  </si>
  <si>
    <t>448</t>
  </si>
  <si>
    <t>449</t>
  </si>
  <si>
    <t>6.2.1.3.5</t>
  </si>
  <si>
    <t>тип фасада FAC - 2.2.</t>
  </si>
  <si>
    <t>450</t>
  </si>
  <si>
    <t>451</t>
  </si>
  <si>
    <t>6.2.1.3.6</t>
  </si>
  <si>
    <t>на отметках
c +16,500м до 83,250м; с +85,200м до +145,650м; с +147,600м до +194,150м</t>
  </si>
  <si>
    <t>452</t>
  </si>
  <si>
    <t>453</t>
  </si>
  <si>
    <t>454</t>
  </si>
  <si>
    <t>455</t>
  </si>
  <si>
    <t>456</t>
  </si>
  <si>
    <t>6.2.1.4</t>
  </si>
  <si>
    <t>Корпус 4</t>
  </si>
  <si>
    <t>457</t>
  </si>
  <si>
    <t>6.2.1.4.1</t>
  </si>
  <si>
    <t>Тип фасада FAC - 2.1, объемный алюминиевый стоечно-ригельный фасад, армированный стальной трубой. Расположение типа - подрезка углов башни</t>
  </si>
  <si>
    <t>между отметками:
с +16,500м до +28,200м; с +50,550м до +62,250м;</t>
  </si>
  <si>
    <t>458</t>
  </si>
  <si>
    <t>459</t>
  </si>
  <si>
    <t>460</t>
  </si>
  <si>
    <t>6.2.1.4.2</t>
  </si>
  <si>
    <t>Тип фасада FAC - 2.2, алюминиевый стоечно-ригельный фасад.
Расположение -террасы</t>
  </si>
  <si>
    <t>на отметках:
4 этажа, +13,350м;
14 этажа, +47,400м</t>
  </si>
  <si>
    <t>461</t>
  </si>
  <si>
    <t>462</t>
  </si>
  <si>
    <t>463</t>
  </si>
  <si>
    <t>464</t>
  </si>
  <si>
    <t>6.2.1.4.3</t>
  </si>
  <si>
    <t>на отметках
С +192,750 до +200,000м</t>
  </si>
  <si>
    <t>465</t>
  </si>
  <si>
    <t>466</t>
  </si>
  <si>
    <t>467</t>
  </si>
  <si>
    <t>468</t>
  </si>
  <si>
    <t>6.2.1.4.4</t>
  </si>
  <si>
    <t>469</t>
  </si>
  <si>
    <t>470</t>
  </si>
  <si>
    <t>6.2.1.4.5</t>
  </si>
  <si>
    <t>Тип фасада FAC - 8. Выходы на террасы - алюминиевая теплая оконная система с плоским порогом.</t>
  </si>
  <si>
    <t>Отметки смотри тип фасада FAC - 2.2.</t>
  </si>
  <si>
    <t>471</t>
  </si>
  <si>
    <t>472</t>
  </si>
  <si>
    <t>6.2.1.4.6</t>
  </si>
  <si>
    <t>между отметками:
c +13,350м до +48,600м; с +50,550м до +98,300м.</t>
  </si>
  <si>
    <t>473</t>
  </si>
  <si>
    <t>474</t>
  </si>
  <si>
    <t>475</t>
  </si>
  <si>
    <t>476</t>
  </si>
  <si>
    <t>477</t>
  </si>
  <si>
    <t>6.2.2</t>
  </si>
  <si>
    <t>6.2.2. Устройство  заполнения (стекло, стемалит, кассеты в составе витража, решетки в составе витража и т.п.)</t>
  </si>
  <si>
    <t>478</t>
  </si>
  <si>
    <t>6.2.2.1</t>
  </si>
  <si>
    <t>479</t>
  </si>
  <si>
    <t>6.2.2.1.1</t>
  </si>
  <si>
    <t>480</t>
  </si>
  <si>
    <t>481</t>
  </si>
  <si>
    <t>482</t>
  </si>
  <si>
    <t>6.2.2.1.2</t>
  </si>
  <si>
    <t>483</t>
  </si>
  <si>
    <t>484</t>
  </si>
  <si>
    <t>485</t>
  </si>
  <si>
    <t>6.2.2.1.3</t>
  </si>
  <si>
    <t>Тип фасада FAC - 2.4, алюминиевый стоечно-ригельный фасад. .</t>
  </si>
  <si>
    <t>Расположение -короны  С +44,800 до +51,200м</t>
  </si>
  <si>
    <t>486</t>
  </si>
  <si>
    <t>66.4 UltraClear зак.</t>
  </si>
  <si>
    <t>487</t>
  </si>
  <si>
    <t>66.4 UltraClear термоупр., RAL 7016</t>
  </si>
  <si>
    <t>488</t>
  </si>
  <si>
    <t>489</t>
  </si>
  <si>
    <t>6.2.2.1.4</t>
  </si>
  <si>
    <t>490</t>
  </si>
  <si>
    <t>491</t>
  </si>
  <si>
    <t>6.2.2.1.5</t>
  </si>
  <si>
    <t>492</t>
  </si>
  <si>
    <t>8 LartaPro HD Platinum 67(поз.2) зак. - 14Ar "теплый край" - 6 ExtraClear зак. - 14Ar "теплый край" - 8 LartaPro Premium T(поз. 5) зак.</t>
  </si>
  <si>
    <t>493</t>
  </si>
  <si>
    <t>6.2.2.1.6</t>
  </si>
  <si>
    <t>494</t>
  </si>
  <si>
    <t>. Формуды стеклопакетов :
-88.4 LartaPro HD Platinum 67(поз.4) термоупр. - 18Ar "теплый край"- 6 ExtraClear зак. частичная окраска (поз.6) - 16Ar "теплый край" - 8 LartaPro Premium T (поз.7) зак.</t>
  </si>
  <si>
    <t>495</t>
  </si>
  <si>
    <t>66.4 LartaPro HD Platinum 67(поз.4) термоупр. - 14Ar "теплый край"- 6 ExtraClear зак. - 14Ar "теплый край" - 6 LartaPro Premium T (поз.7) зак.</t>
  </si>
  <si>
    <t>496</t>
  </si>
  <si>
    <t>Формуды стеклопакетов :
66.4 LartaPro HD Platinum 67(поз.4) термоупр. - 18 - 6 ExtraClear зак., RAL7016(поз. 6)</t>
  </si>
  <si>
    <t>497</t>
  </si>
  <si>
    <t>Формуды стеклопакетов :
66.4 RAL7024 (поз.2 на 1/2 ширины стекла согласно АР) LartaPro HD Platinum 67(поз.4) термоупр. - 18 - 6 ExtraClear зак., RAL7016(поз. 6)</t>
  </si>
  <si>
    <t>498</t>
  </si>
  <si>
    <t>. Формуды стеклопакетов :
88.4 LartaPro HD Platinum 67(поз.2) термоупр</t>
  </si>
  <si>
    <t>499</t>
  </si>
  <si>
    <t>6.2.2.2</t>
  </si>
  <si>
    <t>500</t>
  </si>
  <si>
    <t>6.2.2.2.1</t>
  </si>
  <si>
    <t>Тип фасада FAC - 2.1, объемный алюминиевый стоечно-ригельный фасад, армированный стальной трубой.</t>
  </si>
  <si>
    <t>Расположение типа - подрезка углов башни. с +6,150м до +14,450м.</t>
  </si>
  <si>
    <t>501</t>
  </si>
  <si>
    <t>502</t>
  </si>
  <si>
    <t>503</t>
  </si>
  <si>
    <t>6.2.2.2.2</t>
  </si>
  <si>
    <t>504</t>
  </si>
  <si>
    <t>505</t>
  </si>
  <si>
    <t>6.2.2.2.3</t>
  </si>
  <si>
    <t>506</t>
  </si>
  <si>
    <t>Формуды стеклопакетов :
- 66.4 LartaPro HD Platinum 67(поз.4) термоупр. - 14Ar "теплый край"- 6 ExtraClear зак. - 14Ar "теплый край" - 6 LartaPro Premium T (поз.7) зак. 
.</t>
  </si>
  <si>
    <t>507</t>
  </si>
  <si>
    <t>88.4 LartaPro HD Platinum 67(поз.4) термоупр. - 18Ar "теплый край"- 6 ExtraClear зак. частичная окраска (поз.6) - 16Ar "теплый край" - 8 LartaPro Premium T (поз.7) зак</t>
  </si>
  <si>
    <t>508</t>
  </si>
  <si>
    <t>509</t>
  </si>
  <si>
    <t>Формуды стеклопакетов :
88.4 LartaPro HD Platinum 67(поз.2) термоупр</t>
  </si>
  <si>
    <t>510</t>
  </si>
  <si>
    <t>6.2.2.3</t>
  </si>
  <si>
    <t>511</t>
  </si>
  <si>
    <t>6.2.2.3.1</t>
  </si>
  <si>
    <t>Расположение типа - подрезка углов башни. с +16,500м до +28,200м; с +85,200м до +96,900м; с +147,600м до +159,300м</t>
  </si>
  <si>
    <t>512</t>
  </si>
  <si>
    <t>513</t>
  </si>
  <si>
    <t>514</t>
  </si>
  <si>
    <t>6.2.2.3.2</t>
  </si>
  <si>
    <t>515</t>
  </si>
  <si>
    <t>516</t>
  </si>
  <si>
    <t>517</t>
  </si>
  <si>
    <t>Просечно-вытяжная сетка</t>
  </si>
  <si>
    <t>518</t>
  </si>
  <si>
    <t>6.2.2.3.3</t>
  </si>
  <si>
    <t>Тип фасада FAC - 2.4, алюминиевый стоечно-ригельный фасад</t>
  </si>
  <si>
    <t>519</t>
  </si>
  <si>
    <t>520</t>
  </si>
  <si>
    <t>521</t>
  </si>
  <si>
    <t>522</t>
  </si>
  <si>
    <t>6.2.2.3.4</t>
  </si>
  <si>
    <t>523</t>
  </si>
  <si>
    <t>524</t>
  </si>
  <si>
    <t>6.2.2.3.5</t>
  </si>
  <si>
    <t>525</t>
  </si>
  <si>
    <t>526</t>
  </si>
  <si>
    <t>6.2.2.3.6</t>
  </si>
  <si>
    <t>527</t>
  </si>
  <si>
    <t>. Формуды стеклопакетов :
 88.4 LartaPro HD Platinum 67(поз.4) термоупр. - 18Ar "теплый край"- 6 ExtraClear зак. частичная окраска (поз.6) - 16Ar "теплый край" - 8 LartaPro Premium T (поз.7) зак.</t>
  </si>
  <si>
    <t>528</t>
  </si>
  <si>
    <t>529</t>
  </si>
  <si>
    <t>Формуды стеклопакетов :
 66.4 RAL7024 (поз.2 на 1/2 ширины стекла согласно АР) LartaPro HD Platinum 67(поз.4) термоупр. - 18 - 6 ExtraClear зак., RAL7016(поз. 6)</t>
  </si>
  <si>
    <t>530</t>
  </si>
  <si>
    <t>531</t>
  </si>
  <si>
    <t>6.2.2.4</t>
  </si>
  <si>
    <t>532</t>
  </si>
  <si>
    <t>6.2.2.4.1</t>
  </si>
  <si>
    <t>Расположение типа - подрезка углов башни между отметками:
с +16,500м до +28,200м; с +50,550м до +62,250м;</t>
  </si>
  <si>
    <t>533</t>
  </si>
  <si>
    <t>534</t>
  </si>
  <si>
    <t>535</t>
  </si>
  <si>
    <t>6.2.2.4.2</t>
  </si>
  <si>
    <t>Расположение -террасы на отметках:
4 этажа, +13,350м;
14 этажа, +47,400м</t>
  </si>
  <si>
    <t>536</t>
  </si>
  <si>
    <t>537</t>
  </si>
  <si>
    <t>538</t>
  </si>
  <si>
    <t>539</t>
  </si>
  <si>
    <t>6.2.2.4.3</t>
  </si>
  <si>
    <t>540</t>
  </si>
  <si>
    <t>541</t>
  </si>
  <si>
    <t>542</t>
  </si>
  <si>
    <t>543</t>
  </si>
  <si>
    <t>6.2.2.4.4</t>
  </si>
  <si>
    <t>Тип фасада FAC - 7, алюминиевая теплая оконная система со скрытой створкой с ограждением в системе "французский балкон". 1.</t>
  </si>
  <si>
    <t>Данный тип фасада размещен на типовых модулях, отметки смотри тип фасада FAC-</t>
  </si>
  <si>
    <t>544</t>
  </si>
  <si>
    <t>545</t>
  </si>
  <si>
    <t>6.2.2.4.5</t>
  </si>
  <si>
    <t>546</t>
  </si>
  <si>
    <t>547</t>
  </si>
  <si>
    <t>6.2.2.4.6</t>
  </si>
  <si>
    <t>548</t>
  </si>
  <si>
    <t>Формуды стеклопакетов :
-  88.4 LartaPro HD Platinum 67(поз.4) термоупр. - 18Ar "теплый край"- 6 ExtraClear зак. частичная окраска (поз.6) - 16Ar "теплый край" - 8 LartaPro Premium T (поз.7) зак.</t>
  </si>
  <si>
    <t>549</t>
  </si>
  <si>
    <t>550</t>
  </si>
  <si>
    <t>551</t>
  </si>
  <si>
    <t>. Формуды стеклопакетов :
66.4 RAL7024 (поз.2 на 1/2 ширины стекла согласно АР) LartaPro HD Platinum 67(поз.4) термоупр. - 18 - 6 ExtraClear зак., RAL7016(поз. 6)</t>
  </si>
  <si>
    <t>552</t>
  </si>
  <si>
    <t>553</t>
  </si>
  <si>
    <t>6.2.3</t>
  </si>
  <si>
    <t>6.2.3. Прочее (стеклянное ограждение , козырьки и т.п.)</t>
  </si>
  <si>
    <t>554</t>
  </si>
  <si>
    <t>6.2.3.1</t>
  </si>
  <si>
    <t>555</t>
  </si>
  <si>
    <t>6.2.3.1.1</t>
  </si>
  <si>
    <t>556</t>
  </si>
  <si>
    <t>557</t>
  </si>
  <si>
    <t>6.2.3.2</t>
  </si>
  <si>
    <t>558</t>
  </si>
  <si>
    <t>6.2.3.2.1</t>
  </si>
  <si>
    <t>559</t>
  </si>
  <si>
    <t>560</t>
  </si>
  <si>
    <t>6.2.3.3</t>
  </si>
  <si>
    <t>561</t>
  </si>
  <si>
    <t>6.2.3.3.1</t>
  </si>
  <si>
    <t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отметки смотри</t>
  </si>
  <si>
    <t>отметки смотри  тип фасада FAC-1.</t>
  </si>
  <si>
    <t>562</t>
  </si>
  <si>
    <t>563</t>
  </si>
  <si>
    <t>6.2.3.4</t>
  </si>
  <si>
    <t>564</t>
  </si>
  <si>
    <t>6.2.3.4.1</t>
  </si>
  <si>
    <t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.</t>
  </si>
  <si>
    <t>отметки смотри тип фасада FAC-1</t>
  </si>
  <si>
    <t>565</t>
  </si>
  <si>
    <t>566</t>
  </si>
  <si>
    <t>6.3</t>
  </si>
  <si>
    <t>6.3. Устройство навесного фасада 1 этажа</t>
  </si>
  <si>
    <t>Устройство навесного фасада 1 этажа</t>
  </si>
  <si>
    <t>567</t>
  </si>
  <si>
    <t>6.3.1</t>
  </si>
  <si>
    <t>6.3.1. Устройство подсистемы фасада (в т.ч. Кронштейны, направляющие)</t>
  </si>
  <si>
    <t>Устройство подсистемы фасада (в т.ч. Кронштейны, направляющие)</t>
  </si>
  <si>
    <t>568</t>
  </si>
  <si>
    <t>6.3.1.1</t>
  </si>
  <si>
    <t>569</t>
  </si>
  <si>
    <t>6.3.1.1.1</t>
  </si>
  <si>
    <t>Тип фасада FAC - 3.1, навесной вентилируемый фасад с облицовкой алюминиевыми панелями RAL 7024 муар.</t>
  </si>
  <si>
    <t>Расположение - арки стилобата на отметке -0,100, в осях, ("16" - "18"), ("3.8" - "3.3"), ("2.Г" - "2.А"), ("2.А" - "2.Г").</t>
  </si>
  <si>
    <t>570</t>
  </si>
  <si>
    <t>Тип 15 - Навесная вентилируемая фасадная система с отделкой из
алюминиевых панелей. Цвет RAL 7024 муар. (1 этаж)</t>
  </si>
  <si>
    <t>Устройство подсистемы фасада</t>
  </si>
  <si>
    <t>571</t>
  </si>
  <si>
    <t>6.3.1.1.2</t>
  </si>
  <si>
    <t>Тип фасада FAC - 3.2, облицовка горизонтальных участков фасада подрезки FAC-2 листом Ornamita зеркало 8К черное.</t>
  </si>
  <si>
    <t>Расположение типа - подрезка углов стилобата. +6,150м, 9,100м</t>
  </si>
  <si>
    <t>572</t>
  </si>
  <si>
    <t>Тип 6 - Навесная вентилируемая фасадная система
(ступенчатая подрезка угла). Покрытие Ornamita Зеркало 8К черное  ( Цвет покрытия - черный )</t>
  </si>
  <si>
    <t>573</t>
  </si>
  <si>
    <t>6.3.1.1.3</t>
  </si>
  <si>
    <t>Тип фасада FAC - 5.1, горизонтальные ламели составные из алюминиевых профилей с встроенной подсветкой.</t>
  </si>
  <si>
    <t>на отметке : 
 с +5,050м по +14,550м.</t>
  </si>
  <si>
    <t>574</t>
  </si>
  <si>
    <t>Тип 10 - Горизонтальные ламели составные из алюминиевых профилей. Цвет профиля RAL 9016 муар</t>
  </si>
  <si>
    <t>575</t>
  </si>
  <si>
    <t>6.3.1.1.4</t>
  </si>
  <si>
    <t>Тип фасада FAC - 5.2, вертикальные ламели из алюминиевых профилей с встроенной подсветкой на первом этаже стилобата,</t>
  </si>
  <si>
    <t>на отметке: 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t>
  </si>
  <si>
    <t>576</t>
  </si>
  <si>
    <t>Тип 18 - Вертикальные ламели составные из алюминиевых профилей.
Цвет профиля RAL 9016 муар (1 этаж)</t>
  </si>
  <si>
    <t>577</t>
  </si>
  <si>
    <t>6.3.1.1.5</t>
  </si>
  <si>
    <t>578</t>
  </si>
  <si>
    <t>1. Просечно-вытяжная сетка  , Цвет панели RAL 9007</t>
  </si>
  <si>
    <t>579</t>
  </si>
  <si>
    <t>6.3.2</t>
  </si>
  <si>
    <t>6.3.2. Устройство утеплителя, ветро и влагозащита</t>
  </si>
  <si>
    <t>Устройство утеплителя, ветро и влагозащита</t>
  </si>
  <si>
    <t>580</t>
  </si>
  <si>
    <t>6.3.2.1</t>
  </si>
  <si>
    <t>581</t>
  </si>
  <si>
    <t>6.3.2.1.1</t>
  </si>
  <si>
    <t>582</t>
  </si>
  <si>
    <t>583</t>
  </si>
  <si>
    <t>6.3.2.1.2</t>
  </si>
  <si>
    <t>584</t>
  </si>
  <si>
    <t>585</t>
  </si>
  <si>
    <t>6.3.2.1.3</t>
  </si>
  <si>
    <t>586</t>
  </si>
  <si>
    <t>587</t>
  </si>
  <si>
    <t>6.3.2.1.4</t>
  </si>
  <si>
    <t>588</t>
  </si>
  <si>
    <t>589</t>
  </si>
  <si>
    <t>6.3.3</t>
  </si>
  <si>
    <t>6.3.3. Устройство облицовки фасада (камень, плитка, облицовочные панели, вентиляционные решетки)</t>
  </si>
  <si>
    <t>Устройство облицовки фасада (камень, плитка, облицовочные панели, вентиляционные решетки)</t>
  </si>
  <si>
    <t>590</t>
  </si>
  <si>
    <t>6.3.3.1</t>
  </si>
  <si>
    <t>591</t>
  </si>
  <si>
    <t>6.3.3.1.1</t>
  </si>
  <si>
    <t>592</t>
  </si>
  <si>
    <t>Алюминиевых панелей. Цвет RAL 7024 муар</t>
  </si>
  <si>
    <t>593</t>
  </si>
  <si>
    <t>6.3.3.1.2</t>
  </si>
  <si>
    <t>594</t>
  </si>
  <si>
    <t>Лист  из нержавеющей стали Ornamita зеркало 8К  ( Цвет покрытия - черный )</t>
  </si>
  <si>
    <t>595</t>
  </si>
  <si>
    <t>6.3.3.1.3</t>
  </si>
  <si>
    <t>596</t>
  </si>
  <si>
    <t>Ламели составные из алюминиевых профилей с
встроенной подсветкой. , цвет профиля RAL 9016 муар</t>
  </si>
  <si>
    <t>597</t>
  </si>
  <si>
    <t>6.3.3.1.4</t>
  </si>
  <si>
    <t>598</t>
  </si>
  <si>
    <t>599</t>
  </si>
  <si>
    <t>6.3.3.1.5</t>
  </si>
  <si>
    <t>600</t>
  </si>
  <si>
    <t>601</t>
  </si>
  <si>
    <t>6.4</t>
  </si>
  <si>
    <t>6.4. Устройство навесного фасада типового этажа</t>
  </si>
  <si>
    <t>Устройство навесного фасада типового этажа</t>
  </si>
  <si>
    <t>602</t>
  </si>
  <si>
    <t>6.4.1</t>
  </si>
  <si>
    <t>6.4.1. Устройство подсистемы фасада (в т.ч. кронштейны, направляющие)</t>
  </si>
  <si>
    <t>603</t>
  </si>
  <si>
    <t>6.4.1.1</t>
  </si>
  <si>
    <t>604</t>
  </si>
  <si>
    <t>6.4.1.1.1</t>
  </si>
  <si>
    <t>Тип фасада FAC - 3.2, облицовка горизонтальных участков фасада подрезки FAC-2 листом Ornamita зеркало 8К черное. Расположение типа - подрезка углов башни.</t>
  </si>
  <si>
    <t>на отметках:
+16,500м; +17,600м; +19,200м; +20,900м; +22,500м; +24,200м; +25,650м; +27,350м.</t>
  </si>
  <si>
    <t>605</t>
  </si>
  <si>
    <t>Тип 6 - Навесная вентилируемая фасадная система
(ступенчатая подрезка угла). Покрытие Ornamita Зеркало 8К черное</t>
  </si>
  <si>
    <t>606</t>
  </si>
  <si>
    <t>6.4.1.1.2</t>
  </si>
  <si>
    <t>на отметках : 
с +16,500м по +46,200м.</t>
  </si>
  <si>
    <t>607</t>
  </si>
  <si>
    <t>Тип 10 - Горизонтальные ламели составные из алюминиевых профилей.
Цвет профиля RAL 9016 муар</t>
  </si>
  <si>
    <t>608</t>
  </si>
  <si>
    <t>6.4.1.1.3</t>
  </si>
  <si>
    <t>Тип фасада FAC - 5.3, горизонтальные ламели составные из алюминиевых профилей с встроенной подсветкой.</t>
  </si>
  <si>
    <t>на отметках :
 с +44,800м по +51,200м.</t>
  </si>
  <si>
    <t>609</t>
  </si>
  <si>
    <t>Тип 28 - Горизонтальные ламели составные из алюминиевых профилей.
Цвет профиля RAL 9016 муар</t>
  </si>
  <si>
    <t>610</t>
  </si>
  <si>
    <t>6.4.1.1.4</t>
  </si>
  <si>
    <t>611</t>
  </si>
  <si>
    <t>612</t>
  </si>
  <si>
    <t>6.4.1.2</t>
  </si>
  <si>
    <t>613</t>
  </si>
  <si>
    <t>6.4.1.2.1</t>
  </si>
  <si>
    <t>на отметках :
+10,600м; +13,750м.</t>
  </si>
  <si>
    <t>614</t>
  </si>
  <si>
    <t>615</t>
  </si>
  <si>
    <t>6.4.1.2.2</t>
  </si>
  <si>
    <t>Тип фасада FAC - 5.1, горизонтальные ламели составные из алюминиевых профилей с встроенной подсветкой</t>
  </si>
  <si>
    <t>на отметках : 
 с +9,000м по +26,300м.</t>
  </si>
  <si>
    <t>616</t>
  </si>
  <si>
    <t>617</t>
  </si>
  <si>
    <t>6.4.1.2.3</t>
  </si>
  <si>
    <t>618</t>
  </si>
  <si>
    <t>619</t>
  </si>
  <si>
    <t>6.4.1.3</t>
  </si>
  <si>
    <t>620</t>
  </si>
  <si>
    <t>6.4.1.3.1</t>
  </si>
  <si>
    <t>Тип фасада FAC - 3.2, облицовка горизонтальных участков фасада подрезки FAC-2 листом Ornamita зеркало 8К черное. Расположение типа - подрезка углов башни</t>
  </si>
  <si>
    <t>на отметках:
+16,500м; +17,600м; +19,200м; +20,900м; +22,500м; +24,200м; +25,650м; +27,350м.
+85,200м; +86,300м; +87,900м; +89,600м; +91,200м; +92,900м; +94,350м; +96,050м.
+147,600м; +148,700м; +150,300м; +152,000м; +153,600м; +155,300м; +156,750м; +158,450м</t>
  </si>
  <si>
    <t>621</t>
  </si>
  <si>
    <t>622</t>
  </si>
  <si>
    <t>6.4.1.3.2</t>
  </si>
  <si>
    <t>на отметках:
с +16,500м по +194,150м.</t>
  </si>
  <si>
    <t>623</t>
  </si>
  <si>
    <t>624</t>
  </si>
  <si>
    <t>6.4.1.3.3</t>
  </si>
  <si>
    <t>на отметках 
с +44,800м по +51,200м.</t>
  </si>
  <si>
    <t>625</t>
  </si>
  <si>
    <t>626</t>
  </si>
  <si>
    <t>6.4.1.3.4</t>
  </si>
  <si>
    <t>627</t>
  </si>
  <si>
    <t>628</t>
  </si>
  <si>
    <t>Тип 5 - Металлические панели с перфорацией для бризера в составе
фасадной системы. Цвет панели RAL 9007</t>
  </si>
  <si>
    <t>629</t>
  </si>
  <si>
    <t>6.4.1.4</t>
  </si>
  <si>
    <t>630</t>
  </si>
  <si>
    <t>6.4.1.4.1</t>
  </si>
  <si>
    <t>на отметках:
+16,500м; +17,600м; +19,200м; +20,900м; +22,500м; +24,200м; +25,650м; +27,350м.
+50,550м; +51,650м; +53,250м; +54,950м; +56,550м; +58,250м; +59,700м; +61,400м.</t>
  </si>
  <si>
    <t>631</t>
  </si>
  <si>
    <t>632</t>
  </si>
  <si>
    <t>6.4.1.4.2</t>
  </si>
  <si>
    <t>на отметках:
с +16,500м по +98,300м.</t>
  </si>
  <si>
    <t>633</t>
  </si>
  <si>
    <t>634</t>
  </si>
  <si>
    <t>6.4.1.4.3</t>
  </si>
  <si>
    <t>на отметках: 
+96,900м по +103,800м.</t>
  </si>
  <si>
    <t>635</t>
  </si>
  <si>
    <t>636</t>
  </si>
  <si>
    <t>6.4.1.4.4</t>
  </si>
  <si>
    <t>637</t>
  </si>
  <si>
    <t>638</t>
  </si>
  <si>
    <t>6.4.2</t>
  </si>
  <si>
    <t>6.4.2. Устройство утеплителя, ветро и влагозащита</t>
  </si>
  <si>
    <t>639</t>
  </si>
  <si>
    <t>6.4.2.1</t>
  </si>
  <si>
    <t>640</t>
  </si>
  <si>
    <t>6.4.2.1.1</t>
  </si>
  <si>
    <t>641</t>
  </si>
  <si>
    <t>642</t>
  </si>
  <si>
    <t>6.4.2.1.2</t>
  </si>
  <si>
    <t>643</t>
  </si>
  <si>
    <t>644</t>
  </si>
  <si>
    <t>6.4.2.1.3</t>
  </si>
  <si>
    <t>645</t>
  </si>
  <si>
    <t>646</t>
  </si>
  <si>
    <t>6.4.2.2</t>
  </si>
  <si>
    <t>647</t>
  </si>
  <si>
    <t>6.4.2.2.1</t>
  </si>
  <si>
    <t>648</t>
  </si>
  <si>
    <t>649</t>
  </si>
  <si>
    <t>6.4.2.2.2</t>
  </si>
  <si>
    <t>650</t>
  </si>
  <si>
    <t>651</t>
  </si>
  <si>
    <t>6.4.2.3</t>
  </si>
  <si>
    <t>652</t>
  </si>
  <si>
    <t>6.4.2.3.1</t>
  </si>
  <si>
    <t>653</t>
  </si>
  <si>
    <t>654</t>
  </si>
  <si>
    <t>6.4.2.3.2</t>
  </si>
  <si>
    <t>655</t>
  </si>
  <si>
    <t>656</t>
  </si>
  <si>
    <t>6.4.2.3.3</t>
  </si>
  <si>
    <t>657</t>
  </si>
  <si>
    <t>658</t>
  </si>
  <si>
    <t>6.4.2.4</t>
  </si>
  <si>
    <t>659</t>
  </si>
  <si>
    <t>6.4.2.4.1</t>
  </si>
  <si>
    <t>660</t>
  </si>
  <si>
    <t>661</t>
  </si>
  <si>
    <t>6.4.2.4.2</t>
  </si>
  <si>
    <t>662</t>
  </si>
  <si>
    <t>663</t>
  </si>
  <si>
    <t>6.4.2.4.3</t>
  </si>
  <si>
    <t>664</t>
  </si>
  <si>
    <t>665</t>
  </si>
  <si>
    <t>6.4.3</t>
  </si>
  <si>
    <t>6.4.3. Устройство облицовки фасада (камень, плитка, облицовочные панели, стемолит, вентиляционные решетки)</t>
  </si>
  <si>
    <t>Устройство облицовки фасада (камень, плитка, облицовочные панели, стемалит, вентиляционные решетки)</t>
  </si>
  <si>
    <t>666</t>
  </si>
  <si>
    <t>6.4.3.1</t>
  </si>
  <si>
    <t>667</t>
  </si>
  <si>
    <t>6.4.3.1.1</t>
  </si>
  <si>
    <t>668</t>
  </si>
  <si>
    <t>669</t>
  </si>
  <si>
    <t>6.4.3.1.2</t>
  </si>
  <si>
    <t>670</t>
  </si>
  <si>
    <t>671</t>
  </si>
  <si>
    <t>6.4.3.1.3</t>
  </si>
  <si>
    <t>672</t>
  </si>
  <si>
    <t>673</t>
  </si>
  <si>
    <t>6.4.3.1.4</t>
  </si>
  <si>
    <t>674</t>
  </si>
  <si>
    <t>675</t>
  </si>
  <si>
    <t>6.4.3.2</t>
  </si>
  <si>
    <t>676</t>
  </si>
  <si>
    <t>6.4.3.2.1</t>
  </si>
  <si>
    <t>677</t>
  </si>
  <si>
    <t>678</t>
  </si>
  <si>
    <t>6.4.3.2.2</t>
  </si>
  <si>
    <t>679</t>
  </si>
  <si>
    <t>680</t>
  </si>
  <si>
    <t>6.4.3.2.3</t>
  </si>
  <si>
    <t>681</t>
  </si>
  <si>
    <t>682</t>
  </si>
  <si>
    <t>6.4.3.3</t>
  </si>
  <si>
    <t>683</t>
  </si>
  <si>
    <t>6.4.3.3.1</t>
  </si>
  <si>
    <t>684</t>
  </si>
  <si>
    <t>685</t>
  </si>
  <si>
    <t>6.4.3.3.2</t>
  </si>
  <si>
    <t>686</t>
  </si>
  <si>
    <t>687</t>
  </si>
  <si>
    <t>6.4.3.3.3</t>
  </si>
  <si>
    <t>688</t>
  </si>
  <si>
    <t>689</t>
  </si>
  <si>
    <t>6.4.3.3.4</t>
  </si>
  <si>
    <t>690</t>
  </si>
  <si>
    <t>691</t>
  </si>
  <si>
    <t>692</t>
  </si>
  <si>
    <t>6.4.3.4</t>
  </si>
  <si>
    <t>693</t>
  </si>
  <si>
    <t>6.4.3.4.1</t>
  </si>
  <si>
    <t>694</t>
  </si>
  <si>
    <t>695</t>
  </si>
  <si>
    <t>6.4.3.4.2</t>
  </si>
  <si>
    <t>696</t>
  </si>
  <si>
    <t>697</t>
  </si>
  <si>
    <t>6.4.3.4.3</t>
  </si>
  <si>
    <t>698</t>
  </si>
  <si>
    <t>699</t>
  </si>
  <si>
    <t>6.4.3.4.4</t>
  </si>
  <si>
    <t>700</t>
  </si>
  <si>
    <t>701</t>
  </si>
  <si>
    <t>6.5</t>
  </si>
  <si>
    <t>6.5. Устройство модульного фасада</t>
  </si>
  <si>
    <t>Устройство модульного фасада</t>
  </si>
  <si>
    <t>702</t>
  </si>
  <si>
    <t>6.5.1</t>
  </si>
  <si>
    <t>6.5.1. Устройство  несущих кронштейнов</t>
  </si>
  <si>
    <t>Устроство  несущих кронштейнов</t>
  </si>
  <si>
    <t>703</t>
  </si>
  <si>
    <t>704</t>
  </si>
  <si>
    <t>6.5.2</t>
  </si>
  <si>
    <t>6.5.2. Устройство профильной системы/заполнения модуля</t>
  </si>
  <si>
    <t>Устройство профильной системы/заполнения модуля</t>
  </si>
  <si>
    <t>705</t>
  </si>
  <si>
    <t>706</t>
  </si>
  <si>
    <t>6.5.3</t>
  </si>
  <si>
    <t>6.5.3. Прочие модульные элементы</t>
  </si>
  <si>
    <t>Декоративные элементы (прочее)</t>
  </si>
  <si>
    <t>707</t>
  </si>
  <si>
    <t>708</t>
  </si>
  <si>
    <t>6.6</t>
  </si>
  <si>
    <t>6.6. Система обслуживания фасадов</t>
  </si>
  <si>
    <t>СОФ</t>
  </si>
  <si>
    <t>709</t>
  </si>
  <si>
    <t>Разработка РД</t>
  </si>
  <si>
    <t>710</t>
  </si>
  <si>
    <t>Монтаж системы обслуцживаня фасадов</t>
  </si>
  <si>
    <t>711</t>
  </si>
  <si>
    <t>6.7</t>
  </si>
  <si>
    <t>6.7. Устройство мокрого фасада</t>
  </si>
  <si>
    <t>Устройство мокрого фасада</t>
  </si>
  <si>
    <t>712</t>
  </si>
  <si>
    <t>6.7.1</t>
  </si>
  <si>
    <t>6.7.1. Устройство  утеплителя (крепления, клей, грунтовка)</t>
  </si>
  <si>
    <t>Устройство  утеплителя (крепления, клей, грунтовка)</t>
  </si>
  <si>
    <t>713</t>
  </si>
  <si>
    <t>714</t>
  </si>
  <si>
    <t>6.7.2</t>
  </si>
  <si>
    <t>6.7.2. Устройство декоративной штукатурки по сетке (клей, сетка)</t>
  </si>
  <si>
    <t>Устройство декоративной штукатурки по сетке (клей, сетка)</t>
  </si>
  <si>
    <t>715</t>
  </si>
  <si>
    <t>716</t>
  </si>
  <si>
    <t>6.7.3</t>
  </si>
  <si>
    <t>6.7.3. Окраска финишного покрытия (грунтовка, окраска)</t>
  </si>
  <si>
    <t>Окраска финишного покрытия (грунтовка, окраска)</t>
  </si>
  <si>
    <t>717</t>
  </si>
  <si>
    <t>718</t>
  </si>
  <si>
    <t>6.8</t>
  </si>
  <si>
    <t>6.10. Декоративные элементы и другие</t>
  </si>
  <si>
    <t>Декоративные элементы и другие</t>
  </si>
  <si>
    <t>719</t>
  </si>
  <si>
    <t>6.8.1</t>
  </si>
  <si>
    <t>6.10.1. Устройство металлических ограждений балконов / террас</t>
  </si>
  <si>
    <t>Устройство металлических ограждений балков /терасс</t>
  </si>
  <si>
    <t>720</t>
  </si>
  <si>
    <t>721</t>
  </si>
  <si>
    <t>6.8.2</t>
  </si>
  <si>
    <t>6.10.2. Устройство несущей конструкции шумозащитного экрана</t>
  </si>
  <si>
    <t>Устройство несущей конструкции шумозащитного экрана</t>
  </si>
  <si>
    <t>722</t>
  </si>
  <si>
    <t>723</t>
  </si>
  <si>
    <t>6.8.3</t>
  </si>
  <si>
    <t>6.10.3. Устройство финишной облицовки шумозащитного экрана</t>
  </si>
  <si>
    <t>Устройство финишной облицовки шумозащитного экрана</t>
  </si>
  <si>
    <t>724</t>
  </si>
  <si>
    <t>725</t>
  </si>
  <si>
    <t>6.8.4</t>
  </si>
  <si>
    <t>6.10.4. Отделка парапета (внутреняя)</t>
  </si>
  <si>
    <t>Отделка парапета (внутреняя)</t>
  </si>
  <si>
    <t>726</t>
  </si>
  <si>
    <t>727</t>
  </si>
  <si>
    <t>6.8.5</t>
  </si>
  <si>
    <t>6.10.5. Устройство крышки парапета</t>
  </si>
  <si>
    <t>Устройство крышки парапета</t>
  </si>
  <si>
    <t>728</t>
  </si>
  <si>
    <t>729</t>
  </si>
  <si>
    <t>6.8.6</t>
  </si>
  <si>
    <t>6.10.6. Устройство откосов</t>
  </si>
  <si>
    <t>Устройство откосов</t>
  </si>
  <si>
    <t>730</t>
  </si>
  <si>
    <t>731</t>
  </si>
  <si>
    <t>6.8.7</t>
  </si>
  <si>
    <t>6.10.7. Устройство отливов</t>
  </si>
  <si>
    <t>Устройство отливов</t>
  </si>
  <si>
    <t>732</t>
  </si>
  <si>
    <t>733</t>
  </si>
  <si>
    <t>6.9</t>
  </si>
  <si>
    <t>6.99. Прочее (фасады)</t>
  </si>
  <si>
    <t>Прочее</t>
  </si>
  <si>
    <t>734</t>
  </si>
  <si>
    <t>Тип 9 - Алюминиевая теплая дверная система структурная в составе
фасадной системы, с плоским порогом. Наружные двери. Тип
открывания – раздвижная. Цвет профиля RAL 7024 муар. (1 этаж)</t>
  </si>
  <si>
    <t>735</t>
  </si>
  <si>
    <t>Тип 11 - Штукатурка в зоне технических ниш для кондиционеров и выходов на кровлю.
Цвет RAL 7024 муар</t>
  </si>
  <si>
    <t>736</t>
  </si>
  <si>
    <t>Тип 12 - Фасадная ламельная система из алюминия. Цвет RAL 7024 муар</t>
  </si>
  <si>
    <t>737</t>
  </si>
  <si>
    <t>Тип 22 - Вывески над входными группами.
Скрытое крепление. (1 этаж)</t>
  </si>
  <si>
    <t>738</t>
  </si>
  <si>
    <t>Тип 23 - Указатель наименования улицы и номер дома.</t>
  </si>
  <si>
    <t>739</t>
  </si>
  <si>
    <t>Тип 24 - Место установки кронштейна для флагов  (кронштейн)</t>
  </si>
  <si>
    <t>740</t>
  </si>
  <si>
    <t>FAC-6 - Террасные ограждения между террасами разных квартир</t>
  </si>
  <si>
    <t>741</t>
  </si>
  <si>
    <t>7. Кровля</t>
  </si>
  <si>
    <t>Устройство кровли</t>
  </si>
  <si>
    <t>742</t>
  </si>
  <si>
    <t>7.1</t>
  </si>
  <si>
    <t>7.1. Устройство кровли подземной части/стилобата (пирог кровли под финишное покрытие благоустройства)</t>
  </si>
  <si>
    <t>Устройство кровли над подземной автостоянкой</t>
  </si>
  <si>
    <t>743</t>
  </si>
  <si>
    <t>7.1.1</t>
  </si>
  <si>
    <t>Устройство кровли над подземной автостоянкой. Кровля паркинга Тип К-6</t>
  </si>
  <si>
    <t>744</t>
  </si>
  <si>
    <t>Дренажная профилированная мембрана - 10 мм</t>
  </si>
  <si>
    <t>745</t>
  </si>
  <si>
    <t>Экструдированныйпенополистирол Carbon Prof - 100 мм</t>
  </si>
  <si>
    <t>746</t>
  </si>
  <si>
    <t>Битумная гидроизоляция Техноэласт ЭПП или аналог 2 слоя - 10 мм</t>
  </si>
  <si>
    <t>747</t>
  </si>
  <si>
    <t>Праймер битумный Технониколь</t>
  </si>
  <si>
    <t>748</t>
  </si>
  <si>
    <t>Армированная цепог.месчаная стяжка - 50 мм</t>
  </si>
  <si>
    <t>749</t>
  </si>
  <si>
    <t>Плёнка ПВХ 200 мкм 1 слой</t>
  </si>
  <si>
    <t>750</t>
  </si>
  <si>
    <t>Уклонообразующий слой из керамзитобетона 800 кг/м³, мин уклон 1% - 50-500 мм</t>
  </si>
  <si>
    <t>751</t>
  </si>
  <si>
    <t>7.2</t>
  </si>
  <si>
    <t>Устройство кровли стилобата</t>
  </si>
  <si>
    <t>752</t>
  </si>
  <si>
    <t>7.2.1</t>
  </si>
  <si>
    <t>Неэксплуатируемая кровля жилых корпусов. Пристройка между секциями 1 и 4. Тип К-1</t>
  </si>
  <si>
    <t>753</t>
  </si>
  <si>
    <t>Профилированная мембрана PLANTER GEO - 8мм</t>
  </si>
  <si>
    <t>754</t>
  </si>
  <si>
    <t>Экструдированный пенополистирол Технониколь CARBON PROF 2 слоя - 200мм</t>
  </si>
  <si>
    <t>755</t>
  </si>
  <si>
    <t>Техноэласт ГРИН П - 4мм</t>
  </si>
  <si>
    <t>756</t>
  </si>
  <si>
    <t>Техноэласт ЭПП - 4мм</t>
  </si>
  <si>
    <t>757</t>
  </si>
  <si>
    <t>Праймер битумный Технониколь №1</t>
  </si>
  <si>
    <t>758</t>
  </si>
  <si>
    <t>Армированная ЦПС по уклону  - 50мм</t>
  </si>
  <si>
    <t>759</t>
  </si>
  <si>
    <t>Керамзитобетон 800 кг/м³  - от 30мм</t>
  </si>
  <si>
    <t>760</t>
  </si>
  <si>
    <t>7.2.2</t>
  </si>
  <si>
    <t>Неэксплуатируемая кровля жилых корпусов. Пристройка между секциями 1 и 4. Тип К-2</t>
  </si>
  <si>
    <t>761</t>
  </si>
  <si>
    <t>включая противопожарное покрытие шириной 6м. Тип К-2</t>
  </si>
  <si>
    <t>762</t>
  </si>
  <si>
    <t>763</t>
  </si>
  <si>
    <t>764</t>
  </si>
  <si>
    <t>765</t>
  </si>
  <si>
    <t>766</t>
  </si>
  <si>
    <t>Армированная ЦПС по уклону - 50мм</t>
  </si>
  <si>
    <t>767</t>
  </si>
  <si>
    <t>Керамзитобетон 800 кг/м³ - от 30мм</t>
  </si>
  <si>
    <t>768</t>
  </si>
  <si>
    <t>7.2.3</t>
  </si>
  <si>
    <t>Неэксплуатируемая кровля над арендуемыми помещениями 1-го этажа. Пристройка между секциями 1 и 4. Тип К-1</t>
  </si>
  <si>
    <t>769</t>
  </si>
  <si>
    <t>770</t>
  </si>
  <si>
    <t>771</t>
  </si>
  <si>
    <t>772</t>
  </si>
  <si>
    <t>773</t>
  </si>
  <si>
    <t>774</t>
  </si>
  <si>
    <t>775</t>
  </si>
  <si>
    <t>776</t>
  </si>
  <si>
    <t>7.2.4</t>
  </si>
  <si>
    <t>Неэксплуатируемая кровля над арендуемыми помещениями 1-го этажа. Пристройка между секциями 1 и 3. Тип К-1</t>
  </si>
  <si>
    <t>777</t>
  </si>
  <si>
    <t>778</t>
  </si>
  <si>
    <t>779</t>
  </si>
  <si>
    <t>780</t>
  </si>
  <si>
    <t>781</t>
  </si>
  <si>
    <t>782</t>
  </si>
  <si>
    <t>783</t>
  </si>
  <si>
    <t>784</t>
  </si>
  <si>
    <t>7.2.5</t>
  </si>
  <si>
    <t>Неэксплуатируемая кровля жилых корпусов. Пристройка между секциями 3 и 4. Тип К-1</t>
  </si>
  <si>
    <t>785</t>
  </si>
  <si>
    <t>786</t>
  </si>
  <si>
    <t>787</t>
  </si>
  <si>
    <t>788</t>
  </si>
  <si>
    <t>789</t>
  </si>
  <si>
    <t>790</t>
  </si>
  <si>
    <t>791</t>
  </si>
  <si>
    <t>792</t>
  </si>
  <si>
    <t>7.2.6</t>
  </si>
  <si>
    <t>Неэксплуатируемая кровля жилых корпусов. Пристройка между секциями 3 и 4. Тип К-2</t>
  </si>
  <si>
    <t>793</t>
  </si>
  <si>
    <t>794</t>
  </si>
  <si>
    <t>795</t>
  </si>
  <si>
    <t>796</t>
  </si>
  <si>
    <t>797</t>
  </si>
  <si>
    <t>798</t>
  </si>
  <si>
    <t>799</t>
  </si>
  <si>
    <t>800</t>
  </si>
  <si>
    <t>7.3</t>
  </si>
  <si>
    <t>Устройство кровли высотной части</t>
  </si>
  <si>
    <t>801</t>
  </si>
  <si>
    <t>7.3.1</t>
  </si>
  <si>
    <t>Устройство кровли высотной части. Корпус 1</t>
  </si>
  <si>
    <t>802</t>
  </si>
  <si>
    <t>7.3.1.1</t>
  </si>
  <si>
    <t>Эксплуатируемая кровля террасы квартир. Корпус 1. Тип К-5</t>
  </si>
  <si>
    <t>803</t>
  </si>
  <si>
    <t>Плитка террасная с противоскользящей поверхностью &gt;R11 - 20 мм</t>
  </si>
  <si>
    <t>804</t>
  </si>
  <si>
    <t>Лага конструкционная алюминиевая - 20 мм</t>
  </si>
  <si>
    <t>805</t>
  </si>
  <si>
    <t>Опоры регулируемые (с корректоромуклона) противопожарнаязасыпка пустот между опор гравием фр.10-20мм - от 45мм</t>
  </si>
  <si>
    <t>806</t>
  </si>
  <si>
    <t>Дренажно-защитная профилированная мембрана высокой прочности TMD10120 6040T - 10 мм</t>
  </si>
  <si>
    <t>807</t>
  </si>
  <si>
    <t>Гидроизоляция битумно-полимерная Сейфити Керамик ЭКП - 4,5 мм</t>
  </si>
  <si>
    <t>808</t>
  </si>
  <si>
    <t>Гидроизоляция битумно-полимерная Сейфити ЭПП - 4 мм</t>
  </si>
  <si>
    <t>809</t>
  </si>
  <si>
    <t>Праймер битумный Сейфити - 1 слой</t>
  </si>
  <si>
    <t>810</t>
  </si>
  <si>
    <t>Стяжка из ЦПР М300, армированная мет. сеткой по уклону - от 40 мм</t>
  </si>
  <si>
    <t>811</t>
  </si>
  <si>
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</si>
  <si>
    <t>812</t>
  </si>
  <si>
    <t>Пароизоляция битумно-полимерная "Сейфити Флекс ЭПП 4мм - 4 мм</t>
  </si>
  <si>
    <t>813</t>
  </si>
  <si>
    <t>814</t>
  </si>
  <si>
    <t>Уклонообразующий слой из ЦПР, продольно 0,5% - от 20 мм</t>
  </si>
  <si>
    <t>815</t>
  </si>
  <si>
    <t>7.3.1.2</t>
  </si>
  <si>
    <t>Неэксплуатируемая кровля жилых корпусов. Корпус 1. Тип К-2</t>
  </si>
  <si>
    <t>816</t>
  </si>
  <si>
    <t>Тротуарная плитка - 60мм</t>
  </si>
  <si>
    <t>817</t>
  </si>
  <si>
    <t>Цементно-песчаная смесь - 10мм</t>
  </si>
  <si>
    <t>818</t>
  </si>
  <si>
    <t>Галька или гранитный щебень (фракцией 5-10мм) (140мм используется на эксплуатируемой кровле Корпуса 2) - 20-140мм</t>
  </si>
  <si>
    <t>819</t>
  </si>
  <si>
    <t>820</t>
  </si>
  <si>
    <t>821</t>
  </si>
  <si>
    <t>822</t>
  </si>
  <si>
    <t>823</t>
  </si>
  <si>
    <t>824</t>
  </si>
  <si>
    <t>825</t>
  </si>
  <si>
    <t>826</t>
  </si>
  <si>
    <t>7.3.1.3</t>
  </si>
  <si>
    <t>Кровля над техническими помещениями. Корпус 1. Тип К-2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</si>
  <si>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</si>
  <si>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</si>
  <si>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</si>
  <si>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</si>
  <si>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</si>
  <si>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</si>
  <si>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</si>
  <si>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</si>
  <si>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</si>
  <si>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</si>
  <si>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</si>
  <si>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7.3.1.4</t>
  </si>
  <si>
    <t>Эксплуатируемая кровля (расположенана металлокаркасев холодномконтуре). Корпус 1. Тип К-3</t>
  </si>
  <si>
    <t>838</t>
  </si>
  <si>
    <t>Плитка террасная с противоскользящей поверхностью &gt;R11 - 20мм</t>
  </si>
  <si>
    <t>839</t>
  </si>
  <si>
    <t>Лага конструкционнаяалюминиевая - 40мм</t>
  </si>
  <si>
    <t>840</t>
  </si>
  <si>
    <t>Направляющие для алюминиевых лаг (стальная труба квадратного сечения 180х180х5мм) - 180мм</t>
  </si>
  <si>
    <t>841</t>
  </si>
  <si>
    <t>7.3.2</t>
  </si>
  <si>
    <t>Устройство кровли высотной части. Корпус 2</t>
  </si>
  <si>
    <t>842</t>
  </si>
  <si>
    <t>7.3.2.1</t>
  </si>
  <si>
    <t>Эксплуатируемая кровля жилых корпусов. Корпус 2. Тип К-2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</si>
  <si>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</si>
  <si>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</si>
  <si>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</si>
  <si>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</si>
  <si>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</si>
  <si>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</si>
  <si>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</si>
  <si>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</si>
  <si>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</si>
  <si>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</si>
  <si>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</si>
  <si>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7.3.2.2</t>
  </si>
  <si>
    <t>Эксплуатируемая кровля жилых корпусов. Корпус 2. Тип К-4</t>
  </si>
  <si>
    <t>854</t>
  </si>
  <si>
    <t>Мраморная крошка серая (фракцией 10-20мм) - 60мм</t>
  </si>
  <si>
    <t>855</t>
  </si>
  <si>
    <t>Щебень гранитный М800 (фракцией 40-70мм) с расклинцовкойготовой смесью С6 - 150мм</t>
  </si>
  <si>
    <t>856</t>
  </si>
  <si>
    <t>Профилированная мембрана PLANTER GEO (или Геотекстиль Дорнит 200г/м2 + Профилированная мембрана Planter Standart) - 8мм</t>
  </si>
  <si>
    <t>857</t>
  </si>
  <si>
    <t>858</t>
  </si>
  <si>
    <t>859</t>
  </si>
  <si>
    <t>860</t>
  </si>
  <si>
    <t>861</t>
  </si>
  <si>
    <t>862</t>
  </si>
  <si>
    <t>863</t>
  </si>
  <si>
    <t>7.3.2.3</t>
  </si>
  <si>
    <t>Кровля над техническими помещениями. Корпус 2. Тип К-2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</si>
  <si>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</si>
  <si>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</si>
  <si>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</si>
  <si>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</si>
  <si>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</si>
  <si>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</si>
  <si>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</si>
  <si>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</si>
  <si>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</si>
  <si>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</si>
  <si>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</si>
  <si>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7.3.3</t>
  </si>
  <si>
    <t>Устройство кровли высотной части. Корпус 3</t>
  </si>
  <si>
    <t>875</t>
  </si>
  <si>
    <t>7.3.3.1</t>
  </si>
  <si>
    <t>Эксплуатируемая кровля жилых корпусов. Корпус 3. Тип К-2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</si>
  <si>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</si>
  <si>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</si>
  <si>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</si>
  <si>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</si>
  <si>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</si>
  <si>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</si>
  <si>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</si>
  <si>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</si>
  <si>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</si>
  <si>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</si>
  <si>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</si>
  <si>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7.3.3.2</t>
  </si>
  <si>
    <t>Эксплуатируемая кровля террасы квартир. Корпус 3. Тип К-5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</si>
  <si>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</si>
  <si>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</si>
  <si>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</si>
  <si>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</si>
  <si>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</si>
  <si>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</si>
  <si>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</si>
  <si>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</si>
  <si>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</si>
  <si>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</si>
  <si>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</si>
  <si>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</si>
  <si>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</si>
  <si>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7.3.3.3</t>
  </si>
  <si>
    <t>Кровля над техническими помещениями. Корпус 3. Тип К-2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</si>
  <si>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</si>
  <si>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</si>
  <si>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</si>
  <si>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</si>
  <si>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</si>
  <si>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</si>
  <si>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</si>
  <si>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</si>
  <si>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</si>
  <si>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</si>
  <si>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</si>
  <si>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7.3.3.4</t>
  </si>
  <si>
    <t>Эксплуатируемая кровля (расположенана металлокаркасев холодномконтуре). Корпус 3. Тип К-3</t>
  </si>
  <si>
    <t>911</t>
  </si>
  <si>
    <t>912</t>
  </si>
  <si>
    <t>913</t>
  </si>
  <si>
    <t>914</t>
  </si>
  <si>
    <t>7.3.4</t>
  </si>
  <si>
    <t>Устройство кровли высотной части. Корпус 4</t>
  </si>
  <si>
    <t>915</t>
  </si>
  <si>
    <t>7.3.4.1</t>
  </si>
  <si>
    <t>Эксплуатируемая кровля террасы квартир. Корпус 4. Тип К-5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</si>
  <si>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</si>
  <si>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</si>
  <si>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</si>
  <si>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</si>
  <si>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</si>
  <si>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</si>
  <si>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</si>
  <si>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</si>
  <si>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</si>
  <si>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</si>
  <si>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</si>
  <si>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</si>
  <si>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</si>
  <si>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7.3.4.2</t>
  </si>
  <si>
    <t>Неэксплуатируемая кровля жилых корпусов. Корпус 4. Тип К-2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</si>
  <si>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</si>
  <si>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</si>
  <si>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</si>
  <si>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</si>
  <si>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</si>
  <si>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</si>
  <si>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</si>
  <si>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</si>
  <si>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</si>
  <si>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</si>
  <si>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</si>
  <si>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7.3.4.3</t>
  </si>
  <si>
    <t>Кровля над техническими помещениями. Корпус 4. Тип К-2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</si>
  <si>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</si>
  <si>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</si>
  <si>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</si>
  <si>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</si>
  <si>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</si>
  <si>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</si>
  <si>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</si>
  <si>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</si>
  <si>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</si>
  <si>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</si>
  <si>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</si>
  <si>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7.4</t>
  </si>
  <si>
    <t>7.3. Устройство лестниц, ограждения и проч.</t>
  </si>
  <si>
    <t>Устройство парапетов, лестниц, ограждения и проч.</t>
  </si>
  <si>
    <t>951</t>
  </si>
  <si>
    <t>7.4.1</t>
  </si>
  <si>
    <t>Устройство лестниц</t>
  </si>
  <si>
    <t>952</t>
  </si>
  <si>
    <t>953</t>
  </si>
  <si>
    <t>7.4.2</t>
  </si>
  <si>
    <t>Ограждения кровли</t>
  </si>
  <si>
    <t>954</t>
  </si>
  <si>
    <t>955</t>
  </si>
  <si>
    <t>7.5</t>
  </si>
  <si>
    <t>7.99. Прочее (кровля)</t>
  </si>
  <si>
    <t>956</t>
  </si>
  <si>
    <t>7.5.1</t>
  </si>
  <si>
    <t>Фундамент под оборудование</t>
  </si>
  <si>
    <t>957</t>
  </si>
  <si>
    <t>Подготовка пола (фундамент) бетонный 4000х1700х100(h)</t>
  </si>
  <si>
    <t>958</t>
  </si>
  <si>
    <t>Подготовка пола (фундамент) бетонный 3000х1700х100(h)</t>
  </si>
  <si>
    <t>959</t>
  </si>
  <si>
    <t>Подготовка пола (фундамент) бетонный 2000х2000х100(h)</t>
  </si>
  <si>
    <t>960</t>
  </si>
  <si>
    <t>Подготовка пола (фундамент) бетонный 3000х2150х500(h)</t>
  </si>
  <si>
    <t>961</t>
  </si>
  <si>
    <t>Подготовка пола (фундамент) бетонный 1000х550х200(h)</t>
  </si>
  <si>
    <t>с виброоснованием h=50мм</t>
  </si>
  <si>
    <t>962</t>
  </si>
  <si>
    <t>Подготовка пола (фундамент) бетонный 1300х750х200(h)</t>
  </si>
  <si>
    <t>963</t>
  </si>
  <si>
    <t>Подготовка пола (фундамент) бетонный 800х450х200(h)</t>
  </si>
  <si>
    <t>964</t>
  </si>
  <si>
    <t>Подготовка пола (фундамент) бетонный 1150х500х200(h)</t>
  </si>
  <si>
    <t>965</t>
  </si>
  <si>
    <t>Подготовка пола (фундамент) бетонный 1900х650х200(h)</t>
  </si>
  <si>
    <t>966</t>
  </si>
  <si>
    <t>Люк для доступа к базе под консоль СОФ</t>
  </si>
  <si>
    <t>967</t>
  </si>
  <si>
    <t>Люк выхода на кровлю</t>
  </si>
  <si>
    <t>968</t>
  </si>
  <si>
    <t>8. Отделочные работы (паркинг, надземная часть МОП)</t>
  </si>
  <si>
    <t>Отделка паркинга, технических помещений, МОП, двери, ворота и шлагбаумы в соответствии с дизайн-проектом</t>
  </si>
  <si>
    <t>Материалы отделки и их объёмы уточнить на этапе разработки рабочей документации и согласовать с закзчиком</t>
  </si>
  <si>
    <t>969</t>
  </si>
  <si>
    <t>8.1</t>
  </si>
  <si>
    <t>8.1. Отделка подземной части (в т.ч. меблировка)</t>
  </si>
  <si>
    <t>Отделка подземной части</t>
  </si>
  <si>
    <t>970</t>
  </si>
  <si>
    <t>8.1.1</t>
  </si>
  <si>
    <t>8.1.1. Отделка паркинг и рампы</t>
  </si>
  <si>
    <t>Автомобильная парковка для жильцов(с учетом проездов)</t>
  </si>
  <si>
    <t>971</t>
  </si>
  <si>
    <t>8.1.1.1</t>
  </si>
  <si>
    <t>Пол</t>
  </si>
  <si>
    <t>972</t>
  </si>
  <si>
    <t>Оклеечная гидроизоляция Техноэласт ЭПП-4 мм</t>
  </si>
  <si>
    <t>973</t>
  </si>
  <si>
    <t>974</t>
  </si>
  <si>
    <t>Конструкция бетонных полов с уклоном к водоотводящему лотку – 80-146 мм</t>
  </si>
  <si>
    <t>975</t>
  </si>
  <si>
    <t>Наливные полимерные полы для парковки, Цвет RAL 7047 (телегрей) производитель: DBSG.</t>
  </si>
  <si>
    <t>976</t>
  </si>
  <si>
    <t>8.1.1.2</t>
  </si>
  <si>
    <t>977</t>
  </si>
  <si>
    <t>Шлифовка неровностей</t>
  </si>
  <si>
    <t>978</t>
  </si>
  <si>
    <t>Грунтовка</t>
  </si>
  <si>
    <t>979</t>
  </si>
  <si>
    <t>Штукатурка по сетке-20 мм стен из газобетонного блока или кирпича</t>
  </si>
  <si>
    <t>980</t>
  </si>
  <si>
    <t>Шпатлевка</t>
  </si>
  <si>
    <t>981</t>
  </si>
  <si>
    <t>Керамогранит SG592202R Риальто светлый лапатированный 119.5x238.5</t>
  </si>
  <si>
    <t>982</t>
  </si>
  <si>
    <t>Декоративная штукатурка "Venicоlor" Art Seta цвет: по выкрасу RAL7047</t>
  </si>
  <si>
    <t>983</t>
  </si>
  <si>
    <t>Декоративная штукатурка "Venicоlor" Art Seta  цвет: по выкрасу RAL7024</t>
  </si>
  <si>
    <t>984</t>
  </si>
  <si>
    <t>8.1.1.3</t>
  </si>
  <si>
    <t>Потолок</t>
  </si>
  <si>
    <t>985</t>
  </si>
  <si>
    <t>Обеспыливание бесцветным грунтом</t>
  </si>
  <si>
    <t>986</t>
  </si>
  <si>
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</si>
  <si>
    <t>987</t>
  </si>
  <si>
    <t>8.1.2</t>
  </si>
  <si>
    <t>Помещение рампы</t>
  </si>
  <si>
    <t>988</t>
  </si>
  <si>
    <t>8.1.2.1</t>
  </si>
  <si>
    <t>989</t>
  </si>
  <si>
    <t>990</t>
  </si>
  <si>
    <t>991</t>
  </si>
  <si>
    <t>992</t>
  </si>
  <si>
    <t>993</t>
  </si>
  <si>
    <t>8.1.2.2</t>
  </si>
  <si>
    <t>994</t>
  </si>
  <si>
    <t>995</t>
  </si>
  <si>
    <t>996</t>
  </si>
  <si>
    <t>997</t>
  </si>
  <si>
    <t>998</t>
  </si>
  <si>
    <t>999</t>
  </si>
  <si>
    <t>8.1.2.3</t>
  </si>
  <si>
    <t>1000</t>
  </si>
  <si>
    <t>1001</t>
  </si>
  <si>
    <t>1002</t>
  </si>
  <si>
    <t>8.1.3</t>
  </si>
  <si>
    <t>8.1.3. Лифтовые холлы и коридоры, тамбур-шлюзы для посетителей подземной части</t>
  </si>
  <si>
    <t>Лифтовой холл МОП паркинга</t>
  </si>
  <si>
    <t>1003</t>
  </si>
  <si>
    <t>8.1.3.1</t>
  </si>
  <si>
    <t>1004</t>
  </si>
  <si>
    <t>1005</t>
  </si>
  <si>
    <t>1006</t>
  </si>
  <si>
    <t>Цементно-песчаная стяжка – 60 мм</t>
  </si>
  <si>
    <t>1007</t>
  </si>
  <si>
    <t>Керамогранит 60х120см "ATLAS CONCORDE" Boost Stone Tobacco. Толщина: 6мм
Затирка цементная, шов 2мм</t>
  </si>
  <si>
    <t>1008</t>
  </si>
  <si>
    <t>Накладной плинтус из керамогранта h=100мм "ATLAS CONCORDE" Boost Stone Tobacco. Толщина: 6мм, цементная затирка, 2 мм</t>
  </si>
  <si>
    <t>1009</t>
  </si>
  <si>
    <t>8.1.3.2</t>
  </si>
  <si>
    <t>1010</t>
  </si>
  <si>
    <t>1011</t>
  </si>
  <si>
    <t>1012</t>
  </si>
  <si>
    <t>1013</t>
  </si>
  <si>
    <t>1014</t>
  </si>
  <si>
    <t>Декоративная штукатурка КМ0 "Venicilor" Art Seta цвет: по выкрасу RAL1015</t>
  </si>
  <si>
    <t>1015</t>
  </si>
  <si>
    <t>Лифтовые порталы из нержавеющей стали с покрытием нитрит титана КМ0</t>
  </si>
  <si>
    <t>1016</t>
  </si>
  <si>
    <t>8.1.3.3</t>
  </si>
  <si>
    <t>1017</t>
  </si>
  <si>
    <t>Обеспыливание запотолочного пространства</t>
  </si>
  <si>
    <t>1018</t>
  </si>
  <si>
    <t>Устройство потолков из Knauf Файерборд</t>
  </si>
  <si>
    <t>1019</t>
  </si>
  <si>
    <t>Шпатлевка в 2 слоя</t>
  </si>
  <si>
    <t>1020</t>
  </si>
  <si>
    <t>Декоративная штукатурка "Venicоlor" Art Seta цвет: по выкрасу RAL1015</t>
  </si>
  <si>
    <t>1021</t>
  </si>
  <si>
    <t>Люк скрытого монтажа под отделку потолочные "Хаммер" 300х300 мм</t>
  </si>
  <si>
    <t>количество уточнить на РД</t>
  </si>
  <si>
    <t>1022</t>
  </si>
  <si>
    <t>8.1.4</t>
  </si>
  <si>
    <t>8.1.2. Отделка эвакуационные лестничные клетки и коридоры подземная часть</t>
  </si>
  <si>
    <t>Лестничная клетка МОП паркинга</t>
  </si>
  <si>
    <t>1023</t>
  </si>
  <si>
    <t>8.1.4.1</t>
  </si>
  <si>
    <t>1024</t>
  </si>
  <si>
    <t>Выравнивание поверхности</t>
  </si>
  <si>
    <t>1025</t>
  </si>
  <si>
    <t>Устройство цементно-песчаной стяжки в зоне площадок</t>
  </si>
  <si>
    <t>1026</t>
  </si>
  <si>
    <t>Керамогранит 60х120см "ATLAS CONCORDE" Boost Stone Tobacco. Толщина: 6мм, цементная затирка, 2 мм</t>
  </si>
  <si>
    <t>1027</t>
  </si>
  <si>
    <t>1028</t>
  </si>
  <si>
    <t>8.1.4.2</t>
  </si>
  <si>
    <t>1029</t>
  </si>
  <si>
    <t>1030</t>
  </si>
  <si>
    <t>1031</t>
  </si>
  <si>
    <t>1032</t>
  </si>
  <si>
    <t>8.1.4.3</t>
  </si>
  <si>
    <t>1033</t>
  </si>
  <si>
    <t>1034</t>
  </si>
  <si>
    <t>1035</t>
  </si>
  <si>
    <t>1036</t>
  </si>
  <si>
    <t>8.1.4.4</t>
  </si>
  <si>
    <t>1037</t>
  </si>
  <si>
    <t>Ограждение внутренних лестниц - металлическое, порошковая окраска – цвет по RAL по согласованию с архитектором</t>
  </si>
  <si>
    <t>1038</t>
  </si>
  <si>
    <t>8.1.5</t>
  </si>
  <si>
    <t>Тамбур МОП паркинга</t>
  </si>
  <si>
    <t>1039</t>
  </si>
  <si>
    <t>8.1.5.1</t>
  </si>
  <si>
    <t>1040</t>
  </si>
  <si>
    <t>1041</t>
  </si>
  <si>
    <t>1042</t>
  </si>
  <si>
    <t>SG631820R Терраццо бежевый светлый обрезной 60Х60х0,9. Затирка цементная, шов 2мм</t>
  </si>
  <si>
    <t>1043</t>
  </si>
  <si>
    <t>8.1.5.2</t>
  </si>
  <si>
    <t>1044</t>
  </si>
  <si>
    <t>1045</t>
  </si>
  <si>
    <t>Керамогранит крупноформатный</t>
  </si>
  <si>
    <t>1046</t>
  </si>
  <si>
    <t>Покраска дисперсионной силикатной краской КМ0 ОГНЕЗ-ВИАН. Цвет RAL 9003 (белый), матовая</t>
  </si>
  <si>
    <t>1047</t>
  </si>
  <si>
    <t>8.1.5.3</t>
  </si>
  <si>
    <t>1048</t>
  </si>
  <si>
    <t>Покраска плиты перекрытия дисперсионной силикатной краской КМ0 ОГНЕЗ-ВИАН. Цвет RAL 9003 (белый), матовая</t>
  </si>
  <si>
    <t>1049</t>
  </si>
  <si>
    <t>8.1.6</t>
  </si>
  <si>
    <t xml:space="preserve">8.1.4. Технические и инженерные помещения подземной части </t>
  </si>
  <si>
    <t>ПУИ МОП паркинга</t>
  </si>
  <si>
    <t>1050</t>
  </si>
  <si>
    <t>8.1.6.1</t>
  </si>
  <si>
    <t>1051</t>
  </si>
  <si>
    <t>1052</t>
  </si>
  <si>
    <t>1053</t>
  </si>
  <si>
    <t>1054</t>
  </si>
  <si>
    <t>8.1.6.2</t>
  </si>
  <si>
    <t>1055</t>
  </si>
  <si>
    <t>1056</t>
  </si>
  <si>
    <t>1057</t>
  </si>
  <si>
    <t>8.1.6.3</t>
  </si>
  <si>
    <t>1058</t>
  </si>
  <si>
    <t>1059</t>
  </si>
  <si>
    <t>8.1.7</t>
  </si>
  <si>
    <t>Общедомовое техническое помещение</t>
  </si>
  <si>
    <t>1060</t>
  </si>
  <si>
    <t>8.1.7.1</t>
  </si>
  <si>
    <t>1061</t>
  </si>
  <si>
    <t>1062</t>
  </si>
  <si>
    <t>1063</t>
  </si>
  <si>
    <t>1064</t>
  </si>
  <si>
    <t>8.1.7.2</t>
  </si>
  <si>
    <t>1065</t>
  </si>
  <si>
    <t>1066</t>
  </si>
  <si>
    <t>1067</t>
  </si>
  <si>
    <t>8.1.7.3</t>
  </si>
  <si>
    <t>1068</t>
  </si>
  <si>
    <t>1069</t>
  </si>
  <si>
    <t>8.1.8</t>
  </si>
  <si>
    <t>8.1.5. Отделка прочие помещения подземная часть</t>
  </si>
  <si>
    <t>Помещение охраны</t>
  </si>
  <si>
    <t>1070</t>
  </si>
  <si>
    <t>8.1.8.1</t>
  </si>
  <si>
    <t>1071</t>
  </si>
  <si>
    <t>1072</t>
  </si>
  <si>
    <t>1073</t>
  </si>
  <si>
    <t>1074</t>
  </si>
  <si>
    <t>8.1.8.2</t>
  </si>
  <si>
    <t>1075</t>
  </si>
  <si>
    <t>1076</t>
  </si>
  <si>
    <t>1077</t>
  </si>
  <si>
    <t>8.1.8.3</t>
  </si>
  <si>
    <t>1078</t>
  </si>
  <si>
    <t>1079</t>
  </si>
  <si>
    <t>8.1.9</t>
  </si>
  <si>
    <t>Кладовая подземной части</t>
  </si>
  <si>
    <t>1080</t>
  </si>
  <si>
    <t>8.1.9.1</t>
  </si>
  <si>
    <t>1081</t>
  </si>
  <si>
    <t>1082</t>
  </si>
  <si>
    <t>1083</t>
  </si>
  <si>
    <t>1084</t>
  </si>
  <si>
    <t>8.1.9.2</t>
  </si>
  <si>
    <t>1085</t>
  </si>
  <si>
    <t>1086</t>
  </si>
  <si>
    <t>1087</t>
  </si>
  <si>
    <t>8.1.9.3</t>
  </si>
  <si>
    <t>1088</t>
  </si>
  <si>
    <t>1089</t>
  </si>
  <si>
    <t>8.1.10</t>
  </si>
  <si>
    <t>Техническое помещение хоз. Субъекта</t>
  </si>
  <si>
    <t>1090</t>
  </si>
  <si>
    <t>8.1.10.1</t>
  </si>
  <si>
    <t>1091</t>
  </si>
  <si>
    <t>1092</t>
  </si>
  <si>
    <t>1093</t>
  </si>
  <si>
    <t>1094</t>
  </si>
  <si>
    <t>8.1.10.2</t>
  </si>
  <si>
    <t>1095</t>
  </si>
  <si>
    <t>1096</t>
  </si>
  <si>
    <t>1097</t>
  </si>
  <si>
    <t>8.1.10.3</t>
  </si>
  <si>
    <t>1098</t>
  </si>
  <si>
    <t>1099</t>
  </si>
  <si>
    <t>8.1.11</t>
  </si>
  <si>
    <t>8.1.6. Отделка коммерческих помещений подземной части</t>
  </si>
  <si>
    <t>Помещение клининговой компании</t>
  </si>
  <si>
    <t>1100</t>
  </si>
  <si>
    <t>8.1.11.1</t>
  </si>
  <si>
    <t>1101</t>
  </si>
  <si>
    <t>1102</t>
  </si>
  <si>
    <t>Цементно-песчаная стяжка</t>
  </si>
  <si>
    <t>1103</t>
  </si>
  <si>
    <t>Керамогранит 300х300</t>
  </si>
  <si>
    <t>1104</t>
  </si>
  <si>
    <t>8.1.11.2</t>
  </si>
  <si>
    <t>1105</t>
  </si>
  <si>
    <t>1106</t>
  </si>
  <si>
    <t>Штукатурка</t>
  </si>
  <si>
    <t>1107</t>
  </si>
  <si>
    <t>1108</t>
  </si>
  <si>
    <t>Интерьерная латексная краска с повышенной износостойкостью NCS S2002‐Y50R</t>
  </si>
  <si>
    <t>1109</t>
  </si>
  <si>
    <t>8.1.11.3</t>
  </si>
  <si>
    <t>1110</t>
  </si>
  <si>
    <t>Подвесной потолок типа «Армстронг» из минерального негорючего волокна, с учетом обсепыливания запотолочного пространства</t>
  </si>
  <si>
    <t>1111</t>
  </si>
  <si>
    <t>8.1.12</t>
  </si>
  <si>
    <t>Вспомогательное помещение МОП паркинга</t>
  </si>
  <si>
    <t>1112</t>
  </si>
  <si>
    <t>8.1.12.1</t>
  </si>
  <si>
    <t>1113</t>
  </si>
  <si>
    <t>1114</t>
  </si>
  <si>
    <t>1115</t>
  </si>
  <si>
    <t>1116</t>
  </si>
  <si>
    <t>1117</t>
  </si>
  <si>
    <t>8.1.12.2</t>
  </si>
  <si>
    <t>1118</t>
  </si>
  <si>
    <t>1119</t>
  </si>
  <si>
    <t>1120</t>
  </si>
  <si>
    <t>1121</t>
  </si>
  <si>
    <t>8.1.12.3</t>
  </si>
  <si>
    <t>1122</t>
  </si>
  <si>
    <t>1123</t>
  </si>
  <si>
    <t>Панели оцинкованные стальные 1200х600, цвет RAL 1015</t>
  </si>
  <si>
    <t>1124</t>
  </si>
  <si>
    <t>8.2</t>
  </si>
  <si>
    <t>8.2. Отделка надземной части (в т.ч. меблировка)</t>
  </si>
  <si>
    <t>Отделка надземной части</t>
  </si>
  <si>
    <t>1125</t>
  </si>
  <si>
    <t>8.2.1</t>
  </si>
  <si>
    <t>Отделка надземной части. 1 этаж</t>
  </si>
  <si>
    <t>1126</t>
  </si>
  <si>
    <t>8.2.1.1</t>
  </si>
  <si>
    <t>1127</t>
  </si>
  <si>
    <t>8.2.1.1.1</t>
  </si>
  <si>
    <t>1128</t>
  </si>
  <si>
    <t>1129</t>
  </si>
  <si>
    <t>1130</t>
  </si>
  <si>
    <t>1131</t>
  </si>
  <si>
    <t>1132</t>
  </si>
  <si>
    <t>Поверхностный водоотвод (лотки, решетки): металлические лотки без зазора c решетками</t>
  </si>
  <si>
    <t>1133</t>
  </si>
  <si>
    <t>8.2.1.1.2</t>
  </si>
  <si>
    <t>1134</t>
  </si>
  <si>
    <t>1135</t>
  </si>
  <si>
    <t>1136</t>
  </si>
  <si>
    <t>1137</t>
  </si>
  <si>
    <t>1138</t>
  </si>
  <si>
    <t>1139</t>
  </si>
  <si>
    <t>8.2.1.1.3</t>
  </si>
  <si>
    <t>1140</t>
  </si>
  <si>
    <t>1141</t>
  </si>
  <si>
    <t>1142</t>
  </si>
  <si>
    <t>8.2.1.2</t>
  </si>
  <si>
    <t>8.2.2. Отделка эвакуационные лестничные клетки и коридоры надземная часть</t>
  </si>
  <si>
    <t>Лестничная клетка МОП жилья</t>
  </si>
  <si>
    <t>1143</t>
  </si>
  <si>
    <t>8.2.1.2.1</t>
  </si>
  <si>
    <t>1144</t>
  </si>
  <si>
    <t>1145</t>
  </si>
  <si>
    <t>1146</t>
  </si>
  <si>
    <t>1147</t>
  </si>
  <si>
    <t>1148</t>
  </si>
  <si>
    <t>8.2.1.2.2</t>
  </si>
  <si>
    <t>1149</t>
  </si>
  <si>
    <t>1150</t>
  </si>
  <si>
    <t>1151</t>
  </si>
  <si>
    <t>1152</t>
  </si>
  <si>
    <t>8.2.1.2.3</t>
  </si>
  <si>
    <t>1153</t>
  </si>
  <si>
    <t>1154</t>
  </si>
  <si>
    <t>1155</t>
  </si>
  <si>
    <t>1156</t>
  </si>
  <si>
    <t>8.2.1.2.4</t>
  </si>
  <si>
    <t>1157</t>
  </si>
  <si>
    <t>1158</t>
  </si>
  <si>
    <t>8.2.1.3</t>
  </si>
  <si>
    <t>8.2.1. Отделка лобби/гранд-лобби</t>
  </si>
  <si>
    <t>Гранд лобби</t>
  </si>
  <si>
    <t>1159</t>
  </si>
  <si>
    <t>8.2.1.3.1</t>
  </si>
  <si>
    <t>1160</t>
  </si>
  <si>
    <t>ЦПС армированная фиброволокном 80 мм</t>
  </si>
  <si>
    <t>1161</t>
  </si>
  <si>
    <t>Керамзитобетон  800 кг/м³ (при необходимости) 40-250 мм</t>
  </si>
  <si>
    <t>1162</t>
  </si>
  <si>
    <t>Разделительный слой</t>
  </si>
  <si>
    <t>1163</t>
  </si>
  <si>
    <t>1164</t>
  </si>
  <si>
    <t>Плиты из каменной ваты Технофлор Стандарт или аналог, р=110 кг/м3 50 мм</t>
  </si>
  <si>
    <t>1165</t>
  </si>
  <si>
    <t>Грязезащита, Floortech, Решетка Floortech с резиной и щёткой</t>
  </si>
  <si>
    <t>1166</t>
  </si>
  <si>
    <t>Керамогранит, ATLAS CONCORDE, Керамогранит / 120х278 ATLAS CONCORDE BOOST STONE  tarmac, Толщина 6мм или аналог  (согласовать с архитектором)</t>
  </si>
  <si>
    <t>1167</t>
  </si>
  <si>
    <t>Керамогранит, ATLAS CONCORDE, Керамогранит 120х120 см ATLAS CONCORDE BOOST STONE  Tobacco Толщина 9мм  или аналог  (согласовать с архитектором)</t>
  </si>
  <si>
    <t>1168</t>
  </si>
  <si>
    <t>Ковролин (детская зона), на заказ, рыжий, однотонный, толщина 11,5мм или подобрать аналог, на заказ или подобрать аналог (согласовать с архитектором)</t>
  </si>
  <si>
    <t>1169</t>
  </si>
  <si>
    <t>Керамогранит "ITALON" - континиуум стоун беж, толщина 6мм, размер 278х120</t>
  </si>
  <si>
    <t>1170</t>
  </si>
  <si>
    <t>Плинтус, Pro Design или аналог, Теневой плинтус скрытого монтажа Pro Design Panel 7208 Черный Муар  (согласовать с архитектором)</t>
  </si>
  <si>
    <t>1171</t>
  </si>
  <si>
    <t>Стык напольных покрытий, Juliano или аналог, Профиль Juliano Tile Trim SB018-4S-10H Black (2700мм) (согласовать с архитектором)</t>
  </si>
  <si>
    <t>1172</t>
  </si>
  <si>
    <t>8.2.1.3.2</t>
  </si>
  <si>
    <t>1173</t>
  </si>
  <si>
    <t>1174</t>
  </si>
  <si>
    <t>1175</t>
  </si>
  <si>
    <t>1176</t>
  </si>
  <si>
    <t>ГКЛО в 2-а слоя по каркасу</t>
  </si>
  <si>
    <t>1177</t>
  </si>
  <si>
    <t>3D мдф-элементы индивидуального изготовления, индивидуальное изготовление, 625*625 мм, R=250мм</t>
  </si>
  <si>
    <t>1178</t>
  </si>
  <si>
    <t>Декоративная штукатурка, Venicolor art seta, цвет по выкрасы RAL 3000 или аналог,   (согласовать с архитектором)</t>
  </si>
  <si>
    <t>1179</t>
  </si>
  <si>
    <t>Декоративная штукатурка, Venicolor art seta, цвет по выкрасы RAL 1015 или аналог,   (согласовать с архитектором)</t>
  </si>
  <si>
    <t>1180</t>
  </si>
  <si>
    <t>Декоративная штукатурка, Venicolor art seta, цвет по выкрасы RAL 8028 или аналог,   (согласовать с архитектором)</t>
  </si>
  <si>
    <t>1181</t>
  </si>
  <si>
    <t>1182</t>
  </si>
  <si>
    <t>Микроцемент, цвет: по выкрасу RAL 8025</t>
  </si>
  <si>
    <t>1183</t>
  </si>
  <si>
    <t>Шпонированные панели, индивидуальное изготовление, Шпон "Woodstock" сипо мореный, толщина 6мм (согласовать с архитектором)</t>
  </si>
  <si>
    <t>1184</t>
  </si>
  <si>
    <t>Порталы, индивидуальное изготовление, Шпон "Woodstock" сипо мореный, толщина 6мм (согласовать с архитектором)</t>
  </si>
  <si>
    <t>1185</t>
  </si>
  <si>
    <t>Натуральный камень "Ricchetti" dream pure opera fantastico (выбор по образцу), толщина 20мм, габаритные размеры: a1=4200, a2=3400,  b=600, h=750 (для камина)</t>
  </si>
  <si>
    <t>1186</t>
  </si>
  <si>
    <t>Обои с рисунком, Casamance или аналог, Monterosso Wallpaper Terre de Sienne - réf. 75541834</t>
  </si>
  <si>
    <t>1187</t>
  </si>
  <si>
    <t>8.2.1.3.3</t>
  </si>
  <si>
    <t>1188</t>
  </si>
  <si>
    <t>1189</t>
  </si>
  <si>
    <t>1190</t>
  </si>
  <si>
    <t>Обеспыливание</t>
  </si>
  <si>
    <t>1191</t>
  </si>
  <si>
    <t>1192</t>
  </si>
  <si>
    <t>Грунтовка запотолочного пространства</t>
  </si>
  <si>
    <t>1193</t>
  </si>
  <si>
    <t>1194</t>
  </si>
  <si>
    <t>1195</t>
  </si>
  <si>
    <t>Декоративная штукатурка, Venicolor art seta, цвет по выкрасы RAL 8025 или аналог,   (согласовать с архитектором)</t>
  </si>
  <si>
    <t>1196</t>
  </si>
  <si>
    <t>1197</t>
  </si>
  <si>
    <t>1198</t>
  </si>
  <si>
    <t>8.2.1.3.4</t>
  </si>
  <si>
    <t>1199</t>
  </si>
  <si>
    <t>MEPIT инженерное оборудование</t>
  </si>
  <si>
    <t>В соответствии с дизайн-преоктом</t>
  </si>
  <si>
    <t>1200</t>
  </si>
  <si>
    <t>Furniture
Мебель индивидуальнго изготовления</t>
  </si>
  <si>
    <t>1201</t>
  </si>
  <si>
    <t>Sanitary ware
Сантехника</t>
  </si>
  <si>
    <t>1202</t>
  </si>
  <si>
    <t>Furniture
Мебель</t>
  </si>
  <si>
    <t>1203</t>
  </si>
  <si>
    <t>Decor
Декоративный свет</t>
  </si>
  <si>
    <t>1204</t>
  </si>
  <si>
    <t>8.2.1.4</t>
  </si>
  <si>
    <t>Лобби</t>
  </si>
  <si>
    <t>1205</t>
  </si>
  <si>
    <t>8.2.1.4.1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</si>
  <si>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</si>
  <si>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</si>
  <si>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</si>
  <si>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</si>
  <si>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</si>
  <si>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</si>
  <si>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</si>
  <si>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</si>
  <si>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</si>
  <si>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</si>
  <si>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Керамогранит, ATLAS CONCORDE, Керамогранит 150х75 см ATLAS CONCORDE marvel - travertine sand vein Толщина 6мм  или аналог  (согласовать с архитектором)</t>
  </si>
  <si>
    <t>1216</t>
  </si>
  <si>
    <t>Накладной плинтус из керамогранта h=150мм "ATLAS CONCORDE"ATLAS CONCORDE marvel - travertine sand vein Толщина 6мм, цементная затирка, 2 мм</t>
  </si>
  <si>
    <t>1217</t>
  </si>
  <si>
    <t>Плинтус Pro Design или аналог, Теневой плинтус скрытого монтажа Pro Design Panel 7208 Черный Муар  (согласовать с архитектором)</t>
  </si>
  <si>
    <t>1218</t>
  </si>
  <si>
    <t>1219</t>
  </si>
  <si>
    <t>8.2.1.4.2</t>
  </si>
  <si>
    <t>1220</t>
  </si>
  <si>
    <t>1221</t>
  </si>
  <si>
    <t>1222</t>
  </si>
  <si>
    <t>1223</t>
  </si>
  <si>
    <t>1224</t>
  </si>
  <si>
    <t>Декоративная штукатурка, Venicolor art seta, цвет по выкрасы RAL 3005 или аналог,   (согласовать с архитектором)</t>
  </si>
  <si>
    <t>1225</t>
  </si>
  <si>
    <t>1226</t>
  </si>
  <si>
    <t>1227</t>
  </si>
  <si>
    <t>1228</t>
  </si>
  <si>
    <t>1229</t>
  </si>
  <si>
    <t>1230</t>
  </si>
  <si>
    <t>1231</t>
  </si>
  <si>
    <t>Шпонированные панели, индивидуальное изготовление, Шпон "Woodstock" орех американский корень Walnut burl, толщина 6мм (согласовать с архитектором)</t>
  </si>
  <si>
    <t>1232</t>
  </si>
  <si>
    <t>Листы из нержавеющей стали с покрытием нитрит титан, КМ0, матовый по согласованному образцу, RAL приближенный к 8028</t>
  </si>
  <si>
    <t>Лифтовые порталы</t>
  </si>
  <si>
    <t>1233</t>
  </si>
  <si>
    <t>Натуральный камень "Rose travertine" Цвет: розовый, толщина 20мм (выбор по обрзацу)</t>
  </si>
  <si>
    <t>1234</t>
  </si>
  <si>
    <t>Натуральный камень "travertine bianco" Цвет: бежевый, толщина 20мм (выбор по обрзацу)</t>
  </si>
  <si>
    <t>1235</t>
  </si>
  <si>
    <t>8.2.1.4.3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</si>
  <si>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</si>
  <si>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</si>
  <si>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</si>
  <si>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</si>
  <si>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</si>
  <si>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</si>
  <si>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</si>
  <si>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</si>
  <si>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</si>
  <si>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Потолочные решетки ДУ МОП</t>
  </si>
  <si>
    <t>1245</t>
  </si>
  <si>
    <t>8.2.1.4.4</t>
  </si>
  <si>
    <t>1246</t>
  </si>
  <si>
    <t>1247</t>
  </si>
  <si>
    <t>1248</t>
  </si>
  <si>
    <t>1249</t>
  </si>
  <si>
    <t>1250</t>
  </si>
  <si>
    <t>Decorative Elements
Декоративные элементы</t>
  </si>
  <si>
    <t>1251</t>
  </si>
  <si>
    <t>Навигация (знаки, указатели, зонирование)
Navigation</t>
  </si>
  <si>
    <t>1252</t>
  </si>
  <si>
    <t>8.2.1.5</t>
  </si>
  <si>
    <t xml:space="preserve">8.2.4. Технические и инженерные помещения надземной части </t>
  </si>
  <si>
    <t>Помещение компактора</t>
  </si>
  <si>
    <t>1253</t>
  </si>
  <si>
    <t>8.2.1.5.1</t>
  </si>
  <si>
    <t>1254</t>
  </si>
  <si>
    <t>1255</t>
  </si>
  <si>
    <t>1256</t>
  </si>
  <si>
    <t>Керамогранитная плитка 300х300</t>
  </si>
  <si>
    <t>1257</t>
  </si>
  <si>
    <t>8.2.1.5.2</t>
  </si>
  <si>
    <t>1258</t>
  </si>
  <si>
    <t>1259</t>
  </si>
  <si>
    <t>1260</t>
  </si>
  <si>
    <t>8.2.1.5.3</t>
  </si>
  <si>
    <t>1261</t>
  </si>
  <si>
    <t>1262</t>
  </si>
  <si>
    <t>1263</t>
  </si>
  <si>
    <t>8.2.1.6</t>
  </si>
  <si>
    <t>8.2.5. Отделка прочие помещения наземная часть</t>
  </si>
  <si>
    <t>Помещение УК</t>
  </si>
  <si>
    <t>1264</t>
  </si>
  <si>
    <t>8.2.1.6.1</t>
  </si>
  <si>
    <t>1265</t>
  </si>
  <si>
    <t>1266</t>
  </si>
  <si>
    <t>1267</t>
  </si>
  <si>
    <t>8.2.1.6.2</t>
  </si>
  <si>
    <t>1268</t>
  </si>
  <si>
    <t>1269</t>
  </si>
  <si>
    <t>1270</t>
  </si>
  <si>
    <t>1271</t>
  </si>
  <si>
    <t>1272</t>
  </si>
  <si>
    <t>1273</t>
  </si>
  <si>
    <t>8.2.1.6.3</t>
  </si>
  <si>
    <t>1274</t>
  </si>
  <si>
    <t>1275</t>
  </si>
  <si>
    <t>8.2.1.7</t>
  </si>
  <si>
    <t>Диспетчерская</t>
  </si>
  <si>
    <t>1276</t>
  </si>
  <si>
    <t>8.2.1.7.1</t>
  </si>
  <si>
    <t>1277</t>
  </si>
  <si>
    <t>1278</t>
  </si>
  <si>
    <t>1279</t>
  </si>
  <si>
    <t>8.2.1.7.2</t>
  </si>
  <si>
    <t>1280</t>
  </si>
  <si>
    <t>1281</t>
  </si>
  <si>
    <t>1282</t>
  </si>
  <si>
    <t>1283</t>
  </si>
  <si>
    <t>1284</t>
  </si>
  <si>
    <t>1285</t>
  </si>
  <si>
    <t>8.2.1.7.3</t>
  </si>
  <si>
    <t>1286</t>
  </si>
  <si>
    <t>1287</t>
  </si>
  <si>
    <t>8.2.1.8</t>
  </si>
  <si>
    <t>8.2.3. Лифтовые холлы и коридоры, тамбур-шлюзы для посетителей надземной части</t>
  </si>
  <si>
    <t>Тамбур при вестибюле. Корпус 1</t>
  </si>
  <si>
    <t>1288</t>
  </si>
  <si>
    <t>8.2.1.8.1</t>
  </si>
  <si>
    <t>1289</t>
  </si>
  <si>
    <t>Шумоизоляция Техноэласт Акустик Супер или аналог-20 мм</t>
  </si>
  <si>
    <t>1290</t>
  </si>
  <si>
    <t>1291</t>
  </si>
  <si>
    <t>Полиэтиленовая пленка</t>
  </si>
  <si>
    <t>1292</t>
  </si>
  <si>
    <t>Цементно-песчаная стяжка-60 мм</t>
  </si>
  <si>
    <t>1293</t>
  </si>
  <si>
    <t>Обеспылевание</t>
  </si>
  <si>
    <t>1294</t>
  </si>
  <si>
    <t>1295</t>
  </si>
  <si>
    <t>1296</t>
  </si>
  <si>
    <t>8.2.1.8.2</t>
  </si>
  <si>
    <t>1297</t>
  </si>
  <si>
    <t>1298</t>
  </si>
  <si>
    <t>1299</t>
  </si>
  <si>
    <t>1300</t>
  </si>
  <si>
    <t>Устройство стен из Knauf П113 (однослойная обшивка листами ГКЛ 12,5мм)</t>
  </si>
  <si>
    <t>1301</t>
  </si>
  <si>
    <t>Декоративная штукатурка, Venicolor art seta,КМ0 цвет по выкрасы RAL 8028 или аналог,   (согласовать с архитектором)</t>
  </si>
  <si>
    <t>1302</t>
  </si>
  <si>
    <t>Решетки дымоудаления гипсовые индивидуального изготовления</t>
  </si>
  <si>
    <t>1303</t>
  </si>
  <si>
    <t>8.2.1.8.3</t>
  </si>
  <si>
    <t>1304</t>
  </si>
  <si>
    <t>Устройство потолков из Knauf П113 (двухслойная обшивка листами ГКЛ 12,5мм)</t>
  </si>
  <si>
    <t>1305</t>
  </si>
  <si>
    <t>1306</t>
  </si>
  <si>
    <t>1307</t>
  </si>
  <si>
    <t>1308</t>
  </si>
  <si>
    <t>1309</t>
  </si>
  <si>
    <t>1310</t>
  </si>
  <si>
    <t>Высококачественная подготовка, Декоративная штукатурка, КМ0 Venicolor art seta, цвет по выкрасы RAL 8025 или аналог,   (согласовать с архитектором)</t>
  </si>
  <si>
    <t>1311</t>
  </si>
  <si>
    <t>Люки скрытого монтажа под отделку потолочные "Хаммер" 300х300 мм</t>
  </si>
  <si>
    <t>1312</t>
  </si>
  <si>
    <t>8.2.1.8.4</t>
  </si>
  <si>
    <t>1313</t>
  </si>
  <si>
    <t>1314</t>
  </si>
  <si>
    <t>1315</t>
  </si>
  <si>
    <t>1316</t>
  </si>
  <si>
    <t>1317</t>
  </si>
  <si>
    <t>1318</t>
  </si>
  <si>
    <t>8.2.1.9</t>
  </si>
  <si>
    <t>Тамбур при вестибюле. Корпус 2</t>
  </si>
  <si>
    <t>1319</t>
  </si>
  <si>
    <t>8.2.1.9.1</t>
  </si>
  <si>
    <t>1320</t>
  </si>
  <si>
    <t>1321</t>
  </si>
  <si>
    <t>1322</t>
  </si>
  <si>
    <t>1323</t>
  </si>
  <si>
    <t>1324</t>
  </si>
  <si>
    <t>1325</t>
  </si>
  <si>
    <t>1326</t>
  </si>
  <si>
    <t>1327</t>
  </si>
  <si>
    <t>8.2.1.9.2</t>
  </si>
  <si>
    <t>1328</t>
  </si>
  <si>
    <t>1329</t>
  </si>
  <si>
    <t>1330</t>
  </si>
  <si>
    <t>1331</t>
  </si>
  <si>
    <t>1332</t>
  </si>
  <si>
    <t>Декоративная штукатурка, Venicolor art seta, КМ0 цвет по выкрасы RAL 8028 или аналог,   (согласовать с архитектором)</t>
  </si>
  <si>
    <t>1333</t>
  </si>
  <si>
    <t>1334</t>
  </si>
  <si>
    <t>8.2.1.9.3</t>
  </si>
  <si>
    <t>1335</t>
  </si>
  <si>
    <t>1336</t>
  </si>
  <si>
    <t>1337</t>
  </si>
  <si>
    <t>1338</t>
  </si>
  <si>
    <t>1339</t>
  </si>
  <si>
    <t>1340</t>
  </si>
  <si>
    <t>1341</t>
  </si>
  <si>
    <t>Высококачественная подготовка,Декоративная штукатурка, Venicolor art seta, КМ0 цвет по выкрасы RAL 8025 или аналог,   (согласовать с архитектором)</t>
  </si>
  <si>
    <t>1342</t>
  </si>
  <si>
    <t>Высококачественная подготовка, Декоративная штукатурка, Venicolor art seta, КМ0 цвет по выкрасы RAL 3005 или аналог,   (согласовать с архитектором)</t>
  </si>
  <si>
    <t>1343</t>
  </si>
  <si>
    <t>1344</t>
  </si>
  <si>
    <t>8.2.1.9.4</t>
  </si>
  <si>
    <t>1345</t>
  </si>
  <si>
    <t>1346</t>
  </si>
  <si>
    <t>1347</t>
  </si>
  <si>
    <t>1348</t>
  </si>
  <si>
    <t>1349</t>
  </si>
  <si>
    <t>1350</t>
  </si>
  <si>
    <t>8.2.1.10</t>
  </si>
  <si>
    <t>Тамбур при вестибюле. Корпус 3</t>
  </si>
  <si>
    <t>1351</t>
  </si>
  <si>
    <t>8.2.1.10.1</t>
  </si>
  <si>
    <t>1352</t>
  </si>
  <si>
    <t>1353</t>
  </si>
  <si>
    <t>1354</t>
  </si>
  <si>
    <t>1355</t>
  </si>
  <si>
    <t>1356</t>
  </si>
  <si>
    <t>1357</t>
  </si>
  <si>
    <t>1358</t>
  </si>
  <si>
    <t>1359</t>
  </si>
  <si>
    <t>8.2.1.10.2</t>
  </si>
  <si>
    <t>1360</t>
  </si>
  <si>
    <t>1361</t>
  </si>
  <si>
    <t>1362</t>
  </si>
  <si>
    <t>1363</t>
  </si>
  <si>
    <t>1364</t>
  </si>
  <si>
    <t>1365</t>
  </si>
  <si>
    <t>1366</t>
  </si>
  <si>
    <t>8.2.1.10.3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</si>
  <si>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</si>
  <si>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</si>
  <si>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</si>
  <si>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</si>
  <si>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</si>
  <si>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</si>
  <si>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</si>
  <si>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</si>
  <si>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</si>
  <si>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8.2.1.10.4</t>
  </si>
  <si>
    <t>1376</t>
  </si>
  <si>
    <t>1377</t>
  </si>
  <si>
    <t>1378</t>
  </si>
  <si>
    <t>1379</t>
  </si>
  <si>
    <t>1380</t>
  </si>
  <si>
    <t>1381</t>
  </si>
  <si>
    <t>8.2.1.11</t>
  </si>
  <si>
    <t>Тамбур при вестибюле. Корпус 4</t>
  </si>
  <si>
    <t>1382</t>
  </si>
  <si>
    <t>8.2.1.11.1</t>
  </si>
  <si>
    <t>1383</t>
  </si>
  <si>
    <t>1384</t>
  </si>
  <si>
    <t>1385</t>
  </si>
  <si>
    <t>1386</t>
  </si>
  <si>
    <t>1387</t>
  </si>
  <si>
    <t>1388</t>
  </si>
  <si>
    <t>1389</t>
  </si>
  <si>
    <t>1390</t>
  </si>
  <si>
    <t>8.2.1.11.2</t>
  </si>
  <si>
    <t>1391</t>
  </si>
  <si>
    <t>1392</t>
  </si>
  <si>
    <t>1393</t>
  </si>
  <si>
    <t>1394</t>
  </si>
  <si>
    <t>1395</t>
  </si>
  <si>
    <t>1396</t>
  </si>
  <si>
    <t>1397</t>
  </si>
  <si>
    <t>8.2.1.11.3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</si>
  <si>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</si>
  <si>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</si>
  <si>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</si>
  <si>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</si>
  <si>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</si>
  <si>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</si>
  <si>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</si>
  <si>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</si>
  <si>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</si>
  <si>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8.2.1.11.4</t>
  </si>
  <si>
    <t>1407</t>
  </si>
  <si>
    <t>1408</t>
  </si>
  <si>
    <t>1409</t>
  </si>
  <si>
    <t>1410</t>
  </si>
  <si>
    <t>1411</t>
  </si>
  <si>
    <t>1412</t>
  </si>
  <si>
    <t>8.2.2</t>
  </si>
  <si>
    <t>Отделка надземной части. Корпус 1</t>
  </si>
  <si>
    <t>1413</t>
  </si>
  <si>
    <t>8.2.2.1</t>
  </si>
  <si>
    <t>Коридор МОП жилья</t>
  </si>
  <si>
    <t>1414</t>
  </si>
  <si>
    <t>8.2.2.1.1</t>
  </si>
  <si>
    <t>1415</t>
  </si>
  <si>
    <t>1416</t>
  </si>
  <si>
    <t>1417</t>
  </si>
  <si>
    <t>1418</t>
  </si>
  <si>
    <t>1419</t>
  </si>
  <si>
    <t>1420</t>
  </si>
  <si>
    <t>Напольное покрытие 2  (лх), ATLAS CONCORDE, Керамогранит / 150х75 см
ATLAS CONCORDE MARVEL TRAVERTINE Sand Vein 6 mm или аналог (согласовать с архитектором)</t>
  </si>
  <si>
    <t>1421</t>
  </si>
  <si>
    <t>1422</t>
  </si>
  <si>
    <t>1423</t>
  </si>
  <si>
    <t>8.2.2.1.2</t>
  </si>
  <si>
    <t>1424</t>
  </si>
  <si>
    <t>1425</t>
  </si>
  <si>
    <t>1426</t>
  </si>
  <si>
    <t>1427</t>
  </si>
  <si>
    <t>1428</t>
  </si>
  <si>
    <t>Декоративная штукатурка (коридоры) КМ1, Venicolor или аналог, ART SETA map
Декоративное покрытие с текстурой мокрого шелка цвет RAL1015  (согласовать с архитектором)</t>
  </si>
  <si>
    <t>1429</t>
  </si>
  <si>
    <t>1430</t>
  </si>
  <si>
    <t>Декоративная накладная панель МДФ КМ1, цвет: по выкрасу RAL 8025</t>
  </si>
  <si>
    <t>1431</t>
  </si>
  <si>
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t>
  </si>
  <si>
    <t>1432</t>
  </si>
  <si>
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</t>
  </si>
  <si>
    <t>1433</t>
  </si>
  <si>
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t>
  </si>
  <si>
    <t>1434</t>
  </si>
  <si>
    <t>8.2.2.1.3</t>
  </si>
  <si>
    <t>1435</t>
  </si>
  <si>
    <t>1436</t>
  </si>
  <si>
    <t>1437</t>
  </si>
  <si>
    <t>Панели оцинкованные стальные 1500х750мм, цвет RAL 1015, с учетом возможности съема для обслуживания инженерного оборудования</t>
  </si>
  <si>
    <t>1438</t>
  </si>
  <si>
    <t>8.2.2.1.4</t>
  </si>
  <si>
    <t>1439</t>
  </si>
  <si>
    <t>1440</t>
  </si>
  <si>
    <t>1441</t>
  </si>
  <si>
    <t>1442</t>
  </si>
  <si>
    <t>1443</t>
  </si>
  <si>
    <t>1444</t>
  </si>
  <si>
    <t>8.2.2.2</t>
  </si>
  <si>
    <t>Лифтовой холл МОП жилья</t>
  </si>
  <si>
    <t>1445</t>
  </si>
  <si>
    <t>8.2.2.2.1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</si>
  <si>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</si>
  <si>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</si>
  <si>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</si>
  <si>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</si>
  <si>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</si>
  <si>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</si>
  <si>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</si>
  <si>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</si>
  <si>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</si>
  <si>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8.2.2.2.2</t>
  </si>
  <si>
    <t>1455</t>
  </si>
  <si>
    <t>1456</t>
  </si>
  <si>
    <t>1457</t>
  </si>
  <si>
    <t>1458</t>
  </si>
  <si>
    <t>Декоративная штукатурка КМ0, Venicolor или аналог, ART SETA map
Декоративное покрытие с текстурой мокрого шелка цвет RAL1015  (согласовать с архитектором)</t>
  </si>
  <si>
    <t>1459</t>
  </si>
  <si>
    <t>1460</t>
  </si>
  <si>
    <t>1461</t>
  </si>
  <si>
    <t>8.2.2.2.3</t>
  </si>
  <si>
    <t>1462</t>
  </si>
  <si>
    <t>1463</t>
  </si>
  <si>
    <t>1464</t>
  </si>
  <si>
    <t>1465</t>
  </si>
  <si>
    <t>1466</t>
  </si>
  <si>
    <t>1467</t>
  </si>
  <si>
    <t>1468</t>
  </si>
  <si>
    <t>Высококачественная окраска в 2 слоя, Moulin "Триумф света" КМ0,  цвет RAL1015  (согласовать с архитектором)</t>
  </si>
  <si>
    <t>1469</t>
  </si>
  <si>
    <t>Люки скрытого монтажа под покраску потолочные "Хаммер" 300х300 мм</t>
  </si>
  <si>
    <t>1470</t>
  </si>
  <si>
    <t>8.2.2.2.4</t>
  </si>
  <si>
    <t>1471</t>
  </si>
  <si>
    <t>1472</t>
  </si>
  <si>
    <t>1473</t>
  </si>
  <si>
    <t>1474</t>
  </si>
  <si>
    <t>1475</t>
  </si>
  <si>
    <t>1476</t>
  </si>
  <si>
    <t>8.2.2.3</t>
  </si>
  <si>
    <t>1477</t>
  </si>
  <si>
    <t>8.2.2.3.1</t>
  </si>
  <si>
    <t>1478</t>
  </si>
  <si>
    <t>1479</t>
  </si>
  <si>
    <t>1480</t>
  </si>
  <si>
    <t>1481</t>
  </si>
  <si>
    <t>1482</t>
  </si>
  <si>
    <t>8.2.2.3.2</t>
  </si>
  <si>
    <t>1483</t>
  </si>
  <si>
    <t>1484</t>
  </si>
  <si>
    <t>1485</t>
  </si>
  <si>
    <t>1486</t>
  </si>
  <si>
    <t>8.2.2.3.3</t>
  </si>
  <si>
    <t>1487</t>
  </si>
  <si>
    <t>1488</t>
  </si>
  <si>
    <t>1489</t>
  </si>
  <si>
    <t>1490</t>
  </si>
  <si>
    <t>8.2.2.3.4</t>
  </si>
  <si>
    <t>1491</t>
  </si>
  <si>
    <t>1492</t>
  </si>
  <si>
    <t>8.2.2.4</t>
  </si>
  <si>
    <t>1493</t>
  </si>
  <si>
    <t>8.2.2.4.1</t>
  </si>
  <si>
    <t>1494</t>
  </si>
  <si>
    <t>1495</t>
  </si>
  <si>
    <t>1496</t>
  </si>
  <si>
    <t>1497</t>
  </si>
  <si>
    <t>8.2.2.4.2</t>
  </si>
  <si>
    <t>1498</t>
  </si>
  <si>
    <t>1499</t>
  </si>
  <si>
    <t>1500</t>
  </si>
  <si>
    <t>1501</t>
  </si>
  <si>
    <t>1502</t>
  </si>
  <si>
    <t>8.2.2.4.3</t>
  </si>
  <si>
    <t>1503</t>
  </si>
  <si>
    <t>1504</t>
  </si>
  <si>
    <t>8.2.3</t>
  </si>
  <si>
    <t>Отделка надземной части. Корпус 2</t>
  </si>
  <si>
    <t>1505</t>
  </si>
  <si>
    <t>8.2.3.1</t>
  </si>
  <si>
    <t>1506</t>
  </si>
  <si>
    <t>8.2.3.1.1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</si>
  <si>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</si>
  <si>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</si>
  <si>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</si>
  <si>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</si>
  <si>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</si>
  <si>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</si>
  <si>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</si>
  <si>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</si>
  <si>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</si>
  <si>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8.2.3.1.2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</si>
  <si>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</si>
  <si>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</si>
  <si>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</si>
  <si>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</si>
  <si>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</si>
  <si>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</si>
  <si>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</si>
  <si>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</si>
  <si>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</si>
  <si>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</si>
  <si>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</si>
  <si>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8.2.3.1.3</t>
  </si>
  <si>
    <t>1527</t>
  </si>
  <si>
    <t>1528</t>
  </si>
  <si>
    <t>1529</t>
  </si>
  <si>
    <t>1530</t>
  </si>
  <si>
    <t>8.2.3.1.4</t>
  </si>
  <si>
    <t>1531</t>
  </si>
  <si>
    <t>1532</t>
  </si>
  <si>
    <t>1533</t>
  </si>
  <si>
    <t>1534</t>
  </si>
  <si>
    <t>1535</t>
  </si>
  <si>
    <t>1536</t>
  </si>
  <si>
    <t>8.2.3.2</t>
  </si>
  <si>
    <t>1537</t>
  </si>
  <si>
    <t>8.2.3.2.1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</si>
  <si>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</si>
  <si>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</si>
  <si>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</si>
  <si>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</si>
  <si>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</si>
  <si>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</si>
  <si>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</si>
  <si>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</si>
  <si>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</si>
  <si>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8.2.3.2.2</t>
  </si>
  <si>
    <t>1547</t>
  </si>
  <si>
    <t>1548</t>
  </si>
  <si>
    <t>1549</t>
  </si>
  <si>
    <t>1550</t>
  </si>
  <si>
    <t>1551</t>
  </si>
  <si>
    <t>1552</t>
  </si>
  <si>
    <t>1553</t>
  </si>
  <si>
    <t>8.2.3.2.3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</si>
  <si>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</si>
  <si>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</si>
  <si>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</si>
  <si>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</si>
  <si>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</si>
  <si>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</si>
  <si>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</si>
  <si>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</si>
  <si>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</si>
  <si>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8.2.3.2.4</t>
  </si>
  <si>
    <t>1563</t>
  </si>
  <si>
    <t>1564</t>
  </si>
  <si>
    <t>1565</t>
  </si>
  <si>
    <t>1566</t>
  </si>
  <si>
    <t>1567</t>
  </si>
  <si>
    <t>1568</t>
  </si>
  <si>
    <t>8.2.3.3</t>
  </si>
  <si>
    <t>1569</t>
  </si>
  <si>
    <t>8.2.3.3.1</t>
  </si>
  <si>
    <t>1570</t>
  </si>
  <si>
    <t>1571</t>
  </si>
  <si>
    <t>1572</t>
  </si>
  <si>
    <t>1573</t>
  </si>
  <si>
    <t>1574</t>
  </si>
  <si>
    <t>8.2.3.3.2</t>
  </si>
  <si>
    <t>1575</t>
  </si>
  <si>
    <t>1576</t>
  </si>
  <si>
    <t>1577</t>
  </si>
  <si>
    <t>1578</t>
  </si>
  <si>
    <t>8.2.3.3.3</t>
  </si>
  <si>
    <t>1579</t>
  </si>
  <si>
    <t>1580</t>
  </si>
  <si>
    <t>1581</t>
  </si>
  <si>
    <t>1582</t>
  </si>
  <si>
    <t>8.2.3.4</t>
  </si>
  <si>
    <t>Помещение досуга жильцов</t>
  </si>
  <si>
    <t>1583</t>
  </si>
  <si>
    <t>8.2.3.4.1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</si>
  <si>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</si>
  <si>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</si>
  <si>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</si>
  <si>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</si>
  <si>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</si>
  <si>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</si>
  <si>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</si>
  <si>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</si>
  <si>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</si>
  <si>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8.2.3.4.2</t>
  </si>
  <si>
    <t>1593</t>
  </si>
  <si>
    <t>1594</t>
  </si>
  <si>
    <t>1595</t>
  </si>
  <si>
    <t>1596</t>
  </si>
  <si>
    <t>1597</t>
  </si>
  <si>
    <t>1598</t>
  </si>
  <si>
    <t>1599</t>
  </si>
  <si>
    <t>8.2.3.4.3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</si>
  <si>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</si>
  <si>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</si>
  <si>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</si>
  <si>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</si>
  <si>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</si>
  <si>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</si>
  <si>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</si>
  <si>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</si>
  <si>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</si>
  <si>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8.2.3.4.4</t>
  </si>
  <si>
    <t>1609</t>
  </si>
  <si>
    <t>1610</t>
  </si>
  <si>
    <t>1611</t>
  </si>
  <si>
    <t>1612</t>
  </si>
  <si>
    <t>1613</t>
  </si>
  <si>
    <t>1614</t>
  </si>
  <si>
    <t>1615</t>
  </si>
  <si>
    <t>8.2.3.5</t>
  </si>
  <si>
    <t>1616</t>
  </si>
  <si>
    <t>8.2.3.5.1</t>
  </si>
  <si>
    <t>1617</t>
  </si>
  <si>
    <t>1618</t>
  </si>
  <si>
    <t>1619</t>
  </si>
  <si>
    <t>1620</t>
  </si>
  <si>
    <t>8.2.3.5.2</t>
  </si>
  <si>
    <t>1621</t>
  </si>
  <si>
    <t>1622</t>
  </si>
  <si>
    <t>1623</t>
  </si>
  <si>
    <t>1624</t>
  </si>
  <si>
    <t>1625</t>
  </si>
  <si>
    <t>8.2.3.5.3</t>
  </si>
  <si>
    <t>1626</t>
  </si>
  <si>
    <t>1627</t>
  </si>
  <si>
    <t>8.2.4</t>
  </si>
  <si>
    <t>Отделка надземной части. Корпус 3</t>
  </si>
  <si>
    <t>1628</t>
  </si>
  <si>
    <t>8.2.4.1</t>
  </si>
  <si>
    <t>1629</t>
  </si>
  <si>
    <t>8.2.4.1.1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</si>
  <si>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</si>
  <si>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</si>
  <si>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</si>
  <si>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</si>
  <si>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</si>
  <si>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</si>
  <si>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</si>
  <si>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</si>
  <si>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</si>
  <si>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8.2.4.1.2</t>
  </si>
  <si>
    <t>1639</t>
  </si>
  <si>
    <t>1640</t>
  </si>
  <si>
    <t>1641</t>
  </si>
  <si>
    <t>1642</t>
  </si>
  <si>
    <t>1643</t>
  </si>
  <si>
    <t>1644</t>
  </si>
  <si>
    <t>1645</t>
  </si>
  <si>
    <t>1646</t>
  </si>
  <si>
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Хаммер, количество уточнить на РД</t>
  </si>
  <si>
    <t>1647</t>
  </si>
  <si>
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Хаммер, количество уточнить на РД</t>
  </si>
  <si>
    <t>1648</t>
  </si>
  <si>
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Хаммер, количество уточнить на РД</t>
  </si>
  <si>
    <t>1649</t>
  </si>
  <si>
    <t>8.2.4.1.3</t>
  </si>
  <si>
    <t>1650</t>
  </si>
  <si>
    <t>1651</t>
  </si>
  <si>
    <t>1652</t>
  </si>
  <si>
    <t>1653</t>
  </si>
  <si>
    <t>8.2.4.1.4</t>
  </si>
  <si>
    <t>1654</t>
  </si>
  <si>
    <t>1655</t>
  </si>
  <si>
    <t>1656</t>
  </si>
  <si>
    <t>1657</t>
  </si>
  <si>
    <t>1658</t>
  </si>
  <si>
    <t>1659</t>
  </si>
  <si>
    <t>8.2.4.2</t>
  </si>
  <si>
    <t>1660</t>
  </si>
  <si>
    <t>8.2.4.2.1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</si>
  <si>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</si>
  <si>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</si>
  <si>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</si>
  <si>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</si>
  <si>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</si>
  <si>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</si>
  <si>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</si>
  <si>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</si>
  <si>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</si>
  <si>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8.2.4.2.2</t>
  </si>
  <si>
    <t>1670</t>
  </si>
  <si>
    <t>1671</t>
  </si>
  <si>
    <t>1672</t>
  </si>
  <si>
    <t>1673</t>
  </si>
  <si>
    <t>1674</t>
  </si>
  <si>
    <t>1675</t>
  </si>
  <si>
    <t>1676</t>
  </si>
  <si>
    <t>8.2.4.2.3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</si>
  <si>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</si>
  <si>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</si>
  <si>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</si>
  <si>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</si>
  <si>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</si>
  <si>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</si>
  <si>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</si>
  <si>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</si>
  <si>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</si>
  <si>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8.2.4.2.4</t>
  </si>
  <si>
    <t>1686</t>
  </si>
  <si>
    <t>1687</t>
  </si>
  <si>
    <t>1688</t>
  </si>
  <si>
    <t>1689</t>
  </si>
  <si>
    <t>1690</t>
  </si>
  <si>
    <t>1691</t>
  </si>
  <si>
    <t>8.2.4.3</t>
  </si>
  <si>
    <t>1692</t>
  </si>
  <si>
    <t>8.2.4.3.1</t>
  </si>
  <si>
    <t>1693</t>
  </si>
  <si>
    <t>1694</t>
  </si>
  <si>
    <t>1695</t>
  </si>
  <si>
    <t>1696</t>
  </si>
  <si>
    <t>1697</t>
  </si>
  <si>
    <t>8.2.4.3.2</t>
  </si>
  <si>
    <t>1698</t>
  </si>
  <si>
    <t>1699</t>
  </si>
  <si>
    <t>1700</t>
  </si>
  <si>
    <t>1701</t>
  </si>
  <si>
    <t>Декоративная штукатурка "Venicоlor" Art Seta цвет: по выкрасу RAL3005</t>
  </si>
  <si>
    <t>1702</t>
  </si>
  <si>
    <t>8.2.4.3.3</t>
  </si>
  <si>
    <t>1703</t>
  </si>
  <si>
    <t>1704</t>
  </si>
  <si>
    <t>1705</t>
  </si>
  <si>
    <t>1706</t>
  </si>
  <si>
    <t>8.2.4.3.4</t>
  </si>
  <si>
    <t>1707</t>
  </si>
  <si>
    <t>1708</t>
  </si>
  <si>
    <t>8.2.4.4</t>
  </si>
  <si>
    <t>1709</t>
  </si>
  <si>
    <t>8.2.4.4.1</t>
  </si>
  <si>
    <t>1710</t>
  </si>
  <si>
    <t>1711</t>
  </si>
  <si>
    <t>1712</t>
  </si>
  <si>
    <t>1713</t>
  </si>
  <si>
    <t>8.2.4.4.2</t>
  </si>
  <si>
    <t>1714</t>
  </si>
  <si>
    <t>1715</t>
  </si>
  <si>
    <t>1716</t>
  </si>
  <si>
    <t>1717</t>
  </si>
  <si>
    <t>1718</t>
  </si>
  <si>
    <t>8.2.4.4.3</t>
  </si>
  <si>
    <t>1719</t>
  </si>
  <si>
    <t>1720</t>
  </si>
  <si>
    <t>8.2.4.5</t>
  </si>
  <si>
    <t>Тамбур МОП жилья</t>
  </si>
  <si>
    <t>1721</t>
  </si>
  <si>
    <t>8.2.4.5.1</t>
  </si>
  <si>
    <t>1722</t>
  </si>
  <si>
    <t>1723</t>
  </si>
  <si>
    <t>Устройство цементно-песчаной стяжки</t>
  </si>
  <si>
    <t>1724</t>
  </si>
  <si>
    <t>1725</t>
  </si>
  <si>
    <t>1726</t>
  </si>
  <si>
    <t>8.2.4.5.2</t>
  </si>
  <si>
    <t>1727</t>
  </si>
  <si>
    <t>1728</t>
  </si>
  <si>
    <t>1729</t>
  </si>
  <si>
    <t>1730</t>
  </si>
  <si>
    <t>8.2.4.5.3</t>
  </si>
  <si>
    <t>1731</t>
  </si>
  <si>
    <t>1732</t>
  </si>
  <si>
    <t>1733</t>
  </si>
  <si>
    <t>Устройство ГКЛО в 2 слоя</t>
  </si>
  <si>
    <t>1734</t>
  </si>
  <si>
    <t>1735</t>
  </si>
  <si>
    <t>8.2.5</t>
  </si>
  <si>
    <t>Отделка надземной части. Корпус 4</t>
  </si>
  <si>
    <t>1736</t>
  </si>
  <si>
    <t>8.2.5.1</t>
  </si>
  <si>
    <t>1737</t>
  </si>
  <si>
    <t>8.2.5.1.1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</si>
  <si>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</si>
  <si>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</si>
  <si>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</si>
  <si>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</si>
  <si>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</si>
  <si>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</si>
  <si>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</si>
  <si>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</si>
  <si>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</si>
  <si>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8.2.5.1.2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</si>
  <si>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</si>
  <si>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</si>
  <si>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</si>
  <si>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</si>
  <si>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</si>
  <si>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</si>
  <si>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</si>
  <si>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</si>
  <si>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</si>
  <si>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</si>
  <si>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</si>
  <si>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8.2.5.1.3</t>
  </si>
  <si>
    <t>1758</t>
  </si>
  <si>
    <t>1759</t>
  </si>
  <si>
    <t>1760</t>
  </si>
  <si>
    <t>Панели оцинкованные стальные 1500х750мм, цвет RAL 1015, с учетом возможности сьема для обслуживания инженерного оборудования</t>
  </si>
  <si>
    <t>1761</t>
  </si>
  <si>
    <t>8.2.5.1.4</t>
  </si>
  <si>
    <t>1762</t>
  </si>
  <si>
    <t>1763</t>
  </si>
  <si>
    <t>1764</t>
  </si>
  <si>
    <t>1765</t>
  </si>
  <si>
    <t>1766</t>
  </si>
  <si>
    <t>1767</t>
  </si>
  <si>
    <t>8.2.5.2</t>
  </si>
  <si>
    <t>1768</t>
  </si>
  <si>
    <t>8.2.5.2.1</t>
  </si>
  <si>
    <t>1769</t>
  </si>
  <si>
    <t>1770</t>
  </si>
  <si>
    <t>1771</t>
  </si>
  <si>
    <t>1772</t>
  </si>
  <si>
    <t>1773</t>
  </si>
  <si>
    <t>1774</t>
  </si>
  <si>
    <t>Напольное покрытие 2 (лх), ATLAS CONCORDE, Керамогранит / 150х75 см
ATLAS CONCORDE MARVEL TRAVERTINE Sand Vein 6 mm или аналог (согласовать с архитектором)</t>
  </si>
  <si>
    <t>1775</t>
  </si>
  <si>
    <t>1776</t>
  </si>
  <si>
    <t>1777</t>
  </si>
  <si>
    <t>8.2.5.2.2</t>
  </si>
  <si>
    <t>1778</t>
  </si>
  <si>
    <t>1779</t>
  </si>
  <si>
    <t>1780</t>
  </si>
  <si>
    <t>1781</t>
  </si>
  <si>
    <t>1782</t>
  </si>
  <si>
    <t>1783</t>
  </si>
  <si>
    <t>1784</t>
  </si>
  <si>
    <t>8.2.5.2.3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</si>
  <si>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</si>
  <si>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</si>
  <si>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</si>
  <si>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</si>
  <si>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</si>
  <si>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</si>
  <si>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</si>
  <si>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</si>
  <si>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</si>
  <si>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8.2.5.2.4</t>
  </si>
  <si>
    <t>1794</t>
  </si>
  <si>
    <t>1795</t>
  </si>
  <si>
    <t>1796</t>
  </si>
  <si>
    <t>1797</t>
  </si>
  <si>
    <t>1798</t>
  </si>
  <si>
    <t>1799</t>
  </si>
  <si>
    <t>8.2.5.3</t>
  </si>
  <si>
    <t>1800</t>
  </si>
  <si>
    <t>8.2.5.3.1</t>
  </si>
  <si>
    <t>1801</t>
  </si>
  <si>
    <t>1802</t>
  </si>
  <si>
    <t>1803</t>
  </si>
  <si>
    <t>1804</t>
  </si>
  <si>
    <t>1805</t>
  </si>
  <si>
    <t>8.2.5.3.2</t>
  </si>
  <si>
    <t>1806</t>
  </si>
  <si>
    <t>1807</t>
  </si>
  <si>
    <t>1808</t>
  </si>
  <si>
    <t>1809</t>
  </si>
  <si>
    <t>1810</t>
  </si>
  <si>
    <t>8.2.5.3.3</t>
  </si>
  <si>
    <t>1811</t>
  </si>
  <si>
    <t>1812</t>
  </si>
  <si>
    <t>1813</t>
  </si>
  <si>
    <t>1814</t>
  </si>
  <si>
    <t>8.2.5.3.4</t>
  </si>
  <si>
    <t>1815</t>
  </si>
  <si>
    <t>1816</t>
  </si>
  <si>
    <t>8.2.5.4</t>
  </si>
  <si>
    <t>1817</t>
  </si>
  <si>
    <t>8.2.5.4.1</t>
  </si>
  <si>
    <t>1818</t>
  </si>
  <si>
    <t>1819</t>
  </si>
  <si>
    <t>1820</t>
  </si>
  <si>
    <t>1821</t>
  </si>
  <si>
    <t>1822</t>
  </si>
  <si>
    <t>8.2.5.4.2</t>
  </si>
  <si>
    <t>1823</t>
  </si>
  <si>
    <t>1824</t>
  </si>
  <si>
    <t>1825</t>
  </si>
  <si>
    <t>1826</t>
  </si>
  <si>
    <t>8.2.5.4.3</t>
  </si>
  <si>
    <t>1827</t>
  </si>
  <si>
    <t>1828</t>
  </si>
  <si>
    <t>1829</t>
  </si>
  <si>
    <t>1830</t>
  </si>
  <si>
    <t>1831</t>
  </si>
  <si>
    <t>8.2.5.5</t>
  </si>
  <si>
    <t>1832</t>
  </si>
  <si>
    <t>8.2.5.5.1</t>
  </si>
  <si>
    <t>1833</t>
  </si>
  <si>
    <t>1834</t>
  </si>
  <si>
    <t>1835</t>
  </si>
  <si>
    <t>1836</t>
  </si>
  <si>
    <t>8.2.5.5.2</t>
  </si>
  <si>
    <t>1837</t>
  </si>
  <si>
    <t>1838</t>
  </si>
  <si>
    <t>1839</t>
  </si>
  <si>
    <t>1840</t>
  </si>
  <si>
    <t>1841</t>
  </si>
  <si>
    <t>8.2.5.5.3</t>
  </si>
  <si>
    <t>1842</t>
  </si>
  <si>
    <t>1843</t>
  </si>
  <si>
    <t>8.3</t>
  </si>
  <si>
    <t>8.3. Устройство дверей, ворот, противопожарных штор, люков и т.д.</t>
  </si>
  <si>
    <t>Двери, ворота, шлагбаумы (в соответсвии с дизайн-проектом, стандартами МР Групп, СТУ и ПБ)</t>
  </si>
  <si>
    <t>1844</t>
  </si>
  <si>
    <t>8.3.1</t>
  </si>
  <si>
    <t>Двери подземной части (в соответсвии с дизайн-проектом, стандартами МР Групп, СТУ и ПБ)</t>
  </si>
  <si>
    <t>1845</t>
  </si>
  <si>
    <t>Витражная дверь</t>
  </si>
  <si>
    <t>1846</t>
  </si>
  <si>
    <t>Двери коммерческих помещений (клининг)</t>
  </si>
  <si>
    <t>1847</t>
  </si>
  <si>
    <t>Дверь МОП - лифтовой холл/коридор</t>
  </si>
  <si>
    <t>1848</t>
  </si>
  <si>
    <t>Тамбур-шлюз, лестница эвакуационная</t>
  </si>
  <si>
    <t>1849</t>
  </si>
  <si>
    <t>Люк доступа к инженерным коммуникациям</t>
  </si>
  <si>
    <t>1850</t>
  </si>
  <si>
    <t>Дверь в технические, подсобные и прочие помещения</t>
  </si>
  <si>
    <t>1851</t>
  </si>
  <si>
    <t>8.3.2</t>
  </si>
  <si>
    <t>Ворота, шлагбаумы (в соответсвии с дизайн-проектом, стандартами МР Групп, СТУ и ПБ)</t>
  </si>
  <si>
    <t>1852</t>
  </si>
  <si>
    <t>Ворота рулонные 2800х3500</t>
  </si>
  <si>
    <t>1853</t>
  </si>
  <si>
    <t>Ворота рулонные 3100х3490</t>
  </si>
  <si>
    <t>1854</t>
  </si>
  <si>
    <t>Ворота рулонные 3300х3490</t>
  </si>
  <si>
    <t>1855</t>
  </si>
  <si>
    <t>Ворота откатные 2000х3000</t>
  </si>
  <si>
    <t>1856</t>
  </si>
  <si>
    <t>Ворота распашные</t>
  </si>
  <si>
    <t>1857</t>
  </si>
  <si>
    <t>Тип 20 - Ворота рулонные подъемные, отделка - окрашенный алюминий.
Цвет RAL 7024. (1 этаж)</t>
  </si>
  <si>
    <t>1858</t>
  </si>
  <si>
    <t>Тип 21 - Выездные металлические ворота распашные с автоматическим
приводом открывания. Цвет RAL 7024. (1 этаж)</t>
  </si>
  <si>
    <t>1859</t>
  </si>
  <si>
    <t>Противопожарные шторы</t>
  </si>
  <si>
    <t>1860</t>
  </si>
  <si>
    <t>8.3.3</t>
  </si>
  <si>
    <t>Двери надземной части наружные</t>
  </si>
  <si>
    <t>1861</t>
  </si>
  <si>
    <t>Входная дверь в здание (металлические)</t>
  </si>
  <si>
    <t>1862</t>
  </si>
  <si>
    <t>8.3.4</t>
  </si>
  <si>
    <t>Двери надземной части внутренние</t>
  </si>
  <si>
    <t>1863</t>
  </si>
  <si>
    <t>8.3.4.1</t>
  </si>
  <si>
    <t>Двери надземной части внутренние. 1 этаж</t>
  </si>
  <si>
    <t>1864</t>
  </si>
  <si>
    <t>1865</t>
  </si>
  <si>
    <t>Дверь внутри входной группы 1 этажа</t>
  </si>
  <si>
    <t>1866</t>
  </si>
  <si>
    <t>1867</t>
  </si>
  <si>
    <t>Люк доступа к инженерным коммуникациям(в надземной части)</t>
  </si>
  <si>
    <t>1868</t>
  </si>
  <si>
    <t>1869</t>
  </si>
  <si>
    <t>8.3.4.2</t>
  </si>
  <si>
    <t>Двери надземной части внутренние. Корпус 1</t>
  </si>
  <si>
    <t>1870</t>
  </si>
  <si>
    <t>1871</t>
  </si>
  <si>
    <t>Входная дверь в квартиру</t>
  </si>
  <si>
    <t>1872</t>
  </si>
  <si>
    <t>1873</t>
  </si>
  <si>
    <t>1874</t>
  </si>
  <si>
    <t>Дверь технического балкона</t>
  </si>
  <si>
    <t>1875</t>
  </si>
  <si>
    <t>8.3.4.3</t>
  </si>
  <si>
    <t>Двери надземной части внутренние. Корпус 2</t>
  </si>
  <si>
    <t>1876</t>
  </si>
  <si>
    <t>1877</t>
  </si>
  <si>
    <t>1878</t>
  </si>
  <si>
    <t>1879</t>
  </si>
  <si>
    <t>Дверь/люк доступа к инженерным коммуникациям</t>
  </si>
  <si>
    <t>1880</t>
  </si>
  <si>
    <t>1881</t>
  </si>
  <si>
    <t>1882</t>
  </si>
  <si>
    <t>1883</t>
  </si>
  <si>
    <t>8.3.4.4</t>
  </si>
  <si>
    <t>Двери надземной части внутренние. Корпус 3</t>
  </si>
  <si>
    <t>1884</t>
  </si>
  <si>
    <t>1885</t>
  </si>
  <si>
    <t>1886</t>
  </si>
  <si>
    <t>1887</t>
  </si>
  <si>
    <t>1888</t>
  </si>
  <si>
    <t>1889</t>
  </si>
  <si>
    <t>1890</t>
  </si>
  <si>
    <t>8.3.4.5</t>
  </si>
  <si>
    <t>Двери надземной части внутренние. Корпус 4</t>
  </si>
  <si>
    <t>1891</t>
  </si>
  <si>
    <t>1892</t>
  </si>
  <si>
    <t>1893</t>
  </si>
  <si>
    <t>1894</t>
  </si>
  <si>
    <t>1895</t>
  </si>
  <si>
    <t>1896</t>
  </si>
  <si>
    <t>1897</t>
  </si>
  <si>
    <t>8.4</t>
  </si>
  <si>
    <t>8.99. Прочее (отделка, в т.ч. навигация)</t>
  </si>
  <si>
    <t>Визуальная навигация интерьеров - таблички, иконки, номера, подписи, указатели, в т.ч. устройство подсветки при необходимости</t>
  </si>
  <si>
    <t>1898</t>
  </si>
  <si>
    <t>1899</t>
  </si>
  <si>
    <t>9. Лифты, подъемники</t>
  </si>
  <si>
    <t>Лифты и подъемники с использованием системы мониторинга и диспетчеризации</t>
  </si>
  <si>
    <t>1900</t>
  </si>
  <si>
    <t>9.1</t>
  </si>
  <si>
    <t>9.2. Монтаж лифтов и подъемников</t>
  </si>
  <si>
    <t>Лифты и подъемники</t>
  </si>
  <si>
    <t>1901</t>
  </si>
  <si>
    <t>9.1.1</t>
  </si>
  <si>
    <t>Лифты и подъемники. Паркинг</t>
  </si>
  <si>
    <t>1902</t>
  </si>
  <si>
    <t>Лифт Л №5 v=1 м/с, грузоподъемность 2000 кг</t>
  </si>
  <si>
    <t>1903</t>
  </si>
  <si>
    <t>9.1.2</t>
  </si>
  <si>
    <t>Лифты и подъемники. Корпус 1</t>
  </si>
  <si>
    <t>1904</t>
  </si>
  <si>
    <t>Лифт ЛПП №1.1 2100х1400х2500, v=1,75 м/с, грузоподъемность 1350 кг (-2 - 11 этаж)</t>
  </si>
  <si>
    <t>1905</t>
  </si>
  <si>
    <t>Лифт ЛПП №1.2 2100х1100х2500, v=1,75 м/с, грузоподъемность 800 кг (-2 - 11 этаж)</t>
  </si>
  <si>
    <t>1906</t>
  </si>
  <si>
    <t>9.1.3</t>
  </si>
  <si>
    <t>Лифты и подъемники. Корпус 2</t>
  </si>
  <si>
    <t>1907</t>
  </si>
  <si>
    <t>Лифт ЛПП №2 1100х2100х2500, v=1 м/с, грузоподъемность 1000 кг (-2 - 4 этаж)</t>
  </si>
  <si>
    <t>1908</t>
  </si>
  <si>
    <t>9.1.4</t>
  </si>
  <si>
    <t>Лифты и подъемники. Корпус 3</t>
  </si>
  <si>
    <t>1909</t>
  </si>
  <si>
    <t>Лифт ЛПП №3.1 2100х1400х2500, v=5 м/с, грузоподъемность 1350 кг (-2 - 56 этаж)</t>
  </si>
  <si>
    <t>1910</t>
  </si>
  <si>
    <t>Лифт ЛПП №3.2 2100х1400х2500, v=5 м/с, грузоподъемность 1350 кг (-2 - 56 этаж)</t>
  </si>
  <si>
    <t>1911</t>
  </si>
  <si>
    <t>Лифт ЛПП №3.3 2100х1400х2500, v=5 м/с, грузоподъемность 1350 кг (-2 - 56 этаж)</t>
  </si>
  <si>
    <t>1912</t>
  </si>
  <si>
    <t>Лифт ЛПП №3.4 2100х1400х2500, v=5 м/с, грузоподъемность 1350 кг (-2 - 56 этаж)</t>
  </si>
  <si>
    <t>1913</t>
  </si>
  <si>
    <t>9.1.5</t>
  </si>
  <si>
    <t>Лифты и подъемники. Корпус 4</t>
  </si>
  <si>
    <t>1914</t>
  </si>
  <si>
    <t>Лифт ЛПП №4.1 2100х1100х2500, v=2,5 м/с, грузоподъемность 1000 кг (-2 - 26 этаж)</t>
  </si>
  <si>
    <t>1915</t>
  </si>
  <si>
    <t>Лифт ЛПП №4.2 1400х1400х2500, v=2,5 м/с, грузоподъемность 800 кг (-2 - 26 этаж)</t>
  </si>
  <si>
    <t>1916</t>
  </si>
  <si>
    <t>Лифт ЛПП №4.3 2100х1100х2500, v=2,5 м/с, грузоподъемность 1350 кг (-2 - 26 этаж)</t>
  </si>
  <si>
    <t>1917</t>
  </si>
  <si>
    <t>9.2</t>
  </si>
  <si>
    <t>9.99. Прочее (лифты, подъемники)</t>
  </si>
  <si>
    <t>1918</t>
  </si>
  <si>
    <t>9.2.1</t>
  </si>
  <si>
    <t>Система управления и мониторинга лифтов</t>
  </si>
  <si>
    <t>1919</t>
  </si>
  <si>
    <t>Система управления с предварительным назначением этажа и интеграцией со СКУД, типа Port или аналог</t>
  </si>
  <si>
    <t>1920</t>
  </si>
  <si>
    <t>Система мониторинга и диспетчеризации лифтов</t>
  </si>
  <si>
    <t>1921</t>
  </si>
  <si>
    <t>Система распределения пассажиропотока DDS (Destination Dispatching System) или аналог на всех корпусах</t>
  </si>
  <si>
    <t>1922</t>
  </si>
  <si>
    <t>Все лифты должны быть оборудованы системой Hall call destination system или аналог. С установкой ЖК дисплея на каждом этаже во всех корпусах. Скорость лифтов в соответствии со стадией П.</t>
  </si>
  <si>
    <t>1923</t>
  </si>
  <si>
    <t>9.2.2</t>
  </si>
  <si>
    <t>Вызывные панели лифтов</t>
  </si>
  <si>
    <t>1924</t>
  </si>
  <si>
    <t>Вызывные панели лифтов - по 1 панели на каждый лифтовой холл</t>
  </si>
  <si>
    <t>1925</t>
  </si>
  <si>
    <t>ЗИП: 5% от общего количества вызывных панелей в соответствии с ТЗ</t>
  </si>
  <si>
    <t>1926</t>
  </si>
  <si>
    <t>9.2.3</t>
  </si>
  <si>
    <t>Оснащение лифтов согласно стандартов МР Групп</t>
  </si>
  <si>
    <t>1927</t>
  </si>
  <si>
    <t>Вещение музыки</t>
  </si>
  <si>
    <t>1928</t>
  </si>
  <si>
    <t>Видеонаблюдение</t>
  </si>
  <si>
    <t>1929</t>
  </si>
  <si>
    <t>9.2.4</t>
  </si>
  <si>
    <t>Отделка лифтов</t>
  </si>
  <si>
    <t>1930</t>
  </si>
  <si>
    <t>1931</t>
  </si>
  <si>
    <t>Инженерные системы</t>
  </si>
  <si>
    <t>1932</t>
  </si>
  <si>
    <t>10.1</t>
  </si>
  <si>
    <t>11.12. Фасадное освещение согласно концепции</t>
  </si>
  <si>
    <t>Фасадные осветительные приборы</t>
  </si>
  <si>
    <t>1933</t>
  </si>
  <si>
    <t>10.1.1</t>
  </si>
  <si>
    <t>11.12.1. Монтаж щитов питания, автоматики и учета, диммеров фасадного освещения</t>
  </si>
  <si>
    <t>1934</t>
  </si>
  <si>
    <t>ФО / Диммируемые фасадные LED прожекторы</t>
  </si>
  <si>
    <t>1935</t>
  </si>
  <si>
    <t>ФО / Диммируемые фасадные линейные светильники</t>
  </si>
  <si>
    <t>1936</t>
  </si>
  <si>
    <t>10.1.2</t>
  </si>
  <si>
    <t>11.12.2. Монтаж кабельных линий фасадного освещения</t>
  </si>
  <si>
    <t>ФО / Кабельные линии</t>
  </si>
  <si>
    <t>пог.м</t>
  </si>
  <si>
    <t>1937</t>
  </si>
  <si>
    <t>1938</t>
  </si>
  <si>
    <t>10.1.3</t>
  </si>
  <si>
    <t>11.12.3. Монтаж оконечного оборудования</t>
  </si>
  <si>
    <t>ФО / Щиты питания, автоматики и учета, диммеры</t>
  </si>
  <si>
    <t>1939</t>
  </si>
  <si>
    <t>1940</t>
  </si>
  <si>
    <t>10.2</t>
  </si>
  <si>
    <t>11.11. Наружное освещение согласно концепции</t>
  </si>
  <si>
    <t>Наружное освещение</t>
  </si>
  <si>
    <t>1941</t>
  </si>
  <si>
    <t>10.2.1</t>
  </si>
  <si>
    <t>11.11.1. Монтаж опор и светильников</t>
  </si>
  <si>
    <t>Устройство наружного освещения</t>
  </si>
  <si>
    <t>1942</t>
  </si>
  <si>
    <t>Устройство наружного освещения. Внутренний двор</t>
  </si>
  <si>
    <t>1943</t>
  </si>
  <si>
    <t>Устройство наружного освещения. Терраса</t>
  </si>
  <si>
    <t>1944</t>
  </si>
  <si>
    <t>10.2.2</t>
  </si>
  <si>
    <t>11.11.2. Монтаж кабельных линий наружного освещения</t>
  </si>
  <si>
    <t>НО / Наружное освещение / Кабельные линии</t>
  </si>
  <si>
    <t>1945</t>
  </si>
  <si>
    <t>1946</t>
  </si>
  <si>
    <t>10.2.3</t>
  </si>
  <si>
    <t>11.11.3. Монтаж щитов питания, автоматики и учета, диммеров наружного освещения</t>
  </si>
  <si>
    <t>НО / Наружное освещение / Щиты питания, автоматики и учета</t>
  </si>
  <si>
    <t>1947</t>
  </si>
  <si>
    <t>1948</t>
  </si>
  <si>
    <t>10.3</t>
  </si>
  <si>
    <t>Внутренние инженерные системы корпусов</t>
  </si>
  <si>
    <t>1949</t>
  </si>
  <si>
    <t>10.3.1</t>
  </si>
  <si>
    <t>10. ВИС - механические системы</t>
  </si>
  <si>
    <t>Механические инженерные системы</t>
  </si>
  <si>
    <t>1950</t>
  </si>
  <si>
    <t>10.3.1.1</t>
  </si>
  <si>
    <t>10.1. Системы внутреннего водоснабжения</t>
  </si>
  <si>
    <t>Системы внутреннего водоснабжения  (797PRO-3-24-П-ИОС2.1-В1)</t>
  </si>
  <si>
    <t>1951</t>
  </si>
  <si>
    <t>10.3.1.1.1</t>
  </si>
  <si>
    <t>10.1.1. Прокладка вертикальных и горизонтальных трубопроводов системы водоснабжения с установкой арматуры</t>
  </si>
  <si>
    <t>Прокладка вертикальных трубопроводов системы водоснабжения с установкой арматуры и Горизонтальная разводка трубопроводов водоснабжения</t>
  </si>
  <si>
    <t>1952</t>
  </si>
  <si>
    <t>Системы внутреннего водоснабжения/Система хоз.-питьевого водоснабжения -В1.1</t>
  </si>
  <si>
    <t>1953</t>
  </si>
  <si>
    <t>Системы внутреннего водоснабжения/Система хоз.-питьевого водоснабжения -В1.2</t>
  </si>
  <si>
    <t>1954</t>
  </si>
  <si>
    <t>Системы внутреннего водоснабжения/Система хоз.-питьевого водоснабжения -В1.3</t>
  </si>
  <si>
    <t>1955</t>
  </si>
  <si>
    <t>Системы внутреннего водоснабжения/Система хоз.-питьевого водоснабжения -В1.4</t>
  </si>
  <si>
    <t>1956</t>
  </si>
  <si>
    <t>Системы внутреннего водоснабжения/Система хоз.-питьевого водоснабжения -В1.5</t>
  </si>
  <si>
    <t>1957</t>
  </si>
  <si>
    <t>Системы внутреннего водоснабжения/Трубопровод горячего водоснабжения -Т3.1</t>
  </si>
  <si>
    <t>1958</t>
  </si>
  <si>
    <t>Системы внутреннего водоснабжения/Трубопровод горячего водоснабжения -Т3.2</t>
  </si>
  <si>
    <t>1959</t>
  </si>
  <si>
    <t>Системы внутреннего водоснабжения/Трубопровод горячего водоснабжения -Т3.3</t>
  </si>
  <si>
    <t>1960</t>
  </si>
  <si>
    <t>Системы внутреннего водоснабжения/Трубопровод горячего водоснабжения -Т3.4</t>
  </si>
  <si>
    <t>1961</t>
  </si>
  <si>
    <t>Системы внутреннего водоснабжения/Трубопровод горячего водоснабжения -Т3.5</t>
  </si>
  <si>
    <t>1962</t>
  </si>
  <si>
    <t>Системы внутреннего водоснабжения/Трубопровод горячего водоснабжения, циркуляционный-Т4.1</t>
  </si>
  <si>
    <t>1963</t>
  </si>
  <si>
    <t>Системы внутреннего водоснабжения/Трубопровод горячего водоснабжения, циркуляционный-Т4.2</t>
  </si>
  <si>
    <t>1964</t>
  </si>
  <si>
    <t>Системы внутреннего водоснабжения/Трубопровод горячего водоснабжения, циркуляционный-Т4.3</t>
  </si>
  <si>
    <t>1965</t>
  </si>
  <si>
    <t>Системы внутреннего водоснабжения/Трубопровод горячего водоснабжения, циркуляционный-Т4.4</t>
  </si>
  <si>
    <t>1966</t>
  </si>
  <si>
    <t>Системы внутреннего водоснабжения/Трубопровод горячего водоснабжения, циркуляционный-Т4.5</t>
  </si>
  <si>
    <t>1967</t>
  </si>
  <si>
    <t>Системы внутреннего водоснабжения/Изоляция трубопроводов</t>
  </si>
  <si>
    <t>1968</t>
  </si>
  <si>
    <t>10.3.1.1.2</t>
  </si>
  <si>
    <t>10.1.3. Монтаж оборудования системы водоснабжения (насосы и пр.)</t>
  </si>
  <si>
    <t>Монтаж оборудования системы водоснабжения</t>
  </si>
  <si>
    <t>1969</t>
  </si>
  <si>
    <t>Системы внутреннего водоснабжения / Повысительная насосная установка хоз.-питьевого водоснабжения</t>
  </si>
  <si>
    <t>1970</t>
  </si>
  <si>
    <t>Системы внутреннего водоснабжения / Общедомовой водомерный узел</t>
  </si>
  <si>
    <t>1971</t>
  </si>
  <si>
    <t>10.3.1.2</t>
  </si>
  <si>
    <t>10.2. Система  водяного пожаротушения, противопожарный водопровод</t>
  </si>
  <si>
    <t>Система автоматического водяного пожаротушения, внутренний противопожарный водопровод (797PRO-3-24-П-ИОС2.2-АПТ)</t>
  </si>
  <si>
    <t>1972</t>
  </si>
  <si>
    <t>10.3.1.2.1</t>
  </si>
  <si>
    <t>10.2.1. Прокладка вертикальных и горизонтальных трасс водяного пожаротушения</t>
  </si>
  <si>
    <t>Прокладка вертикальных трасс водяного пожаротушения и Горизонтальная разводка трубопроводов пожаротушения</t>
  </si>
  <si>
    <t>1973</t>
  </si>
  <si>
    <t>АВП/ВПВ/АУПТ подземной автостоянки- В2.1п</t>
  </si>
  <si>
    <t>1974</t>
  </si>
  <si>
    <t>АВП/ВПВ/Система АУП надземной части здания зоны 1-B2.1.1</t>
  </si>
  <si>
    <t>1975</t>
  </si>
  <si>
    <t>АВП/ВПВ/Система АУП надземной части здания зоны 2-B2.1.2</t>
  </si>
  <si>
    <t>1976</t>
  </si>
  <si>
    <t>АВП/ВПВ/Система АУП надземной части здания зоны 3-B2.1.3</t>
  </si>
  <si>
    <t>1977</t>
  </si>
  <si>
    <t>АВП/ВПВ/Система АУП надземной части здания зоны 4-B2.1.4</t>
  </si>
  <si>
    <t>1978</t>
  </si>
  <si>
    <t>АВП/ВПВ/Система ВПВ надземной части здания зоны 1-B2.2.1</t>
  </si>
  <si>
    <t>1979</t>
  </si>
  <si>
    <t>АВП/ВПВ/Система ВПВ надземной части здания зоны 2-B2.2.2</t>
  </si>
  <si>
    <t>1980</t>
  </si>
  <si>
    <t>АВП/ВПВ/Система ВПВ надземной части здания зоны 3-B2.2.3</t>
  </si>
  <si>
    <t>1981</t>
  </si>
  <si>
    <t>АВП/ВПВ/Система ВПВ надземной части здания зоны 4-B2.2.4</t>
  </si>
  <si>
    <t>1982</t>
  </si>
  <si>
    <t>АВП/ВПВ/Система ВПВ подземной автостоянки-B2.2п</t>
  </si>
  <si>
    <t>1983</t>
  </si>
  <si>
    <t>АВП/ВПВ/Сухотруб</t>
  </si>
  <si>
    <t>1984</t>
  </si>
  <si>
    <t>10.3.1.2.2</t>
  </si>
  <si>
    <t>10.2.3. Монтаж насосной станции пожаротушения</t>
  </si>
  <si>
    <t>Монтаж насосной станции пожаротушения</t>
  </si>
  <si>
    <t>1985</t>
  </si>
  <si>
    <t>АВП/ВПВ / Пожарные шкафы (ШПК)</t>
  </si>
  <si>
    <t>1986</t>
  </si>
  <si>
    <t>АВП/ВПВ / Насосная станция пожаротушения</t>
  </si>
  <si>
    <t>1987</t>
  </si>
  <si>
    <t>АВП/ВПВ / Узел управления КСК</t>
  </si>
  <si>
    <t>1988</t>
  </si>
  <si>
    <t>10.3.1.3</t>
  </si>
  <si>
    <t>10.3. Система внутреннего водоотведения</t>
  </si>
  <si>
    <t>Система внутреннего водоотведения (797PRO-3-24-П-ИОС3.1-К1)</t>
  </si>
  <si>
    <t>1989</t>
  </si>
  <si>
    <t>10.3.1.3.1</t>
  </si>
  <si>
    <t>10.3.1. Прокладка вертикальных и горизонтальных трубопроводов системы канализации с установкой арматуры</t>
  </si>
  <si>
    <t>Прокладка вертикальных трубопроводов системы канализации с установкой арматуры и Горизонтальная разводка трубопроводов водоотведения</t>
  </si>
  <si>
    <t>1990</t>
  </si>
  <si>
    <t>Система внутреннего водоотведения/Система бытовой канализации жилой части-K1.1</t>
  </si>
  <si>
    <t>1991</t>
  </si>
  <si>
    <t>Система внутреннего водоотведения/Система бытовой канализации нежилой части-K1.2</t>
  </si>
  <si>
    <t>1992</t>
  </si>
  <si>
    <t>Система внутреннего водоотведения/Система ливневой канализации жилой части (К2)</t>
  </si>
  <si>
    <t>1993</t>
  </si>
  <si>
    <t>Система внутреннего водоотведения/Система ливневой канализации жилой части резервная (К2.1)</t>
  </si>
  <si>
    <t>1994</t>
  </si>
  <si>
    <t>Система внутреннего водоотведения/Система ливневой канализации стилобата (К2.2)</t>
  </si>
  <si>
    <t>1995</t>
  </si>
  <si>
    <t>Система внутреннего водоотведения/Система ливневой канализации террас (К2.3)</t>
  </si>
  <si>
    <t>1996</t>
  </si>
  <si>
    <t>Система внутреннего водоотведения/Система производственной канализации К3 встроенных помещений 1-го нежилого этажа</t>
  </si>
  <si>
    <t>1997</t>
  </si>
  <si>
    <t>Система внутреннего водоотведения/Система дренажной канализации отвода стоков от срабатывания АПТ надземной части и дренажа систем кондиционирования (К4.1)</t>
  </si>
  <si>
    <t>1998</t>
  </si>
  <si>
    <t>Система внутреннего водоотведения/Система дренажной канализации отвода стоков от срабатывания АПТ паркинга и опорожнения насосных ВС-ПТ (К4.2)</t>
  </si>
  <si>
    <t>1999</t>
  </si>
  <si>
    <t>Система внутреннего водоотведения/Трубопровод дренажных стоков напорный К4.2Н</t>
  </si>
  <si>
    <t>2000</t>
  </si>
  <si>
    <t>Система внутреннего водоотведения/Система дренажной канализации отвода стоков от опорожнения ИТП (К4.3)</t>
  </si>
  <si>
    <t>2001</t>
  </si>
  <si>
    <t>10.3.1.3.2</t>
  </si>
  <si>
    <t>10.3.3. Монтаж оборудования системы внутреннего водоотведения (насосы, трапы и пр.)</t>
  </si>
  <si>
    <t>Монтаж оборудования</t>
  </si>
  <si>
    <t>2002</t>
  </si>
  <si>
    <t>Система внутреннего водоотведения / Насосы</t>
  </si>
  <si>
    <t>2003</t>
  </si>
  <si>
    <t>10.3.1.4</t>
  </si>
  <si>
    <t>10.4. ОВ и К. Система отопления</t>
  </si>
  <si>
    <t>Отопление (797PRO-3–24-П ИОС4.1-ОВ1)</t>
  </si>
  <si>
    <t>2004</t>
  </si>
  <si>
    <t>10.3.1.4.1</t>
  </si>
  <si>
    <t>10.4.1. Прокладка вертикальных и горизонтальных трубопроводов отопления</t>
  </si>
  <si>
    <t>Прокладка вертикальных трубопроводов отопления и Горизонтальная разводка трубопроводов отопления</t>
  </si>
  <si>
    <t>2005</t>
  </si>
  <si>
    <t>Отопление / Стояки отопления-трубопровод, изоляция, арматура, и проч.</t>
  </si>
  <si>
    <t>2006</t>
  </si>
  <si>
    <t>Отопление / Горизонтальная разводка-Коллекторы</t>
  </si>
  <si>
    <t>2007</t>
  </si>
  <si>
    <t>Отопление / Горизонтальная разводка-трубопровод, изоляция, арматура, и проч.</t>
  </si>
  <si>
    <t>2008</t>
  </si>
  <si>
    <t>10.3.1.4.2</t>
  </si>
  <si>
    <t>10.4.3. Монтаж оконечных устройств системы отопления (конвекторы, радиаторы, тепловые завесы и пр.)</t>
  </si>
  <si>
    <t>Монтаж оконечных устройств системы отопления (конвекторы, радиаторы)</t>
  </si>
  <si>
    <t>2009</t>
  </si>
  <si>
    <t>Отопление / Отопительные приборы, в том числе на территории арендаторов - внутрипольные конвекторы с учетом термо. клапанов</t>
  </si>
  <si>
    <t>2010</t>
  </si>
  <si>
    <t>Отопление / Отопительные приборы, в том числе на территории арендаторов - радиаторы, с учетом термо. клапанов</t>
  </si>
  <si>
    <t>2011</t>
  </si>
  <si>
    <t>Отопление / Внутриквартирние коллекторы</t>
  </si>
  <si>
    <t>2012</t>
  </si>
  <si>
    <t>10.3.1.4.3</t>
  </si>
  <si>
    <t>10.4.4. Монтаж оборудования системы отопления (насосы, коллекторные узлы)</t>
  </si>
  <si>
    <t>Монтаж оборудования системы отопления</t>
  </si>
  <si>
    <t>2013</t>
  </si>
  <si>
    <t>Отопление / Смесительный узел для теплого пола - водяной теплый пол</t>
  </si>
  <si>
    <t>2014</t>
  </si>
  <si>
    <t>Отопление / Теплоснабжения приточных вентустановок и ВТЗ-Распределительные гребенки</t>
  </si>
  <si>
    <t>2015</t>
  </si>
  <si>
    <t>Отопление / Теплоснабжения приточных вентустановок и ВТЗ-трубопровод, изоляция, арматура, и проч.</t>
  </si>
  <si>
    <t>2016</t>
  </si>
  <si>
    <t>Отопление / Воздушно-тепловая завеса (водяная)</t>
  </si>
  <si>
    <t>2017</t>
  </si>
  <si>
    <t>Отопление / воздушно-тепловая завеса (электрическая)</t>
  </si>
  <si>
    <t>2018</t>
  </si>
  <si>
    <t>Отопление / Агрегаты воздушного отопления водяная</t>
  </si>
  <si>
    <t>2019</t>
  </si>
  <si>
    <t>Отопление / Агрегаты воздушного отопления электрический</t>
  </si>
  <si>
    <t>2020</t>
  </si>
  <si>
    <t>Отопление / Теплоснабжения фанкойлов (UltraLowNoice, EC двигатель)-фанкойлы</t>
  </si>
  <si>
    <t>2021</t>
  </si>
  <si>
    <t>Отопление / Приборы отполения - электрические радиаторы (в тех. Помещениях)</t>
  </si>
  <si>
    <t>2022</t>
  </si>
  <si>
    <t>10.3.1.5</t>
  </si>
  <si>
    <t>10.5. ОВ и К. Система общеобменной вентиляции</t>
  </si>
  <si>
    <t>Вентиляция Общеобменная - Подземная часть (797PRO-3–24-П ИОС4.1-ОВ1)</t>
  </si>
  <si>
    <t>2023</t>
  </si>
  <si>
    <t>10.3.1.5.1</t>
  </si>
  <si>
    <t>10.5.1. Прокладка вертикальных и горизонтальных трасс воздуховодов систем общеобменной вентиляции с монтажом арматуры и устройством изоляции</t>
  </si>
  <si>
    <t>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</si>
  <si>
    <t>2024</t>
  </si>
  <si>
    <t>Вентиляция Общеобменная - Подземная часть / Воздуховоды</t>
  </si>
  <si>
    <t>2025</t>
  </si>
  <si>
    <t>Вентиляция Общеобменная - Подземная часть / Изоляция воздуховодов</t>
  </si>
  <si>
    <t>2026</t>
  </si>
  <si>
    <t>10.3.1.5.2</t>
  </si>
  <si>
    <t>10.5.3. Монтаж приточно-вытяжных установок (установки общеобменной вентиляции, вентиляторы и пр.)</t>
  </si>
  <si>
    <t>Монтаж приточно-вытяжных установок</t>
  </si>
  <si>
    <t>2027</t>
  </si>
  <si>
    <t>Вентиляция Общеобменная - Подземная часть / Приточно-вытяжные установки – центральная система вентиляции AHU (UltraLowNoice, EC двигатель)</t>
  </si>
  <si>
    <t>2028</t>
  </si>
  <si>
    <t>Вентиляция Общеобменная - Подземная часть / Канальные и крышные вентиляторы, установки каркасного типа (UltraLowNoice, EC двигатель)</t>
  </si>
  <si>
    <t>2029</t>
  </si>
  <si>
    <t>10.3.1.5.3</t>
  </si>
  <si>
    <t>10.5.4. Монтаж оконечных устройств системы общеобменной вентиляции (дифузеры, решетки и пр.)</t>
  </si>
  <si>
    <t>Монтаж оконечных устройств системы общеобменной вентиляции</t>
  </si>
  <si>
    <t>2030</t>
  </si>
  <si>
    <t>Вентиляция Общеобменная - Подземная часть / Огнезадерживающие клапаны</t>
  </si>
  <si>
    <t>2031</t>
  </si>
  <si>
    <t>Вентиляция Общеобменная - Подземная часть / Регуляторы расхода воздуха, решетки и диффузоры</t>
  </si>
  <si>
    <t>2032</t>
  </si>
  <si>
    <t>10.3.1.6</t>
  </si>
  <si>
    <t>Вентиляция Общеобменная - Надземная часть (797PRO-3–24-П ИОС4.1-ОВ1)</t>
  </si>
  <si>
    <t>2033</t>
  </si>
  <si>
    <t>10.3.1.6.1</t>
  </si>
  <si>
    <t>2034</t>
  </si>
  <si>
    <t>Вентиляция Общеобменная - Надземная часть / Воздуховоды</t>
  </si>
  <si>
    <t>2035</t>
  </si>
  <si>
    <t>Вентиляция Общеобменная - Надземная часть / Изоляция воздуховодов</t>
  </si>
  <si>
    <t>2036</t>
  </si>
  <si>
    <t>10.3.1.6.2</t>
  </si>
  <si>
    <t>2037</t>
  </si>
  <si>
    <t>Вентиляция Общеобменная - Надземная часть / Приточно-вытяжные установки – центральная система вентиляции AHU (UltraLowNoice, EC двигатель)</t>
  </si>
  <si>
    <t>2038</t>
  </si>
  <si>
    <t>Вентиляция Общеобменная - Надземная часть / Канальные и крышные вентиляторы, установки каркасного типа (UltraLowNoice, EC двигатель)</t>
  </si>
  <si>
    <t>2039</t>
  </si>
  <si>
    <t>Вентиляция Общеобменная - Надземная часть / Бризер</t>
  </si>
  <si>
    <t>2040</t>
  </si>
  <si>
    <t>Вентиляция Общеобменная - Надземная часть / Струйный вентилятор.</t>
  </si>
  <si>
    <t>2041</t>
  </si>
  <si>
    <t>Вентиляция Общеобменная - Надземная часть / Осевой вентилятор</t>
  </si>
  <si>
    <t>2042</t>
  </si>
  <si>
    <t>10.3.1.6.3</t>
  </si>
  <si>
    <t>2043</t>
  </si>
  <si>
    <t>Вентиляция Общеобменная - Надземная часть / Канальные обеззараживающий блок</t>
  </si>
  <si>
    <t>2044</t>
  </si>
  <si>
    <t>Вентиляция Общеобменная - Надземная часть / Монтаж закладных под бризер с заглушкой</t>
  </si>
  <si>
    <t>2045</t>
  </si>
  <si>
    <t>Вентиляция Общеобменная - Надземная часть / Огнезадерживающие клапаны</t>
  </si>
  <si>
    <t>2046</t>
  </si>
  <si>
    <t>Вентиляция Общеобменная - Надземная часть / Регуляторы расхода воздуха, решетки и диффузоры</t>
  </si>
  <si>
    <t>2047</t>
  </si>
  <si>
    <t>10.3.1.7</t>
  </si>
  <si>
    <t>10.6. ОВ и К. Система кондиционирования</t>
  </si>
  <si>
    <t>Кондиционирование (797PRO-3–24-П ИОС4.1-ОВ1)</t>
  </si>
  <si>
    <t>2048</t>
  </si>
  <si>
    <t>10.3.1.7.1</t>
  </si>
  <si>
    <t>10.6.1. Прокладка вертикальных и горизонтальных трасс системы кондиционирования</t>
  </si>
  <si>
    <t>Прокладка вертикальных трасс системы кондиционирования и Горизонтальная разводка трасс системы кондиционирования</t>
  </si>
  <si>
    <t>2049</t>
  </si>
  <si>
    <t>Кондиционирование / Дренажный трубопровод</t>
  </si>
  <si>
    <t>2050</t>
  </si>
  <si>
    <t>Кондиционирование / Греющий кабель для дренажного трубопровода</t>
  </si>
  <si>
    <t>2051</t>
  </si>
  <si>
    <t>Кондиционирование / Трубная разводка с изоляцией между внутренний и наружный блоки, , Питаюший - Контролный кабель, от внутреннего и наружного блока до дренажного стояка</t>
  </si>
  <si>
    <t>2052</t>
  </si>
  <si>
    <t>10.3.1.7.2</t>
  </si>
  <si>
    <t>10.6.3. Монтаж оборудования системы индивидуального кондиционирования (VRV система, сплит, мульти сплит пр.)</t>
  </si>
  <si>
    <t>Монтаж оборудования системы кондиционирования (фанкойлы)</t>
  </si>
  <si>
    <t>2053</t>
  </si>
  <si>
    <t>Кондиционирование / Наружные блоки сплит / мултисплит / мини VRF системы</t>
  </si>
  <si>
    <t>2054</t>
  </si>
  <si>
    <t>Кондиционирование / Внутренние блоки сплит / мултисплит / мини VRF системы</t>
  </si>
  <si>
    <t>2055</t>
  </si>
  <si>
    <t>Кондиционирование / Охладител приточной установки</t>
  </si>
  <si>
    <t>2056</t>
  </si>
  <si>
    <t>10.3.1.8</t>
  </si>
  <si>
    <t>10.7. Системы противодымной вентиляции</t>
  </si>
  <si>
    <t>Системы противодымной вентиляции (797PRO-3–24-П ИОС4.1-ОВ1)</t>
  </si>
  <si>
    <t>2057</t>
  </si>
  <si>
    <t>10.3.1.8.1</t>
  </si>
  <si>
    <t>10.7.1. Прокладка вертикальных и горизонтальных трасс воздуховодов систем противодымной вентиляции с монтажом арматуры и устройством изоляции</t>
  </si>
  <si>
    <t>Прокладка вертикальных трасс воздуховодов систем противодымной вентиляции с монтажом арматуры и устройством изоляции и Горизонтальная разводка трасс воздуховодов систем противодымной вентиляции с монтажом арматуры и устройством изоляции</t>
  </si>
  <si>
    <t>2058</t>
  </si>
  <si>
    <t>Системы противодымной вентиляции / Воздуховоды</t>
  </si>
  <si>
    <t>2059</t>
  </si>
  <si>
    <t>Системы противодымной вентиляции / Изоляция воздуховодов</t>
  </si>
  <si>
    <t>2060</t>
  </si>
  <si>
    <t>10.3.1.8.2</t>
  </si>
  <si>
    <t>10.7.3. Монтаж оконечных устройств системы противодымной вентиляции (решетки, датчики, клапаны)</t>
  </si>
  <si>
    <t>Монтаж оконечных устройств системы противодымной вентиляции</t>
  </si>
  <si>
    <t>2061</t>
  </si>
  <si>
    <t>Системы противодымной вентиляции / Вентиляторы дымоудаления и подпора воздуха</t>
  </si>
  <si>
    <t>2062</t>
  </si>
  <si>
    <t>Системы противодымной вентиляции / Осевой вентилятор</t>
  </si>
  <si>
    <t>2063</t>
  </si>
  <si>
    <t>Системы противодымной вентиляции / Каналный эл. нагреватель</t>
  </si>
  <si>
    <t>2064</t>
  </si>
  <si>
    <t>Системы противодымной вентиляции / Клапаны дымоудаления</t>
  </si>
  <si>
    <t>2065</t>
  </si>
  <si>
    <t>Системы противодымной вентиляции / Регуляторы расхода воздуха, решетки и диффузоры</t>
  </si>
  <si>
    <t>2066</t>
  </si>
  <si>
    <t>10.3.1.9</t>
  </si>
  <si>
    <t>10.8. Индивидуальный тепловой пункт</t>
  </si>
  <si>
    <t>Индивидуальный тепловой пункт (797PRO-3-24-П-ИОС4.2-ИТП)</t>
  </si>
  <si>
    <t>2067</t>
  </si>
  <si>
    <t>10.3.1.9.1</t>
  </si>
  <si>
    <t>10.8.1. Тепломеханическая часть теплового пункта</t>
  </si>
  <si>
    <t>Тепломеханическая часть теплового пункта</t>
  </si>
  <si>
    <t>2068</t>
  </si>
  <si>
    <t>ИТП 1 / Тепломеханическая часть</t>
  </si>
  <si>
    <t>2069</t>
  </si>
  <si>
    <t>ИТП 1  / Подготовка к сдаче МОЭК</t>
  </si>
  <si>
    <t>2070</t>
  </si>
  <si>
    <t>10.3.1.9.2</t>
  </si>
  <si>
    <t>10.8.2. Автоматизация и диспетчеризация теплового пункта</t>
  </si>
  <si>
    <t>Автоматизация и диспетчеризация теплового пункта</t>
  </si>
  <si>
    <t>2071</t>
  </si>
  <si>
    <t>ИТП 1  / Автоматизация и диспетчеризация</t>
  </si>
  <si>
    <t>2072</t>
  </si>
  <si>
    <t>10.3.1.9.3</t>
  </si>
  <si>
    <t>10.8.3. Электрооборудование и электроосвещение теплового пункта</t>
  </si>
  <si>
    <t>Электрооборудование и электроосвещение теплового пункта</t>
  </si>
  <si>
    <t>2073</t>
  </si>
  <si>
    <t>ИТП 1  / Электрооборудование и электроосвещение</t>
  </si>
  <si>
    <t>2074</t>
  </si>
  <si>
    <t>10.3.1.9.4</t>
  </si>
  <si>
    <t>10.8.4. Узлы учета тепла теплового пункта</t>
  </si>
  <si>
    <t>Узлы учета тепла теплового пункта</t>
  </si>
  <si>
    <t>2075</t>
  </si>
  <si>
    <t>ИТП 1  / Узлы учета тепла УУТ</t>
  </si>
  <si>
    <t>2076</t>
  </si>
  <si>
    <t>10.3.1.10</t>
  </si>
  <si>
    <t>10.99. Прочее ВИС - механические системы</t>
  </si>
  <si>
    <t>Прочие механические системы</t>
  </si>
  <si>
    <t>2077</t>
  </si>
  <si>
    <t>2078</t>
  </si>
  <si>
    <t>10.3.2</t>
  </si>
  <si>
    <t>11. ВИС - Электрические и слаботочные системы</t>
  </si>
  <si>
    <t>Электрические и слаботочные инженерные системы</t>
  </si>
  <si>
    <t>2079</t>
  </si>
  <si>
    <t>10.3.2.1</t>
  </si>
  <si>
    <t>Внутреннее электрооборудование и электроосвещение, молниезащита и заземление</t>
  </si>
  <si>
    <t>2080</t>
  </si>
  <si>
    <t>10.3.2.1.1</t>
  </si>
  <si>
    <t>11.1. Внутреннее электрооборудование, освещение</t>
  </si>
  <si>
    <t>Внутреннее электроснабжение и электроосвещение, защитное заземление и молниезащита (797PRO-3-24-П-ИОС1.1-ЭОМ1)</t>
  </si>
  <si>
    <t>2081</t>
  </si>
  <si>
    <t>10.3.2.1.1.1</t>
  </si>
  <si>
    <t>11.1.1. Монтаж кабеленесущих систем</t>
  </si>
  <si>
    <t>Монтаж кабеленесущих систем</t>
  </si>
  <si>
    <t>2082</t>
  </si>
  <si>
    <t>ЭОМ / Трубная разводка, включая расходные материалы</t>
  </si>
  <si>
    <t>2083</t>
  </si>
  <si>
    <t>ЭОМ / Кабельные лотки, включая расходные материалы</t>
  </si>
  <si>
    <t>2084</t>
  </si>
  <si>
    <t>10.3.2.1.1.2</t>
  </si>
  <si>
    <t>11.1.2. Прокладка кабельных трасс и расключение</t>
  </si>
  <si>
    <t>Прокладка кабельных трасс и расключение</t>
  </si>
  <si>
    <t>2085</t>
  </si>
  <si>
    <t>ЭОМ / Кабель ППГнг(А)-HF</t>
  </si>
  <si>
    <t>2086</t>
  </si>
  <si>
    <t>ЭОМ / Кабель ППГнг(А)-FRHF</t>
  </si>
  <si>
    <t>2087</t>
  </si>
  <si>
    <t>10.3.2.1.1.3</t>
  </si>
  <si>
    <t>11.1.3. Монтаж щитового оборудования</t>
  </si>
  <si>
    <t>Монтаж щитового оборудования</t>
  </si>
  <si>
    <t>2088</t>
  </si>
  <si>
    <t>ЭОМ / Распределительные силовые  щиты</t>
  </si>
  <si>
    <t>2089</t>
  </si>
  <si>
    <t>10.3.2.1.1.4</t>
  </si>
  <si>
    <t>11.1.4. Монтаж рабочего и аварийного освещения (осветительные приборы)</t>
  </si>
  <si>
    <t>Монтаж рабочего и аварийного освещения (осветительные приборы)</t>
  </si>
  <si>
    <t>2090</t>
  </si>
  <si>
    <t>ЭОМ / Рабочее освещение и управление (Автостоянки,служебно-технические помещения, кладовые, помещение персонала,МОП)</t>
  </si>
  <si>
    <t>2091</t>
  </si>
  <si>
    <t>ЭОМ / Аварийное освещение и управление (Автостоянки,служебно-технические помещения, кладовые, помещение персонала)</t>
  </si>
  <si>
    <t>2092</t>
  </si>
  <si>
    <t>ЭОМ / Управление освещением зон вестибюлей, лифтовых холлов, коридоров, гостевых санузлов, общих зон первого этажа, входных зон посетителей и собственников, паркинга по протоколу DALI</t>
  </si>
  <si>
    <t>2093</t>
  </si>
  <si>
    <t>10.3.2.1.1.5</t>
  </si>
  <si>
    <t>11.1.5. Монтаж шинопроводов</t>
  </si>
  <si>
    <t>Монтаж шинопроводов</t>
  </si>
  <si>
    <t>2094</t>
  </si>
  <si>
    <t>ЭОМ / Шинопровод</t>
  </si>
  <si>
    <t>2095</t>
  </si>
  <si>
    <t>10.3.2.1.1.6</t>
  </si>
  <si>
    <t>11.1.6. Монтаж электроустановочных изделий/выключателей/розеток/коробок</t>
  </si>
  <si>
    <t>Монтаж электроустановочных изделий/выключателей/розеток/коробок</t>
  </si>
  <si>
    <t>2096</t>
  </si>
  <si>
    <t>ЭОМ / Электроустановочные изделия/рамки/выключатели/розетки/коробки для МОП/технических помещений/помещений эксплуатации и т.п., кроме зон арендаторов</t>
  </si>
  <si>
    <t>2097</t>
  </si>
  <si>
    <t>10.3.2.1.1.7</t>
  </si>
  <si>
    <t>11.10. ОЗДС (дератизация)</t>
  </si>
  <si>
    <t>ЭОМ / ОЗДС</t>
  </si>
  <si>
    <t>2098</t>
  </si>
  <si>
    <t>ЭОМ / ОЗДС (797PRO-3-24-П-ОЗДС)</t>
  </si>
  <si>
    <t>2099</t>
  </si>
  <si>
    <t>10.3.2.1.1.8</t>
  </si>
  <si>
    <t>11.99.2. Устройство огнезащитных кабельных каналов/мест прохода инженерных коммуникаций/мероприятий по дополнительным требованиям в соответствии нормами ПБ и СТУ ПБ в части инженерных систем</t>
  </si>
  <si>
    <t>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</si>
  <si>
    <t>2100</t>
  </si>
  <si>
    <t>ЭОМ / 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</si>
  <si>
    <t>2101</t>
  </si>
  <si>
    <t>10.3.2.1.1.9</t>
  </si>
  <si>
    <t>11.99.3. Устройство зон с обогревом (теплый пол/электрический греющий кабель) - входная группа/рампы/террасы/воронки на кровле</t>
  </si>
  <si>
    <t>Устройство зон с обогревом (теплый пол/электрический греющий кабель) - входная группа/рампы/терассы/воронки на кровле</t>
  </si>
  <si>
    <t>2102</t>
  </si>
  <si>
    <t>ЭОМ / Устройство зон с обогревом (теплый пол/электрический греющий кабель) - входная группа/рампы/терассы/воронки на кровле</t>
  </si>
  <si>
    <t>2103</t>
  </si>
  <si>
    <t>10.3.2.1.1.10</t>
  </si>
  <si>
    <t>11.99.4. Система балансировки мощности, Зарядные устройства для электромобилей (организация подключения)</t>
  </si>
  <si>
    <t>Система балансировки мощностю,Зарядные устройства для электромобилей (организация подключения)</t>
  </si>
  <si>
    <t>2104</t>
  </si>
  <si>
    <t>ЭОМ / Система балансировки мощностю,Зарядные устройства для электромобилей (организация подключения)</t>
  </si>
  <si>
    <t>2105</t>
  </si>
  <si>
    <t>10.3.2.1.1.11</t>
  </si>
  <si>
    <t>11.2. Монтаж системы молниезащиты и заземления</t>
  </si>
  <si>
    <t>Молниезащита и заземление (797PRO-3-24-П-ИОС1.1-ЭОМ1)</t>
  </si>
  <si>
    <t>2106</t>
  </si>
  <si>
    <t>Молниезащита и заземление</t>
  </si>
  <si>
    <t>2107</t>
  </si>
  <si>
    <t>10.3.2.2</t>
  </si>
  <si>
    <t>11.3. Сети связи</t>
  </si>
  <si>
    <t>Сети связи (797PRO-3-24-П-ИОС5.1-СС)</t>
  </si>
  <si>
    <t>2108</t>
  </si>
  <si>
    <t>10.3.2.2.1</t>
  </si>
  <si>
    <t>11.3.1. Система радиофикации и оповещения о ГО ч ЧС</t>
  </si>
  <si>
    <t>Система радиофикации и оповещения о ГО ч ЧС (797PRO-3-24-П-ИОС5.1-СС)</t>
  </si>
  <si>
    <t>2109</t>
  </si>
  <si>
    <t>ГО и ЧС / Основное оборудование</t>
  </si>
  <si>
    <t>2110</t>
  </si>
  <si>
    <t>ГО и ЧС / Оконечное обоудование</t>
  </si>
  <si>
    <t>2111</t>
  </si>
  <si>
    <t>10.3.2.2.2</t>
  </si>
  <si>
    <t>11.3.2. Структурированная кабельная система систем связи</t>
  </si>
  <si>
    <t>Структурированная кабельная система систем связи (СКС СС) (797PRO-3-24-П-ИОС5.1-СС)</t>
  </si>
  <si>
    <t>2112</t>
  </si>
  <si>
    <t>СКС СС / Основное оборудование</t>
  </si>
  <si>
    <t>2113</t>
  </si>
  <si>
    <t>СКС СС / Оконечное обоудование</t>
  </si>
  <si>
    <t>2114</t>
  </si>
  <si>
    <t>10.3.2.2.3</t>
  </si>
  <si>
    <t>11.3.4. Система усиления сотовой связи (СУСС)</t>
  </si>
  <si>
    <t>Система усиления сотовой связи(СУСС) (797PRO-3-24-П-ИОС5.1-СС)</t>
  </si>
  <si>
    <t>2115</t>
  </si>
  <si>
    <t>СУСС / Основное оборудование</t>
  </si>
  <si>
    <t>2116</t>
  </si>
  <si>
    <t>СУСС / Оконечное обоудование</t>
  </si>
  <si>
    <t>2117</t>
  </si>
  <si>
    <t>10.3.2.2.4</t>
  </si>
  <si>
    <t>11.3.5. Беспроводная сеть WI-FI</t>
  </si>
  <si>
    <t>Беспроводная сеть WI-FI (797PRO-3-24-П-ИОС5.1-СС)</t>
  </si>
  <si>
    <t>2118</t>
  </si>
  <si>
    <t>WI-FI / Основное оборудование</t>
  </si>
  <si>
    <t>2119</t>
  </si>
  <si>
    <t>WI-FI / Оконечное обоудование</t>
  </si>
  <si>
    <t>2120</t>
  </si>
  <si>
    <t>10.3.2.2.5</t>
  </si>
  <si>
    <t xml:space="preserve">11.3.3. Система тревожной сигнализации для санузлов МГН (СТС МГН) </t>
  </si>
  <si>
    <t>СИСТЕМА СИГНАЛИЗАЦИИ И СВЯЗИ ДЛЯ МГН (СТС МГН)  (797PRO-3-24-П-ИОС5.1-СС)</t>
  </si>
  <si>
    <t>2121</t>
  </si>
  <si>
    <t>СТС МГН / Основное оборудование</t>
  </si>
  <si>
    <t>2122</t>
  </si>
  <si>
    <t>СТС МГН / Оконечное обоудование</t>
  </si>
  <si>
    <t>2123</t>
  </si>
  <si>
    <t>10.3.2.2.6</t>
  </si>
  <si>
    <t>11.3.6. Кабельные линии систем связи</t>
  </si>
  <si>
    <t>Кабельные линии систем связи</t>
  </si>
  <si>
    <t>2124</t>
  </si>
  <si>
    <t>ГО и ЧС / Кабельные линии</t>
  </si>
  <si>
    <t>2125</t>
  </si>
  <si>
    <t>СКС СС / Кабельные линии</t>
  </si>
  <si>
    <t>2126</t>
  </si>
  <si>
    <t>СТС МГН / Кабельные линии</t>
  </si>
  <si>
    <t>2127</t>
  </si>
  <si>
    <t>СТ / Кабельные линии</t>
  </si>
  <si>
    <t>2128</t>
  </si>
  <si>
    <t>СУСС / Кабельные линии</t>
  </si>
  <si>
    <t>2129</t>
  </si>
  <si>
    <t>WI-FI / Кабельные линии</t>
  </si>
  <si>
    <t>2130</t>
  </si>
  <si>
    <t>ТВ / Кабельные линии</t>
  </si>
  <si>
    <t>2131</t>
  </si>
  <si>
    <t>10.3.2.2.7</t>
  </si>
  <si>
    <t>11.99. Прочее ВИС - Электрические и слаботочные системы</t>
  </si>
  <si>
    <t>Система телефонизация (ТЛФ) (797PRO-3-24-П-ИОС5.1-СС)</t>
  </si>
  <si>
    <t>2132</t>
  </si>
  <si>
    <t>СТ / Основное оборудование</t>
  </si>
  <si>
    <t>2133</t>
  </si>
  <si>
    <t>СТ / Оконечное обоудование</t>
  </si>
  <si>
    <t>2134</t>
  </si>
  <si>
    <t>10.3.2.2.8</t>
  </si>
  <si>
    <t>Система телевидения (ТВ) (797PRO-3-24-П-ИОС5.1-СС)</t>
  </si>
  <si>
    <t>2135</t>
  </si>
  <si>
    <t>ТВ / Основное оборудование</t>
  </si>
  <si>
    <t>2136</t>
  </si>
  <si>
    <t>ТВ / Оконечное обоудование</t>
  </si>
  <si>
    <t>2137</t>
  </si>
  <si>
    <t>10.3.2.3</t>
  </si>
  <si>
    <t>11.4. Система пожарной сигнализации и Система оповещения и управления эвакуацией людей при пожаре</t>
  </si>
  <si>
    <t>Система пожарной сигнализации. Система оповещения и управления эвакуацией (797PRO-3-24-П-ИОС5.3-АПС)</t>
  </si>
  <si>
    <t>2138</t>
  </si>
  <si>
    <t>10.3.2.3.1</t>
  </si>
  <si>
    <t>11.4.1. Система пожарной сигнализации и автоматики (АПС)</t>
  </si>
  <si>
    <t>Система пожарной сигнализации и автоматики (АСПС АСПА) (797PRO-3-24-П-ИОС5.3-АПС)</t>
  </si>
  <si>
    <t>2139</t>
  </si>
  <si>
    <t>АПС / Основное оборудование</t>
  </si>
  <si>
    <t>2140</t>
  </si>
  <si>
    <t>АПС / Оконечное обоудование</t>
  </si>
  <si>
    <t>2141</t>
  </si>
  <si>
    <t>10.3.2.3.2</t>
  </si>
  <si>
    <t>11.4.2. Система оповещения и управления эвакуацией людей при пожаре (СОУЭ)</t>
  </si>
  <si>
    <t>Система оповещения и управления эвакуацией людей при пожаре (СОУЭ) (797PRO-3-24-П-ИОС5.3-АПС)</t>
  </si>
  <si>
    <t>2142</t>
  </si>
  <si>
    <t>СОУЭ / Основное оборудование</t>
  </si>
  <si>
    <t>2143</t>
  </si>
  <si>
    <t>СОУЭ / Оконечное обоудование</t>
  </si>
  <si>
    <t>2144</t>
  </si>
  <si>
    <t>10.3.2.3.3</t>
  </si>
  <si>
    <t>Управление системами противопожарной защиты (СПЗ) (797PRO-3-24-П-ИОС5.3-АПС)</t>
  </si>
  <si>
    <t>2145</t>
  </si>
  <si>
    <t>СПЗ / Основное оборудование</t>
  </si>
  <si>
    <t>2146</t>
  </si>
  <si>
    <t>СПЗ / Оконечное обоудование</t>
  </si>
  <si>
    <t>2147</t>
  </si>
  <si>
    <t>10.3.2.3.4</t>
  </si>
  <si>
    <t>11.4.3. Кабельные линии системы сигнализации и оповещения</t>
  </si>
  <si>
    <t>Кабельные линии системы сигнализации и оповещения</t>
  </si>
  <si>
    <t>2148</t>
  </si>
  <si>
    <t>АПС / Кабельные линии</t>
  </si>
  <si>
    <t>2149</t>
  </si>
  <si>
    <t>СОУЭ / Кабельные линии</t>
  </si>
  <si>
    <t>2150</t>
  </si>
  <si>
    <t>СПЗ / Кабельные линии</t>
  </si>
  <si>
    <t>2151</t>
  </si>
  <si>
    <t>10.3.2.3.5</t>
  </si>
  <si>
    <t>10.9. Система автоматического газового и/или порошкового пожаротушения</t>
  </si>
  <si>
    <t>Система автоматического газового пожаротушения</t>
  </si>
  <si>
    <t>2152</t>
  </si>
  <si>
    <t>АУГПТ / Система автоматического газового пожаротушения. модульные установки системы автоматического газового пожаротушения, для защиты пространства помещений электрощитовых и помещений связи</t>
  </si>
  <si>
    <t>2153</t>
  </si>
  <si>
    <t>10.3.2.4</t>
  </si>
  <si>
    <t>11.5. Системы Безопасности</t>
  </si>
  <si>
    <t>Системы безопасности  (797PRO-3-24-П-ИОС5.2-СБ)</t>
  </si>
  <si>
    <t>2154</t>
  </si>
  <si>
    <t>10.3.2.4.1</t>
  </si>
  <si>
    <t>11.5.1. Структурированная кабельная система систем безопасности (СКС СБ)</t>
  </si>
  <si>
    <t>Структурированная кабельная система систем безопасности (СКС СБ) (797PRO-3-24-П-ИОС5.2-СБ)</t>
  </si>
  <si>
    <t>2155</t>
  </si>
  <si>
    <t>СКС СБ / Основное оборудование</t>
  </si>
  <si>
    <t>2156</t>
  </si>
  <si>
    <t>СКС СБ / Оконечное обоудование</t>
  </si>
  <si>
    <t>2157</t>
  </si>
  <si>
    <t>10.3.2.4.2</t>
  </si>
  <si>
    <t xml:space="preserve">11.5.2. Система охранного телевидения (СОТ) </t>
  </si>
  <si>
    <t>Система охранного телевидения (СОТ) (797PRO-3-24-П-ИОС5.2-СБ)</t>
  </si>
  <si>
    <t>2158</t>
  </si>
  <si>
    <t>СОТ / Основное оборудование</t>
  </si>
  <si>
    <t>2159</t>
  </si>
  <si>
    <t>СОТ / Оконечное обоудование</t>
  </si>
  <si>
    <t>2160</t>
  </si>
  <si>
    <t>10.3.2.4.3</t>
  </si>
  <si>
    <t>11.5.3. Система контроля и управления доступом (СКУД)</t>
  </si>
  <si>
    <t>Система контроля и управления доступом (СКУД) (797PRO-3-24-П-ИОС5.2-СБ)</t>
  </si>
  <si>
    <t>2161</t>
  </si>
  <si>
    <t>СКУД / Основное оборудование</t>
  </si>
  <si>
    <t>2162</t>
  </si>
  <si>
    <t>СКУД / Оконечное обоудование</t>
  </si>
  <si>
    <t>2163</t>
  </si>
  <si>
    <t>10.3.2.4.4</t>
  </si>
  <si>
    <t>11.5.4. Система охранно-тревожной сигнализации (СОТС)</t>
  </si>
  <si>
    <t>Система охранно-тревожной сигнализации (СОТС) (797PRO-3-24-П-ИОС5.2-СБ)</t>
  </si>
  <si>
    <t>2164</t>
  </si>
  <si>
    <t>СОТС / Основное оборудование</t>
  </si>
  <si>
    <t>2165</t>
  </si>
  <si>
    <t>СОТС / Оконечное обоудование</t>
  </si>
  <si>
    <t>2166</t>
  </si>
  <si>
    <t>10.3.2.4.5</t>
  </si>
  <si>
    <t>11.5.5. Система охраны входов  (СОВ)</t>
  </si>
  <si>
    <t>Система охраны входов  (СОВ) (797PRO-3-24-П-ИОС5.2-СБ)</t>
  </si>
  <si>
    <t>2167</t>
  </si>
  <si>
    <t>СОВ / Основное оборудование</t>
  </si>
  <si>
    <t>2168</t>
  </si>
  <si>
    <t>СОВ / Оконечное обоудование</t>
  </si>
  <si>
    <t>2169</t>
  </si>
  <si>
    <t>10.3.2.4.6</t>
  </si>
  <si>
    <t>11.5.6. Кабельные линии систем безопасности</t>
  </si>
  <si>
    <t>Кабельные линии систем безопасности</t>
  </si>
  <si>
    <t>2170</t>
  </si>
  <si>
    <t>СКС СБ / Кабельные линии</t>
  </si>
  <si>
    <t>2171</t>
  </si>
  <si>
    <t>СОТ / Кабельные линии</t>
  </si>
  <si>
    <t>2172</t>
  </si>
  <si>
    <t>СКУД / Кабельные линии</t>
  </si>
  <si>
    <t>2173</t>
  </si>
  <si>
    <t>СОТС / Кабельные линии</t>
  </si>
  <si>
    <t>2174</t>
  </si>
  <si>
    <t>СОВ / Кабельные линии</t>
  </si>
  <si>
    <t>2175</t>
  </si>
  <si>
    <t>10.3.2.5</t>
  </si>
  <si>
    <t>11.6. Системы автоматизации и диспетчеризации инженерных систем</t>
  </si>
  <si>
    <t>Автоматизированная система управления и диспетчерского контроля (797PRO-3-24-П-ИОС5.5-АДИС)</t>
  </si>
  <si>
    <t>2176</t>
  </si>
  <si>
    <t>10.3.2.5.1</t>
  </si>
  <si>
    <t>11.6.1. АСУД / Система автоматизации и диспетчеризации общеобменной вентиляции</t>
  </si>
  <si>
    <t>АСУД / Автоматизация и диспетчеризация инженерных систем</t>
  </si>
  <si>
    <t>2177</t>
  </si>
  <si>
    <t>2178</t>
  </si>
  <si>
    <t>АСУД / Автоматизация и диспетчеризация общеобменной вентиляции</t>
  </si>
  <si>
    <t>2179</t>
  </si>
  <si>
    <t>АСУД / Автоматизация и диспетчеризация системы электроснабжения и освещения</t>
  </si>
  <si>
    <t>2180</t>
  </si>
  <si>
    <t>10.3.2.5.2</t>
  </si>
  <si>
    <t>11.6.2. АСУД / Автоматизация противодымной вентиляции</t>
  </si>
  <si>
    <t>АСУД / Автоматизация противодымной вентиляции</t>
  </si>
  <si>
    <t>2181</t>
  </si>
  <si>
    <t>2182</t>
  </si>
  <si>
    <t>10.3.2.5.3</t>
  </si>
  <si>
    <t>11.6.3. АСУД / Система автоматизации и диспетчеризации лифтов</t>
  </si>
  <si>
    <t>АСУД / Система диспетчеризации лифтового оборудования и двухсторонней диспетчерской связи</t>
  </si>
  <si>
    <t>2183</t>
  </si>
  <si>
    <t>2184</t>
  </si>
  <si>
    <t>10.3.2.5.4</t>
  </si>
  <si>
    <t>11.6.4. АСУД / Система автоматизации и диспетчеризации канализации</t>
  </si>
  <si>
    <t>АСУД / Автоматизация и диспетчеризация системы водоснабжения и водоотведения</t>
  </si>
  <si>
    <t>2185</t>
  </si>
  <si>
    <t>2186</t>
  </si>
  <si>
    <t>10.3.2.5.5</t>
  </si>
  <si>
    <t>11.6.5. АСУД / Система автоматизированного управления противопожарного водоснабжения и водяного пожаротушения</t>
  </si>
  <si>
    <t>АСУД / Автоматизация и диспетчеризация системы пожаротушения</t>
  </si>
  <si>
    <t>2187</t>
  </si>
  <si>
    <t>2188</t>
  </si>
  <si>
    <t>10.3.2.5.6</t>
  </si>
  <si>
    <t>11.6.7. АСУД / Система контроля загазованности автостоянки</t>
  </si>
  <si>
    <t>АСУД / Система контроля загазованности автостоянки</t>
  </si>
  <si>
    <t>2189</t>
  </si>
  <si>
    <t>2190</t>
  </si>
  <si>
    <t>10.3.2.5.7</t>
  </si>
  <si>
    <t>11.6.8. АСУД / Автоматизация системы холодоснабжения</t>
  </si>
  <si>
    <t>АСУД / Автоматизация и диспетчеризация системы кондиционирования</t>
  </si>
  <si>
    <t>2191</t>
  </si>
  <si>
    <t>2192</t>
  </si>
  <si>
    <t>АСУД / Автоматизация системы холодоснабжения.</t>
  </si>
  <si>
    <t>2193</t>
  </si>
  <si>
    <t>10.3.2.6</t>
  </si>
  <si>
    <t>11.7. Автоматизированная система контроля и учёта электроэнергии и энергоресурсов</t>
  </si>
  <si>
    <t>Автоматизированная система контроля и учёта электроэнергии и энергоресурсов (797PRO-3-24-П-ИОС5.4-АСКУЭ)</t>
  </si>
  <si>
    <t>2194</t>
  </si>
  <si>
    <t>10.3.2.6.1</t>
  </si>
  <si>
    <t>11.7.1. АСКУЭ</t>
  </si>
  <si>
    <t>АСУД / АВТОМАТИЗИРОВАННАЯ СИСТЕМА КОНТРОЛЯ И УЧЕТА ЭНЕРГОРЕСУРСОВ. Автоматизированная система контроля и учета электропотребления (АСКУЭ)</t>
  </si>
  <si>
    <t>2195</t>
  </si>
  <si>
    <t>2196</t>
  </si>
  <si>
    <t>10.3.2.6.2</t>
  </si>
  <si>
    <t>11.7.2. АСКУВТ</t>
  </si>
  <si>
    <t>АСУД / АВТОМАТИЗИРОВАННАЯ СИСТЕМА КОНТРОЛЯ И УЧЕТА ЭНЕРГОРЕСУРСОВ. Автоматизированная система контроля и учета водопотребления (АСКУВ)</t>
  </si>
  <si>
    <t>2197</t>
  </si>
  <si>
    <t>2198</t>
  </si>
  <si>
    <t>АСУД / АВТОМАТИЗИРОВАННАЯ СИСТЕМА КОНТРОЛЯ И УЧЕТА ЭНЕРГОРЕСУРСОВ. Автоматизированная система контроля и учета теплопотребления (АСКУТ)</t>
  </si>
  <si>
    <t>2199</t>
  </si>
  <si>
    <t>12. Благоустройство, дороги</t>
  </si>
  <si>
    <t>Благоустройство и наружное освещение</t>
  </si>
  <si>
    <t>2200</t>
  </si>
  <si>
    <t>11.1</t>
  </si>
  <si>
    <t>12.1. Земляные работы</t>
  </si>
  <si>
    <t>2201</t>
  </si>
  <si>
    <t>11.1.1</t>
  </si>
  <si>
    <t>Землные работы</t>
  </si>
  <si>
    <t>2202</t>
  </si>
  <si>
    <t>Разработка выемки</t>
  </si>
  <si>
    <t>2203</t>
  </si>
  <si>
    <t>Завоз природного слоя грунта (1м)</t>
  </si>
  <si>
    <t>2204</t>
  </si>
  <si>
    <t>Завоз растительного слоя грунта толщина 0,5м</t>
  </si>
  <si>
    <t>2205</t>
  </si>
  <si>
    <t>Устройство насыпи</t>
  </si>
  <si>
    <t>2206</t>
  </si>
  <si>
    <t>Вывоз избыточного грунта</t>
  </si>
  <si>
    <t>2207</t>
  </si>
  <si>
    <t>11.1.2</t>
  </si>
  <si>
    <t>Мульчирование (Внутренний двор)</t>
  </si>
  <si>
    <t>2208</t>
  </si>
  <si>
    <t>Скрытое крепление кома</t>
  </si>
  <si>
    <t>2209</t>
  </si>
  <si>
    <t>Мульча. Кора лиственницы, фракция 2-6см</t>
  </si>
  <si>
    <t>274 мешка</t>
  </si>
  <si>
    <t>2210</t>
  </si>
  <si>
    <t>Кровельный почвенный субстрат ТЕГОЛА СТАНДАРТ</t>
  </si>
  <si>
    <t>2211</t>
  </si>
  <si>
    <t>Фиксодрейн XD 20, прочность 250/50 кН/м2/</t>
  </si>
  <si>
    <t>2212</t>
  </si>
  <si>
    <t>Геотекстиль "Дорнит - 200"</t>
  </si>
  <si>
    <t>2213</t>
  </si>
  <si>
    <t>Противокорневая мембрана ВСБ 100</t>
  </si>
  <si>
    <t>2214</t>
  </si>
  <si>
    <t>11.1.3</t>
  </si>
  <si>
    <t>Озеленение (терраса)</t>
  </si>
  <si>
    <t>2215</t>
  </si>
  <si>
    <t>2216</t>
  </si>
  <si>
    <t>Утепление подпорных стенок XPS CARBON PROF Технониколь 1180х580х40-L</t>
  </si>
  <si>
    <t>2217</t>
  </si>
  <si>
    <t>11.2</t>
  </si>
  <si>
    <t>12.2. Твердые покрытия (в тч. финишные слои кровли подземной части/стилобата), бортовой камень</t>
  </si>
  <si>
    <t>Твердые покрытия</t>
  </si>
  <si>
    <t>2218</t>
  </si>
  <si>
    <t>11.2.1</t>
  </si>
  <si>
    <t>Твердые покрытия. Стилобат</t>
  </si>
  <si>
    <t>2219</t>
  </si>
  <si>
    <t>11.2.1.1</t>
  </si>
  <si>
    <t>Твердые покрытия. Тип 5. Проезд из плитки (с возможностью проезда пож.техники), цвет темно-серый, раскладка mix2</t>
  </si>
  <si>
    <t>По концепции благоустройства тип 1.3, 1.5</t>
  </si>
  <si>
    <t>2220</t>
  </si>
  <si>
    <t>Плитка бетонная (ТУ фирм изготовителей) ГОСТ 17608-2017, 600х300х100</t>
  </si>
  <si>
    <t>2221</t>
  </si>
  <si>
    <t>Сухая цементно-песчаная смесь М100 по ГОСТ 31357-2007</t>
  </si>
  <si>
    <t>2222</t>
  </si>
  <si>
    <t>Цементобетон B15 ГОСТ 26633-2015 (B tb 4.0)</t>
  </si>
  <si>
    <t>2223</t>
  </si>
  <si>
    <t>Щебёночно-гравийно-песчаные смеси для оснований по ГОСТ 25607-2009</t>
  </si>
  <si>
    <t>2224</t>
  </si>
  <si>
    <t>Тканый геосинтетический материал с разрывной нагрузкой не менее 12,5 кН/м и со статическим продавливанием (СBR) не менее 1,5 кН по ГОСТ 56419-2015</t>
  </si>
  <si>
    <t>2225</t>
  </si>
  <si>
    <t>11.2.1.2</t>
  </si>
  <si>
    <t>Твердые покрытия. Тип 6. Тротуар из плитки, цвет серо-белый, раскладка mix4</t>
  </si>
  <si>
    <t>2226</t>
  </si>
  <si>
    <t>2227</t>
  </si>
  <si>
    <t>2228</t>
  </si>
  <si>
    <t>2229</t>
  </si>
  <si>
    <t>2230</t>
  </si>
  <si>
    <t>2231</t>
  </si>
  <si>
    <t>11.2.1.3</t>
  </si>
  <si>
    <t>Твердые покрытия. Тип 7. Тротуар из литого бетона (Терраццо)</t>
  </si>
  <si>
    <t>По концепции благоустройства тип 2</t>
  </si>
  <si>
    <t>2232</t>
  </si>
  <si>
    <t>Цементобетон из литых с уплотняемых смесей В30 по ГОСТ 26633-2015</t>
  </si>
  <si>
    <t>2233</t>
  </si>
  <si>
    <t>Жесткий укатываемый бетон В 7,5 по ГОСТ 26633-2015</t>
  </si>
  <si>
    <t>2234</t>
  </si>
  <si>
    <t>Щебень гранитный М800 фракции 20-40, уложенный методом расклинцовки щебнем М800 фр.5-20 с проливкой водой  по ГОСТ 32703-2014</t>
  </si>
  <si>
    <t>2235</t>
  </si>
  <si>
    <t>2236</t>
  </si>
  <si>
    <t>11.2.1.4</t>
  </si>
  <si>
    <t>Твердые покрытия. Тип 8. Деревянный настил</t>
  </si>
  <si>
    <t>По концепции благоустройства тип 4, 7</t>
  </si>
  <si>
    <t>2237</t>
  </si>
  <si>
    <t>Террасная доска</t>
  </si>
  <si>
    <t>2238</t>
  </si>
  <si>
    <t>Деревянные лаги - ДПК 35х50мм на плитке бетонной 300х300х30мм</t>
  </si>
  <si>
    <t>2239</t>
  </si>
  <si>
    <t>Цементобетон монолитный  В7,5 армированный сеткой Д=5мм с ячейкой 150*150мм</t>
  </si>
  <si>
    <t>2240</t>
  </si>
  <si>
    <t>Щебень гранитный М800 фракции 20-40, уложенный методом расклинцовки щебнем М800 фр.5-20 с проливкой водой по ГОСТ 32703-2014</t>
  </si>
  <si>
    <t>2241</t>
  </si>
  <si>
    <t>2242</t>
  </si>
  <si>
    <t>11.2.1.5</t>
  </si>
  <si>
    <t>Твердые покрытия. Тип 9. Песок</t>
  </si>
  <si>
    <t>По концепции благоустройства тип 6</t>
  </si>
  <si>
    <t>2243</t>
  </si>
  <si>
    <t>Песок морской</t>
  </si>
  <si>
    <t>2244</t>
  </si>
  <si>
    <t>Ячеистая мембрана ВиллаДрейн 500 (шипами вверх) (с отверстиями для дренажа минимум 8 на 1 кв.м)</t>
  </si>
  <si>
    <t>2245</t>
  </si>
  <si>
    <t>2246</t>
  </si>
  <si>
    <t>2247</t>
  </si>
  <si>
    <t>Щебень пеностекольный фр. 20-40 мм по ГОСТ Р 59574-2021</t>
  </si>
  <si>
    <t>2248</t>
  </si>
  <si>
    <t>2249</t>
  </si>
  <si>
    <t>11.2.1.6</t>
  </si>
  <si>
    <t>Твердые покрытия. Тип 10. Галька</t>
  </si>
  <si>
    <t>По концепции благоустройства тип 3.1, 3.2</t>
  </si>
  <si>
    <t>2250</t>
  </si>
  <si>
    <t>Морская галька фракция 3-20 мм, цвет серый (ТУ фирм изготовителей)</t>
  </si>
  <si>
    <t>2251</t>
  </si>
  <si>
    <t>Решетка Рудрейн Георастер (RU-DREIN)</t>
  </si>
  <si>
    <t>2252</t>
  </si>
  <si>
    <t>Щебень гранитный М 800 фр.20-40, уложенный методом расклинцовки щебнем М800 гранитным фр 5-20с проливкой водой по ГОСТ 32703-2014</t>
  </si>
  <si>
    <t>2253</t>
  </si>
  <si>
    <t>2254</t>
  </si>
  <si>
    <t>2255</t>
  </si>
  <si>
    <t>2256</t>
  </si>
  <si>
    <t>11.2.1.7</t>
  </si>
  <si>
    <t>Твердые покрытия. Тип 11. Тротуар из плитки (пошаговая крупноформатная)</t>
  </si>
  <si>
    <t>По концепции благоустройства отсутствует</t>
  </si>
  <si>
    <t>2257</t>
  </si>
  <si>
    <t>Плита бетонная (ТУ фирм изготовителей) по ГОСТ 17608-2017</t>
  </si>
  <si>
    <t>2258</t>
  </si>
  <si>
    <t>Песок средний с Кф не менее 2м/сут. по ГОСТ 8736-2014</t>
  </si>
  <si>
    <t>2259</t>
  </si>
  <si>
    <t>2260</t>
  </si>
  <si>
    <t>Земляное полотно Купл=0,98</t>
  </si>
  <si>
    <t>2261</t>
  </si>
  <si>
    <t>11.2.2</t>
  </si>
  <si>
    <t>Твердые покрытия. По грунту</t>
  </si>
  <si>
    <t>2262</t>
  </si>
  <si>
    <t>11.2.2.1</t>
  </si>
  <si>
    <t>Твердые покрытия. Наружный двор. Тип 1</t>
  </si>
  <si>
    <t>По концепции благоустройства тип 8</t>
  </si>
  <si>
    <t>2263</t>
  </si>
  <si>
    <t>Асфальтобетон горячий мелкозернистый плотный II марки из щебёночной (гравийной) смеси типа В, марка битума БНД/БН-60/90 по ГОСТ 9128-2013</t>
  </si>
  <si>
    <t>2264</t>
  </si>
  <si>
    <t>Асфальтобетон горячий крупнозернистый пористый II марки из  щебёночной (гравийной) смеси марка битума БНД-60/90 по ГОСТ 9128-2013</t>
  </si>
  <si>
    <t>2265</t>
  </si>
  <si>
    <t>Щебёночно-гравийно-песчаные смеси С5 по ГОСТ 25607-2009</t>
  </si>
  <si>
    <t>2266</t>
  </si>
  <si>
    <t>2267</t>
  </si>
  <si>
    <t>2268</t>
  </si>
  <si>
    <t>11.2.2.2</t>
  </si>
  <si>
    <t>Твердые покрытия. Тип 2. Проезд из плитки (с возможностью проезда пож.техники) цвет темно-серый, раскладка mix2</t>
  </si>
  <si>
    <t>По концепции благоустройства тип 1.1, 1.2</t>
  </si>
  <si>
    <t>2269</t>
  </si>
  <si>
    <t>Плита бетонная (ТУ фирм изготовителей) по ГОСТ 17608-2017, 900х300х100</t>
  </si>
  <si>
    <t>2270</t>
  </si>
  <si>
    <t>2271</t>
  </si>
  <si>
    <t>Цементобетон B15 по ГОСТ 26633-2015 (Btb 4.0,F100)</t>
  </si>
  <si>
    <t>2272</t>
  </si>
  <si>
    <t>2273</t>
  </si>
  <si>
    <t>2274</t>
  </si>
  <si>
    <t>2275</t>
  </si>
  <si>
    <t>2276</t>
  </si>
  <si>
    <t>2277</t>
  </si>
  <si>
    <t>11.2.2.3</t>
  </si>
  <si>
    <t>Твердые покрытия. Тип 3. Тротуар из плитки, цвет серо-белый, раскладка mix4</t>
  </si>
  <si>
    <t>2278</t>
  </si>
  <si>
    <t>2279</t>
  </si>
  <si>
    <t>2280</t>
  </si>
  <si>
    <t>2281</t>
  </si>
  <si>
    <t>2282</t>
  </si>
  <si>
    <t>2283</t>
  </si>
  <si>
    <t>2284</t>
  </si>
  <si>
    <t>2285</t>
  </si>
  <si>
    <t>Техногенные грунты (ИГЭ-10) - Насыпной грунт по преимуществу песок средней крупности, буровато-коричневый, темно-серый, с прослоями суглинка различной консистенции средней степени водонасыщения в соответствии с ГОСТ Р 56419-2015 Купл=0,98</t>
  </si>
  <si>
    <t>2286</t>
  </si>
  <si>
    <t>11.2.3</t>
  </si>
  <si>
    <t>Твердые покрытия. Террасы</t>
  </si>
  <si>
    <t>2287</t>
  </si>
  <si>
    <t>11.2.3.1</t>
  </si>
  <si>
    <t>Твердые покрытия. Террасы. Тип 3.3 (концепция благоустройства)</t>
  </si>
  <si>
    <t>2288</t>
  </si>
  <si>
    <t>Галька</t>
  </si>
  <si>
    <t>2289</t>
  </si>
  <si>
    <t>Щебень гранитный М800, фр. 40-70 мм по ГОСТ 8267-93</t>
  </si>
  <si>
    <t>2290</t>
  </si>
  <si>
    <t>Готовая смесь ЩПС С6 по ГОСТ 25607-2009</t>
  </si>
  <si>
    <t>2291</t>
  </si>
  <si>
    <t>2292</t>
  </si>
  <si>
    <t>11.2.3.2</t>
  </si>
  <si>
    <t>Твердые покрытия. Пристройка между секциями 1 и 4. Тип К-2</t>
  </si>
  <si>
    <t>По концепции благоустройства тип 1.4</t>
  </si>
  <si>
    <t>2293</t>
  </si>
  <si>
    <t>2294</t>
  </si>
  <si>
    <t>2295</t>
  </si>
  <si>
    <t>2296</t>
  </si>
  <si>
    <t>2297</t>
  </si>
  <si>
    <t>11.2.3.3</t>
  </si>
  <si>
    <t>Твердые покрытия. Пристройка между секциями 3 и 4. Тип К-2</t>
  </si>
  <si>
    <t>2298</t>
  </si>
  <si>
    <t>2299</t>
  </si>
  <si>
    <t>2300</t>
  </si>
  <si>
    <t>2301</t>
  </si>
  <si>
    <t>2302</t>
  </si>
  <si>
    <t>11.3</t>
  </si>
  <si>
    <t>12.3. Озеленение территории</t>
  </si>
  <si>
    <t>Зеленые покрытия</t>
  </si>
  <si>
    <t>2303</t>
  </si>
  <si>
    <t>11.3.1</t>
  </si>
  <si>
    <t>Зеленые покрытия. Внутренний двор</t>
  </si>
  <si>
    <t>2304</t>
  </si>
  <si>
    <t>11.3.1.1</t>
  </si>
  <si>
    <t>Зеленые покрытия. Внутренний двор. Тип 5.1 (концепция благоустройства)</t>
  </si>
  <si>
    <t>2305</t>
  </si>
  <si>
    <t>Газон</t>
  </si>
  <si>
    <t>2306</t>
  </si>
  <si>
    <t>2307</t>
  </si>
  <si>
    <t>2308</t>
  </si>
  <si>
    <t>Геотекстиль ИП 150-200 г/м2/</t>
  </si>
  <si>
    <t>2309</t>
  </si>
  <si>
    <t>2310</t>
  </si>
  <si>
    <t>11.3.1.2</t>
  </si>
  <si>
    <t>Твердые покрытия. Тип 4. Проезд из георешетки  (с возможностью проезда пож.техники)</t>
  </si>
  <si>
    <t>По концепции благоустройства тип 5.2</t>
  </si>
  <si>
    <t>2311</t>
  </si>
  <si>
    <t>2312</t>
  </si>
  <si>
    <t>2313</t>
  </si>
  <si>
    <t>Георешетка с заполнением плодородным грунтом</t>
  </si>
  <si>
    <t>2314</t>
  </si>
  <si>
    <t>2315</t>
  </si>
  <si>
    <t>2316</t>
  </si>
  <si>
    <t>2317</t>
  </si>
  <si>
    <t>2318</t>
  </si>
  <si>
    <t>11.3.2</t>
  </si>
  <si>
    <t>Зеленые покрытия. Наружный двор</t>
  </si>
  <si>
    <t>2319</t>
  </si>
  <si>
    <t>11.3.2.1</t>
  </si>
  <si>
    <t>Зеленые покрытия. Наружный двор. Тип 5.3 (концепция благоустройства)</t>
  </si>
  <si>
    <t>2320</t>
  </si>
  <si>
    <t>2321</t>
  </si>
  <si>
    <t>Грунт растительный</t>
  </si>
  <si>
    <t>2322</t>
  </si>
  <si>
    <t>11.3.2.2</t>
  </si>
  <si>
    <t>Зеленые покрытия. Наружный двор. Тип 5.5 (концепция благоустройства)</t>
  </si>
  <si>
    <t>2323</t>
  </si>
  <si>
    <t>2324</t>
  </si>
  <si>
    <t>2325</t>
  </si>
  <si>
    <t>2326</t>
  </si>
  <si>
    <t>2327</t>
  </si>
  <si>
    <t>11.3.3</t>
  </si>
  <si>
    <t>Зеленые покрытия. Террасы</t>
  </si>
  <si>
    <t>2328</t>
  </si>
  <si>
    <t>11.3.3.1</t>
  </si>
  <si>
    <t>Зеленые покрытия. Пристройка между секциями 1 и 4. Тип К-1</t>
  </si>
  <si>
    <t>По концепции благоустройства тип 5.4</t>
  </si>
  <si>
    <t>2329</t>
  </si>
  <si>
    <t>2330</t>
  </si>
  <si>
    <t>Грунт с зелеными насаждениями - 200-800мм</t>
  </si>
  <si>
    <t>2331</t>
  </si>
  <si>
    <t>2332</t>
  </si>
  <si>
    <t>11.3.3.2</t>
  </si>
  <si>
    <t>Зеленые покрытия. Пристройка между секциями 1 и 4. Тип К-1 Арендуемые помещения 1-го этажа</t>
  </si>
  <si>
    <t>2333</t>
  </si>
  <si>
    <t>2334</t>
  </si>
  <si>
    <t>2335</t>
  </si>
  <si>
    <t>2336</t>
  </si>
  <si>
    <t>11.3.3.3</t>
  </si>
  <si>
    <t>Зеленые покрытия. Пристройка между секциями 1 и 3. Тип К-1</t>
  </si>
  <si>
    <t>2337</t>
  </si>
  <si>
    <t>2338</t>
  </si>
  <si>
    <t>2339</t>
  </si>
  <si>
    <t>2340</t>
  </si>
  <si>
    <t>11.3.3.4</t>
  </si>
  <si>
    <t>Зеленые покрытия. Пристройка между секциями 3 и 4. Тип К-1</t>
  </si>
  <si>
    <t>2341</t>
  </si>
  <si>
    <t>2342</t>
  </si>
  <si>
    <t>2343</t>
  </si>
  <si>
    <t>2344</t>
  </si>
  <si>
    <t>11.4</t>
  </si>
  <si>
    <t>Озеленение</t>
  </si>
  <si>
    <t>2345</t>
  </si>
  <si>
    <t>11.4.1</t>
  </si>
  <si>
    <t>Озеленение. Внутренний двор</t>
  </si>
  <si>
    <t>2346</t>
  </si>
  <si>
    <t>11.4.1.1</t>
  </si>
  <si>
    <t>Хвойные деревья</t>
  </si>
  <si>
    <t>2347</t>
  </si>
  <si>
    <t>Пихта корейская</t>
  </si>
  <si>
    <t>2348</t>
  </si>
  <si>
    <t>Тсуга канадская</t>
  </si>
  <si>
    <t>2349</t>
  </si>
  <si>
    <t>Псевдотцуга Мензиса</t>
  </si>
  <si>
    <t>2350</t>
  </si>
  <si>
    <t>11.4.1.2</t>
  </si>
  <si>
    <t>Лиственные деревья</t>
  </si>
  <si>
    <t>2351</t>
  </si>
  <si>
    <t>Клен Гиннала</t>
  </si>
  <si>
    <t>2352</t>
  </si>
  <si>
    <t>Боярышник сливолистный</t>
  </si>
  <si>
    <t>2353</t>
  </si>
  <si>
    <t>Клен красный Summer Red</t>
  </si>
  <si>
    <t>2354</t>
  </si>
  <si>
    <t>Рябина обыкновенная</t>
  </si>
  <si>
    <t>2355</t>
  </si>
  <si>
    <t>Береза повислая Тристис</t>
  </si>
  <si>
    <t>2356</t>
  </si>
  <si>
    <t>Береза полезная Доренбос</t>
  </si>
  <si>
    <t>2357</t>
  </si>
  <si>
    <t>11.4.1.3</t>
  </si>
  <si>
    <t>Хвойные кустарники</t>
  </si>
  <si>
    <t>2358</t>
  </si>
  <si>
    <t>Ель обыкновенная Nidiformis</t>
  </si>
  <si>
    <t>2359</t>
  </si>
  <si>
    <t>11.4.1.4</t>
  </si>
  <si>
    <t>Лиственные кустарники</t>
  </si>
  <si>
    <t>2360</t>
  </si>
  <si>
    <t>Кизильник блестящий</t>
  </si>
  <si>
    <t>2361</t>
  </si>
  <si>
    <t>Стефонандра надрезаннолистная Криспа</t>
  </si>
  <si>
    <t>2362</t>
  </si>
  <si>
    <t>Можжевельник средний Минт Джулеп ИЛИ Тсуга Джедделох</t>
  </si>
  <si>
    <t>2363</t>
  </si>
  <si>
    <t>Калина обыкновенная</t>
  </si>
  <si>
    <t>2364</t>
  </si>
  <si>
    <t>Бруннера крупнолистная "Jack Frost"</t>
  </si>
  <si>
    <t>2365</t>
  </si>
  <si>
    <t>Вербейник монетчатый</t>
  </si>
  <si>
    <t>2366</t>
  </si>
  <si>
    <t>Волжанка двудомная</t>
  </si>
  <si>
    <t>2367</t>
  </si>
  <si>
    <t>Лабазник вязолистный Ulmaria</t>
  </si>
  <si>
    <t>2368</t>
  </si>
  <si>
    <t>Анемона гибридная белая</t>
  </si>
  <si>
    <t>2369</t>
  </si>
  <si>
    <t>Купена лекарственная</t>
  </si>
  <si>
    <t>2370</t>
  </si>
  <si>
    <t>Кочедыжник женский</t>
  </si>
  <si>
    <t>2371</t>
  </si>
  <si>
    <t>Дерен белый Сибирика</t>
  </si>
  <si>
    <t>2372</t>
  </si>
  <si>
    <t>11.4.1.5</t>
  </si>
  <si>
    <t>Многолетники</t>
  </si>
  <si>
    <t>2373</t>
  </si>
  <si>
    <t>Вероника колосистая"Melanie White"</t>
  </si>
  <si>
    <t>2374</t>
  </si>
  <si>
    <t>Герань кроваво-красная Album</t>
  </si>
  <si>
    <t>2375</t>
  </si>
  <si>
    <t>11.4.1.6</t>
  </si>
  <si>
    <t>Декоративные злаки</t>
  </si>
  <si>
    <t>2376</t>
  </si>
  <si>
    <t>Ожика лесная</t>
  </si>
  <si>
    <t>2377</t>
  </si>
  <si>
    <t>Коротконожка лесная</t>
  </si>
  <si>
    <t>2378</t>
  </si>
  <si>
    <t>11.4.1.7</t>
  </si>
  <si>
    <t>Почвопокровные растения</t>
  </si>
  <si>
    <t>2379</t>
  </si>
  <si>
    <t>Пахизандра верхушечная "Green Carpet"</t>
  </si>
  <si>
    <t>2380</t>
  </si>
  <si>
    <t>2381</t>
  </si>
  <si>
    <t>Копытень европейсий</t>
  </si>
  <si>
    <t>2382</t>
  </si>
  <si>
    <t>Барвинок малый</t>
  </si>
  <si>
    <t>2383</t>
  </si>
  <si>
    <t>Вальдштейния тройчатая</t>
  </si>
  <si>
    <t>2384</t>
  </si>
  <si>
    <t>11.4.2</t>
  </si>
  <si>
    <t>Озеленение. Террасы</t>
  </si>
  <si>
    <t>2385</t>
  </si>
  <si>
    <t>11.4.2.1</t>
  </si>
  <si>
    <t>2386</t>
  </si>
  <si>
    <t>Сосна горная</t>
  </si>
  <si>
    <t>2387</t>
  </si>
  <si>
    <t>11.4.2.2</t>
  </si>
  <si>
    <t>2388</t>
  </si>
  <si>
    <t>2389</t>
  </si>
  <si>
    <t>2390</t>
  </si>
  <si>
    <t>11.4.2.3</t>
  </si>
  <si>
    <t>2391</t>
  </si>
  <si>
    <t>Ирга Ламарка</t>
  </si>
  <si>
    <t>2392</t>
  </si>
  <si>
    <t>Спирея березолистная Тор</t>
  </si>
  <si>
    <t>2393</t>
  </si>
  <si>
    <t>Виноград девичий</t>
  </si>
  <si>
    <t>2394</t>
  </si>
  <si>
    <t>11.4.2.4</t>
  </si>
  <si>
    <t>2395</t>
  </si>
  <si>
    <t>Волжанка кокорышелистная</t>
  </si>
  <si>
    <t>2396</t>
  </si>
  <si>
    <t>Камнеломка Арендса</t>
  </si>
  <si>
    <t>2397</t>
  </si>
  <si>
    <t>11.4.2.5</t>
  </si>
  <si>
    <t>2398</t>
  </si>
  <si>
    <t>Осока горная</t>
  </si>
  <si>
    <t>2399</t>
  </si>
  <si>
    <t>11.5</t>
  </si>
  <si>
    <t>Бортовой камень</t>
  </si>
  <si>
    <t>2400</t>
  </si>
  <si>
    <t>Гранитный бордюр марка ГП1 100.30.15 СПУТНИК</t>
  </si>
  <si>
    <t>2401</t>
  </si>
  <si>
    <t>Бордюр стальной оцинкованный L типа 1200мм  БС-110.70.120-1,5-L-ОС/ оцинкованная сталь</t>
  </si>
  <si>
    <t>2402</t>
  </si>
  <si>
    <t>11.6</t>
  </si>
  <si>
    <t>12.4. МАФы (в т.ч. детские площадки), велопарковки, шлагбаумы, фонтаны</t>
  </si>
  <si>
    <t>МАФ</t>
  </si>
  <si>
    <t>2403</t>
  </si>
  <si>
    <t>11.6.1</t>
  </si>
  <si>
    <t>МАФ. Внутренний двор</t>
  </si>
  <si>
    <t>2404</t>
  </si>
  <si>
    <t>Фонтан (Индивидуальное изготовление/терраццо) производитель Территория Терраццо</t>
  </si>
  <si>
    <t>2405</t>
  </si>
  <si>
    <t>Скамья (Индивидуальное  изготовление/сталь, импрегнированная доска) производитель GREEN TECH</t>
  </si>
  <si>
    <t>2406</t>
  </si>
  <si>
    <t>Диван  (Steen Sofa/FlexPlus) производитель Six inch</t>
  </si>
  <si>
    <t>2407</t>
  </si>
  <si>
    <t>Кресло (Steen Chair/FlexPlus) производитель Six inch</t>
  </si>
  <si>
    <t>2408</t>
  </si>
  <si>
    <t>Кресло  (Steen М/FlexPlus) производитель Six inch</t>
  </si>
  <si>
    <t>2409</t>
  </si>
  <si>
    <t>Пуф (Steen S/FlexPlus) производитель Six inch</t>
  </si>
  <si>
    <t>2410</t>
  </si>
  <si>
    <t>Пуф (Cilinder 90 HardFlex+Outdoor/FlexPlus) производитель Six inch</t>
  </si>
  <si>
    <t>2411</t>
  </si>
  <si>
    <t>Стул (КУЛ/металл) производитель DELO DESIGN</t>
  </si>
  <si>
    <t>2412</t>
  </si>
  <si>
    <t>Стол (СУПЕРКРУГ/металл) производитель DELO DESIGN</t>
  </si>
  <si>
    <t>2413</t>
  </si>
  <si>
    <t>Урна (SFu-04 /бетон) производитель Робинзон</t>
  </si>
  <si>
    <t>2414</t>
  </si>
  <si>
    <t>Велопарковка (Велопарковка «Воздух» Артикул: 15617/ сталь) производитель Хоббика</t>
  </si>
  <si>
    <t>2415</t>
  </si>
  <si>
    <t>Навес  (Индивидуальное изготовление/сталь, покрытие полированное) производитель GREEN TECH</t>
  </si>
  <si>
    <t>2416</t>
  </si>
  <si>
    <t>Перила (Индивидуальное изготовление/сталь, покрытие полированное) производитель GREEN TECH</t>
  </si>
  <si>
    <t>2417</t>
  </si>
  <si>
    <t>Перила (Индивидуальное изготовление/ сталь, покрытие полированное) производитель GREEN TECH</t>
  </si>
  <si>
    <t>2418</t>
  </si>
  <si>
    <t>Вешалка для одежды (Индивидуальное изготовление/сталь, покрытие полированное) производитель GREEN TECH</t>
  </si>
  <si>
    <t>2419</t>
  </si>
  <si>
    <t>Бетонная форма в песочницу (ИО 0860Т-5/бетон) производитель ИГРАТЕКС</t>
  </si>
  <si>
    <t>2420</t>
  </si>
  <si>
    <t>Бетонная форма в песочницу (ИО 0860Т-4/бетон) производитель ИГРАТЕКС</t>
  </si>
  <si>
    <t>2421</t>
  </si>
  <si>
    <t>Бетонная форма в песочницу (ИО 0860Т-3/ бетон) производитель ИГРАТЕКС</t>
  </si>
  <si>
    <t>2422</t>
  </si>
  <si>
    <t>Бетонная форма в песочницу (ИО 0860Т-1/ бетон) производитель ИГРАТЕКС</t>
  </si>
  <si>
    <t>2423</t>
  </si>
  <si>
    <t>Бетонная форма в песочницу (ИО 0860Т-2/ бетон) производитель ИГРАТЕКС</t>
  </si>
  <si>
    <t>2424</t>
  </si>
  <si>
    <t>Бизиборд (Индивидуальное изготовление/ сталь, покрытие полированное) производитель GREEN TECH</t>
  </si>
  <si>
    <t>2425</t>
  </si>
  <si>
    <t>Подпорная стенка со скамьями (Индивидуальное изготовление/терраццо, импрегнированная доска ) производитель Территория Терраццо</t>
  </si>
  <si>
    <t>2426</t>
  </si>
  <si>
    <t>Кашпо c утеплителем (ДЕЛИ/ стеклопластик) производитель Levelland</t>
  </si>
  <si>
    <t>2427</t>
  </si>
  <si>
    <t>Ворота с калиткой (Индивидуальное изготовление/сталь, покрытие порошковое) производитель GREEN TECH</t>
  </si>
  <si>
    <t>2428</t>
  </si>
  <si>
    <t>Ограждение с калиткой (Индивидуальное изготовление/ сталь, покрытие порошковое) производитель GREEN TECH</t>
  </si>
  <si>
    <t>2429</t>
  </si>
  <si>
    <t>Ступени (Индивидуальное изготовление/ терраццо) производитель Территория Терраццо</t>
  </si>
  <si>
    <t>2430</t>
  </si>
  <si>
    <t>Валун (гранит Камбулатовский) производитель ТехноЭксперт</t>
  </si>
  <si>
    <t>2431</t>
  </si>
  <si>
    <t>Камень пиленный для ступеней (гранит Камбулатовский С2) производитель ТехноЭксперт</t>
  </si>
  <si>
    <t>2432</t>
  </si>
  <si>
    <t>Камень пиленный для ступеней (гранит Камбулатовский С3) производитель ТехноЭксперт</t>
  </si>
  <si>
    <t>2433</t>
  </si>
  <si>
    <t>Камень пиленный для ступеней (гранит Камбулатовский С4) производитель ТехноЭксперт</t>
  </si>
  <si>
    <t>2434</t>
  </si>
  <si>
    <t>Камень пиленный для ступеней (гранит Камбулатовский С5) производитель ТехноЭксперт</t>
  </si>
  <si>
    <t>2435</t>
  </si>
  <si>
    <t>11.6.2</t>
  </si>
  <si>
    <t>МАФ. Терраса</t>
  </si>
  <si>
    <t>2436</t>
  </si>
  <si>
    <t>Скамья (Индивидуальное изготовление/металл, HPL ) производитель Punto Group</t>
  </si>
  <si>
    <t>2437</t>
  </si>
  <si>
    <t>2438</t>
  </si>
  <si>
    <t>Диван (Гранада 122279/алюминий, ткань) производитель 4SIS</t>
  </si>
  <si>
    <t>2439</t>
  </si>
  <si>
    <t>Стол (Варадеро GRAY-110-60 H43-Al-VAR(Ral7024)-4sis/ алюминий, HPL) производитель 4SIS</t>
  </si>
  <si>
    <t>2440</t>
  </si>
  <si>
    <t>Кухонный гарнитур (Комплект из трех модулей с столешницы/ нержавейка) производитель ЛЕНСТАЛЬ</t>
  </si>
  <si>
    <t>2441</t>
  </si>
  <si>
    <t>2442</t>
  </si>
  <si>
    <t>Стул (Galdana 99906/ алюминий) производитель LaForma</t>
  </si>
  <si>
    <t>2443</t>
  </si>
  <si>
    <t>2444</t>
  </si>
  <si>
    <t>Стол (СУПЕРКРУГ/ металл) производитель DELO DESIGN</t>
  </si>
  <si>
    <t>2445</t>
  </si>
  <si>
    <t>2446</t>
  </si>
  <si>
    <t>Навес (индивидуальное изготовление/ металл, стекло) производитель CORPSUN</t>
  </si>
  <si>
    <t>2447</t>
  </si>
  <si>
    <t>Подпорная стенка (Индивидуальное изготовление/ металл круг) производитель GREEN TECH, высота 700мм</t>
  </si>
  <si>
    <t>2448</t>
  </si>
  <si>
    <t>Подпорная стенка (Индивидуальное изготовление/ металл ) производитель GREEN TECH, высота 500 мм</t>
  </si>
  <si>
    <t>2449</t>
  </si>
  <si>
    <t>11.7</t>
  </si>
  <si>
    <t>12.99. Прочее (благоустройство)</t>
  </si>
  <si>
    <t>Навигация</t>
  </si>
  <si>
    <t>2450</t>
  </si>
  <si>
    <t>2451</t>
  </si>
  <si>
    <t>Навигационные пластины (Индивидуальное изготовление/ сталь, покрытие полированное) производитель GREEN TECH</t>
  </si>
  <si>
    <t>2452</t>
  </si>
  <si>
    <t>11.8</t>
  </si>
  <si>
    <t>Автополив</t>
  </si>
  <si>
    <t>2453</t>
  </si>
  <si>
    <t>Автополив. Внутренний двор</t>
  </si>
  <si>
    <t>2454</t>
  </si>
  <si>
    <t>Автополив. Терраса</t>
  </si>
  <si>
    <t>2455</t>
  </si>
  <si>
    <t>11.9</t>
  </si>
  <si>
    <t>Устройство поверхностного водоотвода</t>
  </si>
  <si>
    <t>2456</t>
  </si>
  <si>
    <t>Лоток водоотводный бетонный коробчатый (СО-200мм)КU100.29,8(20).29,5(22,5)-BGU, № 0</t>
  </si>
  <si>
    <t>2457</t>
  </si>
  <si>
    <t>Решетка лотка бетонная, РЛБ 100.29,4.18-E600-5</t>
  </si>
  <si>
    <t>2458</t>
  </si>
  <si>
    <t>Заглушка торцевая стальная (СО-200мм), ЗТ 20 - 25,5. 35. 0,125</t>
  </si>
  <si>
    <t>2459</t>
  </si>
  <si>
    <t>Пескоулавливающий колодец (СО-300), односекционный,с оцинк.насадкой ПКП50.44(30).88(83)BGZ-V</t>
  </si>
  <si>
    <t>2460</t>
  </si>
  <si>
    <t>Корзина стальная универсальная для пескоулавливающего колодца</t>
  </si>
  <si>
    <t>2461</t>
  </si>
  <si>
    <t>Решётка водоприёмная чугунная ячеистая РВЧЯ - RU22732 - 30 (Е600)-50х34,7х2,5 - 2,5/1,4</t>
  </si>
  <si>
    <t>2462</t>
  </si>
  <si>
    <t>Крепёж чугунных решёток "Крепёж М10</t>
  </si>
  <si>
    <t>2463</t>
  </si>
  <si>
    <t>Лоток водоотводный бетонный коробчатый (СО-200мм), с оцинкованной насадкой КU 100.29,8 (20).49,5(42,5) - BGZ-V, №40-0</t>
  </si>
  <si>
    <t>2464</t>
  </si>
  <si>
    <t>Решётка водоприёмная чугунная ячеистая РВЧЯ - RU22722 - 20 (E600) -50x24,7x2,5 - 2,7/1,3</t>
  </si>
  <si>
    <t>2465</t>
  </si>
  <si>
    <t>2466</t>
  </si>
  <si>
    <t>Соудафлекс 40 ФС серый 600 мл</t>
  </si>
  <si>
    <t>2467</t>
  </si>
  <si>
    <t>Выравнивающий слой ЦПР М200</t>
  </si>
  <si>
    <t>2468</t>
  </si>
  <si>
    <t>Бетонная обойма B15</t>
  </si>
  <si>
    <t>2469</t>
  </si>
  <si>
    <t>Готовая щебеночно-песчаная смесь С6</t>
  </si>
  <si>
    <t>2470</t>
  </si>
  <si>
    <t>2471</t>
  </si>
  <si>
    <t>13. ТХ</t>
  </si>
  <si>
    <t>Технологические решения автостоянки, комплекса и арендуемых помещений</t>
  </si>
  <si>
    <t>2472</t>
  </si>
  <si>
    <t>12.1</t>
  </si>
  <si>
    <t>13.1. ТХ паркинга</t>
  </si>
  <si>
    <t>Технологические решения подземной автостоянки</t>
  </si>
  <si>
    <t>2473</t>
  </si>
  <si>
    <t>Колесотбойники, ограждения зон. Светоотражающая накладка для колонн и углов 800х100мм</t>
  </si>
  <si>
    <t>2474</t>
  </si>
  <si>
    <t>Колесоотбойник резиновый. Габариты: 2000х150х100 мм</t>
  </si>
  <si>
    <t>2475</t>
  </si>
  <si>
    <t>Знак дорожный 3.1 Въезд запрещен Знак малого типоразмера в соответствии с  ГОСТ Р 52290—2004. Диаметр = 600 мм</t>
  </si>
  <si>
    <t>2476</t>
  </si>
  <si>
    <t>Знак дорожный 1.14 Крутой подъем (18%)Знак малого типоразмера в соответствии с  ГОСТ Р 52290—2004 Длина одной стороны = 700 мм</t>
  </si>
  <si>
    <t>2477</t>
  </si>
  <si>
    <t>Знак дорожный 1.13 Крутой спуск (18%) Знак малого типоразмера в соответствии с  ГОСТ Р 52290—2004 Длина одной стороны = 700 мм</t>
  </si>
  <si>
    <t>2478</t>
  </si>
  <si>
    <t>Знак дорожный 6.4 Парковка Знак малого типоразмера в соответствии с  ГОСТ Р 52290—2004 Высота 1350, ширина 900 мм</t>
  </si>
  <si>
    <t>2479</t>
  </si>
  <si>
    <t>Знак дорожный 3.24 Ограничение максимальной скорости (5 км/ч) Знак малого типоразмера в соответствии с  ГОСТ Р 52290—2004 Диаметр = 600 мм</t>
  </si>
  <si>
    <t>2480</t>
  </si>
  <si>
    <t>Знак дорожный 3.13 Ограничение высоты (3,4 м) Знак малого типоразмера в соответствии с  ГОСТ Р 52290—2004 Диаметр = 600 мм</t>
  </si>
  <si>
    <t>2481</t>
  </si>
  <si>
    <t>Знак дорожный 3.13 Ограничение высоты (2,6 м) Знак малого типоразмера в соответствии с  ГОСТ Р 52290—2004 Диаметр = 600 мм</t>
  </si>
  <si>
    <t>2482</t>
  </si>
  <si>
    <t>Знак дорожный 3.10 Движение пешеходов запрещено Знак малого типоразмера в соответствии с  ГОСТ Р 52290—2004 Диаметр = 700 мм</t>
  </si>
  <si>
    <t>2483</t>
  </si>
  <si>
    <t>Знак дорожный Ø500мм</t>
  </si>
  <si>
    <t>2484</t>
  </si>
  <si>
    <t>Искусственная неровность. Габариты ШхВ: 350х50 мм</t>
  </si>
  <si>
    <t>2485</t>
  </si>
  <si>
    <t>Зеркало дорожное круглое с желто-черной разметкой, Ø 600 мм</t>
  </si>
  <si>
    <t>2486</t>
  </si>
  <si>
    <t>Монтаж велопарковок в подземном паркинге</t>
  </si>
  <si>
    <t>2487</t>
  </si>
  <si>
    <t>Нанесение разметки вертикальной и горизонтальной</t>
  </si>
  <si>
    <t>2488</t>
  </si>
  <si>
    <t>Лотки для аварийного сбора топлива в горизонтальной части рамп на всех этажах автостоянки</t>
  </si>
  <si>
    <t>все лотки паркинга и рампы (металлические лотки без зазора c решетками)</t>
  </si>
  <si>
    <t>2489</t>
  </si>
  <si>
    <t>12.2</t>
  </si>
  <si>
    <t>13.2. Автоматизированная парковочная система</t>
  </si>
  <si>
    <t>Технологические решения Автоматизированная парковочная система</t>
  </si>
  <si>
    <t>2490</t>
  </si>
  <si>
    <t>при необходимости</t>
  </si>
  <si>
    <t>2491</t>
  </si>
  <si>
    <t>12.3</t>
  </si>
  <si>
    <t>13.3. Система мусороудаления</t>
  </si>
  <si>
    <t>Технологические решения мусороудаления</t>
  </si>
  <si>
    <t>2492</t>
  </si>
  <si>
    <t>Контейнер для мусора (1100 л) металлический, Габариты (Д*Ш*В) мм: 1240 x 1000 x 1250</t>
  </si>
  <si>
    <t>2493</t>
  </si>
  <si>
    <t>Контейнер для крупногабаритного мусора. Габариты: 1850х3380х1600 мм</t>
  </si>
  <si>
    <t>2494</t>
  </si>
  <si>
    <t>Cтационарный компактор 
Усилие прессования , кН, не более300
Производительность до, м3/час65
Время одного цикла, с, не более90
Производительность за проход, м30,95
Загрузочное окно, д х ш, мм1 850 х 1 000
Объем пресскамеры, м32,2
Габаритные размеры, мм: длина 2 600, ширина2 150, высота 1 670
Масса, кг, не более2 480
Мощность электродвигателя, кВт7,5
Напряжение, В380
Давление в гидросистеме, Мпа 175</t>
  </si>
  <si>
    <t>2495</t>
  </si>
  <si>
    <t>12.4</t>
  </si>
  <si>
    <t>Технологические решения Прочее</t>
  </si>
  <si>
    <t>2496</t>
  </si>
  <si>
    <t>Установка и подключение снегоплавильной установки (согласно ТХ), размещенной на кровле стилобата</t>
  </si>
  <si>
    <t>2497</t>
  </si>
  <si>
    <t>Установка скоростных ворот 3500x3200(h) на въезде в паркинг с возможностью управления: 
• парковочноой картой/радиометкой;
• по считыванию автомобильных номеров;
• дистанционно из помещения диспетчерской и пожарного поста.</t>
  </si>
  <si>
    <t>2498</t>
  </si>
  <si>
    <t>Вызывная панель с видеокамерой для связи с помещением диспетчерской и пожарного поста на въезде в подземную автостоянку оснащается.</t>
  </si>
  <si>
    <t>2499</t>
  </si>
  <si>
    <t>Монтаж кронштейнов для наружных блоков кондиционеров</t>
  </si>
  <si>
    <t>2500</t>
  </si>
  <si>
    <t>99. Прочее</t>
  </si>
  <si>
    <t>ЗИП</t>
  </si>
  <si>
    <t>2501</t>
  </si>
  <si>
    <t>см. приложение ЗИП к ТЗ</t>
  </si>
  <si>
    <t>2502</t>
  </si>
  <si>
    <t>SHELL &amp; CORE</t>
  </si>
  <si>
    <t>Все материалы перегородок и черновой отделки согласованны и не изменны
Индивидуальными будут только финишные покрытия</t>
  </si>
  <si>
    <t>2503</t>
  </si>
  <si>
    <t>14.1</t>
  </si>
  <si>
    <t>УСТРОЙСТВО ПЕРЕГОРОДОК («маячного ряда)</t>
  </si>
  <si>
    <t>2504</t>
  </si>
  <si>
    <t>14.1.1</t>
  </si>
  <si>
    <t>2505</t>
  </si>
  <si>
    <t>14.1.1.1</t>
  </si>
  <si>
    <t>Маячковый ряд</t>
  </si>
  <si>
    <t>2506</t>
  </si>
  <si>
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</si>
  <si>
    <t>трассировка</t>
  </si>
  <si>
    <t>2507</t>
  </si>
  <si>
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</si>
  <si>
    <t>2508</t>
  </si>
  <si>
    <t>14.1.1.2</t>
  </si>
  <si>
    <t>Транзитные шахты</t>
  </si>
  <si>
    <t>2509</t>
  </si>
  <si>
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</si>
  <si>
    <t>2510</t>
  </si>
  <si>
    <t>14.1.2</t>
  </si>
  <si>
    <t>2511</t>
  </si>
  <si>
    <t>14.1.2.1</t>
  </si>
  <si>
    <t>2512</t>
  </si>
  <si>
    <t>2513</t>
  </si>
  <si>
    <t>2514</t>
  </si>
  <si>
    <t>14.1.2.2</t>
  </si>
  <si>
    <t>2515</t>
  </si>
  <si>
    <t>2516</t>
  </si>
  <si>
    <t>14.1.3</t>
  </si>
  <si>
    <t>2517</t>
  </si>
  <si>
    <t>14.1.3.1</t>
  </si>
  <si>
    <t>2518</t>
  </si>
  <si>
    <t>2519</t>
  </si>
  <si>
    <t>2520</t>
  </si>
  <si>
    <t>14.1.3.2</t>
  </si>
  <si>
    <t>2521</t>
  </si>
  <si>
    <t>2522</t>
  </si>
  <si>
    <t>14.1.4</t>
  </si>
  <si>
    <t>2523</t>
  </si>
  <si>
    <t>14.1.4.1</t>
  </si>
  <si>
    <t>2524</t>
  </si>
  <si>
    <t>2525</t>
  </si>
  <si>
    <t>2526</t>
  </si>
  <si>
    <t>14.1.4.2</t>
  </si>
  <si>
    <t>2527</t>
  </si>
  <si>
    <t>2528</t>
  </si>
  <si>
    <t>14.2</t>
  </si>
  <si>
    <t>ОТДЕЛОЧНЫЕ РАБОТЫ</t>
  </si>
  <si>
    <t>2529</t>
  </si>
  <si>
    <t>14.2.1</t>
  </si>
  <si>
    <t>2530</t>
  </si>
  <si>
    <t>14.2.1.1</t>
  </si>
  <si>
    <t>Стена (Стены периметральные из ГСБ)</t>
  </si>
  <si>
    <t>2531</t>
  </si>
  <si>
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</si>
  <si>
    <t>2532</t>
  </si>
  <si>
    <t>14.2.1.2</t>
  </si>
  <si>
    <t>Пол (Выполняется только гидроизоляция мокрых зон)</t>
  </si>
  <si>
    <t>2533</t>
  </si>
  <si>
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</si>
  <si>
    <t>2534</t>
  </si>
  <si>
    <t>14.2.2</t>
  </si>
  <si>
    <t>2535</t>
  </si>
  <si>
    <t>14.2.2.1</t>
  </si>
  <si>
    <t>2536</t>
  </si>
  <si>
    <t>2537</t>
  </si>
  <si>
    <t>14.2.2.2</t>
  </si>
  <si>
    <t>2538</t>
  </si>
  <si>
    <t>2539</t>
  </si>
  <si>
    <t>14.2.3</t>
  </si>
  <si>
    <t>2540</t>
  </si>
  <si>
    <t>14.2.3.1</t>
  </si>
  <si>
    <t>2541</t>
  </si>
  <si>
    <t>2542</t>
  </si>
  <si>
    <t>14.2.3.2</t>
  </si>
  <si>
    <t>2543</t>
  </si>
  <si>
    <t>2544</t>
  </si>
  <si>
    <t>14.2.4</t>
  </si>
  <si>
    <t>2545</t>
  </si>
  <si>
    <t>14.2.4.1</t>
  </si>
  <si>
    <t>2546</t>
  </si>
  <si>
    <t>2547</t>
  </si>
  <si>
    <t>14.2.4.2</t>
  </si>
  <si>
    <t>2548</t>
  </si>
  <si>
    <t>2549</t>
  </si>
  <si>
    <t>14.3</t>
  </si>
  <si>
    <t>Внутренние инженерные системы</t>
  </si>
  <si>
    <t>В квартирах предусмотрены вводы общедомовых сетей: электроснабжения, слаботочных систем, водоснабжения, канализации, вентиляции и кондиционирования. Система отопления  выполняется в полном объеме в соответствии со стадией «П». Отверстия в стенах после ввода инженерных коммуникаций в квартиру подлежат зачеканке огнестойкими материалами. Отверстия в плитах перекрытия (в шахтах) подлежат замоноличиванию</t>
  </si>
  <si>
    <t>2550</t>
  </si>
  <si>
    <t>14.3.1</t>
  </si>
  <si>
    <t>Освещение (временное)</t>
  </si>
  <si>
    <t>2551</t>
  </si>
  <si>
    <t>Смонтировать потолочные светильники из расчета 1 шт. на каждое окно/витраж.Сечение кабеля (ВВГнг‐LS и др.) для линий освещения - в соответствии с РД. Установить одноклавишный выключатель у входной двери</t>
  </si>
  <si>
    <t>В соответствии с Вендор‐листом</t>
  </si>
  <si>
    <t>2552</t>
  </si>
  <si>
    <t>Светильник накладной светодиодный круглый, светильник светодиодный ЖКХ круг ДПО‐1004‐К 15Вт 4000К IP65 EKF, Артикул: BKL‐1004‐R‐15‐4000</t>
  </si>
  <si>
    <t>RDC‐ELECTRO, EKF или аналог по согласованию</t>
  </si>
  <si>
    <t>2553</t>
  </si>
  <si>
    <t>Выключатель одноклавишный</t>
  </si>
  <si>
    <t>Schneider Electric Atlas Design</t>
  </si>
  <si>
    <t>2554</t>
  </si>
  <si>
    <t>14.3.2</t>
  </si>
  <si>
    <t>Вентиляция</t>
  </si>
  <si>
    <t>2555</t>
  </si>
  <si>
    <t>Внутриквартирная разводка воздуховодов не предусмотрена. Для зданий выше 100 м индивидуальные приточные установки или бризеры устанавливаются в полном объеме в соответствии со стадией «П» с устройством кабеля питания и автоматом в щит механизации</t>
  </si>
  <si>
    <t>2556</t>
  </si>
  <si>
    <t>На период проведения СМР и до установки бризеров, где предусмотрено монтажное отверстие в стене для установки бризера предусмотреть заглушку, пластиковую, белого цвета, d132</t>
  </si>
  <si>
    <t>SCHNEIDER ELECTRIC</t>
  </si>
  <si>
    <t>2557</t>
  </si>
  <si>
    <t>14.3.3</t>
  </si>
  <si>
    <t>Водоснабжение (ГВС/ХВС), Канализаци</t>
  </si>
  <si>
    <t>2558</t>
  </si>
  <si>
    <t>Разводка труб до мест установки сантехнических приборов не выполняется. Со стороны квартиры на трубах ГВС/ХВС установить шаровые краны с электроприводом системы защиты от протечек. На вводе ХВС с отводом для пожаротушения установку шарового крана следует производить после отвода</t>
  </si>
  <si>
    <t>2559</t>
  </si>
  <si>
    <t>ШЭП ULTIMATE ENOLGAS 12V G‐LOCK 1/2" BS (11091041) 2 шт. на квартиру Gidrolock</t>
  </si>
  <si>
    <t>2560</t>
  </si>
  <si>
    <t>Блок управления STANDARD Wi‐Fi, 12V (1шт. на квартиру) Gidrolock</t>
  </si>
  <si>
    <t>2561</t>
  </si>
  <si>
    <t>Датчик протечки воды WSR белый (на каждое  помещение санузла и кухню/кухню гостиную) Gidrolock</t>
  </si>
  <si>
    <t>2562</t>
  </si>
  <si>
    <t>Предусмотреть вывод и воронку на подключение дренажа от кондиционеров</t>
  </si>
  <si>
    <t>2563</t>
  </si>
  <si>
    <t>14.3.4</t>
  </si>
  <si>
    <t>Интернет/Радио Разводка сетей по квартире не выполняется</t>
  </si>
  <si>
    <t>2564</t>
  </si>
  <si>
    <t>Оптический кабель сети интернет заводится в квартиру, с запасом кабеля 3м, заканчивается оптической розеткой</t>
  </si>
  <si>
    <t>2565</t>
  </si>
  <si>
    <t>Накладная радио розетка, белая. Устанавливается рядом с щитом механизации. Привязку дополнительно согласовать. Запас кабеля 3 м. (Если предусмотрено стадией «П»)</t>
  </si>
  <si>
    <t>2566</t>
  </si>
  <si>
    <t>14.3.5</t>
  </si>
  <si>
    <t>Звонок/Домофон Устанавливаются согласно требованиям «СВОД ТЕХНИЧЕСКИХ ЗАДАНИЙ И СТАНДАРТОВ ПО ОТДЕЛКЕ МЕСТ ОБЩЕГО ПОЛЬЗОВАНИЯ И КВАРТИР»</t>
  </si>
  <si>
    <t>2567</t>
  </si>
  <si>
    <t>Звонок ZAMEL Sundi, Гонг двух тональный BIM‐BAM с выключателем GNT–921/N ZAMEL Sund</t>
  </si>
  <si>
    <t>2568</t>
  </si>
  <si>
    <t>Кабель системы домофонии UTP + «бюджетное» абонентское устройство</t>
  </si>
  <si>
    <t>2569</t>
  </si>
  <si>
    <t>14.4</t>
  </si>
  <si>
    <t>ИСПОЛНИТЕЛЬНАЯ ДОКУМЕНТАЦИЯ (ПАСПОРТ КВАРТИРЫ)</t>
  </si>
  <si>
    <t>2570</t>
  </si>
  <si>
    <t>Подготовка Исполнительной документации, включающей в себя все исполнительные схемы по всем инженерным разделам в рамках каждой квартиры+ Акт о пусконаладочных работах по Умному дому)</t>
  </si>
  <si>
    <t>2571</t>
  </si>
  <si>
    <t>14.5</t>
  </si>
  <si>
    <t>УБОРКА И ФИНИШНЫЙ КЛИНИНГ</t>
  </si>
  <si>
    <t>2572</t>
  </si>
  <si>
    <t>Ежедневная уборка</t>
  </si>
  <si>
    <t>2573</t>
  </si>
  <si>
    <t>Финишный клининг перед сдачей квартиры собственнику</t>
  </si>
  <si>
    <t>2574</t>
  </si>
  <si>
    <t>Рабочая документация</t>
  </si>
  <si>
    <t>S по СП</t>
  </si>
  <si>
    <t>2575</t>
  </si>
  <si>
    <t>Разработка рабочей документации</t>
  </si>
  <si>
    <t>ИТОГО, руб. с учетом НДС</t>
  </si>
  <si>
    <t>В том числе НДС</t>
  </si>
  <si>
    <t>ИТОГО, руб. без учета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</si>
</sst>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"/>
  </numFmts>
  <fonts count="12" x14ac:knownFonts="1">
    <font>
      <sz val="11"/>
      <color rgb="FF000000"/>
      <name val="Calibri"/>
      <family val="2"/>
    </font>
    <font>
      <sz val="11"/>
      <name val="Calibri"/>
      <family val="2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 Cyr"/>
    </font>
    <font>
      <b/>
      <sz val="12"/>
      <name val="Arial Cyr"/>
    </font>
    <font>
      <sz val="10"/>
      <name val="Times New Roman"/>
      <family val="1"/>
    </font>
    <font>
      <sz val="12"/>
      <name val="Arial Cy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BE5D6"/>
        <bgColor rgb="FFEBF1DE"/>
      </patternFill>
    </fill>
    <fill>
      <patternFill patternType="solid">
        <fgColor rgb="FFFABF8F"/>
        <bgColor rgb="FFE6B9B8"/>
      </patternFill>
    </fill>
    <fill>
      <patternFill patternType="solid">
        <fgColor rgb="FFFCD5B4"/>
        <bgColor rgb="FFFBE5D6"/>
      </patternFill>
    </fill>
    <fill>
      <patternFill patternType="solid">
        <fgColor rgb="FFDCE6F1"/>
        <bgColor rgb="FFDAEEF3"/>
      </patternFill>
    </fill>
    <fill>
      <patternFill patternType="solid">
        <fgColor rgb="FFDAEEF3"/>
        <bgColor rgb="FFDCE6F1"/>
      </patternFill>
    </fill>
    <fill>
      <patternFill patternType="solid">
        <fgColor rgb="FFE4DFEC"/>
        <bgColor rgb="FFDCE6F1"/>
      </patternFill>
    </fill>
    <fill>
      <patternFill patternType="solid">
        <fgColor rgb="FFCDE6ED"/>
        <bgColor rgb="FFDCE6F1"/>
      </patternFill>
    </fill>
    <fill>
      <patternFill patternType="solid">
        <fgColor rgb="FFEBF1DE"/>
        <bgColor rgb="FFF2F2F2"/>
      </patternFill>
    </fill>
    <fill>
      <patternFill patternType="solid">
        <fgColor rgb="FFBDD5DB"/>
        <bgColor rgb="FFCDE6ED"/>
      </patternFill>
    </fill>
    <fill>
      <patternFill patternType="solid">
        <fgColor rgb="FFE6B9B8"/>
        <bgColor rgb="FFFABF8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1" fillId="0" borderId="0" applyBorder="0" applyProtection="0"/>
  </cellStyleXfs>
  <cellXfs count="102">
    <xf numFmtId="0" fontId="0" fillId="0" borderId="0" xfId="0"/>
    <xf numFmtId="0" fontId="5" fillId="10" borderId="1" xfId="0" applyFont="1" applyFill="1" applyBorder="1" applyAlignment="1" applyProtection="1">
      <alignment horizontal="left" vertical="center" wrapText="1"/>
    </xf>
    <xf numFmtId="0" fontId="5" fillId="9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5" fillId="7" borderId="1" xfId="0" applyFont="1" applyFill="1" applyBorder="1" applyAlignment="1" applyProtection="1">
      <alignment horizontal="left" vertical="center" wrapText="1"/>
    </xf>
    <xf numFmtId="0" fontId="5" fillId="6" borderId="1" xfId="0" applyFont="1" applyFill="1" applyBorder="1" applyAlignment="1" applyProtection="1">
      <alignment horizontal="left" vertical="center" wrapText="1"/>
    </xf>
    <xf numFmtId="0" fontId="5" fillId="5" borderId="1" xfId="0" applyFont="1" applyFill="1" applyBorder="1" applyAlignment="1" applyProtection="1">
      <alignment horizontal="left" vertical="center" wrapText="1"/>
    </xf>
    <xf numFmtId="3" fontId="5" fillId="3" borderId="1" xfId="0" applyNumberFormat="1" applyFont="1" applyFill="1" applyBorder="1" applyAlignment="1" applyProtection="1">
      <alignment horizontal="center" vertical="center" wrapText="1"/>
    </xf>
    <xf numFmtId="4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49" fontId="5" fillId="3" borderId="1" xfId="0" applyNumberFormat="1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left" vertical="center" wrapText="1"/>
    </xf>
    <xf numFmtId="0" fontId="3" fillId="3" borderId="1" xfId="0" applyFont="1" applyFill="1" applyBorder="1" applyAlignment="1" applyProtection="1">
      <alignment horizontal="left" vertical="center" wrapText="1"/>
    </xf>
    <xf numFmtId="0" fontId="1" fillId="0" borderId="0" xfId="0" applyFont="1" applyAlignment="1" applyProtection="1"/>
    <xf numFmtId="0" fontId="2" fillId="0" borderId="0" xfId="0" applyFont="1" applyAlignment="1" applyProtection="1">
      <alignment vertical="center"/>
    </xf>
    <xf numFmtId="0" fontId="2" fillId="2" borderId="0" xfId="0" applyFont="1" applyFill="1" applyAlignment="1" applyProtection="1"/>
    <xf numFmtId="0" fontId="5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0" xfId="0" applyFont="1" applyAlignment="1" applyProtection="1">
      <alignment horizontal="left" vertical="center"/>
    </xf>
    <xf numFmtId="0" fontId="6" fillId="2" borderId="0" xfId="0" applyFont="1" applyFill="1" applyAlignment="1" applyProtection="1">
      <alignment horizontal="center" vertical="center"/>
    </xf>
    <xf numFmtId="4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 wrapText="1"/>
    </xf>
    <xf numFmtId="3" fontId="5" fillId="3" borderId="1" xfId="0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/>
    </xf>
    <xf numFmtId="0" fontId="5" fillId="2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49" fontId="5" fillId="5" borderId="1" xfId="0" applyNumberFormat="1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left" vertical="center" wrapText="1"/>
    </xf>
    <xf numFmtId="164" fontId="5" fillId="5" borderId="1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</xf>
    <xf numFmtId="4" fontId="5" fillId="5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wrapText="1"/>
    </xf>
    <xf numFmtId="49" fontId="5" fillId="6" borderId="1" xfId="0" applyNumberFormat="1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left" vertical="center" wrapText="1"/>
    </xf>
    <xf numFmtId="164" fontId="5" fillId="6" borderId="1" xfId="0" applyNumberFormat="1" applyFont="1" applyFill="1" applyBorder="1" applyAlignment="1" applyProtection="1">
      <alignment horizontal="center" vertical="center" wrapText="1"/>
    </xf>
    <xf numFmtId="4" fontId="5" fillId="6" borderId="1" xfId="0" applyNumberFormat="1" applyFont="1" applyFill="1" applyBorder="1" applyAlignment="1" applyProtection="1">
      <alignment horizontal="center" vertical="center" wrapText="1"/>
    </xf>
    <xf numFmtId="49" fontId="5" fillId="7" borderId="1" xfId="0" applyNumberFormat="1" applyFont="1" applyFill="1" applyBorder="1" applyAlignment="1" applyProtection="1">
      <alignment horizontal="center" vertical="center" wrapText="1"/>
    </xf>
    <xf numFmtId="0" fontId="5" fillId="7" borderId="1" xfId="0" applyFont="1" applyFill="1" applyBorder="1" applyAlignment="1" applyProtection="1">
      <alignment horizontal="center" vertical="center" wrapText="1"/>
    </xf>
    <xf numFmtId="0" fontId="5" fillId="7" borderId="1" xfId="0" applyFont="1" applyFill="1" applyBorder="1" applyAlignment="1" applyProtection="1">
      <alignment horizontal="left" vertical="center" wrapText="1"/>
    </xf>
    <xf numFmtId="164" fontId="5" fillId="7" borderId="1" xfId="0" applyNumberFormat="1" applyFont="1" applyFill="1" applyBorder="1" applyAlignment="1" applyProtection="1">
      <alignment horizontal="center" vertical="center" wrapText="1"/>
    </xf>
    <xf numFmtId="4" fontId="5" fillId="7" borderId="1" xfId="0" applyNumberFormat="1" applyFont="1" applyFill="1" applyBorder="1" applyAlignment="1" applyProtection="1">
      <alignment horizontal="center" vertical="center" wrapText="1"/>
    </xf>
    <xf numFmtId="49" fontId="6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" fontId="6" fillId="8" borderId="1" xfId="0" applyNumberFormat="1" applyFont="1" applyFill="1" applyBorder="1" applyAlignment="1" applyProtection="1">
      <alignment horizontal="center" vertical="center" wrapText="1"/>
    </xf>
    <xf numFmtId="4" fontId="6" fillId="2" borderId="1" xfId="0" applyNumberFormat="1" applyFont="1" applyFill="1" applyBorder="1" applyAlignment="1" applyProtection="1">
      <alignment horizontal="center" vertical="center" wrapText="1"/>
    </xf>
    <xf numFmtId="49" fontId="5" fillId="9" borderId="1" xfId="0" applyNumberFormat="1" applyFont="1" applyFill="1" applyBorder="1" applyAlignment="1" applyProtection="1">
      <alignment horizontal="center" vertical="center" wrapText="1"/>
    </xf>
    <xf numFmtId="0" fontId="5" fillId="9" borderId="1" xfId="0" applyFont="1" applyFill="1" applyBorder="1" applyAlignment="1" applyProtection="1">
      <alignment horizontal="center" vertical="center" wrapText="1"/>
    </xf>
    <xf numFmtId="0" fontId="5" fillId="9" borderId="1" xfId="0" applyFont="1" applyFill="1" applyBorder="1" applyAlignment="1" applyProtection="1">
      <alignment horizontal="left" vertical="center" wrapText="1"/>
    </xf>
    <xf numFmtId="164" fontId="5" fillId="9" borderId="1" xfId="0" applyNumberFormat="1" applyFont="1" applyFill="1" applyBorder="1" applyAlignment="1" applyProtection="1">
      <alignment horizontal="center" vertical="center" wrapText="1"/>
    </xf>
    <xf numFmtId="4" fontId="5" fillId="9" borderId="1" xfId="0" applyNumberFormat="1" applyFont="1" applyFill="1" applyBorder="1" applyAlignment="1" applyProtection="1">
      <alignment horizontal="center" vertical="center" wrapText="1"/>
    </xf>
    <xf numFmtId="49" fontId="5" fillId="10" borderId="1" xfId="0" applyNumberFormat="1" applyFont="1" applyFill="1" applyBorder="1" applyAlignment="1" applyProtection="1">
      <alignment horizontal="center" vertical="center" wrapText="1"/>
    </xf>
    <xf numFmtId="0" fontId="5" fillId="10" borderId="1" xfId="0" applyFont="1" applyFill="1" applyBorder="1" applyAlignment="1" applyProtection="1">
      <alignment horizontal="center" vertical="center" wrapText="1"/>
    </xf>
    <xf numFmtId="0" fontId="5" fillId="10" borderId="1" xfId="0" applyFont="1" applyFill="1" applyBorder="1" applyAlignment="1" applyProtection="1">
      <alignment horizontal="left" vertical="center" wrapText="1"/>
    </xf>
    <xf numFmtId="164" fontId="5" fillId="10" borderId="1" xfId="0" applyNumberFormat="1" applyFont="1" applyFill="1" applyBorder="1" applyAlignment="1" applyProtection="1">
      <alignment horizontal="center" vertical="center" wrapText="1"/>
    </xf>
    <xf numFmtId="4" fontId="5" fillId="10" borderId="1" xfId="0" applyNumberFormat="1" applyFont="1" applyFill="1" applyBorder="1" applyAlignment="1" applyProtection="1">
      <alignment horizontal="center" vertical="center" wrapText="1"/>
    </xf>
    <xf numFmtId="49" fontId="5" fillId="11" borderId="1" xfId="0" applyNumberFormat="1" applyFont="1" applyFill="1" applyBorder="1" applyAlignment="1" applyProtection="1">
      <alignment horizontal="center" vertical="center" wrapText="1"/>
    </xf>
    <xf numFmtId="0" fontId="5" fillId="11" borderId="1" xfId="0" applyFont="1" applyFill="1" applyBorder="1" applyAlignment="1" applyProtection="1">
      <alignment horizontal="center" vertical="center" wrapText="1"/>
    </xf>
    <xf numFmtId="0" fontId="5" fillId="11" borderId="1" xfId="0" applyFont="1" applyFill="1" applyBorder="1" applyAlignment="1" applyProtection="1">
      <alignment horizontal="left" vertical="center" wrapText="1"/>
    </xf>
    <xf numFmtId="164" fontId="5" fillId="11" borderId="1" xfId="0" applyNumberFormat="1" applyFont="1" applyFill="1" applyBorder="1" applyAlignment="1" applyProtection="1">
      <alignment horizontal="center" vertical="center" wrapText="1"/>
    </xf>
    <xf numFmtId="4" fontId="5" fillId="11" borderId="1" xfId="0" applyNumberFormat="1" applyFont="1" applyFill="1" applyBorder="1" applyAlignment="1" applyProtection="1">
      <alignment horizontal="center" vertical="center" wrapText="1"/>
    </xf>
    <xf numFmtId="49" fontId="5" fillId="12" borderId="1" xfId="0" applyNumberFormat="1" applyFont="1" applyFill="1" applyBorder="1" applyAlignment="1" applyProtection="1">
      <alignment horizontal="center" vertical="center" wrapText="1"/>
    </xf>
    <xf numFmtId="0" fontId="5" fillId="12" borderId="1" xfId="0" applyFont="1" applyFill="1" applyBorder="1" applyAlignment="1" applyProtection="1">
      <alignment horizontal="center" vertical="center" wrapText="1"/>
    </xf>
    <xf numFmtId="0" fontId="5" fillId="12" borderId="1" xfId="0" applyFont="1" applyFill="1" applyBorder="1" applyAlignment="1" applyProtection="1">
      <alignment horizontal="left" vertical="center" wrapText="1"/>
    </xf>
    <xf numFmtId="164" fontId="5" fillId="12" borderId="1" xfId="0" applyNumberFormat="1" applyFont="1" applyFill="1" applyBorder="1" applyAlignment="1" applyProtection="1">
      <alignment horizontal="center" vertical="center" wrapText="1"/>
    </xf>
    <xf numFmtId="4" fontId="5" fillId="12" borderId="1" xfId="0" applyNumberFormat="1" applyFont="1" applyFill="1" applyBorder="1" applyAlignment="1" applyProtection="1">
      <alignment horizontal="center" vertical="center" wrapText="1"/>
    </xf>
    <xf numFmtId="0" fontId="5" fillId="13" borderId="1" xfId="0" applyFont="1" applyFill="1" applyBorder="1" applyAlignment="1" applyProtection="1">
      <alignment horizontal="right" vertical="center"/>
    </xf>
    <xf numFmtId="0" fontId="5" fillId="13" borderId="1" xfId="0" applyFont="1" applyFill="1" applyBorder="1" applyAlignment="1" applyProtection="1">
      <alignment horizontal="center" vertical="center"/>
    </xf>
    <xf numFmtId="4" fontId="5" fillId="13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vertical="center"/>
    </xf>
    <xf numFmtId="0" fontId="9" fillId="0" borderId="1" xfId="0" applyFont="1" applyBorder="1" applyAlignment="1" applyProtection="1">
      <alignment horizontal="center" vertical="center"/>
    </xf>
    <xf numFmtId="4" fontId="9" fillId="0" borderId="1" xfId="0" applyNumberFormat="1" applyFont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 vertical="center"/>
    </xf>
    <xf numFmtId="4" fontId="9" fillId="0" borderId="1" xfId="1" applyNumberFormat="1" applyFont="1" applyBorder="1" applyAlignment="1" applyProtection="1">
      <alignment horizontal="center" vertical="center"/>
    </xf>
    <xf numFmtId="0" fontId="5" fillId="2" borderId="0" xfId="0" applyFont="1" applyFill="1" applyAlignment="1" applyProtection="1">
      <alignment horizontal="right" vertical="center"/>
    </xf>
    <xf numFmtId="4" fontId="5" fillId="2" borderId="0" xfId="0" applyNumberFormat="1" applyFont="1" applyFill="1" applyAlignment="1" applyProtection="1">
      <alignment horizontal="center" vertical="center"/>
    </xf>
    <xf numFmtId="0" fontId="8" fillId="2" borderId="0" xfId="0" applyFont="1" applyFill="1" applyAlignment="1" applyProtection="1"/>
    <xf numFmtId="0" fontId="6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4" fontId="6" fillId="0" borderId="0" xfId="0" applyNumberFormat="1" applyFont="1" applyAlignment="1" applyProtection="1">
      <alignment horizontal="center" vertical="center"/>
    </xf>
    <xf numFmtId="0" fontId="6" fillId="2" borderId="0" xfId="0" applyFont="1" applyFill="1" applyAlignment="1" applyProtection="1"/>
    <xf numFmtId="3" fontId="6" fillId="0" borderId="0" xfId="0" applyNumberFormat="1" applyFont="1" applyAlignment="1" applyProtection="1"/>
    <xf numFmtId="3" fontId="6" fillId="0" borderId="0" xfId="0" applyNumberFormat="1" applyFont="1" applyAlignment="1" applyProtection="1">
      <alignment horizontal="left" vertical="center"/>
    </xf>
    <xf numFmtId="0" fontId="10" fillId="0" borderId="0" xfId="0" applyFont="1" applyAlignment="1" applyProtection="1"/>
    <xf numFmtId="49" fontId="10" fillId="2" borderId="0" xfId="0" applyNumberFormat="1" applyFont="1" applyFill="1" applyAlignment="1" applyProtection="1"/>
    <xf numFmtId="0" fontId="10" fillId="2" borderId="0" xfId="0" applyFont="1" applyFill="1" applyAlignment="1" applyProtection="1"/>
    <xf numFmtId="4" fontId="10" fillId="2" borderId="0" xfId="0" applyNumberFormat="1" applyFont="1" applyFill="1" applyAlignment="1" applyProtection="1">
      <alignment horizontal="center"/>
    </xf>
    <xf numFmtId="3" fontId="10" fillId="2" borderId="0" xfId="0" applyNumberFormat="1" applyFont="1" applyFill="1" applyAlignment="1" applyProtection="1"/>
    <xf numFmtId="3" fontId="10" fillId="2" borderId="0" xfId="0" applyNumberFormat="1" applyFont="1" applyFill="1" applyAlignment="1" applyProtection="1">
      <alignment vertical="center"/>
    </xf>
    <xf numFmtId="0" fontId="5" fillId="11" borderId="1" xfId="0" applyFont="1" applyFill="1" applyBorder="1" applyAlignment="1" applyProtection="1">
      <alignment horizontal="left" vertical="center" wrapText="1"/>
    </xf>
    <xf numFmtId="0" fontId="5" fillId="12" borderId="1" xfId="0" applyFont="1" applyFill="1" applyBorder="1" applyAlignment="1" applyProtection="1">
      <alignment horizontal="left" vertical="center" wrapText="1"/>
    </xf>
    <xf numFmtId="0" fontId="5" fillId="13" borderId="4" xfId="0" applyFont="1" applyFill="1" applyBorder="1" applyAlignment="1" applyProtection="1">
      <alignment vertical="center"/>
    </xf>
    <xf numFmtId="0" fontId="6" fillId="0" borderId="4" xfId="0" applyFont="1" applyBorder="1" applyAlignment="1" applyProtection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DAEEF3"/>
      <rgbColor rgb="FF660066"/>
      <rgbColor rgb="FFFF8080"/>
      <rgbColor rgb="FF0066CC"/>
      <rgbColor rgb="FFBD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DE6ED"/>
      <rgbColor rgb="FFDCE6F1"/>
      <rgbColor rgb="FFFBE5D6"/>
      <rgbColor rgb="FFE4DFEC"/>
      <rgbColor rgb="FFFCD5B4"/>
      <rgbColor rgb="FFF2F2F2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FC2594"/>
  <sheetViews>
    <sheetView tabSelected="1" topLeftCell="A6" zoomScale="60" zoomScaleNormal="60" workbookViewId="0">
      <pane xSplit="8" ySplit="6" topLeftCell="I12" activePane="bottomRight" state="frozen"/>
      <selection activeCell="A6" sqref="A6"/>
      <selection pane="topRight" activeCell="I6" sqref="I6"/>
      <selection pane="bottomLeft" activeCell="A12" sqref="A12"/>
      <selection pane="bottomRight" activeCell="L20" sqref="L20"/>
    </sheetView>
  </sheetViews>
  <sheetFormatPr defaultColWidth="9.140625" defaultRowHeight="15" outlineLevelRow="7" outlineLevelCol="1" x14ac:dyDescent="0.25"/>
  <cols>
    <col min="1" max="1" width="13.140625" style="15" customWidth="1"/>
    <col min="2" max="2" width="15.42578125" style="15" customWidth="1"/>
    <col min="3" max="3" width="12.85546875" style="15" customWidth="1"/>
    <col min="4" max="4" width="35.28515625" style="15" customWidth="1"/>
    <col min="5" max="5" width="55.140625" style="15" customWidth="1"/>
    <col min="6" max="6" width="26.140625" style="15" customWidth="1"/>
    <col min="7" max="7" width="9" style="15" customWidth="1"/>
    <col min="8" max="8" width="18.7109375" style="15" customWidth="1"/>
    <col min="9" max="9" width="2" style="15" customWidth="1"/>
    <col min="10" max="10" width="18" style="15" customWidth="1"/>
    <col min="11" max="13" width="18" style="15" customWidth="1" outlineLevel="1"/>
    <col min="14" max="14" width="18" style="15" customWidth="1"/>
    <col min="15" max="17" width="18" style="15" customWidth="1" outlineLevel="1"/>
    <col min="18" max="18" width="18" style="15" customWidth="1"/>
    <col min="19" max="19" width="24.5703125" style="15" customWidth="1" outlineLevel="1"/>
    <col min="20" max="20" width="2.42578125" style="15" customWidth="1"/>
    <col min="21" max="968" width="9.140625" style="15"/>
    <col min="16328" max="16384" width="11.5703125" customWidth="1"/>
  </cols>
  <sheetData>
    <row r="1" spans="1:20 16329:16383" ht="18.75" x14ac:dyDescent="0.3">
      <c r="B1" s="16"/>
      <c r="C1" s="16"/>
      <c r="D1" s="16"/>
      <c r="E1" s="16"/>
      <c r="F1" s="17" t="s">
        <v>0</v>
      </c>
      <c r="G1" s="17"/>
      <c r="H1" s="17"/>
      <c r="I1" s="17"/>
      <c r="J1" s="17" t="s">
        <v>0</v>
      </c>
      <c r="K1" s="17" t="s">
        <v>0</v>
      </c>
      <c r="L1" s="17" t="s">
        <v>0</v>
      </c>
      <c r="M1" s="17" t="s">
        <v>0</v>
      </c>
      <c r="N1" s="17" t="s">
        <v>0</v>
      </c>
      <c r="O1" s="17" t="s">
        <v>0</v>
      </c>
      <c r="P1" s="17" t="s">
        <v>0</v>
      </c>
      <c r="Q1" s="17" t="s">
        <v>0</v>
      </c>
      <c r="R1" s="17"/>
      <c r="S1" s="17" t="s">
        <v>0</v>
      </c>
      <c r="T1" s="17"/>
    </row>
    <row r="2" spans="1:20 16329:16383" ht="38.25" customHeight="1" x14ac:dyDescent="0.3">
      <c r="A2" s="14" t="s">
        <v>1</v>
      </c>
      <c r="B2" s="14"/>
      <c r="C2" s="14"/>
      <c r="D2" s="13" t="s">
        <v>2</v>
      </c>
      <c r="E2" s="13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 16329:16383" ht="38.25" customHeight="1" x14ac:dyDescent="0.3">
      <c r="A3" s="14" t="s">
        <v>3</v>
      </c>
      <c r="B3" s="14"/>
      <c r="C3" s="14"/>
      <c r="D3" s="13" t="s">
        <v>4</v>
      </c>
      <c r="E3" s="13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 16329:16383" ht="38.25" customHeight="1" x14ac:dyDescent="0.3">
      <c r="A4" s="14" t="s">
        <v>5</v>
      </c>
      <c r="B4" s="14"/>
      <c r="C4" s="14"/>
      <c r="D4" s="13" t="s">
        <v>6</v>
      </c>
      <c r="E4" s="13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 16329:16383" ht="18.75" x14ac:dyDescent="0.3">
      <c r="A5" s="18"/>
      <c r="B5" s="18"/>
      <c r="C5" s="18"/>
      <c r="D5" s="19"/>
      <c r="E5" s="18"/>
      <c r="F5" s="17"/>
      <c r="G5" s="17"/>
      <c r="H5" s="17" t="s">
        <v>0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 16329:16383" ht="29.25" customHeight="1" x14ac:dyDescent="0.25">
      <c r="A6" s="20"/>
      <c r="B6" s="21"/>
      <c r="C6" s="21"/>
      <c r="D6" s="21"/>
      <c r="E6" s="22"/>
      <c r="F6" s="22"/>
      <c r="G6" s="12" t="s">
        <v>7</v>
      </c>
      <c r="H6" s="12"/>
      <c r="I6" s="23"/>
      <c r="J6" s="11"/>
      <c r="K6" s="11"/>
      <c r="L6" s="11"/>
      <c r="M6" s="11"/>
      <c r="N6" s="11"/>
      <c r="O6" s="11"/>
      <c r="P6" s="11"/>
      <c r="Q6" s="11"/>
      <c r="R6" s="11"/>
      <c r="S6" s="11"/>
      <c r="T6" s="23"/>
    </row>
    <row r="7" spans="1:20 16329:16383" ht="29.25" customHeight="1" x14ac:dyDescent="0.25">
      <c r="A7" s="20"/>
      <c r="B7" s="21"/>
      <c r="C7" s="21"/>
      <c r="D7" s="21"/>
      <c r="E7" s="22"/>
      <c r="F7" s="22"/>
      <c r="G7" s="12" t="s">
        <v>8</v>
      </c>
      <c r="H7" s="12"/>
      <c r="I7" s="23"/>
      <c r="J7" s="11"/>
      <c r="K7" s="11"/>
      <c r="L7" s="11"/>
      <c r="M7" s="11"/>
      <c r="N7" s="11"/>
      <c r="O7" s="11"/>
      <c r="P7" s="11"/>
      <c r="Q7" s="11"/>
      <c r="R7" s="11"/>
      <c r="S7" s="11"/>
      <c r="T7" s="23"/>
    </row>
    <row r="8" spans="1:20 16329:16383" ht="29.25" customHeight="1" x14ac:dyDescent="0.25">
      <c r="A8" s="20"/>
      <c r="B8" s="21"/>
      <c r="C8" s="21"/>
      <c r="D8" s="21"/>
      <c r="E8" s="22"/>
      <c r="F8" s="22"/>
      <c r="G8" s="12" t="s">
        <v>9</v>
      </c>
      <c r="H8" s="12"/>
      <c r="I8" s="23"/>
      <c r="J8" s="11"/>
      <c r="K8" s="11"/>
      <c r="L8" s="11"/>
      <c r="M8" s="11"/>
      <c r="N8" s="11"/>
      <c r="O8" s="11"/>
      <c r="P8" s="11"/>
      <c r="Q8" s="11"/>
      <c r="R8" s="11"/>
      <c r="S8" s="11"/>
      <c r="T8" s="23"/>
    </row>
    <row r="9" spans="1:20 16329:16383" s="28" customFormat="1" ht="36.75" customHeight="1" x14ac:dyDescent="0.25">
      <c r="A9" s="10" t="s">
        <v>10</v>
      </c>
      <c r="B9" s="9" t="s">
        <v>11</v>
      </c>
      <c r="C9" s="9" t="s">
        <v>12</v>
      </c>
      <c r="D9" s="9" t="s">
        <v>13</v>
      </c>
      <c r="E9" s="9"/>
      <c r="F9" s="9" t="s">
        <v>14</v>
      </c>
      <c r="G9" s="9" t="s">
        <v>15</v>
      </c>
      <c r="H9" s="8" t="s">
        <v>16</v>
      </c>
      <c r="I9" s="25"/>
      <c r="J9" s="26"/>
      <c r="K9" s="7" t="s">
        <v>17</v>
      </c>
      <c r="L9" s="7"/>
      <c r="M9" s="7"/>
      <c r="N9" s="7"/>
      <c r="O9" s="7" t="s">
        <v>18</v>
      </c>
      <c r="P9" s="7"/>
      <c r="Q9" s="7"/>
      <c r="R9" s="7"/>
      <c r="S9" s="26" t="s">
        <v>19</v>
      </c>
      <c r="T9" s="27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</row>
    <row r="10" spans="1:20 16329:16383" s="31" customFormat="1" ht="32.1" customHeight="1" x14ac:dyDescent="0.25">
      <c r="A10" s="10"/>
      <c r="B10" s="9"/>
      <c r="C10" s="9"/>
      <c r="D10" s="9"/>
      <c r="E10" s="9"/>
      <c r="F10" s="9"/>
      <c r="G10" s="9"/>
      <c r="H10" s="8"/>
      <c r="I10" s="29"/>
      <c r="J10" s="24" t="s">
        <v>20</v>
      </c>
      <c r="K10" s="24" t="s">
        <v>21</v>
      </c>
      <c r="L10" s="24" t="s">
        <v>22</v>
      </c>
      <c r="M10" s="24" t="s">
        <v>23</v>
      </c>
      <c r="N10" s="24" t="s">
        <v>24</v>
      </c>
      <c r="O10" s="24" t="s">
        <v>21</v>
      </c>
      <c r="P10" s="24" t="s">
        <v>22</v>
      </c>
      <c r="Q10" s="24" t="s">
        <v>23</v>
      </c>
      <c r="R10" s="24" t="s">
        <v>24</v>
      </c>
      <c r="S10" s="24"/>
      <c r="T10" s="3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</row>
    <row r="11" spans="1:20 16329:16383" s="38" customFormat="1" ht="29.1" customHeight="1" x14ac:dyDescent="0.25">
      <c r="A11" s="32" t="s">
        <v>25</v>
      </c>
      <c r="B11" s="33" t="s">
        <v>25</v>
      </c>
      <c r="C11" s="33"/>
      <c r="D11" s="6" t="s">
        <v>26</v>
      </c>
      <c r="E11" s="6"/>
      <c r="F11" s="34"/>
      <c r="G11" s="33"/>
      <c r="H11" s="35"/>
      <c r="I11" s="36"/>
      <c r="J11" s="35"/>
      <c r="K11" s="37"/>
      <c r="L11" s="37"/>
      <c r="M11" s="37"/>
      <c r="N11" s="37"/>
      <c r="O11" s="37">
        <f>O12+O48+O59+O109+O330+O367+O752+O979+O1910+O1942+O2210+O2482+O2511+O2513+O2585</f>
        <v>0</v>
      </c>
      <c r="P11" s="37">
        <f>P12+P48+P59+P109+P330+P367+P752+P979+P1910+P1942+P2210+P2482+P2511+P2513+P2585</f>
        <v>0</v>
      </c>
      <c r="Q11" s="37">
        <f>Q12+Q48+Q59+Q109+Q330+Q367+Q752+Q979+Q1910+Q1942+Q2210+Q2482+Q2511+Q2513+Q2585</f>
        <v>0</v>
      </c>
      <c r="R11" s="37">
        <f>R12+R48+R59+R109+R330+R367+R752+R979+R1910+R1942+R2210+R2482+R2511+R2513+R2585</f>
        <v>0</v>
      </c>
      <c r="S11" s="37"/>
      <c r="T11" s="36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</row>
    <row r="12" spans="1:20 16329:16383" s="38" customFormat="1" ht="29.1" customHeight="1" outlineLevel="1" x14ac:dyDescent="0.25">
      <c r="A12" s="39" t="s">
        <v>25</v>
      </c>
      <c r="B12" s="40" t="s">
        <v>25</v>
      </c>
      <c r="C12" s="40" t="s">
        <v>27</v>
      </c>
      <c r="D12" s="5" t="s">
        <v>28</v>
      </c>
      <c r="E12" s="5"/>
      <c r="F12" s="41"/>
      <c r="G12" s="40" t="s">
        <v>29</v>
      </c>
      <c r="H12" s="42"/>
      <c r="I12" s="36"/>
      <c r="J12" s="42"/>
      <c r="K12" s="43"/>
      <c r="L12" s="43"/>
      <c r="M12" s="43"/>
      <c r="N12" s="43"/>
      <c r="O12" s="43">
        <f>O13+O18+O24+O41</f>
        <v>0</v>
      </c>
      <c r="P12" s="43">
        <f>P13+P18+P24+P41</f>
        <v>0</v>
      </c>
      <c r="Q12" s="43">
        <f>Q13+Q18+Q24+Q41</f>
        <v>0</v>
      </c>
      <c r="R12" s="43">
        <f>R13+R18+R24+R41</f>
        <v>0</v>
      </c>
      <c r="S12" s="43"/>
      <c r="T12" s="36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</row>
    <row r="13" spans="1:20 16329:16383" s="38" customFormat="1" ht="29.1" customHeight="1" outlineLevel="2" x14ac:dyDescent="0.25">
      <c r="A13" s="44" t="s">
        <v>30</v>
      </c>
      <c r="B13" s="45" t="s">
        <v>31</v>
      </c>
      <c r="C13" s="45" t="s">
        <v>32</v>
      </c>
      <c r="D13" s="4" t="s">
        <v>33</v>
      </c>
      <c r="E13" s="4"/>
      <c r="F13" s="46"/>
      <c r="G13" s="45" t="s">
        <v>29</v>
      </c>
      <c r="H13" s="47"/>
      <c r="I13" s="36"/>
      <c r="J13" s="47"/>
      <c r="K13" s="48"/>
      <c r="L13" s="48"/>
      <c r="M13" s="48"/>
      <c r="N13" s="48"/>
      <c r="O13" s="48">
        <f>SUM(O14:O17)</f>
        <v>0</v>
      </c>
      <c r="P13" s="48">
        <f>SUM(P14:P17)</f>
        <v>0</v>
      </c>
      <c r="Q13" s="48">
        <f>SUM(Q14:Q17)</f>
        <v>0</v>
      </c>
      <c r="R13" s="48">
        <f>SUM(R14:R17)</f>
        <v>0</v>
      </c>
      <c r="S13" s="48"/>
      <c r="T13" s="36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</row>
    <row r="14" spans="1:20 16329:16383" s="38" customFormat="1" ht="29.1" customHeight="1" outlineLevel="3" x14ac:dyDescent="0.25">
      <c r="A14" s="49" t="s">
        <v>34</v>
      </c>
      <c r="B14" s="50"/>
      <c r="C14" s="50"/>
      <c r="D14" s="3" t="s">
        <v>35</v>
      </c>
      <c r="E14" s="3"/>
      <c r="F14" s="51"/>
      <c r="G14" s="50" t="s">
        <v>29</v>
      </c>
      <c r="H14" s="52">
        <f>1</f>
        <v>1</v>
      </c>
      <c r="I14" s="36"/>
      <c r="J14" s="52">
        <v>1</v>
      </c>
      <c r="K14" s="53">
        <f>0</f>
        <v>0</v>
      </c>
      <c r="L14" s="53">
        <f>0</f>
        <v>0</v>
      </c>
      <c r="M14" s="53">
        <f>0</f>
        <v>0</v>
      </c>
      <c r="N14" s="54">
        <f>SUM(K14:M14)</f>
        <v>0</v>
      </c>
      <c r="O14" s="54">
        <f>ROUND((H14*K14),2)</f>
        <v>0</v>
      </c>
      <c r="P14" s="54">
        <f>ROUND((H14*L14),2)</f>
        <v>0</v>
      </c>
      <c r="Q14" s="54">
        <f>ROUND((H14*M14),2)</f>
        <v>0</v>
      </c>
      <c r="R14" s="54">
        <f>ROUND((H14*N14),2)</f>
        <v>0</v>
      </c>
      <c r="S14" s="54"/>
      <c r="T14" s="36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</row>
    <row r="15" spans="1:20 16329:16383" s="38" customFormat="1" ht="29.1" customHeight="1" outlineLevel="3" x14ac:dyDescent="0.25">
      <c r="A15" s="49" t="s">
        <v>36</v>
      </c>
      <c r="B15" s="50"/>
      <c r="C15" s="50"/>
      <c r="D15" s="3" t="s">
        <v>37</v>
      </c>
      <c r="E15" s="3"/>
      <c r="F15" s="51"/>
      <c r="G15" s="50" t="s">
        <v>29</v>
      </c>
      <c r="H15" s="52">
        <f>1</f>
        <v>1</v>
      </c>
      <c r="I15" s="36"/>
      <c r="J15" s="52">
        <v>1</v>
      </c>
      <c r="K15" s="53">
        <f>0</f>
        <v>0</v>
      </c>
      <c r="L15" s="53">
        <f>0</f>
        <v>0</v>
      </c>
      <c r="M15" s="53">
        <f>0</f>
        <v>0</v>
      </c>
      <c r="N15" s="54">
        <f>SUM(K15:M15)</f>
        <v>0</v>
      </c>
      <c r="O15" s="54">
        <f>ROUND((H15*K15),2)</f>
        <v>0</v>
      </c>
      <c r="P15" s="54">
        <f>ROUND((H15*L15),2)</f>
        <v>0</v>
      </c>
      <c r="Q15" s="54">
        <f>ROUND((H15*M15),2)</f>
        <v>0</v>
      </c>
      <c r="R15" s="54">
        <f>ROUND((H15*N15),2)</f>
        <v>0</v>
      </c>
      <c r="S15" s="54"/>
      <c r="T15" s="36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</row>
    <row r="16" spans="1:20 16329:16383" s="38" customFormat="1" ht="29.1" customHeight="1" outlineLevel="3" x14ac:dyDescent="0.25">
      <c r="A16" s="49" t="s">
        <v>38</v>
      </c>
      <c r="B16" s="50"/>
      <c r="C16" s="50"/>
      <c r="D16" s="3" t="s">
        <v>39</v>
      </c>
      <c r="E16" s="3"/>
      <c r="F16" s="51"/>
      <c r="G16" s="50" t="s">
        <v>29</v>
      </c>
      <c r="H16" s="52">
        <f>1</f>
        <v>1</v>
      </c>
      <c r="I16" s="36"/>
      <c r="J16" s="52">
        <v>1</v>
      </c>
      <c r="K16" s="53">
        <f>0</f>
        <v>0</v>
      </c>
      <c r="L16" s="53">
        <f>0</f>
        <v>0</v>
      </c>
      <c r="M16" s="53">
        <f>0</f>
        <v>0</v>
      </c>
      <c r="N16" s="54">
        <f>SUM(K16:M16)</f>
        <v>0</v>
      </c>
      <c r="O16" s="54">
        <f>ROUND((H16*K16),2)</f>
        <v>0</v>
      </c>
      <c r="P16" s="54">
        <f>ROUND((H16*L16),2)</f>
        <v>0</v>
      </c>
      <c r="Q16" s="54">
        <f>ROUND((H16*M16),2)</f>
        <v>0</v>
      </c>
      <c r="R16" s="54">
        <f>ROUND((H16*N16),2)</f>
        <v>0</v>
      </c>
      <c r="S16" s="54"/>
      <c r="T16" s="3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</row>
    <row r="17" spans="1:20 16329:16383" s="38" customFormat="1" ht="29.1" customHeight="1" outlineLevel="3" x14ac:dyDescent="0.25">
      <c r="A17" s="49" t="s">
        <v>40</v>
      </c>
      <c r="B17" s="50"/>
      <c r="C17" s="50"/>
      <c r="D17" s="3" t="s">
        <v>41</v>
      </c>
      <c r="E17" s="3"/>
      <c r="F17" s="51"/>
      <c r="G17" s="50" t="s">
        <v>29</v>
      </c>
      <c r="H17" s="52">
        <f>1</f>
        <v>1</v>
      </c>
      <c r="I17" s="36"/>
      <c r="J17" s="52">
        <v>1</v>
      </c>
      <c r="K17" s="53">
        <f>0</f>
        <v>0</v>
      </c>
      <c r="L17" s="53">
        <f>0</f>
        <v>0</v>
      </c>
      <c r="M17" s="53">
        <f>0</f>
        <v>0</v>
      </c>
      <c r="N17" s="54">
        <f>SUM(K17:M17)</f>
        <v>0</v>
      </c>
      <c r="O17" s="54">
        <f>ROUND((H17*K17),2)</f>
        <v>0</v>
      </c>
      <c r="P17" s="54">
        <f>ROUND((H17*L17),2)</f>
        <v>0</v>
      </c>
      <c r="Q17" s="54">
        <f>ROUND((H17*M17),2)</f>
        <v>0</v>
      </c>
      <c r="R17" s="54">
        <f>ROUND((H17*N17),2)</f>
        <v>0</v>
      </c>
      <c r="S17" s="54"/>
      <c r="T17" s="36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</row>
    <row r="18" spans="1:20 16329:16383" s="38" customFormat="1" ht="29.1" customHeight="1" outlineLevel="2" x14ac:dyDescent="0.25">
      <c r="A18" s="44" t="s">
        <v>42</v>
      </c>
      <c r="B18" s="45" t="s">
        <v>43</v>
      </c>
      <c r="C18" s="45" t="s">
        <v>44</v>
      </c>
      <c r="D18" s="4" t="s">
        <v>45</v>
      </c>
      <c r="E18" s="4"/>
      <c r="F18" s="46"/>
      <c r="G18" s="45" t="s">
        <v>29</v>
      </c>
      <c r="H18" s="47"/>
      <c r="I18" s="36"/>
      <c r="J18" s="47"/>
      <c r="K18" s="48"/>
      <c r="L18" s="48"/>
      <c r="M18" s="48"/>
      <c r="N18" s="48"/>
      <c r="O18" s="48">
        <f>SUM(O19:O23)</f>
        <v>0</v>
      </c>
      <c r="P18" s="48">
        <f>SUM(P19:P23)</f>
        <v>0</v>
      </c>
      <c r="Q18" s="48">
        <f>SUM(Q19:Q23)</f>
        <v>0</v>
      </c>
      <c r="R18" s="48">
        <f>SUM(R19:R23)</f>
        <v>0</v>
      </c>
      <c r="S18" s="48"/>
      <c r="T18" s="36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</row>
    <row r="19" spans="1:20 16329:16383" s="38" customFormat="1" ht="29.1" customHeight="1" outlineLevel="3" x14ac:dyDescent="0.25">
      <c r="A19" s="49" t="s">
        <v>46</v>
      </c>
      <c r="B19" s="50"/>
      <c r="C19" s="50"/>
      <c r="D19" s="3" t="s">
        <v>47</v>
      </c>
      <c r="E19" s="3"/>
      <c r="F19" s="51"/>
      <c r="G19" s="50" t="s">
        <v>29</v>
      </c>
      <c r="H19" s="52">
        <f>1</f>
        <v>1</v>
      </c>
      <c r="I19" s="36"/>
      <c r="J19" s="52">
        <v>1</v>
      </c>
      <c r="K19" s="53">
        <f>0</f>
        <v>0</v>
      </c>
      <c r="L19" s="53">
        <f>0</f>
        <v>0</v>
      </c>
      <c r="M19" s="53">
        <f>0</f>
        <v>0</v>
      </c>
      <c r="N19" s="54">
        <f>SUM(K19:M19)</f>
        <v>0</v>
      </c>
      <c r="O19" s="54">
        <f>ROUND((H19*K19),2)</f>
        <v>0</v>
      </c>
      <c r="P19" s="54">
        <f>ROUND((H19*L19),2)</f>
        <v>0</v>
      </c>
      <c r="Q19" s="54">
        <f>ROUND((H19*M19),2)</f>
        <v>0</v>
      </c>
      <c r="R19" s="54">
        <f>ROUND((H19*N19),2)</f>
        <v>0</v>
      </c>
      <c r="S19" s="54"/>
      <c r="T19" s="36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</row>
    <row r="20" spans="1:20 16329:16383" s="38" customFormat="1" ht="29.1" customHeight="1" outlineLevel="3" x14ac:dyDescent="0.25">
      <c r="A20" s="49" t="s">
        <v>48</v>
      </c>
      <c r="B20" s="50"/>
      <c r="C20" s="50"/>
      <c r="D20" s="3" t="s">
        <v>49</v>
      </c>
      <c r="E20" s="3"/>
      <c r="F20" s="51"/>
      <c r="G20" s="50" t="s">
        <v>29</v>
      </c>
      <c r="H20" s="52">
        <f>1</f>
        <v>1</v>
      </c>
      <c r="I20" s="36"/>
      <c r="J20" s="52">
        <v>1</v>
      </c>
      <c r="K20" s="53">
        <f>0</f>
        <v>0</v>
      </c>
      <c r="L20" s="53">
        <f>0</f>
        <v>0</v>
      </c>
      <c r="M20" s="53">
        <f>0</f>
        <v>0</v>
      </c>
      <c r="N20" s="54">
        <f>SUM(K20:M20)</f>
        <v>0</v>
      </c>
      <c r="O20" s="54">
        <f>ROUND((H20*K20),2)</f>
        <v>0</v>
      </c>
      <c r="P20" s="54">
        <f>ROUND((H20*L20),2)</f>
        <v>0</v>
      </c>
      <c r="Q20" s="54">
        <f>ROUND((H20*M20),2)</f>
        <v>0</v>
      </c>
      <c r="R20" s="54">
        <f>ROUND((H20*N20),2)</f>
        <v>0</v>
      </c>
      <c r="S20" s="54"/>
      <c r="T20" s="36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</row>
    <row r="21" spans="1:20 16329:16383" s="38" customFormat="1" ht="29.1" customHeight="1" outlineLevel="3" x14ac:dyDescent="0.25">
      <c r="A21" s="49" t="s">
        <v>50</v>
      </c>
      <c r="B21" s="50"/>
      <c r="C21" s="50"/>
      <c r="D21" s="3" t="s">
        <v>51</v>
      </c>
      <c r="E21" s="3"/>
      <c r="F21" s="51"/>
      <c r="G21" s="50" t="s">
        <v>29</v>
      </c>
      <c r="H21" s="52">
        <f>1</f>
        <v>1</v>
      </c>
      <c r="I21" s="36"/>
      <c r="J21" s="52">
        <v>1</v>
      </c>
      <c r="K21" s="53">
        <f>0</f>
        <v>0</v>
      </c>
      <c r="L21" s="53">
        <f>0</f>
        <v>0</v>
      </c>
      <c r="M21" s="53">
        <f>0</f>
        <v>0</v>
      </c>
      <c r="N21" s="54">
        <f>SUM(K21:M21)</f>
        <v>0</v>
      </c>
      <c r="O21" s="54">
        <f>ROUND((H21*K21),2)</f>
        <v>0</v>
      </c>
      <c r="P21" s="54">
        <f>ROUND((H21*L21),2)</f>
        <v>0</v>
      </c>
      <c r="Q21" s="54">
        <f>ROUND((H21*M21),2)</f>
        <v>0</v>
      </c>
      <c r="R21" s="54">
        <f>ROUND((H21*N21),2)</f>
        <v>0</v>
      </c>
      <c r="S21" s="54"/>
      <c r="T21" s="36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</row>
    <row r="22" spans="1:20 16329:16383" s="38" customFormat="1" ht="29.1" customHeight="1" outlineLevel="3" x14ac:dyDescent="0.25">
      <c r="A22" s="49" t="s">
        <v>52</v>
      </c>
      <c r="B22" s="50"/>
      <c r="C22" s="50"/>
      <c r="D22" s="3" t="s">
        <v>53</v>
      </c>
      <c r="E22" s="3"/>
      <c r="F22" s="51"/>
      <c r="G22" s="50" t="s">
        <v>29</v>
      </c>
      <c r="H22" s="52">
        <f>1</f>
        <v>1</v>
      </c>
      <c r="I22" s="36"/>
      <c r="J22" s="52">
        <v>1</v>
      </c>
      <c r="K22" s="53">
        <f>0</f>
        <v>0</v>
      </c>
      <c r="L22" s="53">
        <f>0</f>
        <v>0</v>
      </c>
      <c r="M22" s="53">
        <f>0</f>
        <v>0</v>
      </c>
      <c r="N22" s="54">
        <f>SUM(K22:M22)</f>
        <v>0</v>
      </c>
      <c r="O22" s="54">
        <f>ROUND((H22*K22),2)</f>
        <v>0</v>
      </c>
      <c r="P22" s="54">
        <f>ROUND((H22*L22),2)</f>
        <v>0</v>
      </c>
      <c r="Q22" s="54">
        <f>ROUND((H22*M22),2)</f>
        <v>0</v>
      </c>
      <c r="R22" s="54">
        <f>ROUND((H22*N22),2)</f>
        <v>0</v>
      </c>
      <c r="S22" s="54"/>
      <c r="T22" s="36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</row>
    <row r="23" spans="1:20 16329:16383" s="38" customFormat="1" ht="29.1" customHeight="1" outlineLevel="3" x14ac:dyDescent="0.25">
      <c r="A23" s="49" t="s">
        <v>54</v>
      </c>
      <c r="B23" s="50"/>
      <c r="C23" s="50"/>
      <c r="D23" s="3" t="s">
        <v>55</v>
      </c>
      <c r="E23" s="3"/>
      <c r="F23" s="51"/>
      <c r="G23" s="50" t="s">
        <v>29</v>
      </c>
      <c r="H23" s="52">
        <f>1</f>
        <v>1</v>
      </c>
      <c r="I23" s="36"/>
      <c r="J23" s="52">
        <v>1</v>
      </c>
      <c r="K23" s="53">
        <f>0</f>
        <v>0</v>
      </c>
      <c r="L23" s="53">
        <f>0</f>
        <v>0</v>
      </c>
      <c r="M23" s="53">
        <f>0</f>
        <v>0</v>
      </c>
      <c r="N23" s="54">
        <f>SUM(K23:M23)</f>
        <v>0</v>
      </c>
      <c r="O23" s="54">
        <f>ROUND((H23*K23),2)</f>
        <v>0</v>
      </c>
      <c r="P23" s="54">
        <f>ROUND((H23*L23),2)</f>
        <v>0</v>
      </c>
      <c r="Q23" s="54">
        <f>ROUND((H23*M23),2)</f>
        <v>0</v>
      </c>
      <c r="R23" s="54">
        <f>ROUND((H23*N23),2)</f>
        <v>0</v>
      </c>
      <c r="S23" s="54"/>
      <c r="T23" s="36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</row>
    <row r="24" spans="1:20 16329:16383" s="38" customFormat="1" ht="29.1" customHeight="1" outlineLevel="2" x14ac:dyDescent="0.25">
      <c r="A24" s="44" t="s">
        <v>56</v>
      </c>
      <c r="B24" s="45" t="s">
        <v>57</v>
      </c>
      <c r="C24" s="45" t="s">
        <v>58</v>
      </c>
      <c r="D24" s="4" t="s">
        <v>59</v>
      </c>
      <c r="E24" s="4"/>
      <c r="F24" s="46"/>
      <c r="G24" s="45" t="s">
        <v>29</v>
      </c>
      <c r="H24" s="47"/>
      <c r="I24" s="36"/>
      <c r="J24" s="47"/>
      <c r="K24" s="48"/>
      <c r="L24" s="48"/>
      <c r="M24" s="48"/>
      <c r="N24" s="48"/>
      <c r="O24" s="48">
        <f>SUM(O25:O40)</f>
        <v>0</v>
      </c>
      <c r="P24" s="48">
        <f>SUM(P25:P40)</f>
        <v>0</v>
      </c>
      <c r="Q24" s="48">
        <f>SUM(Q25:Q40)</f>
        <v>0</v>
      </c>
      <c r="R24" s="48">
        <f>SUM(R25:R40)</f>
        <v>0</v>
      </c>
      <c r="S24" s="48"/>
      <c r="T24" s="36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/>
    </row>
    <row r="25" spans="1:20 16329:16383" s="38" customFormat="1" ht="29.1" customHeight="1" outlineLevel="3" x14ac:dyDescent="0.25">
      <c r="A25" s="49" t="s">
        <v>60</v>
      </c>
      <c r="B25" s="50"/>
      <c r="C25" s="50"/>
      <c r="D25" s="3" t="s">
        <v>61</v>
      </c>
      <c r="E25" s="3"/>
      <c r="F25" s="51"/>
      <c r="G25" s="50" t="s">
        <v>29</v>
      </c>
      <c r="H25" s="52">
        <f>1</f>
        <v>1</v>
      </c>
      <c r="I25" s="36"/>
      <c r="J25" s="52">
        <v>1</v>
      </c>
      <c r="K25" s="53">
        <f>0</f>
        <v>0</v>
      </c>
      <c r="L25" s="53">
        <f>0</f>
        <v>0</v>
      </c>
      <c r="M25" s="53">
        <f>0</f>
        <v>0</v>
      </c>
      <c r="N25" s="54">
        <f t="shared" ref="N25:N40" si="0">SUM(K25:M25)</f>
        <v>0</v>
      </c>
      <c r="O25" s="54">
        <f t="shared" ref="O25:O40" si="1">ROUND((H25*K25),2)</f>
        <v>0</v>
      </c>
      <c r="P25" s="54">
        <f t="shared" ref="P25:P40" si="2">ROUND((H25*L25),2)</f>
        <v>0</v>
      </c>
      <c r="Q25" s="54">
        <f t="shared" ref="Q25:Q40" si="3">ROUND((H25*M25),2)</f>
        <v>0</v>
      </c>
      <c r="R25" s="54">
        <f t="shared" ref="R25:R40" si="4">ROUND((H25*N25),2)</f>
        <v>0</v>
      </c>
      <c r="S25" s="54"/>
      <c r="T25" s="36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</row>
    <row r="26" spans="1:20 16329:16383" s="38" customFormat="1" ht="29.1" customHeight="1" outlineLevel="3" x14ac:dyDescent="0.25">
      <c r="A26" s="49" t="s">
        <v>62</v>
      </c>
      <c r="B26" s="50"/>
      <c r="C26" s="50"/>
      <c r="D26" s="3" t="s">
        <v>63</v>
      </c>
      <c r="E26" s="3"/>
      <c r="F26" s="51"/>
      <c r="G26" s="50" t="s">
        <v>29</v>
      </c>
      <c r="H26" s="52">
        <f>1</f>
        <v>1</v>
      </c>
      <c r="I26" s="36"/>
      <c r="J26" s="52">
        <v>1</v>
      </c>
      <c r="K26" s="53">
        <f>0</f>
        <v>0</v>
      </c>
      <c r="L26" s="53">
        <f>0</f>
        <v>0</v>
      </c>
      <c r="M26" s="53">
        <f>0</f>
        <v>0</v>
      </c>
      <c r="N26" s="54">
        <f t="shared" si="0"/>
        <v>0</v>
      </c>
      <c r="O26" s="54">
        <f t="shared" si="1"/>
        <v>0</v>
      </c>
      <c r="P26" s="54">
        <f t="shared" si="2"/>
        <v>0</v>
      </c>
      <c r="Q26" s="54">
        <f t="shared" si="3"/>
        <v>0</v>
      </c>
      <c r="R26" s="54">
        <f t="shared" si="4"/>
        <v>0</v>
      </c>
      <c r="S26" s="54"/>
      <c r="T26" s="3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</row>
    <row r="27" spans="1:20 16329:16383" s="38" customFormat="1" ht="29.1" customHeight="1" outlineLevel="3" x14ac:dyDescent="0.25">
      <c r="A27" s="49" t="s">
        <v>64</v>
      </c>
      <c r="B27" s="50"/>
      <c r="C27" s="50"/>
      <c r="D27" s="3" t="s">
        <v>65</v>
      </c>
      <c r="E27" s="3"/>
      <c r="F27" s="51"/>
      <c r="G27" s="50" t="s">
        <v>29</v>
      </c>
      <c r="H27" s="52">
        <f>1</f>
        <v>1</v>
      </c>
      <c r="I27" s="36"/>
      <c r="J27" s="52">
        <v>1</v>
      </c>
      <c r="K27" s="53">
        <f>0</f>
        <v>0</v>
      </c>
      <c r="L27" s="53">
        <f>0</f>
        <v>0</v>
      </c>
      <c r="M27" s="53">
        <f>0</f>
        <v>0</v>
      </c>
      <c r="N27" s="54">
        <f t="shared" si="0"/>
        <v>0</v>
      </c>
      <c r="O27" s="54">
        <f t="shared" si="1"/>
        <v>0</v>
      </c>
      <c r="P27" s="54">
        <f t="shared" si="2"/>
        <v>0</v>
      </c>
      <c r="Q27" s="54">
        <f t="shared" si="3"/>
        <v>0</v>
      </c>
      <c r="R27" s="54">
        <f t="shared" si="4"/>
        <v>0</v>
      </c>
      <c r="S27" s="54"/>
      <c r="T27" s="36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</row>
    <row r="28" spans="1:20 16329:16383" s="38" customFormat="1" ht="29.1" customHeight="1" outlineLevel="3" x14ac:dyDescent="0.25">
      <c r="A28" s="49" t="s">
        <v>66</v>
      </c>
      <c r="B28" s="50"/>
      <c r="C28" s="50"/>
      <c r="D28" s="3" t="s">
        <v>67</v>
      </c>
      <c r="E28" s="3"/>
      <c r="F28" s="51"/>
      <c r="G28" s="50" t="s">
        <v>29</v>
      </c>
      <c r="H28" s="52">
        <f>1</f>
        <v>1</v>
      </c>
      <c r="I28" s="36"/>
      <c r="J28" s="52">
        <v>1</v>
      </c>
      <c r="K28" s="53">
        <f>0</f>
        <v>0</v>
      </c>
      <c r="L28" s="53">
        <f>0</f>
        <v>0</v>
      </c>
      <c r="M28" s="53">
        <f>0</f>
        <v>0</v>
      </c>
      <c r="N28" s="54">
        <f t="shared" si="0"/>
        <v>0</v>
      </c>
      <c r="O28" s="54">
        <f t="shared" si="1"/>
        <v>0</v>
      </c>
      <c r="P28" s="54">
        <f t="shared" si="2"/>
        <v>0</v>
      </c>
      <c r="Q28" s="54">
        <f t="shared" si="3"/>
        <v>0</v>
      </c>
      <c r="R28" s="54">
        <f t="shared" si="4"/>
        <v>0</v>
      </c>
      <c r="S28" s="54"/>
      <c r="T28" s="36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</row>
    <row r="29" spans="1:20 16329:16383" s="38" customFormat="1" ht="29.1" customHeight="1" outlineLevel="3" x14ac:dyDescent="0.25">
      <c r="A29" s="49" t="s">
        <v>68</v>
      </c>
      <c r="B29" s="50"/>
      <c r="C29" s="50"/>
      <c r="D29" s="3" t="s">
        <v>69</v>
      </c>
      <c r="E29" s="3"/>
      <c r="F29" s="51"/>
      <c r="G29" s="50" t="s">
        <v>29</v>
      </c>
      <c r="H29" s="52">
        <f>1</f>
        <v>1</v>
      </c>
      <c r="I29" s="36"/>
      <c r="J29" s="52">
        <v>1</v>
      </c>
      <c r="K29" s="53">
        <f>0</f>
        <v>0</v>
      </c>
      <c r="L29" s="53">
        <f>0</f>
        <v>0</v>
      </c>
      <c r="M29" s="53">
        <f>0</f>
        <v>0</v>
      </c>
      <c r="N29" s="54">
        <f t="shared" si="0"/>
        <v>0</v>
      </c>
      <c r="O29" s="54">
        <f t="shared" si="1"/>
        <v>0</v>
      </c>
      <c r="P29" s="54">
        <f t="shared" si="2"/>
        <v>0</v>
      </c>
      <c r="Q29" s="54">
        <f t="shared" si="3"/>
        <v>0</v>
      </c>
      <c r="R29" s="54">
        <f t="shared" si="4"/>
        <v>0</v>
      </c>
      <c r="S29" s="54"/>
      <c r="T29" s="36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  <c r="XEZ29"/>
      <c r="XFA29"/>
      <c r="XFB29"/>
      <c r="XFC29"/>
    </row>
    <row r="30" spans="1:20 16329:16383" s="38" customFormat="1" ht="29.1" customHeight="1" outlineLevel="3" x14ac:dyDescent="0.25">
      <c r="A30" s="49" t="s">
        <v>70</v>
      </c>
      <c r="B30" s="50"/>
      <c r="C30" s="50"/>
      <c r="D30" s="3" t="s">
        <v>71</v>
      </c>
      <c r="E30" s="3"/>
      <c r="F30" s="51"/>
      <c r="G30" s="50" t="s">
        <v>72</v>
      </c>
      <c r="H30" s="52">
        <f>1</f>
        <v>1</v>
      </c>
      <c r="I30" s="36"/>
      <c r="J30" s="52">
        <v>1</v>
      </c>
      <c r="K30" s="53">
        <f>0</f>
        <v>0</v>
      </c>
      <c r="L30" s="53">
        <f>0</f>
        <v>0</v>
      </c>
      <c r="M30" s="53">
        <f>0</f>
        <v>0</v>
      </c>
      <c r="N30" s="54">
        <f t="shared" si="0"/>
        <v>0</v>
      </c>
      <c r="O30" s="54">
        <f t="shared" si="1"/>
        <v>0</v>
      </c>
      <c r="P30" s="54">
        <f t="shared" si="2"/>
        <v>0</v>
      </c>
      <c r="Q30" s="54">
        <f t="shared" si="3"/>
        <v>0</v>
      </c>
      <c r="R30" s="54">
        <f t="shared" si="4"/>
        <v>0</v>
      </c>
      <c r="S30" s="54"/>
      <c r="T30" s="36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</row>
    <row r="31" spans="1:20 16329:16383" s="38" customFormat="1" ht="29.1" customHeight="1" outlineLevel="3" x14ac:dyDescent="0.25">
      <c r="A31" s="49" t="s">
        <v>73</v>
      </c>
      <c r="B31" s="50"/>
      <c r="C31" s="50"/>
      <c r="D31" s="3" t="s">
        <v>74</v>
      </c>
      <c r="E31" s="3"/>
      <c r="F31" s="51"/>
      <c r="G31" s="50" t="s">
        <v>72</v>
      </c>
      <c r="H31" s="52">
        <f>1</f>
        <v>1</v>
      </c>
      <c r="I31" s="36"/>
      <c r="J31" s="52">
        <v>1</v>
      </c>
      <c r="K31" s="53">
        <f>0</f>
        <v>0</v>
      </c>
      <c r="L31" s="53">
        <f>0</f>
        <v>0</v>
      </c>
      <c r="M31" s="53">
        <f>0</f>
        <v>0</v>
      </c>
      <c r="N31" s="54">
        <f t="shared" si="0"/>
        <v>0</v>
      </c>
      <c r="O31" s="54">
        <f t="shared" si="1"/>
        <v>0</v>
      </c>
      <c r="P31" s="54">
        <f t="shared" si="2"/>
        <v>0</v>
      </c>
      <c r="Q31" s="54">
        <f t="shared" si="3"/>
        <v>0</v>
      </c>
      <c r="R31" s="54">
        <f t="shared" si="4"/>
        <v>0</v>
      </c>
      <c r="S31" s="54"/>
      <c r="T31" s="36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</row>
    <row r="32" spans="1:20 16329:16383" s="38" customFormat="1" ht="29.1" customHeight="1" outlineLevel="3" x14ac:dyDescent="0.25">
      <c r="A32" s="49" t="s">
        <v>75</v>
      </c>
      <c r="B32" s="50"/>
      <c r="C32" s="50"/>
      <c r="D32" s="3" t="s">
        <v>76</v>
      </c>
      <c r="E32" s="3"/>
      <c r="F32" s="51"/>
      <c r="G32" s="50" t="s">
        <v>72</v>
      </c>
      <c r="H32" s="52">
        <f>1</f>
        <v>1</v>
      </c>
      <c r="I32" s="36"/>
      <c r="J32" s="52">
        <v>1</v>
      </c>
      <c r="K32" s="53">
        <f>0</f>
        <v>0</v>
      </c>
      <c r="L32" s="53">
        <f>0</f>
        <v>0</v>
      </c>
      <c r="M32" s="53">
        <f>0</f>
        <v>0</v>
      </c>
      <c r="N32" s="54">
        <f t="shared" si="0"/>
        <v>0</v>
      </c>
      <c r="O32" s="54">
        <f t="shared" si="1"/>
        <v>0</v>
      </c>
      <c r="P32" s="54">
        <f t="shared" si="2"/>
        <v>0</v>
      </c>
      <c r="Q32" s="54">
        <f t="shared" si="3"/>
        <v>0</v>
      </c>
      <c r="R32" s="54">
        <f t="shared" si="4"/>
        <v>0</v>
      </c>
      <c r="S32" s="54"/>
      <c r="T32" s="36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</row>
    <row r="33" spans="1:20 16329:16383" s="38" customFormat="1" ht="29.1" customHeight="1" outlineLevel="3" x14ac:dyDescent="0.25">
      <c r="A33" s="49" t="s">
        <v>77</v>
      </c>
      <c r="B33" s="50"/>
      <c r="C33" s="50"/>
      <c r="D33" s="3" t="s">
        <v>78</v>
      </c>
      <c r="E33" s="3"/>
      <c r="F33" s="51"/>
      <c r="G33" s="50" t="s">
        <v>72</v>
      </c>
      <c r="H33" s="52">
        <f>1</f>
        <v>1</v>
      </c>
      <c r="I33" s="36"/>
      <c r="J33" s="52">
        <v>1</v>
      </c>
      <c r="K33" s="53">
        <f>0</f>
        <v>0</v>
      </c>
      <c r="L33" s="53">
        <f>0</f>
        <v>0</v>
      </c>
      <c r="M33" s="53">
        <f>0</f>
        <v>0</v>
      </c>
      <c r="N33" s="54">
        <f t="shared" si="0"/>
        <v>0</v>
      </c>
      <c r="O33" s="54">
        <f t="shared" si="1"/>
        <v>0</v>
      </c>
      <c r="P33" s="54">
        <f t="shared" si="2"/>
        <v>0</v>
      </c>
      <c r="Q33" s="54">
        <f t="shared" si="3"/>
        <v>0</v>
      </c>
      <c r="R33" s="54">
        <f t="shared" si="4"/>
        <v>0</v>
      </c>
      <c r="S33" s="54"/>
      <c r="T33" s="36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</row>
    <row r="34" spans="1:20 16329:16383" s="38" customFormat="1" ht="29.1" customHeight="1" outlineLevel="3" x14ac:dyDescent="0.25">
      <c r="A34" s="49" t="s">
        <v>79</v>
      </c>
      <c r="B34" s="50"/>
      <c r="C34" s="50"/>
      <c r="D34" s="3" t="s">
        <v>80</v>
      </c>
      <c r="E34" s="3"/>
      <c r="F34" s="51"/>
      <c r="G34" s="50" t="s">
        <v>72</v>
      </c>
      <c r="H34" s="52">
        <f>1</f>
        <v>1</v>
      </c>
      <c r="I34" s="36"/>
      <c r="J34" s="52">
        <v>1</v>
      </c>
      <c r="K34" s="53">
        <f>0</f>
        <v>0</v>
      </c>
      <c r="L34" s="53">
        <f>0</f>
        <v>0</v>
      </c>
      <c r="M34" s="53">
        <f>0</f>
        <v>0</v>
      </c>
      <c r="N34" s="54">
        <f t="shared" si="0"/>
        <v>0</v>
      </c>
      <c r="O34" s="54">
        <f t="shared" si="1"/>
        <v>0</v>
      </c>
      <c r="P34" s="54">
        <f t="shared" si="2"/>
        <v>0</v>
      </c>
      <c r="Q34" s="54">
        <f t="shared" si="3"/>
        <v>0</v>
      </c>
      <c r="R34" s="54">
        <f t="shared" si="4"/>
        <v>0</v>
      </c>
      <c r="S34" s="54"/>
      <c r="T34" s="36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</row>
    <row r="35" spans="1:20 16329:16383" s="38" customFormat="1" ht="29.1" customHeight="1" outlineLevel="3" x14ac:dyDescent="0.25">
      <c r="A35" s="49" t="s">
        <v>81</v>
      </c>
      <c r="B35" s="50"/>
      <c r="C35" s="50"/>
      <c r="D35" s="3" t="s">
        <v>82</v>
      </c>
      <c r="E35" s="3"/>
      <c r="F35" s="51"/>
      <c r="G35" s="50" t="s">
        <v>72</v>
      </c>
      <c r="H35" s="52">
        <f>1</f>
        <v>1</v>
      </c>
      <c r="I35" s="36"/>
      <c r="J35" s="52">
        <v>1</v>
      </c>
      <c r="K35" s="53">
        <f>0</f>
        <v>0</v>
      </c>
      <c r="L35" s="53">
        <f>0</f>
        <v>0</v>
      </c>
      <c r="M35" s="53">
        <f>0</f>
        <v>0</v>
      </c>
      <c r="N35" s="54">
        <f t="shared" si="0"/>
        <v>0</v>
      </c>
      <c r="O35" s="54">
        <f t="shared" si="1"/>
        <v>0</v>
      </c>
      <c r="P35" s="54">
        <f t="shared" si="2"/>
        <v>0</v>
      </c>
      <c r="Q35" s="54">
        <f t="shared" si="3"/>
        <v>0</v>
      </c>
      <c r="R35" s="54">
        <f t="shared" si="4"/>
        <v>0</v>
      </c>
      <c r="S35" s="54"/>
      <c r="T35" s="36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</row>
    <row r="36" spans="1:20 16329:16383" s="38" customFormat="1" ht="29.1" customHeight="1" outlineLevel="3" x14ac:dyDescent="0.25">
      <c r="A36" s="49" t="s">
        <v>83</v>
      </c>
      <c r="B36" s="50"/>
      <c r="C36" s="50"/>
      <c r="D36" s="3" t="s">
        <v>84</v>
      </c>
      <c r="E36" s="3"/>
      <c r="F36" s="51"/>
      <c r="G36" s="50" t="s">
        <v>72</v>
      </c>
      <c r="H36" s="52">
        <f>1</f>
        <v>1</v>
      </c>
      <c r="I36" s="36"/>
      <c r="J36" s="52">
        <v>1</v>
      </c>
      <c r="K36" s="53">
        <f>0</f>
        <v>0</v>
      </c>
      <c r="L36" s="53">
        <f>0</f>
        <v>0</v>
      </c>
      <c r="M36" s="53">
        <f>0</f>
        <v>0</v>
      </c>
      <c r="N36" s="54">
        <f t="shared" si="0"/>
        <v>0</v>
      </c>
      <c r="O36" s="54">
        <f t="shared" si="1"/>
        <v>0</v>
      </c>
      <c r="P36" s="54">
        <f t="shared" si="2"/>
        <v>0</v>
      </c>
      <c r="Q36" s="54">
        <f t="shared" si="3"/>
        <v>0</v>
      </c>
      <c r="R36" s="54">
        <f t="shared" si="4"/>
        <v>0</v>
      </c>
      <c r="S36" s="54"/>
      <c r="T36" s="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</row>
    <row r="37" spans="1:20 16329:16383" s="38" customFormat="1" ht="29.1" customHeight="1" outlineLevel="3" x14ac:dyDescent="0.25">
      <c r="A37" s="49" t="s">
        <v>85</v>
      </c>
      <c r="B37" s="50"/>
      <c r="C37" s="50"/>
      <c r="D37" s="3" t="s">
        <v>86</v>
      </c>
      <c r="E37" s="3"/>
      <c r="F37" s="51"/>
      <c r="G37" s="50" t="s">
        <v>72</v>
      </c>
      <c r="H37" s="52">
        <f>1</f>
        <v>1</v>
      </c>
      <c r="I37" s="36"/>
      <c r="J37" s="52">
        <v>1</v>
      </c>
      <c r="K37" s="53">
        <f>0</f>
        <v>0</v>
      </c>
      <c r="L37" s="53">
        <f>0</f>
        <v>0</v>
      </c>
      <c r="M37" s="53">
        <f>0</f>
        <v>0</v>
      </c>
      <c r="N37" s="54">
        <f t="shared" si="0"/>
        <v>0</v>
      </c>
      <c r="O37" s="54">
        <f t="shared" si="1"/>
        <v>0</v>
      </c>
      <c r="P37" s="54">
        <f t="shared" si="2"/>
        <v>0</v>
      </c>
      <c r="Q37" s="54">
        <f t="shared" si="3"/>
        <v>0</v>
      </c>
      <c r="R37" s="54">
        <f t="shared" si="4"/>
        <v>0</v>
      </c>
      <c r="S37" s="54"/>
      <c r="T37" s="36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</row>
    <row r="38" spans="1:20 16329:16383" s="38" customFormat="1" ht="29.1" customHeight="1" outlineLevel="3" x14ac:dyDescent="0.25">
      <c r="A38" s="49" t="s">
        <v>87</v>
      </c>
      <c r="B38" s="50"/>
      <c r="C38" s="50"/>
      <c r="D38" s="3" t="s">
        <v>88</v>
      </c>
      <c r="E38" s="3"/>
      <c r="F38" s="51"/>
      <c r="G38" s="50" t="s">
        <v>29</v>
      </c>
      <c r="H38" s="52">
        <f>1</f>
        <v>1</v>
      </c>
      <c r="I38" s="36"/>
      <c r="J38" s="52">
        <v>1</v>
      </c>
      <c r="K38" s="53">
        <f>0</f>
        <v>0</v>
      </c>
      <c r="L38" s="53">
        <f>0</f>
        <v>0</v>
      </c>
      <c r="M38" s="53">
        <f>0</f>
        <v>0</v>
      </c>
      <c r="N38" s="54">
        <f t="shared" si="0"/>
        <v>0</v>
      </c>
      <c r="O38" s="54">
        <f t="shared" si="1"/>
        <v>0</v>
      </c>
      <c r="P38" s="54">
        <f t="shared" si="2"/>
        <v>0</v>
      </c>
      <c r="Q38" s="54">
        <f t="shared" si="3"/>
        <v>0</v>
      </c>
      <c r="R38" s="54">
        <f t="shared" si="4"/>
        <v>0</v>
      </c>
      <c r="S38" s="54"/>
      <c r="T38" s="36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  <c r="XEP38"/>
      <c r="XEQ38"/>
      <c r="XER38"/>
      <c r="XES38"/>
      <c r="XET38"/>
      <c r="XEU38"/>
      <c r="XEV38"/>
      <c r="XEW38"/>
      <c r="XEX38"/>
      <c r="XEY38"/>
      <c r="XEZ38"/>
      <c r="XFA38"/>
      <c r="XFB38"/>
      <c r="XFC38"/>
    </row>
    <row r="39" spans="1:20 16329:16383" s="38" customFormat="1" ht="29.1" customHeight="1" outlineLevel="3" x14ac:dyDescent="0.25">
      <c r="A39" s="49" t="s">
        <v>89</v>
      </c>
      <c r="B39" s="50"/>
      <c r="C39" s="50"/>
      <c r="D39" s="3" t="s">
        <v>90</v>
      </c>
      <c r="E39" s="3"/>
      <c r="F39" s="51"/>
      <c r="G39" s="50" t="s">
        <v>72</v>
      </c>
      <c r="H39" s="52">
        <f>1</f>
        <v>1</v>
      </c>
      <c r="I39" s="36"/>
      <c r="J39" s="52">
        <v>1</v>
      </c>
      <c r="K39" s="53">
        <f>0</f>
        <v>0</v>
      </c>
      <c r="L39" s="53">
        <f>0</f>
        <v>0</v>
      </c>
      <c r="M39" s="53">
        <f>0</f>
        <v>0</v>
      </c>
      <c r="N39" s="54">
        <f t="shared" si="0"/>
        <v>0</v>
      </c>
      <c r="O39" s="54">
        <f t="shared" si="1"/>
        <v>0</v>
      </c>
      <c r="P39" s="54">
        <f t="shared" si="2"/>
        <v>0</v>
      </c>
      <c r="Q39" s="54">
        <f t="shared" si="3"/>
        <v>0</v>
      </c>
      <c r="R39" s="54">
        <f t="shared" si="4"/>
        <v>0</v>
      </c>
      <c r="S39" s="54"/>
      <c r="T39" s="36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  <c r="XEP39"/>
      <c r="XEQ39"/>
      <c r="XER39"/>
      <c r="XES39"/>
      <c r="XET39"/>
      <c r="XEU39"/>
      <c r="XEV39"/>
      <c r="XEW39"/>
      <c r="XEX39"/>
      <c r="XEY39"/>
      <c r="XEZ39"/>
      <c r="XFA39"/>
      <c r="XFB39"/>
      <c r="XFC39"/>
    </row>
    <row r="40" spans="1:20 16329:16383" s="38" customFormat="1" ht="29.1" customHeight="1" outlineLevel="3" x14ac:dyDescent="0.25">
      <c r="A40" s="49" t="s">
        <v>91</v>
      </c>
      <c r="B40" s="50"/>
      <c r="C40" s="50"/>
      <c r="D40" s="3" t="s">
        <v>92</v>
      </c>
      <c r="E40" s="3"/>
      <c r="F40" s="51"/>
      <c r="G40" s="50" t="s">
        <v>72</v>
      </c>
      <c r="H40" s="52">
        <f>1</f>
        <v>1</v>
      </c>
      <c r="I40" s="36"/>
      <c r="J40" s="52">
        <v>1</v>
      </c>
      <c r="K40" s="53">
        <f>0</f>
        <v>0</v>
      </c>
      <c r="L40" s="53">
        <f>0</f>
        <v>0</v>
      </c>
      <c r="M40" s="53">
        <f>0</f>
        <v>0</v>
      </c>
      <c r="N40" s="54">
        <f t="shared" si="0"/>
        <v>0</v>
      </c>
      <c r="O40" s="54">
        <f t="shared" si="1"/>
        <v>0</v>
      </c>
      <c r="P40" s="54">
        <f t="shared" si="2"/>
        <v>0</v>
      </c>
      <c r="Q40" s="54">
        <f t="shared" si="3"/>
        <v>0</v>
      </c>
      <c r="R40" s="54">
        <f t="shared" si="4"/>
        <v>0</v>
      </c>
      <c r="S40" s="54"/>
      <c r="T40" s="36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  <c r="XEZ40"/>
      <c r="XFA40"/>
      <c r="XFB40"/>
      <c r="XFC40"/>
    </row>
    <row r="41" spans="1:20 16329:16383" s="38" customFormat="1" ht="29.1" customHeight="1" outlineLevel="2" x14ac:dyDescent="0.25">
      <c r="A41" s="44" t="s">
        <v>93</v>
      </c>
      <c r="B41" s="45" t="s">
        <v>94</v>
      </c>
      <c r="C41" s="45" t="s">
        <v>95</v>
      </c>
      <c r="D41" s="4" t="s">
        <v>96</v>
      </c>
      <c r="E41" s="4"/>
      <c r="F41" s="46"/>
      <c r="G41" s="45" t="s">
        <v>29</v>
      </c>
      <c r="H41" s="47"/>
      <c r="I41" s="36"/>
      <c r="J41" s="47"/>
      <c r="K41" s="48"/>
      <c r="L41" s="48"/>
      <c r="M41" s="48"/>
      <c r="N41" s="48"/>
      <c r="O41" s="48">
        <f>O42+O44+O46</f>
        <v>0</v>
      </c>
      <c r="P41" s="48">
        <f>P42+P44+P46</f>
        <v>0</v>
      </c>
      <c r="Q41" s="48">
        <f>Q42+Q44+Q46</f>
        <v>0</v>
      </c>
      <c r="R41" s="48">
        <f>R42+R44+R46</f>
        <v>0</v>
      </c>
      <c r="S41" s="48"/>
      <c r="T41" s="36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  <c r="XEZ41"/>
      <c r="XFA41"/>
      <c r="XFB41"/>
      <c r="XFC41"/>
    </row>
    <row r="42" spans="1:20 16329:16383" s="38" customFormat="1" ht="29.1" customHeight="1" outlineLevel="3" x14ac:dyDescent="0.25">
      <c r="A42" s="55" t="s">
        <v>97</v>
      </c>
      <c r="B42" s="56" t="s">
        <v>98</v>
      </c>
      <c r="C42" s="56"/>
      <c r="D42" s="2" t="s">
        <v>99</v>
      </c>
      <c r="E42" s="2"/>
      <c r="F42" s="57"/>
      <c r="G42" s="56"/>
      <c r="H42" s="58"/>
      <c r="I42" s="36"/>
      <c r="J42" s="58"/>
      <c r="K42" s="59"/>
      <c r="L42" s="59"/>
      <c r="M42" s="59"/>
      <c r="N42" s="59"/>
      <c r="O42" s="59">
        <f>O43</f>
        <v>0</v>
      </c>
      <c r="P42" s="59">
        <f>P43</f>
        <v>0</v>
      </c>
      <c r="Q42" s="59">
        <f>Q43</f>
        <v>0</v>
      </c>
      <c r="R42" s="59">
        <f>R43</f>
        <v>0</v>
      </c>
      <c r="S42" s="59"/>
      <c r="T42" s="36"/>
      <c r="XDA42"/>
      <c r="XDB42"/>
      <c r="XDC42"/>
      <c r="XDD42"/>
      <c r="XDE42"/>
      <c r="XDF42"/>
      <c r="XDG42"/>
      <c r="XDH42"/>
      <c r="XDI42"/>
      <c r="XDJ42"/>
      <c r="XDK42"/>
      <c r="XDL42"/>
      <c r="XDM42"/>
      <c r="XDN42"/>
      <c r="XDO42"/>
      <c r="XDP42"/>
      <c r="XDQ42"/>
      <c r="XDR42"/>
      <c r="XDS42"/>
      <c r="XDT42"/>
      <c r="XDU42"/>
      <c r="XDV42"/>
      <c r="XDW42"/>
      <c r="XDX42"/>
      <c r="XDY42"/>
      <c r="XDZ42"/>
      <c r="XEA42"/>
      <c r="XEB42"/>
      <c r="XEC42"/>
      <c r="XED42"/>
      <c r="XEE42"/>
      <c r="XEF42"/>
      <c r="XEG42"/>
      <c r="XEH42"/>
      <c r="XEI42"/>
      <c r="XEJ42"/>
      <c r="XEK42"/>
      <c r="XEL42"/>
      <c r="XEM42"/>
      <c r="XEN42"/>
      <c r="XEO42"/>
      <c r="XEP42"/>
      <c r="XEQ42"/>
      <c r="XER42"/>
      <c r="XES42"/>
      <c r="XET42"/>
      <c r="XEU42"/>
      <c r="XEV42"/>
      <c r="XEW42"/>
      <c r="XEX42"/>
      <c r="XEY42"/>
      <c r="XEZ42"/>
      <c r="XFA42"/>
      <c r="XFB42"/>
      <c r="XFC42"/>
    </row>
    <row r="43" spans="1:20 16329:16383" s="38" customFormat="1" ht="29.1" customHeight="1" outlineLevel="4" x14ac:dyDescent="0.25">
      <c r="A43" s="49" t="s">
        <v>100</v>
      </c>
      <c r="B43" s="50"/>
      <c r="C43" s="50"/>
      <c r="D43" s="3" t="s">
        <v>101</v>
      </c>
      <c r="E43" s="3"/>
      <c r="F43" s="51"/>
      <c r="G43" s="50" t="s">
        <v>102</v>
      </c>
      <c r="H43" s="52">
        <f>1</f>
        <v>1</v>
      </c>
      <c r="I43" s="36"/>
      <c r="J43" s="52">
        <v>1</v>
      </c>
      <c r="K43" s="53">
        <f>0</f>
        <v>0</v>
      </c>
      <c r="L43" s="53">
        <f>0</f>
        <v>0</v>
      </c>
      <c r="M43" s="53">
        <f>0</f>
        <v>0</v>
      </c>
      <c r="N43" s="54">
        <f>SUM(K43:M43)</f>
        <v>0</v>
      </c>
      <c r="O43" s="54">
        <f>ROUND((H43*K43),2)</f>
        <v>0</v>
      </c>
      <c r="P43" s="54">
        <f>ROUND((H43*L43),2)</f>
        <v>0</v>
      </c>
      <c r="Q43" s="54">
        <f>ROUND((H43*M43),2)</f>
        <v>0</v>
      </c>
      <c r="R43" s="54">
        <f>ROUND((H43*N43),2)</f>
        <v>0</v>
      </c>
      <c r="S43" s="54"/>
      <c r="T43" s="36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  <c r="XFC43"/>
    </row>
    <row r="44" spans="1:20 16329:16383" s="38" customFormat="1" ht="29.1" customHeight="1" outlineLevel="3" x14ac:dyDescent="0.25">
      <c r="A44" s="55" t="s">
        <v>103</v>
      </c>
      <c r="B44" s="56" t="s">
        <v>104</v>
      </c>
      <c r="C44" s="56"/>
      <c r="D44" s="2" t="s">
        <v>105</v>
      </c>
      <c r="E44" s="2"/>
      <c r="F44" s="57"/>
      <c r="G44" s="56"/>
      <c r="H44" s="58"/>
      <c r="I44" s="36"/>
      <c r="J44" s="58"/>
      <c r="K44" s="59"/>
      <c r="L44" s="59"/>
      <c r="M44" s="59"/>
      <c r="N44" s="59"/>
      <c r="O44" s="59">
        <f>O45</f>
        <v>0</v>
      </c>
      <c r="P44" s="59">
        <f>P45</f>
        <v>0</v>
      </c>
      <c r="Q44" s="59">
        <f>Q45</f>
        <v>0</v>
      </c>
      <c r="R44" s="59">
        <f>R45</f>
        <v>0</v>
      </c>
      <c r="S44" s="59"/>
      <c r="T44" s="36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  <c r="XDT44"/>
      <c r="XDU44"/>
      <c r="XDV44"/>
      <c r="XDW44"/>
      <c r="XDX44"/>
      <c r="XDY44"/>
      <c r="XDZ44"/>
      <c r="XEA44"/>
      <c r="XEB44"/>
      <c r="XEC44"/>
      <c r="XED44"/>
      <c r="XEE44"/>
      <c r="XEF44"/>
      <c r="XEG44"/>
      <c r="XEH44"/>
      <c r="XEI44"/>
      <c r="XEJ44"/>
      <c r="XEK44"/>
      <c r="XEL44"/>
      <c r="XEM44"/>
      <c r="XEN44"/>
      <c r="XEO44"/>
      <c r="XEP44"/>
      <c r="XEQ44"/>
      <c r="XER44"/>
      <c r="XES44"/>
      <c r="XET44"/>
      <c r="XEU44"/>
      <c r="XEV44"/>
      <c r="XEW44"/>
      <c r="XEX44"/>
      <c r="XEY44"/>
      <c r="XEZ44"/>
      <c r="XFA44"/>
      <c r="XFB44"/>
      <c r="XFC44"/>
    </row>
    <row r="45" spans="1:20 16329:16383" s="38" customFormat="1" ht="29.1" customHeight="1" outlineLevel="4" x14ac:dyDescent="0.25">
      <c r="A45" s="49" t="s">
        <v>106</v>
      </c>
      <c r="B45" s="50"/>
      <c r="C45" s="50"/>
      <c r="D45" s="3" t="s">
        <v>107</v>
      </c>
      <c r="E45" s="3"/>
      <c r="F45" s="51" t="s">
        <v>108</v>
      </c>
      <c r="G45" s="50" t="s">
        <v>102</v>
      </c>
      <c r="H45" s="52">
        <f>1</f>
        <v>1</v>
      </c>
      <c r="I45" s="36"/>
      <c r="J45" s="52">
        <v>1</v>
      </c>
      <c r="K45" s="53">
        <f>0</f>
        <v>0</v>
      </c>
      <c r="L45" s="53">
        <f>0</f>
        <v>0</v>
      </c>
      <c r="M45" s="53">
        <f>0</f>
        <v>0</v>
      </c>
      <c r="N45" s="54">
        <f>SUM(K45:M45)</f>
        <v>0</v>
      </c>
      <c r="O45" s="54">
        <f>ROUND((H45*K45),2)</f>
        <v>0</v>
      </c>
      <c r="P45" s="54">
        <f>ROUND((H45*L45),2)</f>
        <v>0</v>
      </c>
      <c r="Q45" s="54">
        <f>ROUND((H45*M45),2)</f>
        <v>0</v>
      </c>
      <c r="R45" s="54">
        <f>ROUND((H45*N45),2)</f>
        <v>0</v>
      </c>
      <c r="S45" s="54"/>
      <c r="T45" s="36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</row>
    <row r="46" spans="1:20 16329:16383" s="38" customFormat="1" ht="29.1" customHeight="1" outlineLevel="3" x14ac:dyDescent="0.25">
      <c r="A46" s="55" t="s">
        <v>109</v>
      </c>
      <c r="B46" s="56" t="s">
        <v>110</v>
      </c>
      <c r="C46" s="56"/>
      <c r="D46" s="2" t="s">
        <v>111</v>
      </c>
      <c r="E46" s="2"/>
      <c r="F46" s="57"/>
      <c r="G46" s="56"/>
      <c r="H46" s="58"/>
      <c r="I46" s="36"/>
      <c r="J46" s="58"/>
      <c r="K46" s="59"/>
      <c r="L46" s="59"/>
      <c r="M46" s="59"/>
      <c r="N46" s="59"/>
      <c r="O46" s="59">
        <f>O47</f>
        <v>0</v>
      </c>
      <c r="P46" s="59">
        <f>P47</f>
        <v>0</v>
      </c>
      <c r="Q46" s="59">
        <f>Q47</f>
        <v>0</v>
      </c>
      <c r="R46" s="59">
        <f>R47</f>
        <v>0</v>
      </c>
      <c r="S46" s="59"/>
      <c r="T46" s="3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</row>
    <row r="47" spans="1:20 16329:16383" s="38" customFormat="1" ht="29.1" customHeight="1" outlineLevel="4" x14ac:dyDescent="0.25">
      <c r="A47" s="49" t="s">
        <v>112</v>
      </c>
      <c r="B47" s="50"/>
      <c r="C47" s="50"/>
      <c r="D47" s="3" t="s">
        <v>113</v>
      </c>
      <c r="E47" s="3"/>
      <c r="F47" s="51"/>
      <c r="G47" s="50" t="s">
        <v>102</v>
      </c>
      <c r="H47" s="52">
        <f>1</f>
        <v>1</v>
      </c>
      <c r="I47" s="36"/>
      <c r="J47" s="52">
        <v>1</v>
      </c>
      <c r="K47" s="53">
        <f>0</f>
        <v>0</v>
      </c>
      <c r="L47" s="53">
        <f>0</f>
        <v>0</v>
      </c>
      <c r="M47" s="53">
        <f>0</f>
        <v>0</v>
      </c>
      <c r="N47" s="54">
        <f>SUM(K47:M47)</f>
        <v>0</v>
      </c>
      <c r="O47" s="54">
        <f>ROUND((H47*K47),2)</f>
        <v>0</v>
      </c>
      <c r="P47" s="54">
        <f>ROUND((H47*L47),2)</f>
        <v>0</v>
      </c>
      <c r="Q47" s="54">
        <f>ROUND((H47*M47),2)</f>
        <v>0</v>
      </c>
      <c r="R47" s="54">
        <f>ROUND((H47*N47),2)</f>
        <v>0</v>
      </c>
      <c r="S47" s="54"/>
      <c r="T47" s="36"/>
      <c r="XDA47"/>
      <c r="XDB47"/>
      <c r="XDC47"/>
      <c r="XDD47"/>
      <c r="XDE47"/>
      <c r="XDF47"/>
      <c r="XDG47"/>
      <c r="XDH47"/>
      <c r="XDI47"/>
      <c r="XDJ47"/>
      <c r="XDK47"/>
      <c r="XDL47"/>
      <c r="XDM47"/>
      <c r="XDN47"/>
      <c r="XDO47"/>
      <c r="XDP47"/>
      <c r="XDQ47"/>
      <c r="XDR47"/>
      <c r="XDS47"/>
      <c r="XDT47"/>
      <c r="XDU47"/>
      <c r="XDV47"/>
      <c r="XDW47"/>
      <c r="XDX47"/>
      <c r="XDY47"/>
      <c r="XDZ47"/>
      <c r="XEA47"/>
      <c r="XEB47"/>
      <c r="XEC47"/>
      <c r="XED47"/>
      <c r="XEE47"/>
      <c r="XEF47"/>
      <c r="XEG47"/>
      <c r="XEH47"/>
      <c r="XEI47"/>
      <c r="XEJ47"/>
      <c r="XEK47"/>
      <c r="XEL47"/>
      <c r="XEM47"/>
      <c r="XEN47"/>
      <c r="XEO47"/>
      <c r="XEP47"/>
      <c r="XEQ47"/>
      <c r="XER47"/>
      <c r="XES47"/>
      <c r="XET47"/>
      <c r="XEU47"/>
      <c r="XEV47"/>
      <c r="XEW47"/>
      <c r="XEX47"/>
      <c r="XEY47"/>
      <c r="XEZ47"/>
      <c r="XFA47"/>
      <c r="XFB47"/>
      <c r="XFC47"/>
    </row>
    <row r="48" spans="1:20 16329:16383" s="38" customFormat="1" ht="29.1" customHeight="1" outlineLevel="1" x14ac:dyDescent="0.25">
      <c r="A48" s="39" t="s">
        <v>114</v>
      </c>
      <c r="B48" s="40" t="s">
        <v>30</v>
      </c>
      <c r="C48" s="40" t="s">
        <v>115</v>
      </c>
      <c r="D48" s="5" t="s">
        <v>116</v>
      </c>
      <c r="E48" s="5"/>
      <c r="F48" s="41"/>
      <c r="G48" s="40" t="s">
        <v>117</v>
      </c>
      <c r="H48" s="42"/>
      <c r="I48" s="36"/>
      <c r="J48" s="42"/>
      <c r="K48" s="43"/>
      <c r="L48" s="43"/>
      <c r="M48" s="43"/>
      <c r="N48" s="43"/>
      <c r="O48" s="43">
        <f>O49+O53+O56</f>
        <v>0</v>
      </c>
      <c r="P48" s="43">
        <f>P49+P53+P56</f>
        <v>0</v>
      </c>
      <c r="Q48" s="43">
        <f>Q49+Q53+Q56</f>
        <v>0</v>
      </c>
      <c r="R48" s="43">
        <f>R49+R53+R56</f>
        <v>0</v>
      </c>
      <c r="S48" s="43"/>
      <c r="T48" s="36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  <c r="XFA48"/>
      <c r="XFB48"/>
      <c r="XFC48"/>
    </row>
    <row r="49" spans="1:20 16329:16383" s="38" customFormat="1" ht="29.1" customHeight="1" outlineLevel="2" x14ac:dyDescent="0.25">
      <c r="A49" s="44" t="s">
        <v>118</v>
      </c>
      <c r="B49" s="45" t="s">
        <v>119</v>
      </c>
      <c r="C49" s="45" t="s">
        <v>120</v>
      </c>
      <c r="D49" s="4" t="s">
        <v>121</v>
      </c>
      <c r="E49" s="4"/>
      <c r="F49" s="46"/>
      <c r="G49" s="45" t="s">
        <v>117</v>
      </c>
      <c r="H49" s="47"/>
      <c r="I49" s="36"/>
      <c r="J49" s="47"/>
      <c r="K49" s="48"/>
      <c r="L49" s="48"/>
      <c r="M49" s="48"/>
      <c r="N49" s="48"/>
      <c r="O49" s="48">
        <f>SUM(O50:O52)</f>
        <v>0</v>
      </c>
      <c r="P49" s="48">
        <f>SUM(P50:P52)</f>
        <v>0</v>
      </c>
      <c r="Q49" s="48">
        <f>SUM(Q50:Q52)</f>
        <v>0</v>
      </c>
      <c r="R49" s="48">
        <f>SUM(R50:R52)</f>
        <v>0</v>
      </c>
      <c r="S49" s="48"/>
      <c r="T49" s="36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  <c r="XEP49"/>
      <c r="XEQ49"/>
      <c r="XER49"/>
      <c r="XES49"/>
      <c r="XET49"/>
      <c r="XEU49"/>
      <c r="XEV49"/>
      <c r="XEW49"/>
      <c r="XEX49"/>
      <c r="XEY49"/>
      <c r="XEZ49"/>
      <c r="XFA49"/>
      <c r="XFB49"/>
      <c r="XFC49"/>
    </row>
    <row r="50" spans="1:20 16329:16383" s="38" customFormat="1" ht="29.1" customHeight="1" outlineLevel="3" x14ac:dyDescent="0.25">
      <c r="A50" s="49" t="s">
        <v>122</v>
      </c>
      <c r="B50" s="50"/>
      <c r="C50" s="50"/>
      <c r="D50" s="3" t="s">
        <v>123</v>
      </c>
      <c r="E50" s="3"/>
      <c r="F50" s="51"/>
      <c r="G50" s="50" t="s">
        <v>117</v>
      </c>
      <c r="H50" s="52">
        <f>1</f>
        <v>1</v>
      </c>
      <c r="I50" s="36"/>
      <c r="J50" s="52">
        <v>1</v>
      </c>
      <c r="K50" s="53">
        <f>0</f>
        <v>0</v>
      </c>
      <c r="L50" s="53">
        <f>0</f>
        <v>0</v>
      </c>
      <c r="M50" s="53">
        <f>0</f>
        <v>0</v>
      </c>
      <c r="N50" s="54">
        <f>SUM(K50:M50)</f>
        <v>0</v>
      </c>
      <c r="O50" s="54">
        <f>ROUND((H50*K50),2)</f>
        <v>0</v>
      </c>
      <c r="P50" s="54">
        <f>ROUND((H50*L50),2)</f>
        <v>0</v>
      </c>
      <c r="Q50" s="54">
        <f>ROUND((H50*M50),2)</f>
        <v>0</v>
      </c>
      <c r="R50" s="54">
        <f>ROUND((H50*N50),2)</f>
        <v>0</v>
      </c>
      <c r="S50" s="54"/>
      <c r="T50" s="36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  <c r="XFA50"/>
      <c r="XFB50"/>
      <c r="XFC50"/>
    </row>
    <row r="51" spans="1:20 16329:16383" s="38" customFormat="1" ht="29.1" customHeight="1" outlineLevel="3" x14ac:dyDescent="0.25">
      <c r="A51" s="49" t="s">
        <v>124</v>
      </c>
      <c r="B51" s="50"/>
      <c r="C51" s="50"/>
      <c r="D51" s="3" t="s">
        <v>125</v>
      </c>
      <c r="E51" s="3"/>
      <c r="F51" s="51"/>
      <c r="G51" s="50" t="s">
        <v>117</v>
      </c>
      <c r="H51" s="52">
        <f>1</f>
        <v>1</v>
      </c>
      <c r="I51" s="36"/>
      <c r="J51" s="52">
        <v>1</v>
      </c>
      <c r="K51" s="53">
        <f>0</f>
        <v>0</v>
      </c>
      <c r="L51" s="53">
        <f>0</f>
        <v>0</v>
      </c>
      <c r="M51" s="53">
        <f>0</f>
        <v>0</v>
      </c>
      <c r="N51" s="54">
        <f>SUM(K51:M51)</f>
        <v>0</v>
      </c>
      <c r="O51" s="54">
        <f>ROUND((H51*K51),2)</f>
        <v>0</v>
      </c>
      <c r="P51" s="54">
        <f>ROUND((H51*L51),2)</f>
        <v>0</v>
      </c>
      <c r="Q51" s="54">
        <f>ROUND((H51*M51),2)</f>
        <v>0</v>
      </c>
      <c r="R51" s="54">
        <f>ROUND((H51*N51),2)</f>
        <v>0</v>
      </c>
      <c r="S51" s="54"/>
      <c r="T51" s="36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  <c r="XEP51"/>
      <c r="XEQ51"/>
      <c r="XER51"/>
      <c r="XES51"/>
      <c r="XET51"/>
      <c r="XEU51"/>
      <c r="XEV51"/>
      <c r="XEW51"/>
      <c r="XEX51"/>
      <c r="XEY51"/>
      <c r="XEZ51"/>
      <c r="XFA51"/>
      <c r="XFB51"/>
      <c r="XFC51"/>
    </row>
    <row r="52" spans="1:20 16329:16383" s="38" customFormat="1" ht="29.1" customHeight="1" outlineLevel="3" x14ac:dyDescent="0.25">
      <c r="A52" s="49" t="s">
        <v>126</v>
      </c>
      <c r="B52" s="50"/>
      <c r="C52" s="50"/>
      <c r="D52" s="3" t="s">
        <v>127</v>
      </c>
      <c r="E52" s="3"/>
      <c r="F52" s="51"/>
      <c r="G52" s="50" t="s">
        <v>117</v>
      </c>
      <c r="H52" s="52">
        <f>1</f>
        <v>1</v>
      </c>
      <c r="I52" s="36"/>
      <c r="J52" s="52">
        <v>1</v>
      </c>
      <c r="K52" s="53">
        <f>0</f>
        <v>0</v>
      </c>
      <c r="L52" s="53">
        <f>0</f>
        <v>0</v>
      </c>
      <c r="M52" s="53">
        <f>0</f>
        <v>0</v>
      </c>
      <c r="N52" s="54">
        <f>SUM(K52:M52)</f>
        <v>0</v>
      </c>
      <c r="O52" s="54">
        <f>ROUND((H52*K52),2)</f>
        <v>0</v>
      </c>
      <c r="P52" s="54">
        <f>ROUND((H52*L52),2)</f>
        <v>0</v>
      </c>
      <c r="Q52" s="54">
        <f>ROUND((H52*M52),2)</f>
        <v>0</v>
      </c>
      <c r="R52" s="54">
        <f>ROUND((H52*N52),2)</f>
        <v>0</v>
      </c>
      <c r="S52" s="54"/>
      <c r="T52" s="36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</row>
    <row r="53" spans="1:20 16329:16383" s="38" customFormat="1" ht="29.1" customHeight="1" outlineLevel="2" x14ac:dyDescent="0.25">
      <c r="A53" s="44" t="s">
        <v>128</v>
      </c>
      <c r="B53" s="45" t="s">
        <v>129</v>
      </c>
      <c r="C53" s="45" t="s">
        <v>130</v>
      </c>
      <c r="D53" s="4" t="s">
        <v>131</v>
      </c>
      <c r="E53" s="4"/>
      <c r="F53" s="46"/>
      <c r="G53" s="45" t="s">
        <v>117</v>
      </c>
      <c r="H53" s="47"/>
      <c r="I53" s="36"/>
      <c r="J53" s="47"/>
      <c r="K53" s="48"/>
      <c r="L53" s="48"/>
      <c r="M53" s="48"/>
      <c r="N53" s="48"/>
      <c r="O53" s="48">
        <f>O54+O55</f>
        <v>0</v>
      </c>
      <c r="P53" s="48">
        <f>P54+P55</f>
        <v>0</v>
      </c>
      <c r="Q53" s="48">
        <f>Q54+Q55</f>
        <v>0</v>
      </c>
      <c r="R53" s="48">
        <f>R54+R55</f>
        <v>0</v>
      </c>
      <c r="S53" s="48"/>
      <c r="T53" s="36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</row>
    <row r="54" spans="1:20 16329:16383" s="38" customFormat="1" ht="29.1" customHeight="1" outlineLevel="3" x14ac:dyDescent="0.25">
      <c r="A54" s="49" t="s">
        <v>132</v>
      </c>
      <c r="B54" s="50"/>
      <c r="C54" s="50"/>
      <c r="D54" s="3" t="s">
        <v>133</v>
      </c>
      <c r="E54" s="3"/>
      <c r="F54" s="51"/>
      <c r="G54" s="50" t="s">
        <v>134</v>
      </c>
      <c r="H54" s="52">
        <f>1</f>
        <v>1</v>
      </c>
      <c r="I54" s="36"/>
      <c r="J54" s="52">
        <v>1</v>
      </c>
      <c r="K54" s="53">
        <f>0</f>
        <v>0</v>
      </c>
      <c r="L54" s="53">
        <f>0</f>
        <v>0</v>
      </c>
      <c r="M54" s="53">
        <f>0</f>
        <v>0</v>
      </c>
      <c r="N54" s="54">
        <f>SUM(K54:M54)</f>
        <v>0</v>
      </c>
      <c r="O54" s="54">
        <f>ROUND((H54*K54),2)</f>
        <v>0</v>
      </c>
      <c r="P54" s="54">
        <f>ROUND((H54*L54),2)</f>
        <v>0</v>
      </c>
      <c r="Q54" s="54">
        <f>ROUND((H54*M54),2)</f>
        <v>0</v>
      </c>
      <c r="R54" s="54">
        <f>ROUND((H54*N54),2)</f>
        <v>0</v>
      </c>
      <c r="S54" s="54"/>
      <c r="T54" s="36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</row>
    <row r="55" spans="1:20 16329:16383" s="38" customFormat="1" ht="29.1" customHeight="1" outlineLevel="3" x14ac:dyDescent="0.25">
      <c r="A55" s="49" t="s">
        <v>135</v>
      </c>
      <c r="B55" s="50"/>
      <c r="C55" s="50"/>
      <c r="D55" s="3" t="s">
        <v>136</v>
      </c>
      <c r="E55" s="3"/>
      <c r="F55" s="51"/>
      <c r="G55" s="50" t="s">
        <v>134</v>
      </c>
      <c r="H55" s="52">
        <f>1</f>
        <v>1</v>
      </c>
      <c r="I55" s="36"/>
      <c r="J55" s="52">
        <v>1</v>
      </c>
      <c r="K55" s="53">
        <f>0</f>
        <v>0</v>
      </c>
      <c r="L55" s="53">
        <f>0</f>
        <v>0</v>
      </c>
      <c r="M55" s="53">
        <f>0</f>
        <v>0</v>
      </c>
      <c r="N55" s="54">
        <f>SUM(K55:M55)</f>
        <v>0</v>
      </c>
      <c r="O55" s="54">
        <f>ROUND((H55*K55),2)</f>
        <v>0</v>
      </c>
      <c r="P55" s="54">
        <f>ROUND((H55*L55),2)</f>
        <v>0</v>
      </c>
      <c r="Q55" s="54">
        <f>ROUND((H55*M55),2)</f>
        <v>0</v>
      </c>
      <c r="R55" s="54">
        <f>ROUND((H55*N55),2)</f>
        <v>0</v>
      </c>
      <c r="S55" s="54"/>
      <c r="T55" s="36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</row>
    <row r="56" spans="1:20 16329:16383" s="38" customFormat="1" ht="29.1" customHeight="1" outlineLevel="2" x14ac:dyDescent="0.25">
      <c r="A56" s="44" t="s">
        <v>137</v>
      </c>
      <c r="B56" s="45" t="s">
        <v>138</v>
      </c>
      <c r="C56" s="45" t="s">
        <v>139</v>
      </c>
      <c r="D56" s="4" t="s">
        <v>140</v>
      </c>
      <c r="E56" s="4"/>
      <c r="F56" s="46"/>
      <c r="G56" s="45" t="s">
        <v>72</v>
      </c>
      <c r="H56" s="47"/>
      <c r="I56" s="36"/>
      <c r="J56" s="47"/>
      <c r="K56" s="48"/>
      <c r="L56" s="48"/>
      <c r="M56" s="48"/>
      <c r="N56" s="48"/>
      <c r="O56" s="48">
        <f>O57+O58</f>
        <v>0</v>
      </c>
      <c r="P56" s="48">
        <f>P57+P58</f>
        <v>0</v>
      </c>
      <c r="Q56" s="48">
        <f>Q57+Q58</f>
        <v>0</v>
      </c>
      <c r="R56" s="48">
        <f>R57+R58</f>
        <v>0</v>
      </c>
      <c r="S56" s="48"/>
      <c r="T56" s="36"/>
      <c r="XDA56"/>
      <c r="XDB56"/>
      <c r="XDC56"/>
      <c r="XDD56"/>
      <c r="XDE56"/>
      <c r="XDF56"/>
      <c r="XDG56"/>
      <c r="XDH56"/>
      <c r="XDI56"/>
      <c r="XDJ56"/>
      <c r="XDK56"/>
      <c r="XDL56"/>
      <c r="XDM56"/>
      <c r="XDN56"/>
      <c r="XDO56"/>
      <c r="XDP56"/>
      <c r="XDQ56"/>
      <c r="XDR56"/>
      <c r="XDS56"/>
      <c r="XDT56"/>
      <c r="XDU56"/>
      <c r="XDV56"/>
      <c r="XDW56"/>
      <c r="XDX56"/>
      <c r="XDY56"/>
      <c r="XDZ56"/>
      <c r="XEA56"/>
      <c r="XEB56"/>
      <c r="XEC56"/>
      <c r="XED56"/>
      <c r="XEE56"/>
      <c r="XEF56"/>
      <c r="XEG56"/>
      <c r="XEH56"/>
      <c r="XEI56"/>
      <c r="XEJ56"/>
      <c r="XEK56"/>
      <c r="XEL56"/>
      <c r="XEM56"/>
      <c r="XEN56"/>
      <c r="XEO56"/>
      <c r="XEP56"/>
      <c r="XEQ56"/>
      <c r="XER56"/>
      <c r="XES56"/>
      <c r="XET56"/>
      <c r="XEU56"/>
      <c r="XEV56"/>
      <c r="XEW56"/>
      <c r="XEX56"/>
      <c r="XEY56"/>
      <c r="XEZ56"/>
      <c r="XFA56"/>
      <c r="XFB56"/>
      <c r="XFC56"/>
    </row>
    <row r="57" spans="1:20 16329:16383" s="38" customFormat="1" ht="29.1" customHeight="1" outlineLevel="3" x14ac:dyDescent="0.25">
      <c r="A57" s="49" t="s">
        <v>141</v>
      </c>
      <c r="B57" s="50"/>
      <c r="C57" s="50"/>
      <c r="D57" s="3" t="s">
        <v>142</v>
      </c>
      <c r="E57" s="3"/>
      <c r="F57" s="51"/>
      <c r="G57" s="50" t="s">
        <v>72</v>
      </c>
      <c r="H57" s="52">
        <f>1</f>
        <v>1</v>
      </c>
      <c r="I57" s="36"/>
      <c r="J57" s="52">
        <v>1</v>
      </c>
      <c r="K57" s="53">
        <f>0</f>
        <v>0</v>
      </c>
      <c r="L57" s="53">
        <f>0</f>
        <v>0</v>
      </c>
      <c r="M57" s="53">
        <f>0</f>
        <v>0</v>
      </c>
      <c r="N57" s="54">
        <f>SUM(K57:M57)</f>
        <v>0</v>
      </c>
      <c r="O57" s="54">
        <f>ROUND((H57*K57),2)</f>
        <v>0</v>
      </c>
      <c r="P57" s="54">
        <f>ROUND((H57*L57),2)</f>
        <v>0</v>
      </c>
      <c r="Q57" s="54">
        <f>ROUND((H57*M57),2)</f>
        <v>0</v>
      </c>
      <c r="R57" s="54">
        <f>ROUND((H57*N57),2)</f>
        <v>0</v>
      </c>
      <c r="S57" s="54"/>
      <c r="T57" s="36"/>
      <c r="XDA57"/>
      <c r="XDB57"/>
      <c r="XDC57"/>
      <c r="XDD57"/>
      <c r="XDE57"/>
      <c r="XDF57"/>
      <c r="XDG57"/>
      <c r="XDH57"/>
      <c r="XDI57"/>
      <c r="XDJ57"/>
      <c r="XDK57"/>
      <c r="XDL57"/>
      <c r="XDM57"/>
      <c r="XDN57"/>
      <c r="XDO57"/>
      <c r="XDP57"/>
      <c r="XDQ57"/>
      <c r="XDR57"/>
      <c r="XDS57"/>
      <c r="XDT57"/>
      <c r="XDU57"/>
      <c r="XDV57"/>
      <c r="XDW57"/>
      <c r="XDX57"/>
      <c r="XDY57"/>
      <c r="XDZ57"/>
      <c r="XEA57"/>
      <c r="XEB57"/>
      <c r="XEC57"/>
      <c r="XED57"/>
      <c r="XEE57"/>
      <c r="XEF57"/>
      <c r="XEG57"/>
      <c r="XEH57"/>
      <c r="XEI57"/>
      <c r="XEJ57"/>
      <c r="XEK57"/>
      <c r="XEL57"/>
      <c r="XEM57"/>
      <c r="XEN57"/>
      <c r="XEO57"/>
      <c r="XEP57"/>
      <c r="XEQ57"/>
      <c r="XER57"/>
      <c r="XES57"/>
      <c r="XET57"/>
      <c r="XEU57"/>
      <c r="XEV57"/>
      <c r="XEW57"/>
      <c r="XEX57"/>
      <c r="XEY57"/>
      <c r="XEZ57"/>
      <c r="XFA57"/>
      <c r="XFB57"/>
      <c r="XFC57"/>
    </row>
    <row r="58" spans="1:20 16329:16383" s="38" customFormat="1" ht="29.1" customHeight="1" outlineLevel="3" x14ac:dyDescent="0.25">
      <c r="A58" s="49" t="s">
        <v>143</v>
      </c>
      <c r="B58" s="50"/>
      <c r="C58" s="50"/>
      <c r="D58" s="3" t="s">
        <v>144</v>
      </c>
      <c r="E58" s="3"/>
      <c r="F58" s="51"/>
      <c r="G58" s="50" t="s">
        <v>29</v>
      </c>
      <c r="H58" s="52">
        <f>1</f>
        <v>1</v>
      </c>
      <c r="I58" s="36"/>
      <c r="J58" s="52">
        <v>1</v>
      </c>
      <c r="K58" s="53">
        <f>0</f>
        <v>0</v>
      </c>
      <c r="L58" s="53">
        <f>0</f>
        <v>0</v>
      </c>
      <c r="M58" s="53">
        <f>0</f>
        <v>0</v>
      </c>
      <c r="N58" s="54">
        <f>SUM(K58:M58)</f>
        <v>0</v>
      </c>
      <c r="O58" s="54">
        <f>ROUND((H58*K58),2)</f>
        <v>0</v>
      </c>
      <c r="P58" s="54">
        <f>ROUND((H58*L58),2)</f>
        <v>0</v>
      </c>
      <c r="Q58" s="54">
        <f>ROUND((H58*M58),2)</f>
        <v>0</v>
      </c>
      <c r="R58" s="54">
        <f>ROUND((H58*N58),2)</f>
        <v>0</v>
      </c>
      <c r="S58" s="54"/>
      <c r="T58" s="36"/>
      <c r="XDA58"/>
      <c r="XDB58"/>
      <c r="XDC58"/>
      <c r="XDD58"/>
      <c r="XDE58"/>
      <c r="XDF58"/>
      <c r="XDG58"/>
      <c r="XDH58"/>
      <c r="XDI58"/>
      <c r="XDJ58"/>
      <c r="XDK58"/>
      <c r="XDL58"/>
      <c r="XDM58"/>
      <c r="XDN58"/>
      <c r="XDO58"/>
      <c r="XDP58"/>
      <c r="XDQ58"/>
      <c r="XDR58"/>
      <c r="XDS58"/>
      <c r="XDT58"/>
      <c r="XDU58"/>
      <c r="XDV58"/>
      <c r="XDW58"/>
      <c r="XDX58"/>
      <c r="XDY58"/>
      <c r="XDZ58"/>
      <c r="XEA58"/>
      <c r="XEB58"/>
      <c r="XEC58"/>
      <c r="XED58"/>
      <c r="XEE58"/>
      <c r="XEF58"/>
      <c r="XEG58"/>
      <c r="XEH58"/>
      <c r="XEI58"/>
      <c r="XEJ58"/>
      <c r="XEK58"/>
      <c r="XEL58"/>
      <c r="XEM58"/>
      <c r="XEN58"/>
      <c r="XEO58"/>
      <c r="XEP58"/>
      <c r="XEQ58"/>
      <c r="XER58"/>
      <c r="XES58"/>
      <c r="XET58"/>
      <c r="XEU58"/>
      <c r="XEV58"/>
      <c r="XEW58"/>
      <c r="XEX58"/>
      <c r="XEY58"/>
      <c r="XEZ58"/>
      <c r="XFA58"/>
      <c r="XFB58"/>
      <c r="XFC58"/>
    </row>
    <row r="59" spans="1:20 16329:16383" s="38" customFormat="1" ht="29.1" customHeight="1" outlineLevel="1" x14ac:dyDescent="0.25">
      <c r="A59" s="39" t="s">
        <v>145</v>
      </c>
      <c r="B59" s="40" t="s">
        <v>34</v>
      </c>
      <c r="C59" s="40" t="s">
        <v>146</v>
      </c>
      <c r="D59" s="5" t="s">
        <v>147</v>
      </c>
      <c r="E59" s="5"/>
      <c r="F59" s="41"/>
      <c r="G59" s="40" t="s">
        <v>102</v>
      </c>
      <c r="H59" s="42"/>
      <c r="I59" s="36"/>
      <c r="J59" s="42"/>
      <c r="K59" s="43"/>
      <c r="L59" s="43"/>
      <c r="M59" s="43"/>
      <c r="N59" s="43"/>
      <c r="O59" s="43">
        <f>O60+O64</f>
        <v>0</v>
      </c>
      <c r="P59" s="43">
        <f>P60+P64</f>
        <v>0</v>
      </c>
      <c r="Q59" s="43">
        <f>Q60+Q64</f>
        <v>0</v>
      </c>
      <c r="R59" s="43">
        <f>R60+R64</f>
        <v>0</v>
      </c>
      <c r="S59" s="43"/>
      <c r="T59" s="36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</row>
    <row r="60" spans="1:20 16329:16383" s="38" customFormat="1" ht="29.1" customHeight="1" outlineLevel="2" x14ac:dyDescent="0.25">
      <c r="A60" s="44" t="s">
        <v>148</v>
      </c>
      <c r="B60" s="45" t="s">
        <v>149</v>
      </c>
      <c r="C60" s="45" t="s">
        <v>150</v>
      </c>
      <c r="D60" s="4" t="s">
        <v>151</v>
      </c>
      <c r="E60" s="4"/>
      <c r="F60" s="46"/>
      <c r="G60" s="45" t="s">
        <v>102</v>
      </c>
      <c r="H60" s="47"/>
      <c r="I60" s="36"/>
      <c r="J60" s="47"/>
      <c r="K60" s="48"/>
      <c r="L60" s="48"/>
      <c r="M60" s="48"/>
      <c r="N60" s="48"/>
      <c r="O60" s="48">
        <f>SUM(O61:O63)</f>
        <v>0</v>
      </c>
      <c r="P60" s="48">
        <f>SUM(P61:P63)</f>
        <v>0</v>
      </c>
      <c r="Q60" s="48">
        <f>SUM(Q61:Q63)</f>
        <v>0</v>
      </c>
      <c r="R60" s="48">
        <f>SUM(R61:R63)</f>
        <v>0</v>
      </c>
      <c r="S60" s="48"/>
      <c r="T60" s="36"/>
      <c r="XDA60"/>
      <c r="XDB60"/>
      <c r="XDC60"/>
      <c r="XDD60"/>
      <c r="XDE60"/>
      <c r="XDF60"/>
      <c r="XDG60"/>
      <c r="XDH60"/>
      <c r="XDI60"/>
      <c r="XDJ60"/>
      <c r="XDK60"/>
      <c r="XDL60"/>
      <c r="XDM60"/>
      <c r="XDN60"/>
      <c r="XDO60"/>
      <c r="XDP60"/>
      <c r="XDQ60"/>
      <c r="XDR60"/>
      <c r="XDS60"/>
      <c r="XDT60"/>
      <c r="XDU60"/>
      <c r="XDV60"/>
      <c r="XDW60"/>
      <c r="XDX60"/>
      <c r="XDY60"/>
      <c r="XDZ60"/>
      <c r="XEA60"/>
      <c r="XEB60"/>
      <c r="XEC60"/>
      <c r="XED60"/>
      <c r="XEE60"/>
      <c r="XEF60"/>
      <c r="XEG60"/>
      <c r="XEH60"/>
      <c r="XEI60"/>
      <c r="XEJ60"/>
      <c r="XEK60"/>
      <c r="XEL60"/>
      <c r="XEM60"/>
      <c r="XEN60"/>
      <c r="XEO60"/>
      <c r="XEP60"/>
      <c r="XEQ60"/>
      <c r="XER60"/>
      <c r="XES60"/>
      <c r="XET60"/>
      <c r="XEU60"/>
      <c r="XEV60"/>
      <c r="XEW60"/>
      <c r="XEX60"/>
      <c r="XEY60"/>
      <c r="XEZ60"/>
      <c r="XFA60"/>
      <c r="XFB60"/>
      <c r="XFC60"/>
    </row>
    <row r="61" spans="1:20 16329:16383" s="38" customFormat="1" ht="29.1" customHeight="1" outlineLevel="3" x14ac:dyDescent="0.25">
      <c r="A61" s="49" t="s">
        <v>152</v>
      </c>
      <c r="B61" s="50"/>
      <c r="C61" s="50"/>
      <c r="D61" s="3" t="s">
        <v>153</v>
      </c>
      <c r="E61" s="3"/>
      <c r="F61" s="51"/>
      <c r="G61" s="50" t="s">
        <v>102</v>
      </c>
      <c r="H61" s="52">
        <f>1</f>
        <v>1</v>
      </c>
      <c r="I61" s="36"/>
      <c r="J61" s="52">
        <v>1</v>
      </c>
      <c r="K61" s="53">
        <f>0</f>
        <v>0</v>
      </c>
      <c r="L61" s="53">
        <f>0</f>
        <v>0</v>
      </c>
      <c r="M61" s="53">
        <f>0</f>
        <v>0</v>
      </c>
      <c r="N61" s="54">
        <f>SUM(K61:M61)</f>
        <v>0</v>
      </c>
      <c r="O61" s="54">
        <f>ROUND((H61*K61),2)</f>
        <v>0</v>
      </c>
      <c r="P61" s="54">
        <f>ROUND((H61*L61),2)</f>
        <v>0</v>
      </c>
      <c r="Q61" s="54">
        <f>ROUND((H61*M61),2)</f>
        <v>0</v>
      </c>
      <c r="R61" s="54">
        <f>ROUND((H61*N61),2)</f>
        <v>0</v>
      </c>
      <c r="S61" s="54"/>
      <c r="T61" s="36"/>
      <c r="XDA61"/>
      <c r="XDB61"/>
      <c r="XDC61"/>
      <c r="XDD61"/>
      <c r="XDE61"/>
      <c r="XDF61"/>
      <c r="XDG61"/>
      <c r="XDH61"/>
      <c r="XDI61"/>
      <c r="XDJ61"/>
      <c r="XDK61"/>
      <c r="XDL61"/>
      <c r="XDM61"/>
      <c r="XDN61"/>
      <c r="XDO61"/>
      <c r="XDP61"/>
      <c r="XDQ61"/>
      <c r="XDR61"/>
      <c r="XDS61"/>
      <c r="XDT61"/>
      <c r="XDU61"/>
      <c r="XDV61"/>
      <c r="XDW61"/>
      <c r="XDX61"/>
      <c r="XDY61"/>
      <c r="XDZ61"/>
      <c r="XEA61"/>
      <c r="XEB61"/>
      <c r="XEC61"/>
      <c r="XED61"/>
      <c r="XEE61"/>
      <c r="XEF61"/>
      <c r="XEG61"/>
      <c r="XEH61"/>
      <c r="XEI61"/>
      <c r="XEJ61"/>
      <c r="XEK61"/>
      <c r="XEL61"/>
      <c r="XEM61"/>
      <c r="XEN61"/>
      <c r="XEO61"/>
      <c r="XEP61"/>
      <c r="XEQ61"/>
      <c r="XER61"/>
      <c r="XES61"/>
      <c r="XET61"/>
      <c r="XEU61"/>
      <c r="XEV61"/>
      <c r="XEW61"/>
      <c r="XEX61"/>
      <c r="XEY61"/>
      <c r="XEZ61"/>
      <c r="XFA61"/>
      <c r="XFB61"/>
      <c r="XFC61"/>
    </row>
    <row r="62" spans="1:20 16329:16383" s="38" customFormat="1" ht="29.1" customHeight="1" outlineLevel="3" x14ac:dyDescent="0.25">
      <c r="A62" s="49" t="s">
        <v>154</v>
      </c>
      <c r="B62" s="50"/>
      <c r="C62" s="50"/>
      <c r="D62" s="3" t="s">
        <v>155</v>
      </c>
      <c r="E62" s="3"/>
      <c r="F62" s="51" t="s">
        <v>156</v>
      </c>
      <c r="G62" s="50" t="s">
        <v>102</v>
      </c>
      <c r="H62" s="52">
        <f>1</f>
        <v>1</v>
      </c>
      <c r="I62" s="36"/>
      <c r="J62" s="52">
        <v>1</v>
      </c>
      <c r="K62" s="53">
        <f>0</f>
        <v>0</v>
      </c>
      <c r="L62" s="53">
        <f>0</f>
        <v>0</v>
      </c>
      <c r="M62" s="53">
        <f>0</f>
        <v>0</v>
      </c>
      <c r="N62" s="54">
        <f>SUM(K62:M62)</f>
        <v>0</v>
      </c>
      <c r="O62" s="54">
        <f>ROUND((H62*K62),2)</f>
        <v>0</v>
      </c>
      <c r="P62" s="54">
        <f>ROUND((H62*L62),2)</f>
        <v>0</v>
      </c>
      <c r="Q62" s="54">
        <f>ROUND((H62*M62),2)</f>
        <v>0</v>
      </c>
      <c r="R62" s="54">
        <f>ROUND((H62*N62),2)</f>
        <v>0</v>
      </c>
      <c r="S62" s="54"/>
      <c r="T62" s="36"/>
      <c r="XDA62"/>
      <c r="XDB62"/>
      <c r="XDC62"/>
      <c r="XDD62"/>
      <c r="XDE62"/>
      <c r="XDF62"/>
      <c r="XDG62"/>
      <c r="XDH62"/>
      <c r="XDI62"/>
      <c r="XDJ62"/>
      <c r="XDK62"/>
      <c r="XDL62"/>
      <c r="XDM62"/>
      <c r="XDN62"/>
      <c r="XDO62"/>
      <c r="XDP62"/>
      <c r="XDQ62"/>
      <c r="XDR62"/>
      <c r="XDS62"/>
      <c r="XDT62"/>
      <c r="XDU62"/>
      <c r="XDV62"/>
      <c r="XDW62"/>
      <c r="XDX62"/>
      <c r="XDY62"/>
      <c r="XDZ62"/>
      <c r="XEA62"/>
      <c r="XEB62"/>
      <c r="XEC62"/>
      <c r="XED62"/>
      <c r="XEE62"/>
      <c r="XEF62"/>
      <c r="XEG62"/>
      <c r="XEH62"/>
      <c r="XEI62"/>
      <c r="XEJ62"/>
      <c r="XEK62"/>
      <c r="XEL62"/>
      <c r="XEM62"/>
      <c r="XEN62"/>
      <c r="XEO62"/>
      <c r="XEP62"/>
      <c r="XEQ62"/>
      <c r="XER62"/>
      <c r="XES62"/>
      <c r="XET62"/>
      <c r="XEU62"/>
      <c r="XEV62"/>
      <c r="XEW62"/>
      <c r="XEX62"/>
      <c r="XEY62"/>
      <c r="XEZ62"/>
      <c r="XFA62"/>
      <c r="XFB62"/>
      <c r="XFC62"/>
    </row>
    <row r="63" spans="1:20 16329:16383" s="38" customFormat="1" ht="29.1" customHeight="1" outlineLevel="3" x14ac:dyDescent="0.25">
      <c r="A63" s="49" t="s">
        <v>157</v>
      </c>
      <c r="B63" s="50"/>
      <c r="C63" s="50"/>
      <c r="D63" s="3" t="s">
        <v>158</v>
      </c>
      <c r="E63" s="3"/>
      <c r="F63" s="51" t="s">
        <v>159</v>
      </c>
      <c r="G63" s="50" t="s">
        <v>117</v>
      </c>
      <c r="H63" s="52">
        <f>1</f>
        <v>1</v>
      </c>
      <c r="I63" s="36"/>
      <c r="J63" s="52">
        <v>1</v>
      </c>
      <c r="K63" s="53">
        <f>0</f>
        <v>0</v>
      </c>
      <c r="L63" s="53">
        <f>0</f>
        <v>0</v>
      </c>
      <c r="M63" s="53">
        <f>0</f>
        <v>0</v>
      </c>
      <c r="N63" s="54">
        <f>SUM(K63:M63)</f>
        <v>0</v>
      </c>
      <c r="O63" s="54">
        <f>ROUND((H63*K63),2)</f>
        <v>0</v>
      </c>
      <c r="P63" s="54">
        <f>ROUND((H63*L63),2)</f>
        <v>0</v>
      </c>
      <c r="Q63" s="54">
        <f>ROUND((H63*M63),2)</f>
        <v>0</v>
      </c>
      <c r="R63" s="54">
        <f>ROUND((H63*N63),2)</f>
        <v>0</v>
      </c>
      <c r="S63" s="54"/>
      <c r="T63" s="36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  <c r="XDR63"/>
      <c r="XDS63"/>
      <c r="XDT63"/>
      <c r="XDU63"/>
      <c r="XDV63"/>
      <c r="XDW63"/>
      <c r="XDX63"/>
      <c r="XDY63"/>
      <c r="XDZ63"/>
      <c r="XEA63"/>
      <c r="XEB63"/>
      <c r="XEC63"/>
      <c r="XED63"/>
      <c r="XEE63"/>
      <c r="XEF63"/>
      <c r="XEG63"/>
      <c r="XEH63"/>
      <c r="XEI63"/>
      <c r="XEJ63"/>
      <c r="XEK63"/>
      <c r="XEL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  <c r="XEZ63"/>
      <c r="XFA63"/>
      <c r="XFB63"/>
      <c r="XFC63"/>
    </row>
    <row r="64" spans="1:20 16329:16383" s="38" customFormat="1" ht="29.1" customHeight="1" outlineLevel="2" x14ac:dyDescent="0.25">
      <c r="A64" s="44" t="s">
        <v>160</v>
      </c>
      <c r="B64" s="45" t="s">
        <v>161</v>
      </c>
      <c r="C64" s="45" t="s">
        <v>162</v>
      </c>
      <c r="D64" s="4" t="s">
        <v>163</v>
      </c>
      <c r="E64" s="4"/>
      <c r="F64" s="46"/>
      <c r="G64" s="45" t="s">
        <v>102</v>
      </c>
      <c r="H64" s="47"/>
      <c r="I64" s="36"/>
      <c r="J64" s="47"/>
      <c r="K64" s="48"/>
      <c r="L64" s="48"/>
      <c r="M64" s="48"/>
      <c r="N64" s="48"/>
      <c r="O64" s="48">
        <f>O65+O70+O74+O76+O82+O89+O97</f>
        <v>0</v>
      </c>
      <c r="P64" s="48">
        <f>P65+P70+P74+P76+P82+P89+P97</f>
        <v>0</v>
      </c>
      <c r="Q64" s="48">
        <f>Q65+Q70+Q74+Q76+Q82+Q89+Q97</f>
        <v>0</v>
      </c>
      <c r="R64" s="48">
        <f>R65+R70+R74+R76+R82+R89+R97</f>
        <v>0</v>
      </c>
      <c r="S64" s="48"/>
      <c r="T64" s="36"/>
      <c r="XDA64"/>
      <c r="XDB64"/>
      <c r="XDC64"/>
      <c r="XDD64"/>
      <c r="XDE64"/>
      <c r="XDF64"/>
      <c r="XDG64"/>
      <c r="XDH64"/>
      <c r="XDI64"/>
      <c r="XDJ64"/>
      <c r="XDK64"/>
      <c r="XDL64"/>
      <c r="XDM64"/>
      <c r="XDN64"/>
      <c r="XDO64"/>
      <c r="XDP64"/>
      <c r="XDQ64"/>
      <c r="XDR64"/>
      <c r="XDS64"/>
      <c r="XDT64"/>
      <c r="XDU64"/>
      <c r="XDV64"/>
      <c r="XDW64"/>
      <c r="XDX64"/>
      <c r="XDY64"/>
      <c r="XDZ64"/>
      <c r="XEA64"/>
      <c r="XEB64"/>
      <c r="XEC64"/>
      <c r="XED64"/>
      <c r="XEE64"/>
      <c r="XEF64"/>
      <c r="XEG64"/>
      <c r="XEH64"/>
      <c r="XEI64"/>
      <c r="XEJ64"/>
      <c r="XEK64"/>
      <c r="XEL64"/>
      <c r="XEM64"/>
      <c r="XEN64"/>
      <c r="XEO64"/>
      <c r="XEP64"/>
      <c r="XEQ64"/>
      <c r="XER64"/>
      <c r="XES64"/>
      <c r="XET64"/>
      <c r="XEU64"/>
      <c r="XEV64"/>
      <c r="XEW64"/>
      <c r="XEX64"/>
      <c r="XEY64"/>
      <c r="XEZ64"/>
      <c r="XFA64"/>
      <c r="XFB64"/>
      <c r="XFC64"/>
    </row>
    <row r="65" spans="1:20 16329:16383" s="38" customFormat="1" ht="29.1" customHeight="1" outlineLevel="3" x14ac:dyDescent="0.25">
      <c r="A65" s="55" t="s">
        <v>164</v>
      </c>
      <c r="B65" s="56" t="s">
        <v>165</v>
      </c>
      <c r="C65" s="56"/>
      <c r="D65" s="2" t="s">
        <v>166</v>
      </c>
      <c r="E65" s="2"/>
      <c r="F65" s="57"/>
      <c r="G65" s="56"/>
      <c r="H65" s="58"/>
      <c r="I65" s="36"/>
      <c r="J65" s="58"/>
      <c r="K65" s="59"/>
      <c r="L65" s="59"/>
      <c r="M65" s="59"/>
      <c r="N65" s="59"/>
      <c r="O65" s="59">
        <f>SUM(O66:O69)</f>
        <v>0</v>
      </c>
      <c r="P65" s="59">
        <f>SUM(P66:P69)</f>
        <v>0</v>
      </c>
      <c r="Q65" s="59">
        <f>SUM(Q66:Q69)</f>
        <v>0</v>
      </c>
      <c r="R65" s="59">
        <f>SUM(R66:R69)</f>
        <v>0</v>
      </c>
      <c r="S65" s="59"/>
      <c r="T65" s="36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  <c r="XDR65"/>
      <c r="XDS65"/>
      <c r="XDT65"/>
      <c r="XDU65"/>
      <c r="XDV65"/>
      <c r="XDW65"/>
      <c r="XDX65"/>
      <c r="XDY65"/>
      <c r="XDZ65"/>
      <c r="XEA65"/>
      <c r="XEB65"/>
      <c r="XEC65"/>
      <c r="XED65"/>
      <c r="XEE65"/>
      <c r="XEF65"/>
      <c r="XEG65"/>
      <c r="XEH65"/>
      <c r="XEI65"/>
      <c r="XEJ65"/>
      <c r="XEK65"/>
      <c r="XEL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  <c r="XEZ65"/>
      <c r="XFA65"/>
      <c r="XFB65"/>
      <c r="XFC65"/>
    </row>
    <row r="66" spans="1:20 16329:16383" s="38" customFormat="1" ht="29.1" customHeight="1" outlineLevel="4" x14ac:dyDescent="0.25">
      <c r="A66" s="49" t="s">
        <v>167</v>
      </c>
      <c r="B66" s="50"/>
      <c r="C66" s="50"/>
      <c r="D66" s="3" t="s">
        <v>168</v>
      </c>
      <c r="E66" s="3"/>
      <c r="F66" s="51"/>
      <c r="G66" s="50" t="s">
        <v>102</v>
      </c>
      <c r="H66" s="52">
        <f>1</f>
        <v>1</v>
      </c>
      <c r="I66" s="36"/>
      <c r="J66" s="52">
        <v>1</v>
      </c>
      <c r="K66" s="53">
        <f>0</f>
        <v>0</v>
      </c>
      <c r="L66" s="53">
        <f>0</f>
        <v>0</v>
      </c>
      <c r="M66" s="53">
        <f>0</f>
        <v>0</v>
      </c>
      <c r="N66" s="54">
        <f>SUM(K66:M66)</f>
        <v>0</v>
      </c>
      <c r="O66" s="54">
        <f>ROUND((H66*K66),2)</f>
        <v>0</v>
      </c>
      <c r="P66" s="54">
        <f>ROUND((H66*L66),2)</f>
        <v>0</v>
      </c>
      <c r="Q66" s="54">
        <f>ROUND((H66*M66),2)</f>
        <v>0</v>
      </c>
      <c r="R66" s="54">
        <f>ROUND((H66*N66),2)</f>
        <v>0</v>
      </c>
      <c r="S66" s="54"/>
      <c r="T66" s="36"/>
      <c r="XDA66"/>
      <c r="XDB66"/>
      <c r="XDC66"/>
      <c r="XDD66"/>
      <c r="XDE66"/>
      <c r="XDF66"/>
      <c r="XDG66"/>
      <c r="XDH66"/>
      <c r="XDI66"/>
      <c r="XDJ66"/>
      <c r="XDK66"/>
      <c r="XDL66"/>
      <c r="XDM66"/>
      <c r="XDN66"/>
      <c r="XDO66"/>
      <c r="XDP66"/>
      <c r="XDQ66"/>
      <c r="XDR66"/>
      <c r="XDS66"/>
      <c r="XDT66"/>
      <c r="XDU66"/>
      <c r="XDV66"/>
      <c r="XDW66"/>
      <c r="XDX66"/>
      <c r="XDY66"/>
      <c r="XDZ66"/>
      <c r="XEA66"/>
      <c r="XEB66"/>
      <c r="XEC66"/>
      <c r="XED66"/>
      <c r="XEE66"/>
      <c r="XEF66"/>
      <c r="XEG66"/>
      <c r="XEH66"/>
      <c r="XEI66"/>
      <c r="XEJ66"/>
      <c r="XEK66"/>
      <c r="XEL66"/>
      <c r="XEM66"/>
      <c r="XEN66"/>
      <c r="XEO66"/>
      <c r="XEP66"/>
      <c r="XEQ66"/>
      <c r="XER66"/>
      <c r="XES66"/>
      <c r="XET66"/>
      <c r="XEU66"/>
      <c r="XEV66"/>
      <c r="XEW66"/>
      <c r="XEX66"/>
      <c r="XEY66"/>
      <c r="XEZ66"/>
      <c r="XFA66"/>
      <c r="XFB66"/>
      <c r="XFC66"/>
    </row>
    <row r="67" spans="1:20 16329:16383" s="38" customFormat="1" ht="29.1" customHeight="1" outlineLevel="4" x14ac:dyDescent="0.25">
      <c r="A67" s="49" t="s">
        <v>169</v>
      </c>
      <c r="B67" s="50"/>
      <c r="C67" s="50"/>
      <c r="D67" s="3" t="s">
        <v>170</v>
      </c>
      <c r="E67" s="3"/>
      <c r="F67" s="51"/>
      <c r="G67" s="50" t="s">
        <v>102</v>
      </c>
      <c r="H67" s="52">
        <f>1</f>
        <v>1</v>
      </c>
      <c r="I67" s="36"/>
      <c r="J67" s="52">
        <v>1</v>
      </c>
      <c r="K67" s="53">
        <f>0</f>
        <v>0</v>
      </c>
      <c r="L67" s="53">
        <f>0</f>
        <v>0</v>
      </c>
      <c r="M67" s="53">
        <f>0</f>
        <v>0</v>
      </c>
      <c r="N67" s="54">
        <f>SUM(K67:M67)</f>
        <v>0</v>
      </c>
      <c r="O67" s="54">
        <f>ROUND((H67*K67),2)</f>
        <v>0</v>
      </c>
      <c r="P67" s="54">
        <f>ROUND((H67*L67),2)</f>
        <v>0</v>
      </c>
      <c r="Q67" s="54">
        <f>ROUND((H67*M67),2)</f>
        <v>0</v>
      </c>
      <c r="R67" s="54">
        <f>ROUND((H67*N67),2)</f>
        <v>0</v>
      </c>
      <c r="S67" s="54"/>
      <c r="T67" s="36"/>
      <c r="XDA67"/>
      <c r="XDB67"/>
      <c r="XDC67"/>
      <c r="XDD67"/>
      <c r="XDE67"/>
      <c r="XDF67"/>
      <c r="XDG67"/>
      <c r="XDH67"/>
      <c r="XDI67"/>
      <c r="XDJ67"/>
      <c r="XDK67"/>
      <c r="XDL67"/>
      <c r="XDM67"/>
      <c r="XDN67"/>
      <c r="XDO67"/>
      <c r="XDP67"/>
      <c r="XDQ67"/>
      <c r="XDR67"/>
      <c r="XDS67"/>
      <c r="XDT67"/>
      <c r="XDU67"/>
      <c r="XDV67"/>
      <c r="XDW67"/>
      <c r="XDX67"/>
      <c r="XDY67"/>
      <c r="XDZ67"/>
      <c r="XEA67"/>
      <c r="XEB67"/>
      <c r="XEC67"/>
      <c r="XED67"/>
      <c r="XEE67"/>
      <c r="XEF67"/>
      <c r="XEG67"/>
      <c r="XEH67"/>
      <c r="XEI67"/>
      <c r="XEJ67"/>
      <c r="XEK67"/>
      <c r="XEL67"/>
      <c r="XEM67"/>
      <c r="XEN67"/>
      <c r="XEO67"/>
      <c r="XEP67"/>
      <c r="XEQ67"/>
      <c r="XER67"/>
      <c r="XES67"/>
      <c r="XET67"/>
      <c r="XEU67"/>
      <c r="XEV67"/>
      <c r="XEW67"/>
      <c r="XEX67"/>
      <c r="XEY67"/>
      <c r="XEZ67"/>
      <c r="XFA67"/>
      <c r="XFB67"/>
      <c r="XFC67"/>
    </row>
    <row r="68" spans="1:20 16329:16383" s="38" customFormat="1" ht="29.1" customHeight="1" outlineLevel="4" x14ac:dyDescent="0.25">
      <c r="A68" s="49" t="s">
        <v>171</v>
      </c>
      <c r="B68" s="50"/>
      <c r="C68" s="50"/>
      <c r="D68" s="3" t="s">
        <v>172</v>
      </c>
      <c r="E68" s="3"/>
      <c r="F68" s="51"/>
      <c r="G68" s="50" t="s">
        <v>102</v>
      </c>
      <c r="H68" s="52">
        <f>1</f>
        <v>1</v>
      </c>
      <c r="I68" s="36"/>
      <c r="J68" s="52">
        <v>1</v>
      </c>
      <c r="K68" s="53">
        <f>0</f>
        <v>0</v>
      </c>
      <c r="L68" s="53">
        <f>0</f>
        <v>0</v>
      </c>
      <c r="M68" s="53">
        <f>0</f>
        <v>0</v>
      </c>
      <c r="N68" s="54">
        <f>SUM(K68:M68)</f>
        <v>0</v>
      </c>
      <c r="O68" s="54">
        <f>ROUND((H68*K68),2)</f>
        <v>0</v>
      </c>
      <c r="P68" s="54">
        <f>ROUND((H68*L68),2)</f>
        <v>0</v>
      </c>
      <c r="Q68" s="54">
        <f>ROUND((H68*M68),2)</f>
        <v>0</v>
      </c>
      <c r="R68" s="54">
        <f>ROUND((H68*N68),2)</f>
        <v>0</v>
      </c>
      <c r="S68" s="54"/>
      <c r="T68" s="36"/>
      <c r="XDA68"/>
      <c r="XDB68"/>
      <c r="XDC68"/>
      <c r="XDD68"/>
      <c r="XDE68"/>
      <c r="XDF68"/>
      <c r="XDG68"/>
      <c r="XDH68"/>
      <c r="XDI68"/>
      <c r="XDJ68"/>
      <c r="XDK68"/>
      <c r="XDL68"/>
      <c r="XDM68"/>
      <c r="XDN68"/>
      <c r="XDO68"/>
      <c r="XDP68"/>
      <c r="XDQ68"/>
      <c r="XDR68"/>
      <c r="XDS68"/>
      <c r="XDT68"/>
      <c r="XDU68"/>
      <c r="XDV68"/>
      <c r="XDW68"/>
      <c r="XDX68"/>
      <c r="XDY68"/>
      <c r="XDZ68"/>
      <c r="XEA68"/>
      <c r="XEB68"/>
      <c r="XEC68"/>
      <c r="XED68"/>
      <c r="XEE68"/>
      <c r="XEF68"/>
      <c r="XEG68"/>
      <c r="XEH68"/>
      <c r="XEI68"/>
      <c r="XEJ68"/>
      <c r="XEK68"/>
      <c r="XEL68"/>
      <c r="XEM68"/>
      <c r="XEN68"/>
      <c r="XEO68"/>
      <c r="XEP68"/>
      <c r="XEQ68"/>
      <c r="XER68"/>
      <c r="XES68"/>
      <c r="XET68"/>
      <c r="XEU68"/>
      <c r="XEV68"/>
      <c r="XEW68"/>
      <c r="XEX68"/>
      <c r="XEY68"/>
      <c r="XEZ68"/>
      <c r="XFA68"/>
      <c r="XFB68"/>
      <c r="XFC68"/>
    </row>
    <row r="69" spans="1:20 16329:16383" s="38" customFormat="1" ht="29.1" customHeight="1" outlineLevel="4" x14ac:dyDescent="0.25">
      <c r="A69" s="49" t="s">
        <v>173</v>
      </c>
      <c r="B69" s="50"/>
      <c r="C69" s="50"/>
      <c r="D69" s="3" t="s">
        <v>174</v>
      </c>
      <c r="E69" s="3"/>
      <c r="F69" s="51"/>
      <c r="G69" s="50" t="s">
        <v>102</v>
      </c>
      <c r="H69" s="52">
        <f>1</f>
        <v>1</v>
      </c>
      <c r="I69" s="36"/>
      <c r="J69" s="52">
        <v>1</v>
      </c>
      <c r="K69" s="53">
        <f>0</f>
        <v>0</v>
      </c>
      <c r="L69" s="53">
        <f>0</f>
        <v>0</v>
      </c>
      <c r="M69" s="53">
        <f>0</f>
        <v>0</v>
      </c>
      <c r="N69" s="54">
        <f>SUM(K69:M69)</f>
        <v>0</v>
      </c>
      <c r="O69" s="54">
        <f>ROUND((H69*K69),2)</f>
        <v>0</v>
      </c>
      <c r="P69" s="54">
        <f>ROUND((H69*L69),2)</f>
        <v>0</v>
      </c>
      <c r="Q69" s="54">
        <f>ROUND((H69*M69),2)</f>
        <v>0</v>
      </c>
      <c r="R69" s="54">
        <f>ROUND((H69*N69),2)</f>
        <v>0</v>
      </c>
      <c r="S69" s="54"/>
      <c r="T69" s="36"/>
      <c r="XDA69"/>
      <c r="XDB69"/>
      <c r="XDC69"/>
      <c r="XDD69"/>
      <c r="XDE69"/>
      <c r="XDF69"/>
      <c r="XDG69"/>
      <c r="XDH69"/>
      <c r="XDI69"/>
      <c r="XDJ69"/>
      <c r="XDK69"/>
      <c r="XDL69"/>
      <c r="XDM69"/>
      <c r="XDN69"/>
      <c r="XDO69"/>
      <c r="XDP69"/>
      <c r="XDQ69"/>
      <c r="XDR69"/>
      <c r="XDS69"/>
      <c r="XDT69"/>
      <c r="XDU69"/>
      <c r="XDV69"/>
      <c r="XDW69"/>
      <c r="XDX69"/>
      <c r="XDY69"/>
      <c r="XDZ69"/>
      <c r="XEA69"/>
      <c r="XEB69"/>
      <c r="XEC69"/>
      <c r="XED69"/>
      <c r="XEE69"/>
      <c r="XEF69"/>
      <c r="XEG69"/>
      <c r="XEH69"/>
      <c r="XEI69"/>
      <c r="XEJ69"/>
      <c r="XEK69"/>
      <c r="XEL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  <c r="XEZ69"/>
      <c r="XFA69"/>
      <c r="XFB69"/>
      <c r="XFC69"/>
    </row>
    <row r="70" spans="1:20 16329:16383" s="38" customFormat="1" ht="29.1" customHeight="1" outlineLevel="3" x14ac:dyDescent="0.25">
      <c r="A70" s="55" t="s">
        <v>175</v>
      </c>
      <c r="B70" s="56" t="s">
        <v>176</v>
      </c>
      <c r="C70" s="56"/>
      <c r="D70" s="2" t="s">
        <v>177</v>
      </c>
      <c r="E70" s="2"/>
      <c r="F70" s="57"/>
      <c r="G70" s="56"/>
      <c r="H70" s="58"/>
      <c r="I70" s="36"/>
      <c r="J70" s="58"/>
      <c r="K70" s="59"/>
      <c r="L70" s="59"/>
      <c r="M70" s="59"/>
      <c r="N70" s="59"/>
      <c r="O70" s="59">
        <f>SUM(O71:O73)</f>
        <v>0</v>
      </c>
      <c r="P70" s="59">
        <f>SUM(P71:P73)</f>
        <v>0</v>
      </c>
      <c r="Q70" s="59">
        <f>SUM(Q71:Q73)</f>
        <v>0</v>
      </c>
      <c r="R70" s="59">
        <f>SUM(R71:R73)</f>
        <v>0</v>
      </c>
      <c r="S70" s="59"/>
      <c r="T70" s="36"/>
      <c r="XDA70"/>
      <c r="XDB70"/>
      <c r="XDC70"/>
      <c r="XDD70"/>
      <c r="XDE70"/>
      <c r="XDF70"/>
      <c r="XDG70"/>
      <c r="XDH70"/>
      <c r="XDI70"/>
      <c r="XDJ70"/>
      <c r="XDK70"/>
      <c r="XDL70"/>
      <c r="XDM70"/>
      <c r="XDN70"/>
      <c r="XDO70"/>
      <c r="XDP70"/>
      <c r="XDQ70"/>
      <c r="XDR70"/>
      <c r="XDS70"/>
      <c r="XDT70"/>
      <c r="XDU70"/>
      <c r="XDV70"/>
      <c r="XDW70"/>
      <c r="XDX70"/>
      <c r="XDY70"/>
      <c r="XDZ70"/>
      <c r="XEA70"/>
      <c r="XEB70"/>
      <c r="XEC70"/>
      <c r="XED70"/>
      <c r="XEE70"/>
      <c r="XEF70"/>
      <c r="XEG70"/>
      <c r="XEH70"/>
      <c r="XEI70"/>
      <c r="XEJ70"/>
      <c r="XEK70"/>
      <c r="XEL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  <c r="XEZ70"/>
      <c r="XFA70"/>
      <c r="XFB70"/>
      <c r="XFC70"/>
    </row>
    <row r="71" spans="1:20 16329:16383" s="38" customFormat="1" ht="29.1" customHeight="1" outlineLevel="4" x14ac:dyDescent="0.25">
      <c r="A71" s="49" t="s">
        <v>178</v>
      </c>
      <c r="B71" s="50"/>
      <c r="C71" s="50"/>
      <c r="D71" s="3" t="s">
        <v>179</v>
      </c>
      <c r="E71" s="3"/>
      <c r="F71" s="51"/>
      <c r="G71" s="50" t="s">
        <v>102</v>
      </c>
      <c r="H71" s="52">
        <f>1</f>
        <v>1</v>
      </c>
      <c r="I71" s="36"/>
      <c r="J71" s="52">
        <v>1</v>
      </c>
      <c r="K71" s="53">
        <f>0</f>
        <v>0</v>
      </c>
      <c r="L71" s="53">
        <f>0</f>
        <v>0</v>
      </c>
      <c r="M71" s="53">
        <f>0</f>
        <v>0</v>
      </c>
      <c r="N71" s="54">
        <f>SUM(K71:M71)</f>
        <v>0</v>
      </c>
      <c r="O71" s="54">
        <f>ROUND((H71*K71),2)</f>
        <v>0</v>
      </c>
      <c r="P71" s="54">
        <f>ROUND((H71*L71),2)</f>
        <v>0</v>
      </c>
      <c r="Q71" s="54">
        <f>ROUND((H71*M71),2)</f>
        <v>0</v>
      </c>
      <c r="R71" s="54">
        <f>ROUND((H71*N71),2)</f>
        <v>0</v>
      </c>
      <c r="S71" s="54"/>
      <c r="T71" s="36"/>
      <c r="XDA71"/>
      <c r="XDB71"/>
      <c r="XDC71"/>
      <c r="XDD71"/>
      <c r="XDE71"/>
      <c r="XDF71"/>
      <c r="XDG71"/>
      <c r="XDH71"/>
      <c r="XDI71"/>
      <c r="XDJ71"/>
      <c r="XDK71"/>
      <c r="XDL71"/>
      <c r="XDM71"/>
      <c r="XDN71"/>
      <c r="XDO71"/>
      <c r="XDP71"/>
      <c r="XDQ71"/>
      <c r="XDR71"/>
      <c r="XDS71"/>
      <c r="XDT71"/>
      <c r="XDU71"/>
      <c r="XDV71"/>
      <c r="XDW71"/>
      <c r="XDX71"/>
      <c r="XDY71"/>
      <c r="XDZ71"/>
      <c r="XEA71"/>
      <c r="XEB71"/>
      <c r="XEC71"/>
      <c r="XED71"/>
      <c r="XEE71"/>
      <c r="XEF71"/>
      <c r="XEG71"/>
      <c r="XEH71"/>
      <c r="XEI71"/>
      <c r="XEJ71"/>
      <c r="XEK71"/>
      <c r="XEL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</row>
    <row r="72" spans="1:20 16329:16383" s="38" customFormat="1" ht="29.1" customHeight="1" outlineLevel="4" x14ac:dyDescent="0.25">
      <c r="A72" s="49" t="s">
        <v>180</v>
      </c>
      <c r="B72" s="50"/>
      <c r="C72" s="50"/>
      <c r="D72" s="3" t="s">
        <v>170</v>
      </c>
      <c r="E72" s="3"/>
      <c r="F72" s="51"/>
      <c r="G72" s="50" t="s">
        <v>102</v>
      </c>
      <c r="H72" s="52">
        <f>1</f>
        <v>1</v>
      </c>
      <c r="I72" s="36"/>
      <c r="J72" s="52">
        <v>1</v>
      </c>
      <c r="K72" s="53">
        <f>0</f>
        <v>0</v>
      </c>
      <c r="L72" s="53">
        <f>0</f>
        <v>0</v>
      </c>
      <c r="M72" s="53">
        <f>0</f>
        <v>0</v>
      </c>
      <c r="N72" s="54">
        <f>SUM(K72:M72)</f>
        <v>0</v>
      </c>
      <c r="O72" s="54">
        <f>ROUND((H72*K72),2)</f>
        <v>0</v>
      </c>
      <c r="P72" s="54">
        <f>ROUND((H72*L72),2)</f>
        <v>0</v>
      </c>
      <c r="Q72" s="54">
        <f>ROUND((H72*M72),2)</f>
        <v>0</v>
      </c>
      <c r="R72" s="54">
        <f>ROUND((H72*N72),2)</f>
        <v>0</v>
      </c>
      <c r="S72" s="54"/>
      <c r="T72" s="36"/>
      <c r="XDA72"/>
      <c r="XDB72"/>
      <c r="XDC72"/>
      <c r="XDD72"/>
      <c r="XDE72"/>
      <c r="XDF72"/>
      <c r="XDG72"/>
      <c r="XDH72"/>
      <c r="XDI72"/>
      <c r="XDJ72"/>
      <c r="XDK72"/>
      <c r="XDL72"/>
      <c r="XDM72"/>
      <c r="XDN72"/>
      <c r="XDO72"/>
      <c r="XDP72"/>
      <c r="XDQ72"/>
      <c r="XDR72"/>
      <c r="XDS72"/>
      <c r="XDT72"/>
      <c r="XDU72"/>
      <c r="XDV72"/>
      <c r="XDW72"/>
      <c r="XDX72"/>
      <c r="XDY72"/>
      <c r="XDZ72"/>
      <c r="XEA72"/>
      <c r="XEB72"/>
      <c r="XEC72"/>
      <c r="XED72"/>
      <c r="XEE72"/>
      <c r="XEF72"/>
      <c r="XEG72"/>
      <c r="XEH72"/>
      <c r="XEI72"/>
      <c r="XEJ72"/>
      <c r="XEK72"/>
      <c r="XEL72"/>
      <c r="XEM72"/>
      <c r="XEN72"/>
      <c r="XEO72"/>
      <c r="XEP72"/>
      <c r="XEQ72"/>
      <c r="XER72"/>
      <c r="XES72"/>
      <c r="XET72"/>
      <c r="XEU72"/>
      <c r="XEV72"/>
      <c r="XEW72"/>
      <c r="XEX72"/>
      <c r="XEY72"/>
      <c r="XEZ72"/>
      <c r="XFA72"/>
      <c r="XFB72"/>
      <c r="XFC72"/>
    </row>
    <row r="73" spans="1:20 16329:16383" s="38" customFormat="1" ht="29.1" customHeight="1" outlineLevel="4" x14ac:dyDescent="0.25">
      <c r="A73" s="49" t="s">
        <v>181</v>
      </c>
      <c r="B73" s="50"/>
      <c r="C73" s="50"/>
      <c r="D73" s="3" t="s">
        <v>182</v>
      </c>
      <c r="E73" s="3"/>
      <c r="F73" s="51"/>
      <c r="G73" s="50" t="s">
        <v>102</v>
      </c>
      <c r="H73" s="52">
        <f>1</f>
        <v>1</v>
      </c>
      <c r="I73" s="36"/>
      <c r="J73" s="52">
        <v>1</v>
      </c>
      <c r="K73" s="53">
        <f>0</f>
        <v>0</v>
      </c>
      <c r="L73" s="53">
        <f>0</f>
        <v>0</v>
      </c>
      <c r="M73" s="53">
        <f>0</f>
        <v>0</v>
      </c>
      <c r="N73" s="54">
        <f>SUM(K73:M73)</f>
        <v>0</v>
      </c>
      <c r="O73" s="54">
        <f>ROUND((H73*K73),2)</f>
        <v>0</v>
      </c>
      <c r="P73" s="54">
        <f>ROUND((H73*L73),2)</f>
        <v>0</v>
      </c>
      <c r="Q73" s="54">
        <f>ROUND((H73*M73),2)</f>
        <v>0</v>
      </c>
      <c r="R73" s="54">
        <f>ROUND((H73*N73),2)</f>
        <v>0</v>
      </c>
      <c r="S73" s="54"/>
      <c r="T73" s="36"/>
      <c r="XDA73"/>
      <c r="XDB73"/>
      <c r="XDC73"/>
      <c r="XDD73"/>
      <c r="XDE73"/>
      <c r="XDF73"/>
      <c r="XDG73"/>
      <c r="XDH73"/>
      <c r="XDI73"/>
      <c r="XDJ73"/>
      <c r="XDK73"/>
      <c r="XDL73"/>
      <c r="XDM73"/>
      <c r="XDN73"/>
      <c r="XDO73"/>
      <c r="XDP73"/>
      <c r="XDQ73"/>
      <c r="XDR73"/>
      <c r="XDS73"/>
      <c r="XDT73"/>
      <c r="XDU73"/>
      <c r="XDV73"/>
      <c r="XDW73"/>
      <c r="XDX73"/>
      <c r="XDY73"/>
      <c r="XDZ73"/>
      <c r="XEA73"/>
      <c r="XEB73"/>
      <c r="XEC73"/>
      <c r="XED73"/>
      <c r="XEE73"/>
      <c r="XEF73"/>
      <c r="XEG73"/>
      <c r="XEH73"/>
      <c r="XEI73"/>
      <c r="XEJ73"/>
      <c r="XEK73"/>
      <c r="XEL73"/>
      <c r="XEM73"/>
      <c r="XEN73"/>
      <c r="XEO73"/>
      <c r="XEP73"/>
      <c r="XEQ73"/>
      <c r="XER73"/>
      <c r="XES73"/>
      <c r="XET73"/>
      <c r="XEU73"/>
      <c r="XEV73"/>
      <c r="XEW73"/>
      <c r="XEX73"/>
      <c r="XEY73"/>
      <c r="XEZ73"/>
      <c r="XFA73"/>
      <c r="XFB73"/>
      <c r="XFC73"/>
    </row>
    <row r="74" spans="1:20 16329:16383" s="38" customFormat="1" ht="29.1" customHeight="1" outlineLevel="3" x14ac:dyDescent="0.25">
      <c r="A74" s="55" t="s">
        <v>183</v>
      </c>
      <c r="B74" s="56" t="s">
        <v>184</v>
      </c>
      <c r="C74" s="56"/>
      <c r="D74" s="2" t="s">
        <v>185</v>
      </c>
      <c r="E74" s="2"/>
      <c r="F74" s="57"/>
      <c r="G74" s="56"/>
      <c r="H74" s="58"/>
      <c r="I74" s="36"/>
      <c r="J74" s="58"/>
      <c r="K74" s="59"/>
      <c r="L74" s="59"/>
      <c r="M74" s="59"/>
      <c r="N74" s="59"/>
      <c r="O74" s="59">
        <f>O75</f>
        <v>0</v>
      </c>
      <c r="P74" s="59">
        <f>P75</f>
        <v>0</v>
      </c>
      <c r="Q74" s="59">
        <f>Q75</f>
        <v>0</v>
      </c>
      <c r="R74" s="59">
        <f>R75</f>
        <v>0</v>
      </c>
      <c r="S74" s="59"/>
      <c r="T74" s="36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  <c r="XDR74"/>
      <c r="XDS74"/>
      <c r="XDT74"/>
      <c r="XDU74"/>
      <c r="XDV74"/>
      <c r="XDW74"/>
      <c r="XDX74"/>
      <c r="XDY74"/>
      <c r="XDZ74"/>
      <c r="XEA74"/>
      <c r="XEB74"/>
      <c r="XEC74"/>
      <c r="XED74"/>
      <c r="XEE74"/>
      <c r="XEF74"/>
      <c r="XEG74"/>
      <c r="XEH74"/>
      <c r="XEI74"/>
      <c r="XEJ74"/>
      <c r="XEK74"/>
      <c r="XEL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  <c r="XEZ74"/>
      <c r="XFA74"/>
      <c r="XFB74"/>
      <c r="XFC74"/>
    </row>
    <row r="75" spans="1:20 16329:16383" s="38" customFormat="1" ht="29.1" customHeight="1" outlineLevel="4" x14ac:dyDescent="0.25">
      <c r="A75" s="49" t="s">
        <v>186</v>
      </c>
      <c r="B75" s="50"/>
      <c r="C75" s="50"/>
      <c r="D75" s="3" t="s">
        <v>185</v>
      </c>
      <c r="E75" s="3"/>
      <c r="F75" s="51"/>
      <c r="G75" s="50" t="s">
        <v>134</v>
      </c>
      <c r="H75" s="52">
        <f>1</f>
        <v>1</v>
      </c>
      <c r="I75" s="36"/>
      <c r="J75" s="52">
        <v>1</v>
      </c>
      <c r="K75" s="53">
        <f>0</f>
        <v>0</v>
      </c>
      <c r="L75" s="53">
        <f>0</f>
        <v>0</v>
      </c>
      <c r="M75" s="53">
        <f>0</f>
        <v>0</v>
      </c>
      <c r="N75" s="54">
        <f>SUM(K75:M75)</f>
        <v>0</v>
      </c>
      <c r="O75" s="54">
        <f>ROUND((H75*K75),2)</f>
        <v>0</v>
      </c>
      <c r="P75" s="54">
        <f>ROUND((H75*L75),2)</f>
        <v>0</v>
      </c>
      <c r="Q75" s="54">
        <f>ROUND((H75*M75),2)</f>
        <v>0</v>
      </c>
      <c r="R75" s="54">
        <f>ROUND((H75*N75),2)</f>
        <v>0</v>
      </c>
      <c r="S75" s="54"/>
      <c r="T75" s="36"/>
      <c r="XDA75"/>
      <c r="XDB75"/>
      <c r="XDC75"/>
      <c r="XDD75"/>
      <c r="XDE75"/>
      <c r="XDF75"/>
      <c r="XDG75"/>
      <c r="XDH75"/>
      <c r="XDI75"/>
      <c r="XDJ75"/>
      <c r="XDK75"/>
      <c r="XDL75"/>
      <c r="XDM75"/>
      <c r="XDN75"/>
      <c r="XDO75"/>
      <c r="XDP75"/>
      <c r="XDQ75"/>
      <c r="XDR75"/>
      <c r="XDS75"/>
      <c r="XDT75"/>
      <c r="XDU75"/>
      <c r="XDV75"/>
      <c r="XDW75"/>
      <c r="XDX75"/>
      <c r="XDY75"/>
      <c r="XDZ75"/>
      <c r="XEA75"/>
      <c r="XEB75"/>
      <c r="XEC75"/>
      <c r="XED75"/>
      <c r="XEE75"/>
      <c r="XEF75"/>
      <c r="XEG75"/>
      <c r="XEH75"/>
      <c r="XEI75"/>
      <c r="XEJ75"/>
      <c r="XEK75"/>
      <c r="XEL75"/>
      <c r="XEM75"/>
      <c r="XEN75"/>
      <c r="XEO75"/>
      <c r="XEP75"/>
      <c r="XEQ75"/>
      <c r="XER75"/>
      <c r="XES75"/>
      <c r="XET75"/>
      <c r="XEU75"/>
      <c r="XEV75"/>
      <c r="XEW75"/>
      <c r="XEX75"/>
      <c r="XEY75"/>
      <c r="XEZ75"/>
      <c r="XFA75"/>
      <c r="XFB75"/>
      <c r="XFC75"/>
    </row>
    <row r="76" spans="1:20 16329:16383" s="38" customFormat="1" ht="29.1" customHeight="1" outlineLevel="3" x14ac:dyDescent="0.25">
      <c r="A76" s="55" t="s">
        <v>187</v>
      </c>
      <c r="B76" s="56" t="s">
        <v>188</v>
      </c>
      <c r="C76" s="56"/>
      <c r="D76" s="2" t="s">
        <v>189</v>
      </c>
      <c r="E76" s="2"/>
      <c r="F76" s="57"/>
      <c r="G76" s="56"/>
      <c r="H76" s="58"/>
      <c r="I76" s="36"/>
      <c r="J76" s="58"/>
      <c r="K76" s="59"/>
      <c r="L76" s="59"/>
      <c r="M76" s="59"/>
      <c r="N76" s="59"/>
      <c r="O76" s="59">
        <f>SUM(O77:O81)</f>
        <v>0</v>
      </c>
      <c r="P76" s="59">
        <f>SUM(P77:P81)</f>
        <v>0</v>
      </c>
      <c r="Q76" s="59">
        <f>SUM(Q77:Q81)</f>
        <v>0</v>
      </c>
      <c r="R76" s="59">
        <f>SUM(R77:R81)</f>
        <v>0</v>
      </c>
      <c r="S76" s="59"/>
      <c r="T76" s="3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  <c r="XFC76"/>
    </row>
    <row r="77" spans="1:20 16329:16383" s="38" customFormat="1" ht="29.1" customHeight="1" outlineLevel="4" x14ac:dyDescent="0.25">
      <c r="A77" s="49" t="s">
        <v>190</v>
      </c>
      <c r="B77" s="50"/>
      <c r="C77" s="50"/>
      <c r="D77" s="3" t="s">
        <v>191</v>
      </c>
      <c r="E77" s="3"/>
      <c r="F77" s="51"/>
      <c r="G77" s="50" t="s">
        <v>134</v>
      </c>
      <c r="H77" s="52">
        <f>1</f>
        <v>1</v>
      </c>
      <c r="I77" s="36"/>
      <c r="J77" s="52">
        <v>1</v>
      </c>
      <c r="K77" s="53">
        <f>0</f>
        <v>0</v>
      </c>
      <c r="L77" s="53">
        <f>0</f>
        <v>0</v>
      </c>
      <c r="M77" s="53">
        <f>0</f>
        <v>0</v>
      </c>
      <c r="N77" s="54">
        <f>SUM(K77:M77)</f>
        <v>0</v>
      </c>
      <c r="O77" s="54">
        <f>ROUND((H77*K77),2)</f>
        <v>0</v>
      </c>
      <c r="P77" s="54">
        <f>ROUND((H77*L77),2)</f>
        <v>0</v>
      </c>
      <c r="Q77" s="54">
        <f>ROUND((H77*M77),2)</f>
        <v>0</v>
      </c>
      <c r="R77" s="54">
        <f>ROUND((H77*N77),2)</f>
        <v>0</v>
      </c>
      <c r="S77" s="54"/>
      <c r="T77" s="36"/>
      <c r="XDA77"/>
      <c r="XDB77"/>
      <c r="XDC77"/>
      <c r="XDD77"/>
      <c r="XDE77"/>
      <c r="XDF77"/>
      <c r="XDG77"/>
      <c r="XDH77"/>
      <c r="XDI77"/>
      <c r="XDJ77"/>
      <c r="XDK77"/>
      <c r="XDL77"/>
      <c r="XDM77"/>
      <c r="XDN77"/>
      <c r="XDO77"/>
      <c r="XDP77"/>
      <c r="XDQ77"/>
      <c r="XDR77"/>
      <c r="XDS77"/>
      <c r="XDT77"/>
      <c r="XDU77"/>
      <c r="XDV77"/>
      <c r="XDW77"/>
      <c r="XDX77"/>
      <c r="XDY77"/>
      <c r="XDZ77"/>
      <c r="XEA77"/>
      <c r="XEB77"/>
      <c r="XEC77"/>
      <c r="XED77"/>
      <c r="XEE77"/>
      <c r="XEF77"/>
      <c r="XEG77"/>
      <c r="XEH77"/>
      <c r="XEI77"/>
      <c r="XEJ77"/>
      <c r="XEK77"/>
      <c r="XEL77"/>
      <c r="XEM77"/>
      <c r="XEN77"/>
      <c r="XEO77"/>
      <c r="XEP77"/>
      <c r="XEQ77"/>
      <c r="XER77"/>
      <c r="XES77"/>
      <c r="XET77"/>
      <c r="XEU77"/>
      <c r="XEV77"/>
      <c r="XEW77"/>
      <c r="XEX77"/>
      <c r="XEY77"/>
      <c r="XEZ77"/>
      <c r="XFA77"/>
      <c r="XFB77"/>
      <c r="XFC77"/>
    </row>
    <row r="78" spans="1:20 16329:16383" s="38" customFormat="1" ht="29.1" customHeight="1" outlineLevel="4" x14ac:dyDescent="0.25">
      <c r="A78" s="49" t="s">
        <v>192</v>
      </c>
      <c r="B78" s="50"/>
      <c r="C78" s="50"/>
      <c r="D78" s="3" t="s">
        <v>193</v>
      </c>
      <c r="E78" s="3"/>
      <c r="F78" s="51"/>
      <c r="G78" s="50" t="s">
        <v>194</v>
      </c>
      <c r="H78" s="52">
        <f>1</f>
        <v>1</v>
      </c>
      <c r="I78" s="36"/>
      <c r="J78" s="52">
        <v>1</v>
      </c>
      <c r="K78" s="53">
        <f>0</f>
        <v>0</v>
      </c>
      <c r="L78" s="53">
        <f>0</f>
        <v>0</v>
      </c>
      <c r="M78" s="53">
        <f>0</f>
        <v>0</v>
      </c>
      <c r="N78" s="54">
        <f>SUM(K78:M78)</f>
        <v>0</v>
      </c>
      <c r="O78" s="54">
        <f>ROUND((H78*K78),2)</f>
        <v>0</v>
      </c>
      <c r="P78" s="54">
        <f>ROUND((H78*L78),2)</f>
        <v>0</v>
      </c>
      <c r="Q78" s="54">
        <f>ROUND((H78*M78),2)</f>
        <v>0</v>
      </c>
      <c r="R78" s="54">
        <f>ROUND((H78*N78),2)</f>
        <v>0</v>
      </c>
      <c r="S78" s="54"/>
      <c r="T78" s="36"/>
      <c r="XDA78"/>
      <c r="XDB78"/>
      <c r="XDC78"/>
      <c r="XDD78"/>
      <c r="XDE78"/>
      <c r="XDF78"/>
      <c r="XDG78"/>
      <c r="XDH78"/>
      <c r="XDI78"/>
      <c r="XDJ78"/>
      <c r="XDK78"/>
      <c r="XDL78"/>
      <c r="XDM78"/>
      <c r="XDN78"/>
      <c r="XDO78"/>
      <c r="XDP78"/>
      <c r="XDQ78"/>
      <c r="XDR78"/>
      <c r="XDS78"/>
      <c r="XDT78"/>
      <c r="XDU78"/>
      <c r="XDV78"/>
      <c r="XDW78"/>
      <c r="XDX78"/>
      <c r="XDY78"/>
      <c r="XDZ78"/>
      <c r="XEA78"/>
      <c r="XEB78"/>
      <c r="XEC78"/>
      <c r="XED78"/>
      <c r="XEE78"/>
      <c r="XEF78"/>
      <c r="XEG78"/>
      <c r="XEH78"/>
      <c r="XEI78"/>
      <c r="XEJ78"/>
      <c r="XEK78"/>
      <c r="XEL78"/>
      <c r="XEM78"/>
      <c r="XEN78"/>
      <c r="XEO78"/>
      <c r="XEP78"/>
      <c r="XEQ78"/>
      <c r="XER78"/>
      <c r="XES78"/>
      <c r="XET78"/>
      <c r="XEU78"/>
      <c r="XEV78"/>
      <c r="XEW78"/>
      <c r="XEX78"/>
      <c r="XEY78"/>
      <c r="XEZ78"/>
      <c r="XFA78"/>
      <c r="XFB78"/>
      <c r="XFC78"/>
    </row>
    <row r="79" spans="1:20 16329:16383" s="38" customFormat="1" ht="29.1" customHeight="1" outlineLevel="4" x14ac:dyDescent="0.25">
      <c r="A79" s="49" t="s">
        <v>195</v>
      </c>
      <c r="B79" s="50"/>
      <c r="C79" s="50"/>
      <c r="D79" s="3" t="s">
        <v>196</v>
      </c>
      <c r="E79" s="3"/>
      <c r="F79" s="51"/>
      <c r="G79" s="50" t="s">
        <v>102</v>
      </c>
      <c r="H79" s="52">
        <f>1</f>
        <v>1</v>
      </c>
      <c r="I79" s="36"/>
      <c r="J79" s="52">
        <v>1</v>
      </c>
      <c r="K79" s="53">
        <f>0</f>
        <v>0</v>
      </c>
      <c r="L79" s="53">
        <f>0</f>
        <v>0</v>
      </c>
      <c r="M79" s="53">
        <f>0</f>
        <v>0</v>
      </c>
      <c r="N79" s="54">
        <f>SUM(K79:M79)</f>
        <v>0</v>
      </c>
      <c r="O79" s="54">
        <f>ROUND((H79*K79),2)</f>
        <v>0</v>
      </c>
      <c r="P79" s="54">
        <f>ROUND((H79*L79),2)</f>
        <v>0</v>
      </c>
      <c r="Q79" s="54">
        <f>ROUND((H79*M79),2)</f>
        <v>0</v>
      </c>
      <c r="R79" s="54">
        <f>ROUND((H79*N79),2)</f>
        <v>0</v>
      </c>
      <c r="S79" s="54"/>
      <c r="T79" s="36"/>
      <c r="XDA79"/>
      <c r="XDB79"/>
      <c r="XDC79"/>
      <c r="XDD79"/>
      <c r="XDE79"/>
      <c r="XDF79"/>
      <c r="XDG79"/>
      <c r="XDH79"/>
      <c r="XDI79"/>
      <c r="XDJ79"/>
      <c r="XDK79"/>
      <c r="XDL79"/>
      <c r="XDM79"/>
      <c r="XDN79"/>
      <c r="XDO79"/>
      <c r="XDP79"/>
      <c r="XDQ79"/>
      <c r="XDR79"/>
      <c r="XDS79"/>
      <c r="XDT79"/>
      <c r="XDU79"/>
      <c r="XDV79"/>
      <c r="XDW79"/>
      <c r="XDX79"/>
      <c r="XDY79"/>
      <c r="XDZ79"/>
      <c r="XEA79"/>
      <c r="XEB79"/>
      <c r="XEC79"/>
      <c r="XED79"/>
      <c r="XEE79"/>
      <c r="XEF79"/>
      <c r="XEG79"/>
      <c r="XEH79"/>
      <c r="XEI79"/>
      <c r="XEJ79"/>
      <c r="XEK79"/>
      <c r="XEL79"/>
      <c r="XEM79"/>
      <c r="XEN79"/>
      <c r="XEO79"/>
      <c r="XEP79"/>
      <c r="XEQ79"/>
      <c r="XER79"/>
      <c r="XES79"/>
      <c r="XET79"/>
      <c r="XEU79"/>
      <c r="XEV79"/>
      <c r="XEW79"/>
      <c r="XEX79"/>
      <c r="XEY79"/>
      <c r="XEZ79"/>
      <c r="XFA79"/>
      <c r="XFB79"/>
      <c r="XFC79"/>
    </row>
    <row r="80" spans="1:20 16329:16383" s="38" customFormat="1" ht="29.1" customHeight="1" outlineLevel="4" x14ac:dyDescent="0.25">
      <c r="A80" s="49" t="s">
        <v>197</v>
      </c>
      <c r="B80" s="50"/>
      <c r="C80" s="50"/>
      <c r="D80" s="3" t="s">
        <v>198</v>
      </c>
      <c r="E80" s="3"/>
      <c r="F80" s="51"/>
      <c r="G80" s="50" t="s">
        <v>194</v>
      </c>
      <c r="H80" s="52">
        <f>1</f>
        <v>1</v>
      </c>
      <c r="I80" s="36"/>
      <c r="J80" s="52">
        <v>1</v>
      </c>
      <c r="K80" s="53">
        <f>0</f>
        <v>0</v>
      </c>
      <c r="L80" s="53">
        <f>0</f>
        <v>0</v>
      </c>
      <c r="M80" s="53">
        <f>0</f>
        <v>0</v>
      </c>
      <c r="N80" s="54">
        <f>SUM(K80:M80)</f>
        <v>0</v>
      </c>
      <c r="O80" s="54">
        <f>ROUND((H80*K80),2)</f>
        <v>0</v>
      </c>
      <c r="P80" s="54">
        <f>ROUND((H80*L80),2)</f>
        <v>0</v>
      </c>
      <c r="Q80" s="54">
        <f>ROUND((H80*M80),2)</f>
        <v>0</v>
      </c>
      <c r="R80" s="54">
        <f>ROUND((H80*N80),2)</f>
        <v>0</v>
      </c>
      <c r="S80" s="54"/>
      <c r="T80" s="36"/>
      <c r="XDA80"/>
      <c r="XDB80"/>
      <c r="XDC80"/>
      <c r="XDD80"/>
      <c r="XDE80"/>
      <c r="XDF80"/>
      <c r="XDG80"/>
      <c r="XDH80"/>
      <c r="XDI80"/>
      <c r="XDJ80"/>
      <c r="XDK80"/>
      <c r="XDL80"/>
      <c r="XDM80"/>
      <c r="XDN80"/>
      <c r="XDO80"/>
      <c r="XDP80"/>
      <c r="XDQ80"/>
      <c r="XDR80"/>
      <c r="XDS80"/>
      <c r="XDT80"/>
      <c r="XDU80"/>
      <c r="XDV80"/>
      <c r="XDW80"/>
      <c r="XDX80"/>
      <c r="XDY80"/>
      <c r="XDZ80"/>
      <c r="XEA80"/>
      <c r="XEB80"/>
      <c r="XEC80"/>
      <c r="XED80"/>
      <c r="XEE80"/>
      <c r="XEF80"/>
      <c r="XEG80"/>
      <c r="XEH80"/>
      <c r="XEI80"/>
      <c r="XEJ80"/>
      <c r="XEK80"/>
      <c r="XEL80"/>
      <c r="XEM80"/>
      <c r="XEN80"/>
      <c r="XEO80"/>
      <c r="XEP80"/>
      <c r="XEQ80"/>
      <c r="XER80"/>
      <c r="XES80"/>
      <c r="XET80"/>
      <c r="XEU80"/>
      <c r="XEV80"/>
      <c r="XEW80"/>
      <c r="XEX80"/>
      <c r="XEY80"/>
      <c r="XEZ80"/>
      <c r="XFA80"/>
      <c r="XFB80"/>
      <c r="XFC80"/>
    </row>
    <row r="81" spans="1:20 16329:16383" s="38" customFormat="1" ht="29.1" customHeight="1" outlineLevel="4" x14ac:dyDescent="0.25">
      <c r="A81" s="49" t="s">
        <v>199</v>
      </c>
      <c r="B81" s="50"/>
      <c r="C81" s="50"/>
      <c r="D81" s="3" t="s">
        <v>200</v>
      </c>
      <c r="E81" s="3"/>
      <c r="F81" s="51" t="s">
        <v>201</v>
      </c>
      <c r="G81" s="50" t="s">
        <v>102</v>
      </c>
      <c r="H81" s="52">
        <f>1</f>
        <v>1</v>
      </c>
      <c r="I81" s="36"/>
      <c r="J81" s="52">
        <v>1</v>
      </c>
      <c r="K81" s="53">
        <f>0</f>
        <v>0</v>
      </c>
      <c r="L81" s="53">
        <f>0</f>
        <v>0</v>
      </c>
      <c r="M81" s="53">
        <f>0</f>
        <v>0</v>
      </c>
      <c r="N81" s="54">
        <f>SUM(K81:M81)</f>
        <v>0</v>
      </c>
      <c r="O81" s="54">
        <f>ROUND((H81*K81),2)</f>
        <v>0</v>
      </c>
      <c r="P81" s="54">
        <f>ROUND((H81*L81),2)</f>
        <v>0</v>
      </c>
      <c r="Q81" s="54">
        <f>ROUND((H81*M81),2)</f>
        <v>0</v>
      </c>
      <c r="R81" s="54">
        <f>ROUND((H81*N81),2)</f>
        <v>0</v>
      </c>
      <c r="S81" s="54"/>
      <c r="T81" s="36"/>
      <c r="XDA81"/>
      <c r="XDB81"/>
      <c r="XDC81"/>
      <c r="XDD81"/>
      <c r="XDE81"/>
      <c r="XDF81"/>
      <c r="XDG81"/>
      <c r="XDH81"/>
      <c r="XDI81"/>
      <c r="XDJ81"/>
      <c r="XDK81"/>
      <c r="XDL81"/>
      <c r="XDM81"/>
      <c r="XDN81"/>
      <c r="XDO81"/>
      <c r="XDP81"/>
      <c r="XDQ81"/>
      <c r="XDR81"/>
      <c r="XDS81"/>
      <c r="XDT81"/>
      <c r="XDU81"/>
      <c r="XDV81"/>
      <c r="XDW81"/>
      <c r="XDX81"/>
      <c r="XDY81"/>
      <c r="XDZ81"/>
      <c r="XEA81"/>
      <c r="XEB81"/>
      <c r="XEC81"/>
      <c r="XED81"/>
      <c r="XEE81"/>
      <c r="XEF81"/>
      <c r="XEG81"/>
      <c r="XEH81"/>
      <c r="XEI81"/>
      <c r="XEJ81"/>
      <c r="XEK81"/>
      <c r="XEL81"/>
      <c r="XEM81"/>
      <c r="XEN81"/>
      <c r="XEO81"/>
      <c r="XEP81"/>
      <c r="XEQ81"/>
      <c r="XER81"/>
      <c r="XES81"/>
      <c r="XET81"/>
      <c r="XEU81"/>
      <c r="XEV81"/>
      <c r="XEW81"/>
      <c r="XEX81"/>
      <c r="XEY81"/>
      <c r="XEZ81"/>
      <c r="XFA81"/>
      <c r="XFB81"/>
      <c r="XFC81"/>
    </row>
    <row r="82" spans="1:20 16329:16383" s="38" customFormat="1" ht="29.1" customHeight="1" outlineLevel="3" x14ac:dyDescent="0.25">
      <c r="A82" s="55" t="s">
        <v>202</v>
      </c>
      <c r="B82" s="56" t="s">
        <v>203</v>
      </c>
      <c r="C82" s="56"/>
      <c r="D82" s="2" t="s">
        <v>204</v>
      </c>
      <c r="E82" s="2"/>
      <c r="F82" s="57"/>
      <c r="G82" s="56"/>
      <c r="H82" s="58"/>
      <c r="I82" s="36"/>
      <c r="J82" s="58"/>
      <c r="K82" s="59"/>
      <c r="L82" s="59"/>
      <c r="M82" s="59"/>
      <c r="N82" s="59"/>
      <c r="O82" s="59">
        <f>SUM(O83:O88)</f>
        <v>0</v>
      </c>
      <c r="P82" s="59">
        <f>SUM(P83:P88)</f>
        <v>0</v>
      </c>
      <c r="Q82" s="59">
        <f>SUM(Q83:Q88)</f>
        <v>0</v>
      </c>
      <c r="R82" s="59">
        <f>SUM(R83:R88)</f>
        <v>0</v>
      </c>
      <c r="S82" s="59"/>
      <c r="T82" s="36"/>
      <c r="XDA82"/>
      <c r="XDB82"/>
      <c r="XDC82"/>
      <c r="XDD82"/>
      <c r="XDE82"/>
      <c r="XDF82"/>
      <c r="XDG82"/>
      <c r="XDH82"/>
      <c r="XDI82"/>
      <c r="XDJ82"/>
      <c r="XDK82"/>
      <c r="XDL82"/>
      <c r="XDM82"/>
      <c r="XDN82"/>
      <c r="XDO82"/>
      <c r="XDP82"/>
      <c r="XDQ82"/>
      <c r="XDR82"/>
      <c r="XDS82"/>
      <c r="XDT82"/>
      <c r="XDU82"/>
      <c r="XDV82"/>
      <c r="XDW82"/>
      <c r="XDX82"/>
      <c r="XDY82"/>
      <c r="XDZ82"/>
      <c r="XEA82"/>
      <c r="XEB82"/>
      <c r="XEC82"/>
      <c r="XED82"/>
      <c r="XEE82"/>
      <c r="XEF82"/>
      <c r="XEG82"/>
      <c r="XEH82"/>
      <c r="XEI82"/>
      <c r="XEJ82"/>
      <c r="XEK82"/>
      <c r="XEL82"/>
      <c r="XEM82"/>
      <c r="XEN82"/>
      <c r="XEO82"/>
      <c r="XEP82"/>
      <c r="XEQ82"/>
      <c r="XER82"/>
      <c r="XES82"/>
      <c r="XET82"/>
      <c r="XEU82"/>
      <c r="XEV82"/>
      <c r="XEW82"/>
      <c r="XEX82"/>
      <c r="XEY82"/>
      <c r="XEZ82"/>
      <c r="XFA82"/>
      <c r="XFB82"/>
      <c r="XFC82"/>
    </row>
    <row r="83" spans="1:20 16329:16383" s="38" customFormat="1" ht="29.1" customHeight="1" outlineLevel="4" x14ac:dyDescent="0.25">
      <c r="A83" s="49" t="s">
        <v>205</v>
      </c>
      <c r="B83" s="50"/>
      <c r="C83" s="50"/>
      <c r="D83" s="3" t="s">
        <v>191</v>
      </c>
      <c r="E83" s="3"/>
      <c r="F83" s="51"/>
      <c r="G83" s="50" t="s">
        <v>134</v>
      </c>
      <c r="H83" s="52">
        <f>1</f>
        <v>1</v>
      </c>
      <c r="I83" s="36"/>
      <c r="J83" s="52">
        <v>1</v>
      </c>
      <c r="K83" s="53">
        <f>0</f>
        <v>0</v>
      </c>
      <c r="L83" s="53">
        <f>0</f>
        <v>0</v>
      </c>
      <c r="M83" s="53">
        <f>0</f>
        <v>0</v>
      </c>
      <c r="N83" s="54">
        <f t="shared" ref="N83:N88" si="5">SUM(K83:M83)</f>
        <v>0</v>
      </c>
      <c r="O83" s="54">
        <f t="shared" ref="O83:O88" si="6">ROUND((H83*K83),2)</f>
        <v>0</v>
      </c>
      <c r="P83" s="54">
        <f t="shared" ref="P83:P88" si="7">ROUND((H83*L83),2)</f>
        <v>0</v>
      </c>
      <c r="Q83" s="54">
        <f t="shared" ref="Q83:Q88" si="8">ROUND((H83*M83),2)</f>
        <v>0</v>
      </c>
      <c r="R83" s="54">
        <f t="shared" ref="R83:R88" si="9">ROUND((H83*N83),2)</f>
        <v>0</v>
      </c>
      <c r="S83" s="54"/>
      <c r="T83" s="36"/>
      <c r="XDA83"/>
      <c r="XDB83"/>
      <c r="XDC83"/>
      <c r="XDD83"/>
      <c r="XDE83"/>
      <c r="XDF83"/>
      <c r="XDG83"/>
      <c r="XDH83"/>
      <c r="XDI83"/>
      <c r="XDJ83"/>
      <c r="XDK83"/>
      <c r="XDL83"/>
      <c r="XDM83"/>
      <c r="XDN83"/>
      <c r="XDO83"/>
      <c r="XDP83"/>
      <c r="XDQ83"/>
      <c r="XDR83"/>
      <c r="XDS83"/>
      <c r="XDT83"/>
      <c r="XDU83"/>
      <c r="XDV83"/>
      <c r="XDW83"/>
      <c r="XDX83"/>
      <c r="XDY83"/>
      <c r="XDZ83"/>
      <c r="XEA83"/>
      <c r="XEB83"/>
      <c r="XEC83"/>
      <c r="XED83"/>
      <c r="XEE83"/>
      <c r="XEF83"/>
      <c r="XEG83"/>
      <c r="XEH83"/>
      <c r="XEI83"/>
      <c r="XEJ83"/>
      <c r="XEK83"/>
      <c r="XEL83"/>
      <c r="XEM83"/>
      <c r="XEN83"/>
      <c r="XEO83"/>
      <c r="XEP83"/>
      <c r="XEQ83"/>
      <c r="XER83"/>
      <c r="XES83"/>
      <c r="XET83"/>
      <c r="XEU83"/>
      <c r="XEV83"/>
      <c r="XEW83"/>
      <c r="XEX83"/>
      <c r="XEY83"/>
      <c r="XEZ83"/>
      <c r="XFA83"/>
      <c r="XFB83"/>
      <c r="XFC83"/>
    </row>
    <row r="84" spans="1:20 16329:16383" s="38" customFormat="1" ht="29.1" customHeight="1" outlineLevel="4" x14ac:dyDescent="0.25">
      <c r="A84" s="49" t="s">
        <v>206</v>
      </c>
      <c r="B84" s="50"/>
      <c r="C84" s="50"/>
      <c r="D84" s="3" t="s">
        <v>193</v>
      </c>
      <c r="E84" s="3"/>
      <c r="F84" s="51"/>
      <c r="G84" s="50" t="s">
        <v>194</v>
      </c>
      <c r="H84" s="52">
        <f>1</f>
        <v>1</v>
      </c>
      <c r="I84" s="36"/>
      <c r="J84" s="52">
        <v>1</v>
      </c>
      <c r="K84" s="53">
        <f>0</f>
        <v>0</v>
      </c>
      <c r="L84" s="53">
        <f>0</f>
        <v>0</v>
      </c>
      <c r="M84" s="53">
        <f>0</f>
        <v>0</v>
      </c>
      <c r="N84" s="54">
        <f t="shared" si="5"/>
        <v>0</v>
      </c>
      <c r="O84" s="54">
        <f t="shared" si="6"/>
        <v>0</v>
      </c>
      <c r="P84" s="54">
        <f t="shared" si="7"/>
        <v>0</v>
      </c>
      <c r="Q84" s="54">
        <f t="shared" si="8"/>
        <v>0</v>
      </c>
      <c r="R84" s="54">
        <f t="shared" si="9"/>
        <v>0</v>
      </c>
      <c r="S84" s="54"/>
      <c r="T84" s="36"/>
      <c r="XDA84"/>
      <c r="XDB84"/>
      <c r="XDC84"/>
      <c r="XDD84"/>
      <c r="XDE84"/>
      <c r="XDF84"/>
      <c r="XDG84"/>
      <c r="XDH84"/>
      <c r="XDI84"/>
      <c r="XDJ84"/>
      <c r="XDK84"/>
      <c r="XDL84"/>
      <c r="XDM84"/>
      <c r="XDN84"/>
      <c r="XDO84"/>
      <c r="XDP84"/>
      <c r="XDQ84"/>
      <c r="XDR84"/>
      <c r="XDS84"/>
      <c r="XDT84"/>
      <c r="XDU84"/>
      <c r="XDV84"/>
      <c r="XDW84"/>
      <c r="XDX84"/>
      <c r="XDY84"/>
      <c r="XDZ84"/>
      <c r="XEA84"/>
      <c r="XEB84"/>
      <c r="XEC84"/>
      <c r="XED84"/>
      <c r="XEE84"/>
      <c r="XEF84"/>
      <c r="XEG84"/>
      <c r="XEH84"/>
      <c r="XEI84"/>
      <c r="XEJ84"/>
      <c r="XEK84"/>
      <c r="XEL84"/>
      <c r="XEM84"/>
      <c r="XEN84"/>
      <c r="XEO84"/>
      <c r="XEP84"/>
      <c r="XEQ84"/>
      <c r="XER84"/>
      <c r="XES84"/>
      <c r="XET84"/>
      <c r="XEU84"/>
      <c r="XEV84"/>
      <c r="XEW84"/>
      <c r="XEX84"/>
      <c r="XEY84"/>
      <c r="XEZ84"/>
      <c r="XFA84"/>
      <c r="XFB84"/>
      <c r="XFC84"/>
    </row>
    <row r="85" spans="1:20 16329:16383" s="38" customFormat="1" ht="29.1" customHeight="1" outlineLevel="4" x14ac:dyDescent="0.25">
      <c r="A85" s="49" t="s">
        <v>207</v>
      </c>
      <c r="B85" s="50"/>
      <c r="C85" s="50"/>
      <c r="D85" s="3" t="s">
        <v>196</v>
      </c>
      <c r="E85" s="3"/>
      <c r="F85" s="51"/>
      <c r="G85" s="50" t="s">
        <v>102</v>
      </c>
      <c r="H85" s="52">
        <f>1</f>
        <v>1</v>
      </c>
      <c r="I85" s="36"/>
      <c r="J85" s="52">
        <v>1</v>
      </c>
      <c r="K85" s="53">
        <f>0</f>
        <v>0</v>
      </c>
      <c r="L85" s="53">
        <f>0</f>
        <v>0</v>
      </c>
      <c r="M85" s="53">
        <f>0</f>
        <v>0</v>
      </c>
      <c r="N85" s="54">
        <f t="shared" si="5"/>
        <v>0</v>
      </c>
      <c r="O85" s="54">
        <f t="shared" si="6"/>
        <v>0</v>
      </c>
      <c r="P85" s="54">
        <f t="shared" si="7"/>
        <v>0</v>
      </c>
      <c r="Q85" s="54">
        <f t="shared" si="8"/>
        <v>0</v>
      </c>
      <c r="R85" s="54">
        <f t="shared" si="9"/>
        <v>0</v>
      </c>
      <c r="S85" s="54"/>
      <c r="T85" s="36"/>
      <c r="XDA85"/>
      <c r="XDB85"/>
      <c r="XDC85"/>
      <c r="XDD85"/>
      <c r="XDE85"/>
      <c r="XDF85"/>
      <c r="XDG85"/>
      <c r="XDH85"/>
      <c r="XDI85"/>
      <c r="XDJ85"/>
      <c r="XDK85"/>
      <c r="XDL85"/>
      <c r="XDM85"/>
      <c r="XDN85"/>
      <c r="XDO85"/>
      <c r="XDP85"/>
      <c r="XDQ85"/>
      <c r="XDR85"/>
      <c r="XDS85"/>
      <c r="XDT85"/>
      <c r="XDU85"/>
      <c r="XDV85"/>
      <c r="XDW85"/>
      <c r="XDX85"/>
      <c r="XDY85"/>
      <c r="XDZ85"/>
      <c r="XEA85"/>
      <c r="XEB85"/>
      <c r="XEC85"/>
      <c r="XED85"/>
      <c r="XEE85"/>
      <c r="XEF85"/>
      <c r="XEG85"/>
      <c r="XEH85"/>
      <c r="XEI85"/>
      <c r="XEJ85"/>
      <c r="XEK85"/>
      <c r="XEL85"/>
      <c r="XEM85"/>
      <c r="XEN85"/>
      <c r="XEO85"/>
      <c r="XEP85"/>
      <c r="XEQ85"/>
      <c r="XER85"/>
      <c r="XES85"/>
      <c r="XET85"/>
      <c r="XEU85"/>
      <c r="XEV85"/>
      <c r="XEW85"/>
      <c r="XEX85"/>
      <c r="XEY85"/>
      <c r="XEZ85"/>
      <c r="XFA85"/>
      <c r="XFB85"/>
      <c r="XFC85"/>
    </row>
    <row r="86" spans="1:20 16329:16383" s="38" customFormat="1" ht="29.1" customHeight="1" outlineLevel="4" x14ac:dyDescent="0.25">
      <c r="A86" s="49" t="s">
        <v>208</v>
      </c>
      <c r="B86" s="50"/>
      <c r="C86" s="50"/>
      <c r="D86" s="3" t="s">
        <v>209</v>
      </c>
      <c r="E86" s="3"/>
      <c r="F86" s="51"/>
      <c r="G86" s="50" t="s">
        <v>194</v>
      </c>
      <c r="H86" s="52">
        <f>1</f>
        <v>1</v>
      </c>
      <c r="I86" s="36"/>
      <c r="J86" s="52">
        <v>1</v>
      </c>
      <c r="K86" s="53">
        <f>0</f>
        <v>0</v>
      </c>
      <c r="L86" s="53">
        <f>0</f>
        <v>0</v>
      </c>
      <c r="M86" s="53">
        <f>0</f>
        <v>0</v>
      </c>
      <c r="N86" s="54">
        <f t="shared" si="5"/>
        <v>0</v>
      </c>
      <c r="O86" s="54">
        <f t="shared" si="6"/>
        <v>0</v>
      </c>
      <c r="P86" s="54">
        <f t="shared" si="7"/>
        <v>0</v>
      </c>
      <c r="Q86" s="54">
        <f t="shared" si="8"/>
        <v>0</v>
      </c>
      <c r="R86" s="54">
        <f t="shared" si="9"/>
        <v>0</v>
      </c>
      <c r="S86" s="54"/>
      <c r="T86" s="36"/>
      <c r="XDA86"/>
      <c r="XDB86"/>
      <c r="XDC86"/>
      <c r="XDD86"/>
      <c r="XDE86"/>
      <c r="XDF86"/>
      <c r="XDG86"/>
      <c r="XDH86"/>
      <c r="XDI86"/>
      <c r="XDJ86"/>
      <c r="XDK86"/>
      <c r="XDL86"/>
      <c r="XDM86"/>
      <c r="XDN86"/>
      <c r="XDO86"/>
      <c r="XDP86"/>
      <c r="XDQ86"/>
      <c r="XDR86"/>
      <c r="XDS86"/>
      <c r="XDT86"/>
      <c r="XDU86"/>
      <c r="XDV86"/>
      <c r="XDW86"/>
      <c r="XDX86"/>
      <c r="XDY86"/>
      <c r="XDZ86"/>
      <c r="XEA86"/>
      <c r="XEB86"/>
      <c r="XEC86"/>
      <c r="XED86"/>
      <c r="XEE86"/>
      <c r="XEF86"/>
      <c r="XEG86"/>
      <c r="XEH86"/>
      <c r="XEI86"/>
      <c r="XEJ86"/>
      <c r="XEK86"/>
      <c r="XEL86"/>
      <c r="XEM86"/>
      <c r="XEN86"/>
      <c r="XEO86"/>
      <c r="XEP86"/>
      <c r="XEQ86"/>
      <c r="XER86"/>
      <c r="XES86"/>
      <c r="XET86"/>
      <c r="XEU86"/>
      <c r="XEV86"/>
      <c r="XEW86"/>
      <c r="XEX86"/>
      <c r="XEY86"/>
      <c r="XEZ86"/>
      <c r="XFA86"/>
      <c r="XFB86"/>
      <c r="XFC86"/>
    </row>
    <row r="87" spans="1:20 16329:16383" s="38" customFormat="1" ht="29.1" customHeight="1" outlineLevel="4" x14ac:dyDescent="0.25">
      <c r="A87" s="49" t="s">
        <v>210</v>
      </c>
      <c r="B87" s="50"/>
      <c r="C87" s="50"/>
      <c r="D87" s="3" t="s">
        <v>198</v>
      </c>
      <c r="E87" s="3"/>
      <c r="F87" s="51"/>
      <c r="G87" s="50" t="s">
        <v>194</v>
      </c>
      <c r="H87" s="52">
        <f>1</f>
        <v>1</v>
      </c>
      <c r="I87" s="36"/>
      <c r="J87" s="52">
        <v>1</v>
      </c>
      <c r="K87" s="53">
        <f>0</f>
        <v>0</v>
      </c>
      <c r="L87" s="53">
        <f>0</f>
        <v>0</v>
      </c>
      <c r="M87" s="53">
        <f>0</f>
        <v>0</v>
      </c>
      <c r="N87" s="54">
        <f t="shared" si="5"/>
        <v>0</v>
      </c>
      <c r="O87" s="54">
        <f t="shared" si="6"/>
        <v>0</v>
      </c>
      <c r="P87" s="54">
        <f t="shared" si="7"/>
        <v>0</v>
      </c>
      <c r="Q87" s="54">
        <f t="shared" si="8"/>
        <v>0</v>
      </c>
      <c r="R87" s="54">
        <f t="shared" si="9"/>
        <v>0</v>
      </c>
      <c r="S87" s="54"/>
      <c r="T87" s="36"/>
      <c r="XDA87"/>
      <c r="XDB87"/>
      <c r="XDC87"/>
      <c r="XDD87"/>
      <c r="XDE87"/>
      <c r="XDF87"/>
      <c r="XDG87"/>
      <c r="XDH87"/>
      <c r="XDI87"/>
      <c r="XDJ87"/>
      <c r="XDK87"/>
      <c r="XDL87"/>
      <c r="XDM87"/>
      <c r="XDN87"/>
      <c r="XDO87"/>
      <c r="XDP87"/>
      <c r="XDQ87"/>
      <c r="XDR87"/>
      <c r="XDS87"/>
      <c r="XDT87"/>
      <c r="XDU87"/>
      <c r="XDV87"/>
      <c r="XDW87"/>
      <c r="XDX87"/>
      <c r="XDY87"/>
      <c r="XDZ87"/>
      <c r="XEA87"/>
      <c r="XEB87"/>
      <c r="XEC87"/>
      <c r="XED87"/>
      <c r="XEE87"/>
      <c r="XEF87"/>
      <c r="XEG87"/>
      <c r="XEH87"/>
      <c r="XEI87"/>
      <c r="XEJ87"/>
      <c r="XEK87"/>
      <c r="XEL87"/>
      <c r="XEM87"/>
      <c r="XEN87"/>
      <c r="XEO87"/>
      <c r="XEP87"/>
      <c r="XEQ87"/>
      <c r="XER87"/>
      <c r="XES87"/>
      <c r="XET87"/>
      <c r="XEU87"/>
      <c r="XEV87"/>
      <c r="XEW87"/>
      <c r="XEX87"/>
      <c r="XEY87"/>
      <c r="XEZ87"/>
      <c r="XFA87"/>
      <c r="XFB87"/>
      <c r="XFC87"/>
    </row>
    <row r="88" spans="1:20 16329:16383" s="38" customFormat="1" ht="29.1" customHeight="1" outlineLevel="4" x14ac:dyDescent="0.25">
      <c r="A88" s="49" t="s">
        <v>211</v>
      </c>
      <c r="B88" s="50"/>
      <c r="C88" s="50"/>
      <c r="D88" s="3" t="s">
        <v>200</v>
      </c>
      <c r="E88" s="3"/>
      <c r="F88" s="51" t="s">
        <v>201</v>
      </c>
      <c r="G88" s="50" t="s">
        <v>102</v>
      </c>
      <c r="H88" s="52">
        <f>1</f>
        <v>1</v>
      </c>
      <c r="I88" s="36"/>
      <c r="J88" s="52">
        <v>1</v>
      </c>
      <c r="K88" s="53">
        <f>0</f>
        <v>0</v>
      </c>
      <c r="L88" s="53">
        <f>0</f>
        <v>0</v>
      </c>
      <c r="M88" s="53">
        <f>0</f>
        <v>0</v>
      </c>
      <c r="N88" s="54">
        <f t="shared" si="5"/>
        <v>0</v>
      </c>
      <c r="O88" s="54">
        <f t="shared" si="6"/>
        <v>0</v>
      </c>
      <c r="P88" s="54">
        <f t="shared" si="7"/>
        <v>0</v>
      </c>
      <c r="Q88" s="54">
        <f t="shared" si="8"/>
        <v>0</v>
      </c>
      <c r="R88" s="54">
        <f t="shared" si="9"/>
        <v>0</v>
      </c>
      <c r="S88" s="54"/>
      <c r="T88" s="36"/>
      <c r="XDA88"/>
      <c r="XDB88"/>
      <c r="XDC88"/>
      <c r="XDD88"/>
      <c r="XDE88"/>
      <c r="XDF88"/>
      <c r="XDG88"/>
      <c r="XDH88"/>
      <c r="XDI88"/>
      <c r="XDJ88"/>
      <c r="XDK88"/>
      <c r="XDL88"/>
      <c r="XDM88"/>
      <c r="XDN88"/>
      <c r="XDO88"/>
      <c r="XDP88"/>
      <c r="XDQ88"/>
      <c r="XDR88"/>
      <c r="XDS88"/>
      <c r="XDT88"/>
      <c r="XDU88"/>
      <c r="XDV88"/>
      <c r="XDW88"/>
      <c r="XDX88"/>
      <c r="XDY88"/>
      <c r="XDZ88"/>
      <c r="XEA88"/>
      <c r="XEB88"/>
      <c r="XEC88"/>
      <c r="XED88"/>
      <c r="XEE88"/>
      <c r="XEF88"/>
      <c r="XEG88"/>
      <c r="XEH88"/>
      <c r="XEI88"/>
      <c r="XEJ88"/>
      <c r="XEK88"/>
      <c r="XEL88"/>
      <c r="XEM88"/>
      <c r="XEN88"/>
      <c r="XEO88"/>
      <c r="XEP88"/>
      <c r="XEQ88"/>
      <c r="XER88"/>
      <c r="XES88"/>
      <c r="XET88"/>
      <c r="XEU88"/>
      <c r="XEV88"/>
      <c r="XEW88"/>
      <c r="XEX88"/>
      <c r="XEY88"/>
      <c r="XEZ88"/>
      <c r="XFA88"/>
      <c r="XFB88"/>
      <c r="XFC88"/>
    </row>
    <row r="89" spans="1:20 16329:16383" s="38" customFormat="1" ht="29.1" customHeight="1" outlineLevel="3" x14ac:dyDescent="0.25">
      <c r="A89" s="55" t="s">
        <v>212</v>
      </c>
      <c r="B89" s="56" t="s">
        <v>213</v>
      </c>
      <c r="C89" s="56"/>
      <c r="D89" s="2" t="s">
        <v>214</v>
      </c>
      <c r="E89" s="2"/>
      <c r="F89" s="57"/>
      <c r="G89" s="56"/>
      <c r="H89" s="58"/>
      <c r="I89" s="36"/>
      <c r="J89" s="58"/>
      <c r="K89" s="59"/>
      <c r="L89" s="59"/>
      <c r="M89" s="59"/>
      <c r="N89" s="59"/>
      <c r="O89" s="59">
        <f>SUM(O90:O96)</f>
        <v>0</v>
      </c>
      <c r="P89" s="59">
        <f>SUM(P90:P96)</f>
        <v>0</v>
      </c>
      <c r="Q89" s="59">
        <f>SUM(Q90:Q96)</f>
        <v>0</v>
      </c>
      <c r="R89" s="59">
        <f>SUM(R90:R96)</f>
        <v>0</v>
      </c>
      <c r="S89" s="59"/>
      <c r="T89" s="36"/>
      <c r="XDA89"/>
      <c r="XDB89"/>
      <c r="XDC89"/>
      <c r="XDD89"/>
      <c r="XDE89"/>
      <c r="XDF89"/>
      <c r="XDG89"/>
      <c r="XDH89"/>
      <c r="XDI89"/>
      <c r="XDJ89"/>
      <c r="XDK89"/>
      <c r="XDL89"/>
      <c r="XDM89"/>
      <c r="XDN89"/>
      <c r="XDO89"/>
      <c r="XDP89"/>
      <c r="XDQ89"/>
      <c r="XDR89"/>
      <c r="XDS89"/>
      <c r="XDT89"/>
      <c r="XDU89"/>
      <c r="XDV89"/>
      <c r="XDW89"/>
      <c r="XDX89"/>
      <c r="XDY89"/>
      <c r="XDZ89"/>
      <c r="XEA89"/>
      <c r="XEB89"/>
      <c r="XEC89"/>
      <c r="XED89"/>
      <c r="XEE89"/>
      <c r="XEF89"/>
      <c r="XEG89"/>
      <c r="XEH89"/>
      <c r="XEI89"/>
      <c r="XEJ89"/>
      <c r="XEK89"/>
      <c r="XEL89"/>
      <c r="XEM89"/>
      <c r="XEN89"/>
      <c r="XEO89"/>
      <c r="XEP89"/>
      <c r="XEQ89"/>
      <c r="XER89"/>
      <c r="XES89"/>
      <c r="XET89"/>
      <c r="XEU89"/>
      <c r="XEV89"/>
      <c r="XEW89"/>
      <c r="XEX89"/>
      <c r="XEY89"/>
      <c r="XEZ89"/>
      <c r="XFA89"/>
      <c r="XFB89"/>
      <c r="XFC89"/>
    </row>
    <row r="90" spans="1:20 16329:16383" s="38" customFormat="1" ht="29.1" customHeight="1" outlineLevel="4" x14ac:dyDescent="0.25">
      <c r="A90" s="49" t="s">
        <v>215</v>
      </c>
      <c r="B90" s="50"/>
      <c r="C90" s="50"/>
      <c r="D90" s="3" t="s">
        <v>216</v>
      </c>
      <c r="E90" s="3"/>
      <c r="F90" s="51"/>
      <c r="G90" s="50" t="s">
        <v>194</v>
      </c>
      <c r="H90" s="52">
        <f>1</f>
        <v>1</v>
      </c>
      <c r="I90" s="36"/>
      <c r="J90" s="52">
        <v>1</v>
      </c>
      <c r="K90" s="53">
        <f>0</f>
        <v>0</v>
      </c>
      <c r="L90" s="53">
        <f>0</f>
        <v>0</v>
      </c>
      <c r="M90" s="53">
        <f>0</f>
        <v>0</v>
      </c>
      <c r="N90" s="54">
        <f t="shared" ref="N90:N96" si="10">SUM(K90:M90)</f>
        <v>0</v>
      </c>
      <c r="O90" s="54">
        <f t="shared" ref="O90:O96" si="11">ROUND((H90*K90),2)</f>
        <v>0</v>
      </c>
      <c r="P90" s="54">
        <f t="shared" ref="P90:P96" si="12">ROUND((H90*L90),2)</f>
        <v>0</v>
      </c>
      <c r="Q90" s="54">
        <f t="shared" ref="Q90:Q96" si="13">ROUND((H90*M90),2)</f>
        <v>0</v>
      </c>
      <c r="R90" s="54">
        <f t="shared" ref="R90:R96" si="14">ROUND((H90*N90),2)</f>
        <v>0</v>
      </c>
      <c r="S90" s="54"/>
      <c r="T90" s="36"/>
      <c r="XDA90"/>
      <c r="XDB90"/>
      <c r="XDC90"/>
      <c r="XDD90"/>
      <c r="XDE90"/>
      <c r="XDF90"/>
      <c r="XDG90"/>
      <c r="XDH90"/>
      <c r="XDI90"/>
      <c r="XDJ90"/>
      <c r="XDK90"/>
      <c r="XDL90"/>
      <c r="XDM90"/>
      <c r="XDN90"/>
      <c r="XDO90"/>
      <c r="XDP90"/>
      <c r="XDQ90"/>
      <c r="XDR90"/>
      <c r="XDS90"/>
      <c r="XDT90"/>
      <c r="XDU90"/>
      <c r="XDV90"/>
      <c r="XDW90"/>
      <c r="XDX90"/>
      <c r="XDY90"/>
      <c r="XDZ90"/>
      <c r="XEA90"/>
      <c r="XEB90"/>
      <c r="XEC90"/>
      <c r="XED90"/>
      <c r="XEE90"/>
      <c r="XEF90"/>
      <c r="XEG90"/>
      <c r="XEH90"/>
      <c r="XEI90"/>
      <c r="XEJ90"/>
      <c r="XEK90"/>
      <c r="XEL90"/>
      <c r="XEM90"/>
      <c r="XEN90"/>
      <c r="XEO90"/>
      <c r="XEP90"/>
      <c r="XEQ90"/>
      <c r="XER90"/>
      <c r="XES90"/>
      <c r="XET90"/>
      <c r="XEU90"/>
      <c r="XEV90"/>
      <c r="XEW90"/>
      <c r="XEX90"/>
      <c r="XEY90"/>
      <c r="XEZ90"/>
      <c r="XFA90"/>
      <c r="XFB90"/>
      <c r="XFC90"/>
    </row>
    <row r="91" spans="1:20 16329:16383" s="38" customFormat="1" ht="29.1" customHeight="1" outlineLevel="4" x14ac:dyDescent="0.25">
      <c r="A91" s="49" t="s">
        <v>217</v>
      </c>
      <c r="B91" s="50"/>
      <c r="C91" s="50"/>
      <c r="D91" s="3" t="s">
        <v>218</v>
      </c>
      <c r="E91" s="3"/>
      <c r="F91" s="51"/>
      <c r="G91" s="50" t="s">
        <v>219</v>
      </c>
      <c r="H91" s="52">
        <f>1</f>
        <v>1</v>
      </c>
      <c r="I91" s="36"/>
      <c r="J91" s="52">
        <v>1</v>
      </c>
      <c r="K91" s="53">
        <f>0</f>
        <v>0</v>
      </c>
      <c r="L91" s="53">
        <f>0</f>
        <v>0</v>
      </c>
      <c r="M91" s="53">
        <f>0</f>
        <v>0</v>
      </c>
      <c r="N91" s="54">
        <f t="shared" si="10"/>
        <v>0</v>
      </c>
      <c r="O91" s="54">
        <f t="shared" si="11"/>
        <v>0</v>
      </c>
      <c r="P91" s="54">
        <f t="shared" si="12"/>
        <v>0</v>
      </c>
      <c r="Q91" s="54">
        <f t="shared" si="13"/>
        <v>0</v>
      </c>
      <c r="R91" s="54">
        <f t="shared" si="14"/>
        <v>0</v>
      </c>
      <c r="S91" s="54"/>
      <c r="T91" s="36"/>
      <c r="XDA91"/>
      <c r="XDB91"/>
      <c r="XDC91"/>
      <c r="XDD91"/>
      <c r="XDE91"/>
      <c r="XDF91"/>
      <c r="XDG91"/>
      <c r="XDH91"/>
      <c r="XDI91"/>
      <c r="XDJ91"/>
      <c r="XDK91"/>
      <c r="XDL91"/>
      <c r="XDM91"/>
      <c r="XDN91"/>
      <c r="XDO91"/>
      <c r="XDP91"/>
      <c r="XDQ91"/>
      <c r="XDR91"/>
      <c r="XDS91"/>
      <c r="XDT91"/>
      <c r="XDU91"/>
      <c r="XDV91"/>
      <c r="XDW91"/>
      <c r="XDX91"/>
      <c r="XDY91"/>
      <c r="XDZ91"/>
      <c r="XEA91"/>
      <c r="XEB91"/>
      <c r="XEC91"/>
      <c r="XED91"/>
      <c r="XEE91"/>
      <c r="XEF91"/>
      <c r="XEG91"/>
      <c r="XEH91"/>
      <c r="XEI91"/>
      <c r="XEJ91"/>
      <c r="XEK91"/>
      <c r="XEL91"/>
      <c r="XEM91"/>
      <c r="XEN91"/>
      <c r="XEO91"/>
      <c r="XEP91"/>
      <c r="XEQ91"/>
      <c r="XER91"/>
      <c r="XES91"/>
      <c r="XET91"/>
      <c r="XEU91"/>
      <c r="XEV91"/>
      <c r="XEW91"/>
      <c r="XEX91"/>
      <c r="XEY91"/>
      <c r="XEZ91"/>
      <c r="XFA91"/>
      <c r="XFB91"/>
      <c r="XFC91"/>
    </row>
    <row r="92" spans="1:20 16329:16383" s="38" customFormat="1" ht="29.1" customHeight="1" outlineLevel="4" x14ac:dyDescent="0.25">
      <c r="A92" s="49" t="s">
        <v>220</v>
      </c>
      <c r="B92" s="50"/>
      <c r="C92" s="50"/>
      <c r="D92" s="3" t="s">
        <v>221</v>
      </c>
      <c r="E92" s="3"/>
      <c r="F92" s="51"/>
      <c r="G92" s="50" t="s">
        <v>194</v>
      </c>
      <c r="H92" s="52">
        <f>1</f>
        <v>1</v>
      </c>
      <c r="I92" s="36"/>
      <c r="J92" s="52">
        <v>1</v>
      </c>
      <c r="K92" s="53">
        <f>0</f>
        <v>0</v>
      </c>
      <c r="L92" s="53">
        <f>0</f>
        <v>0</v>
      </c>
      <c r="M92" s="53">
        <f>0</f>
        <v>0</v>
      </c>
      <c r="N92" s="54">
        <f t="shared" si="10"/>
        <v>0</v>
      </c>
      <c r="O92" s="54">
        <f t="shared" si="11"/>
        <v>0</v>
      </c>
      <c r="P92" s="54">
        <f t="shared" si="12"/>
        <v>0</v>
      </c>
      <c r="Q92" s="54">
        <f t="shared" si="13"/>
        <v>0</v>
      </c>
      <c r="R92" s="54">
        <f t="shared" si="14"/>
        <v>0</v>
      </c>
      <c r="S92" s="54"/>
      <c r="T92" s="36"/>
      <c r="XDA92"/>
      <c r="XDB92"/>
      <c r="XDC92"/>
      <c r="XDD92"/>
      <c r="XDE92"/>
      <c r="XDF92"/>
      <c r="XDG92"/>
      <c r="XDH92"/>
      <c r="XDI92"/>
      <c r="XDJ92"/>
      <c r="XDK92"/>
      <c r="XDL92"/>
      <c r="XDM92"/>
      <c r="XDN92"/>
      <c r="XDO92"/>
      <c r="XDP92"/>
      <c r="XDQ92"/>
      <c r="XDR92"/>
      <c r="XDS92"/>
      <c r="XDT92"/>
      <c r="XDU92"/>
      <c r="XDV92"/>
      <c r="XDW92"/>
      <c r="XDX92"/>
      <c r="XDY92"/>
      <c r="XDZ92"/>
      <c r="XEA92"/>
      <c r="XEB92"/>
      <c r="XEC92"/>
      <c r="XED92"/>
      <c r="XEE92"/>
      <c r="XEF92"/>
      <c r="XEG92"/>
      <c r="XEH92"/>
      <c r="XEI92"/>
      <c r="XEJ92"/>
      <c r="XEK92"/>
      <c r="XEL92"/>
      <c r="XEM92"/>
      <c r="XEN92"/>
      <c r="XEO92"/>
      <c r="XEP92"/>
      <c r="XEQ92"/>
      <c r="XER92"/>
      <c r="XES92"/>
      <c r="XET92"/>
      <c r="XEU92"/>
      <c r="XEV92"/>
      <c r="XEW92"/>
      <c r="XEX92"/>
      <c r="XEY92"/>
      <c r="XEZ92"/>
      <c r="XFA92"/>
      <c r="XFB92"/>
      <c r="XFC92"/>
    </row>
    <row r="93" spans="1:20 16329:16383" s="38" customFormat="1" ht="29.1" customHeight="1" outlineLevel="4" x14ac:dyDescent="0.25">
      <c r="A93" s="49" t="s">
        <v>222</v>
      </c>
      <c r="B93" s="50"/>
      <c r="C93" s="50"/>
      <c r="D93" s="3" t="s">
        <v>223</v>
      </c>
      <c r="E93" s="3"/>
      <c r="F93" s="51" t="s">
        <v>201</v>
      </c>
      <c r="G93" s="50" t="s">
        <v>102</v>
      </c>
      <c r="H93" s="52">
        <f>1</f>
        <v>1</v>
      </c>
      <c r="I93" s="36"/>
      <c r="J93" s="52">
        <v>1</v>
      </c>
      <c r="K93" s="53">
        <f>0</f>
        <v>0</v>
      </c>
      <c r="L93" s="53">
        <f>0</f>
        <v>0</v>
      </c>
      <c r="M93" s="53">
        <f>0</f>
        <v>0</v>
      </c>
      <c r="N93" s="54">
        <f t="shared" si="10"/>
        <v>0</v>
      </c>
      <c r="O93" s="54">
        <f t="shared" si="11"/>
        <v>0</v>
      </c>
      <c r="P93" s="54">
        <f t="shared" si="12"/>
        <v>0</v>
      </c>
      <c r="Q93" s="54">
        <f t="shared" si="13"/>
        <v>0</v>
      </c>
      <c r="R93" s="54">
        <f t="shared" si="14"/>
        <v>0</v>
      </c>
      <c r="S93" s="54"/>
      <c r="T93" s="36"/>
      <c r="XDA93"/>
      <c r="XDB93"/>
      <c r="XDC93"/>
      <c r="XDD93"/>
      <c r="XDE93"/>
      <c r="XDF93"/>
      <c r="XDG93"/>
      <c r="XDH93"/>
      <c r="XDI93"/>
      <c r="XDJ93"/>
      <c r="XDK93"/>
      <c r="XDL93"/>
      <c r="XDM93"/>
      <c r="XDN93"/>
      <c r="XDO93"/>
      <c r="XDP93"/>
      <c r="XDQ93"/>
      <c r="XDR93"/>
      <c r="XDS93"/>
      <c r="XDT93"/>
      <c r="XDU93"/>
      <c r="XDV93"/>
      <c r="XDW93"/>
      <c r="XDX93"/>
      <c r="XDY93"/>
      <c r="XDZ93"/>
      <c r="XEA93"/>
      <c r="XEB93"/>
      <c r="XEC93"/>
      <c r="XED93"/>
      <c r="XEE93"/>
      <c r="XEF93"/>
      <c r="XEG93"/>
      <c r="XEH93"/>
      <c r="XEI93"/>
      <c r="XEJ93"/>
      <c r="XEK93"/>
      <c r="XEL93"/>
      <c r="XEM93"/>
      <c r="XEN93"/>
      <c r="XEO93"/>
      <c r="XEP93"/>
      <c r="XEQ93"/>
      <c r="XER93"/>
      <c r="XES93"/>
      <c r="XET93"/>
      <c r="XEU93"/>
      <c r="XEV93"/>
      <c r="XEW93"/>
      <c r="XEX93"/>
      <c r="XEY93"/>
      <c r="XEZ93"/>
      <c r="XFA93"/>
      <c r="XFB93"/>
      <c r="XFC93"/>
    </row>
    <row r="94" spans="1:20 16329:16383" s="38" customFormat="1" ht="29.1" customHeight="1" outlineLevel="4" x14ac:dyDescent="0.25">
      <c r="A94" s="49" t="s">
        <v>224</v>
      </c>
      <c r="B94" s="50"/>
      <c r="C94" s="50"/>
      <c r="D94" s="3" t="s">
        <v>225</v>
      </c>
      <c r="E94" s="3"/>
      <c r="F94" s="51"/>
      <c r="G94" s="50" t="s">
        <v>194</v>
      </c>
      <c r="H94" s="52">
        <f>1</f>
        <v>1</v>
      </c>
      <c r="I94" s="36"/>
      <c r="J94" s="52">
        <v>1</v>
      </c>
      <c r="K94" s="53">
        <f>0</f>
        <v>0</v>
      </c>
      <c r="L94" s="53">
        <f>0</f>
        <v>0</v>
      </c>
      <c r="M94" s="53">
        <f>0</f>
        <v>0</v>
      </c>
      <c r="N94" s="54">
        <f t="shared" si="10"/>
        <v>0</v>
      </c>
      <c r="O94" s="54">
        <f t="shared" si="11"/>
        <v>0</v>
      </c>
      <c r="P94" s="54">
        <f t="shared" si="12"/>
        <v>0</v>
      </c>
      <c r="Q94" s="54">
        <f t="shared" si="13"/>
        <v>0</v>
      </c>
      <c r="R94" s="54">
        <f t="shared" si="14"/>
        <v>0</v>
      </c>
      <c r="S94" s="54"/>
      <c r="T94" s="36"/>
      <c r="XDA94"/>
      <c r="XDB94"/>
      <c r="XDC94"/>
      <c r="XDD94"/>
      <c r="XDE94"/>
      <c r="XDF94"/>
      <c r="XDG94"/>
      <c r="XDH94"/>
      <c r="XDI94"/>
      <c r="XDJ94"/>
      <c r="XDK94"/>
      <c r="XDL94"/>
      <c r="XDM94"/>
      <c r="XDN94"/>
      <c r="XDO94"/>
      <c r="XDP94"/>
      <c r="XDQ94"/>
      <c r="XDR94"/>
      <c r="XDS94"/>
      <c r="XDT94"/>
      <c r="XDU94"/>
      <c r="XDV94"/>
      <c r="XDW94"/>
      <c r="XDX94"/>
      <c r="XDY94"/>
      <c r="XDZ94"/>
      <c r="XEA94"/>
      <c r="XEB94"/>
      <c r="XEC94"/>
      <c r="XED94"/>
      <c r="XEE94"/>
      <c r="XEF94"/>
      <c r="XEG94"/>
      <c r="XEH94"/>
      <c r="XEI94"/>
      <c r="XEJ94"/>
      <c r="XEK94"/>
      <c r="XEL94"/>
      <c r="XEM94"/>
      <c r="XEN94"/>
      <c r="XEO94"/>
      <c r="XEP94"/>
      <c r="XEQ94"/>
      <c r="XER94"/>
      <c r="XES94"/>
      <c r="XET94"/>
      <c r="XEU94"/>
      <c r="XEV94"/>
      <c r="XEW94"/>
      <c r="XEX94"/>
      <c r="XEY94"/>
      <c r="XEZ94"/>
      <c r="XFA94"/>
      <c r="XFB94"/>
      <c r="XFC94"/>
    </row>
    <row r="95" spans="1:20 16329:16383" s="38" customFormat="1" ht="29.1" customHeight="1" outlineLevel="4" x14ac:dyDescent="0.25">
      <c r="A95" s="49" t="s">
        <v>226</v>
      </c>
      <c r="B95" s="50"/>
      <c r="C95" s="50"/>
      <c r="D95" s="3" t="s">
        <v>227</v>
      </c>
      <c r="E95" s="3"/>
      <c r="F95" s="51"/>
      <c r="G95" s="50" t="s">
        <v>102</v>
      </c>
      <c r="H95" s="52">
        <f>1</f>
        <v>1</v>
      </c>
      <c r="I95" s="36"/>
      <c r="J95" s="52">
        <v>1</v>
      </c>
      <c r="K95" s="53">
        <f>0</f>
        <v>0</v>
      </c>
      <c r="L95" s="53">
        <f>0</f>
        <v>0</v>
      </c>
      <c r="M95" s="53">
        <f>0</f>
        <v>0</v>
      </c>
      <c r="N95" s="54">
        <f t="shared" si="10"/>
        <v>0</v>
      </c>
      <c r="O95" s="54">
        <f t="shared" si="11"/>
        <v>0</v>
      </c>
      <c r="P95" s="54">
        <f t="shared" si="12"/>
        <v>0</v>
      </c>
      <c r="Q95" s="54">
        <f t="shared" si="13"/>
        <v>0</v>
      </c>
      <c r="R95" s="54">
        <f t="shared" si="14"/>
        <v>0</v>
      </c>
      <c r="S95" s="54"/>
      <c r="T95" s="36"/>
      <c r="XDA95"/>
      <c r="XDB95"/>
      <c r="XDC95"/>
      <c r="XDD95"/>
      <c r="XDE95"/>
      <c r="XDF95"/>
      <c r="XDG95"/>
      <c r="XDH95"/>
      <c r="XDI95"/>
      <c r="XDJ95"/>
      <c r="XDK95"/>
      <c r="XDL95"/>
      <c r="XDM95"/>
      <c r="XDN95"/>
      <c r="XDO95"/>
      <c r="XDP95"/>
      <c r="XDQ95"/>
      <c r="XDR95"/>
      <c r="XDS95"/>
      <c r="XDT95"/>
      <c r="XDU95"/>
      <c r="XDV95"/>
      <c r="XDW95"/>
      <c r="XDX95"/>
      <c r="XDY95"/>
      <c r="XDZ95"/>
      <c r="XEA95"/>
      <c r="XEB95"/>
      <c r="XEC95"/>
      <c r="XED95"/>
      <c r="XEE95"/>
      <c r="XEF95"/>
      <c r="XEG95"/>
      <c r="XEH95"/>
      <c r="XEI95"/>
      <c r="XEJ95"/>
      <c r="XEK95"/>
      <c r="XEL95"/>
      <c r="XEM95"/>
      <c r="XEN95"/>
      <c r="XEO95"/>
      <c r="XEP95"/>
      <c r="XEQ95"/>
      <c r="XER95"/>
      <c r="XES95"/>
      <c r="XET95"/>
      <c r="XEU95"/>
      <c r="XEV95"/>
      <c r="XEW95"/>
      <c r="XEX95"/>
      <c r="XEY95"/>
      <c r="XEZ95"/>
      <c r="XFA95"/>
      <c r="XFB95"/>
      <c r="XFC95"/>
    </row>
    <row r="96" spans="1:20 16329:16383" s="38" customFormat="1" ht="29.1" customHeight="1" outlineLevel="4" x14ac:dyDescent="0.25">
      <c r="A96" s="49" t="s">
        <v>228</v>
      </c>
      <c r="B96" s="50"/>
      <c r="C96" s="50"/>
      <c r="D96" s="3" t="s">
        <v>229</v>
      </c>
      <c r="E96" s="3"/>
      <c r="F96" s="51"/>
      <c r="G96" s="50" t="s">
        <v>102</v>
      </c>
      <c r="H96" s="52">
        <f>1</f>
        <v>1</v>
      </c>
      <c r="I96" s="36"/>
      <c r="J96" s="52">
        <v>1</v>
      </c>
      <c r="K96" s="53">
        <f>0</f>
        <v>0</v>
      </c>
      <c r="L96" s="53">
        <f>0</f>
        <v>0</v>
      </c>
      <c r="M96" s="53">
        <f>0</f>
        <v>0</v>
      </c>
      <c r="N96" s="54">
        <f t="shared" si="10"/>
        <v>0</v>
      </c>
      <c r="O96" s="54">
        <f t="shared" si="11"/>
        <v>0</v>
      </c>
      <c r="P96" s="54">
        <f t="shared" si="12"/>
        <v>0</v>
      </c>
      <c r="Q96" s="54">
        <f t="shared" si="13"/>
        <v>0</v>
      </c>
      <c r="R96" s="54">
        <f t="shared" si="14"/>
        <v>0</v>
      </c>
      <c r="S96" s="54"/>
      <c r="T96" s="36"/>
      <c r="XDA96"/>
      <c r="XDB96"/>
      <c r="XDC96"/>
      <c r="XDD96"/>
      <c r="XDE96"/>
      <c r="XDF96"/>
      <c r="XDG96"/>
      <c r="XDH96"/>
      <c r="XDI96"/>
      <c r="XDJ96"/>
      <c r="XDK96"/>
      <c r="XDL96"/>
      <c r="XDM96"/>
      <c r="XDN96"/>
      <c r="XDO96"/>
      <c r="XDP96"/>
      <c r="XDQ96"/>
      <c r="XDR96"/>
      <c r="XDS96"/>
      <c r="XDT96"/>
      <c r="XDU96"/>
      <c r="XDV96"/>
      <c r="XDW96"/>
      <c r="XDX96"/>
      <c r="XDY96"/>
      <c r="XDZ96"/>
      <c r="XEA96"/>
      <c r="XEB96"/>
      <c r="XEC96"/>
      <c r="XED96"/>
      <c r="XEE96"/>
      <c r="XEF96"/>
      <c r="XEG96"/>
      <c r="XEH96"/>
      <c r="XEI96"/>
      <c r="XEJ96"/>
      <c r="XEK96"/>
      <c r="XEL96"/>
      <c r="XEM96"/>
      <c r="XEN96"/>
      <c r="XEO96"/>
      <c r="XEP96"/>
      <c r="XEQ96"/>
      <c r="XER96"/>
      <c r="XES96"/>
      <c r="XET96"/>
      <c r="XEU96"/>
      <c r="XEV96"/>
      <c r="XEW96"/>
      <c r="XEX96"/>
      <c r="XEY96"/>
      <c r="XEZ96"/>
      <c r="XFA96"/>
      <c r="XFB96"/>
      <c r="XFC96"/>
    </row>
    <row r="97" spans="1:20 16329:16383" s="38" customFormat="1" ht="29.1" customHeight="1" outlineLevel="3" x14ac:dyDescent="0.25">
      <c r="A97" s="55" t="s">
        <v>230</v>
      </c>
      <c r="B97" s="56" t="s">
        <v>231</v>
      </c>
      <c r="C97" s="56"/>
      <c r="D97" s="2" t="s">
        <v>232</v>
      </c>
      <c r="E97" s="2"/>
      <c r="F97" s="57"/>
      <c r="G97" s="56"/>
      <c r="H97" s="58"/>
      <c r="I97" s="36"/>
      <c r="J97" s="58"/>
      <c r="K97" s="59"/>
      <c r="L97" s="59"/>
      <c r="M97" s="59"/>
      <c r="N97" s="59"/>
      <c r="O97" s="59">
        <f>SUM(O98:O100)</f>
        <v>0</v>
      </c>
      <c r="P97" s="59">
        <f>SUM(P98:P100)</f>
        <v>0</v>
      </c>
      <c r="Q97" s="59">
        <f>SUM(Q98:Q100)</f>
        <v>0</v>
      </c>
      <c r="R97" s="59">
        <f>SUM(R98:R100)</f>
        <v>0</v>
      </c>
      <c r="S97" s="59"/>
      <c r="T97" s="36"/>
      <c r="XDA97"/>
      <c r="XDB97"/>
      <c r="XDC97"/>
      <c r="XDD97"/>
      <c r="XDE97"/>
      <c r="XDF97"/>
      <c r="XDG97"/>
      <c r="XDH97"/>
      <c r="XDI97"/>
      <c r="XDJ97"/>
      <c r="XDK97"/>
      <c r="XDL97"/>
      <c r="XDM97"/>
      <c r="XDN97"/>
      <c r="XDO97"/>
      <c r="XDP97"/>
      <c r="XDQ97"/>
      <c r="XDR97"/>
      <c r="XDS97"/>
      <c r="XDT97"/>
      <c r="XDU97"/>
      <c r="XDV97"/>
      <c r="XDW97"/>
      <c r="XDX97"/>
      <c r="XDY97"/>
      <c r="XDZ97"/>
      <c r="XEA97"/>
      <c r="XEB97"/>
      <c r="XEC97"/>
      <c r="XED97"/>
      <c r="XEE97"/>
      <c r="XEF97"/>
      <c r="XEG97"/>
      <c r="XEH97"/>
      <c r="XEI97"/>
      <c r="XEJ97"/>
      <c r="XEK97"/>
      <c r="XEL97"/>
      <c r="XEM97"/>
      <c r="XEN97"/>
      <c r="XEO97"/>
      <c r="XEP97"/>
      <c r="XEQ97"/>
      <c r="XER97"/>
      <c r="XES97"/>
      <c r="XET97"/>
      <c r="XEU97"/>
      <c r="XEV97"/>
      <c r="XEW97"/>
      <c r="XEX97"/>
      <c r="XEY97"/>
      <c r="XEZ97"/>
      <c r="XFA97"/>
      <c r="XFB97"/>
      <c r="XFC97"/>
    </row>
    <row r="98" spans="1:20 16329:16383" s="38" customFormat="1" ht="29.1" customHeight="1" outlineLevel="4" x14ac:dyDescent="0.25">
      <c r="A98" s="49" t="s">
        <v>233</v>
      </c>
      <c r="B98" s="50"/>
      <c r="C98" s="50"/>
      <c r="D98" s="3" t="s">
        <v>234</v>
      </c>
      <c r="E98" s="3"/>
      <c r="F98" s="51"/>
      <c r="G98" s="50" t="s">
        <v>194</v>
      </c>
      <c r="H98" s="52">
        <f>1</f>
        <v>1</v>
      </c>
      <c r="I98" s="36"/>
      <c r="J98" s="52">
        <v>1</v>
      </c>
      <c r="K98" s="53">
        <f>0</f>
        <v>0</v>
      </c>
      <c r="L98" s="53">
        <f>0</f>
        <v>0</v>
      </c>
      <c r="M98" s="53">
        <f>0</f>
        <v>0</v>
      </c>
      <c r="N98" s="54">
        <f>SUM(K98:M98)</f>
        <v>0</v>
      </c>
      <c r="O98" s="54">
        <f>ROUND((H98*K98),2)</f>
        <v>0</v>
      </c>
      <c r="P98" s="54">
        <f>ROUND((H98*L98),2)</f>
        <v>0</v>
      </c>
      <c r="Q98" s="54">
        <f>ROUND((H98*M98),2)</f>
        <v>0</v>
      </c>
      <c r="R98" s="54">
        <f>ROUND((H98*N98),2)</f>
        <v>0</v>
      </c>
      <c r="S98" s="54"/>
      <c r="T98" s="36"/>
      <c r="XDA98"/>
      <c r="XDB98"/>
      <c r="XDC98"/>
      <c r="XDD98"/>
      <c r="XDE98"/>
      <c r="XDF98"/>
      <c r="XDG98"/>
      <c r="XDH98"/>
      <c r="XDI98"/>
      <c r="XDJ98"/>
      <c r="XDK98"/>
      <c r="XDL98"/>
      <c r="XDM98"/>
      <c r="XDN98"/>
      <c r="XDO98"/>
      <c r="XDP98"/>
      <c r="XDQ98"/>
      <c r="XDR98"/>
      <c r="XDS98"/>
      <c r="XDT98"/>
      <c r="XDU98"/>
      <c r="XDV98"/>
      <c r="XDW98"/>
      <c r="XDX98"/>
      <c r="XDY98"/>
      <c r="XDZ98"/>
      <c r="XEA98"/>
      <c r="XEB98"/>
      <c r="XEC98"/>
      <c r="XED98"/>
      <c r="XEE98"/>
      <c r="XEF98"/>
      <c r="XEG98"/>
      <c r="XEH98"/>
      <c r="XEI98"/>
      <c r="XEJ98"/>
      <c r="XEK98"/>
      <c r="XEL98"/>
      <c r="XEM98"/>
      <c r="XEN98"/>
      <c r="XEO98"/>
      <c r="XEP98"/>
      <c r="XEQ98"/>
      <c r="XER98"/>
      <c r="XES98"/>
      <c r="XET98"/>
      <c r="XEU98"/>
      <c r="XEV98"/>
      <c r="XEW98"/>
      <c r="XEX98"/>
      <c r="XEY98"/>
      <c r="XEZ98"/>
      <c r="XFA98"/>
      <c r="XFB98"/>
      <c r="XFC98"/>
    </row>
    <row r="99" spans="1:20 16329:16383" s="38" customFormat="1" ht="29.1" customHeight="1" outlineLevel="4" x14ac:dyDescent="0.25">
      <c r="A99" s="49" t="s">
        <v>235</v>
      </c>
      <c r="B99" s="50"/>
      <c r="C99" s="50"/>
      <c r="D99" s="3" t="s">
        <v>236</v>
      </c>
      <c r="E99" s="3"/>
      <c r="F99" s="51"/>
      <c r="G99" s="50" t="s">
        <v>134</v>
      </c>
      <c r="H99" s="52">
        <f>1</f>
        <v>1</v>
      </c>
      <c r="I99" s="36"/>
      <c r="J99" s="52">
        <v>1</v>
      </c>
      <c r="K99" s="53">
        <f>0</f>
        <v>0</v>
      </c>
      <c r="L99" s="53">
        <f>0</f>
        <v>0</v>
      </c>
      <c r="M99" s="53">
        <f>0</f>
        <v>0</v>
      </c>
      <c r="N99" s="54">
        <f>SUM(K99:M99)</f>
        <v>0</v>
      </c>
      <c r="O99" s="54">
        <f>ROUND((H99*K99),2)</f>
        <v>0</v>
      </c>
      <c r="P99" s="54">
        <f>ROUND((H99*L99),2)</f>
        <v>0</v>
      </c>
      <c r="Q99" s="54">
        <f>ROUND((H99*M99),2)</f>
        <v>0</v>
      </c>
      <c r="R99" s="54">
        <f>ROUND((H99*N99),2)</f>
        <v>0</v>
      </c>
      <c r="S99" s="54"/>
      <c r="T99" s="36"/>
      <c r="XDA99"/>
      <c r="XDB99"/>
      <c r="XDC99"/>
      <c r="XDD99"/>
      <c r="XDE99"/>
      <c r="XDF99"/>
      <c r="XDG99"/>
      <c r="XDH99"/>
      <c r="XDI99"/>
      <c r="XDJ99"/>
      <c r="XDK99"/>
      <c r="XDL99"/>
      <c r="XDM99"/>
      <c r="XDN99"/>
      <c r="XDO99"/>
      <c r="XDP99"/>
      <c r="XDQ99"/>
      <c r="XDR99"/>
      <c r="XDS99"/>
      <c r="XDT99"/>
      <c r="XDU99"/>
      <c r="XDV99"/>
      <c r="XDW99"/>
      <c r="XDX99"/>
      <c r="XDY99"/>
      <c r="XDZ99"/>
      <c r="XEA99"/>
      <c r="XEB99"/>
      <c r="XEC99"/>
      <c r="XED99"/>
      <c r="XEE99"/>
      <c r="XEF99"/>
      <c r="XEG99"/>
      <c r="XEH99"/>
      <c r="XEI99"/>
      <c r="XEJ99"/>
      <c r="XEK99"/>
      <c r="XEL99"/>
      <c r="XEM99"/>
      <c r="XEN99"/>
      <c r="XEO99"/>
      <c r="XEP99"/>
      <c r="XEQ99"/>
      <c r="XER99"/>
      <c r="XES99"/>
      <c r="XET99"/>
      <c r="XEU99"/>
      <c r="XEV99"/>
      <c r="XEW99"/>
      <c r="XEX99"/>
      <c r="XEY99"/>
      <c r="XEZ99"/>
      <c r="XFA99"/>
      <c r="XFB99"/>
      <c r="XFC99"/>
    </row>
    <row r="100" spans="1:20 16329:16383" s="38" customFormat="1" ht="29.1" customHeight="1" outlineLevel="4" x14ac:dyDescent="0.25">
      <c r="A100" s="60" t="s">
        <v>237</v>
      </c>
      <c r="B100" s="61" t="s">
        <v>238</v>
      </c>
      <c r="C100" s="61"/>
      <c r="D100" s="1" t="s">
        <v>239</v>
      </c>
      <c r="E100" s="1"/>
      <c r="F100" s="62"/>
      <c r="G100" s="61"/>
      <c r="H100" s="63"/>
      <c r="I100" s="36"/>
      <c r="J100" s="63"/>
      <c r="K100" s="64"/>
      <c r="L100" s="64"/>
      <c r="M100" s="64"/>
      <c r="N100" s="64"/>
      <c r="O100" s="64">
        <f>SUM(O101:O108)</f>
        <v>0</v>
      </c>
      <c r="P100" s="64">
        <f>SUM(P101:P108)</f>
        <v>0</v>
      </c>
      <c r="Q100" s="64">
        <f>SUM(Q101:Q108)</f>
        <v>0</v>
      </c>
      <c r="R100" s="64">
        <f>SUM(R101:R108)</f>
        <v>0</v>
      </c>
      <c r="S100" s="64"/>
      <c r="T100" s="36"/>
      <c r="XDA100"/>
      <c r="XDB100"/>
      <c r="XDC100"/>
      <c r="XDD100"/>
      <c r="XDE100"/>
      <c r="XDF100"/>
      <c r="XDG100"/>
      <c r="XDH100"/>
      <c r="XDI100"/>
      <c r="XDJ100"/>
      <c r="XDK100"/>
      <c r="XDL100"/>
      <c r="XDM100"/>
      <c r="XDN100"/>
      <c r="XDO100"/>
      <c r="XDP100"/>
      <c r="XDQ100"/>
      <c r="XDR100"/>
      <c r="XDS100"/>
      <c r="XDT100"/>
      <c r="XDU100"/>
      <c r="XDV100"/>
      <c r="XDW100"/>
      <c r="XDX100"/>
      <c r="XDY100"/>
      <c r="XDZ100"/>
      <c r="XEA100"/>
      <c r="XEB100"/>
      <c r="XEC100"/>
      <c r="XED100"/>
      <c r="XEE100"/>
      <c r="XEF100"/>
      <c r="XEG100"/>
      <c r="XEH100"/>
      <c r="XEI100"/>
      <c r="XEJ100"/>
      <c r="XEK100"/>
      <c r="XEL100"/>
      <c r="XEM100"/>
      <c r="XEN100"/>
      <c r="XEO100"/>
      <c r="XEP100"/>
      <c r="XEQ100"/>
      <c r="XER100"/>
      <c r="XES100"/>
      <c r="XET100"/>
      <c r="XEU100"/>
      <c r="XEV100"/>
      <c r="XEW100"/>
      <c r="XEX100"/>
      <c r="XEY100"/>
      <c r="XEZ100"/>
      <c r="XFA100"/>
      <c r="XFB100"/>
      <c r="XFC100"/>
    </row>
    <row r="101" spans="1:20 16329:16383" s="38" customFormat="1" ht="29.1" customHeight="1" outlineLevel="5" x14ac:dyDescent="0.25">
      <c r="A101" s="49" t="s">
        <v>240</v>
      </c>
      <c r="B101" s="50"/>
      <c r="C101" s="50"/>
      <c r="D101" s="3" t="s">
        <v>241</v>
      </c>
      <c r="E101" s="3"/>
      <c r="F101" s="51"/>
      <c r="G101" s="50" t="s">
        <v>102</v>
      </c>
      <c r="H101" s="52">
        <f>1</f>
        <v>1</v>
      </c>
      <c r="I101" s="36"/>
      <c r="J101" s="52">
        <v>1</v>
      </c>
      <c r="K101" s="53">
        <f>0</f>
        <v>0</v>
      </c>
      <c r="L101" s="53">
        <f>0</f>
        <v>0</v>
      </c>
      <c r="M101" s="53">
        <f>0</f>
        <v>0</v>
      </c>
      <c r="N101" s="54">
        <f t="shared" ref="N101:N108" si="15">SUM(K101:M101)</f>
        <v>0</v>
      </c>
      <c r="O101" s="54">
        <f t="shared" ref="O101:O108" si="16">ROUND((H101*K101),2)</f>
        <v>0</v>
      </c>
      <c r="P101" s="54">
        <f t="shared" ref="P101:P108" si="17">ROUND((H101*L101),2)</f>
        <v>0</v>
      </c>
      <c r="Q101" s="54">
        <f t="shared" ref="Q101:Q108" si="18">ROUND((H101*M101),2)</f>
        <v>0</v>
      </c>
      <c r="R101" s="54">
        <f t="shared" ref="R101:R108" si="19">ROUND((H101*N101),2)</f>
        <v>0</v>
      </c>
      <c r="S101" s="54"/>
      <c r="T101" s="36"/>
      <c r="XDA101"/>
      <c r="XDB101"/>
      <c r="XDC101"/>
      <c r="XDD101"/>
      <c r="XDE101"/>
      <c r="XDF101"/>
      <c r="XDG101"/>
      <c r="XDH101"/>
      <c r="XDI101"/>
      <c r="XDJ101"/>
      <c r="XDK101"/>
      <c r="XDL101"/>
      <c r="XDM101"/>
      <c r="XDN101"/>
      <c r="XDO101"/>
      <c r="XDP101"/>
      <c r="XDQ101"/>
      <c r="XDR101"/>
      <c r="XDS101"/>
      <c r="XDT101"/>
      <c r="XDU101"/>
      <c r="XDV101"/>
      <c r="XDW101"/>
      <c r="XDX101"/>
      <c r="XDY101"/>
      <c r="XDZ101"/>
      <c r="XEA101"/>
      <c r="XEB101"/>
      <c r="XEC101"/>
      <c r="XED101"/>
      <c r="XEE101"/>
      <c r="XEF101"/>
      <c r="XEG101"/>
      <c r="XEH101"/>
      <c r="XEI101"/>
      <c r="XEJ101"/>
      <c r="XEK101"/>
      <c r="XEL101"/>
      <c r="XEM101"/>
      <c r="XEN101"/>
      <c r="XEO101"/>
      <c r="XEP101"/>
      <c r="XEQ101"/>
      <c r="XER101"/>
      <c r="XES101"/>
      <c r="XET101"/>
      <c r="XEU101"/>
      <c r="XEV101"/>
      <c r="XEW101"/>
      <c r="XEX101"/>
      <c r="XEY101"/>
      <c r="XEZ101"/>
      <c r="XFA101"/>
      <c r="XFB101"/>
      <c r="XFC101"/>
    </row>
    <row r="102" spans="1:20 16329:16383" s="38" customFormat="1" ht="29.1" customHeight="1" outlineLevel="5" x14ac:dyDescent="0.25">
      <c r="A102" s="49" t="s">
        <v>242</v>
      </c>
      <c r="B102" s="50"/>
      <c r="C102" s="50"/>
      <c r="D102" s="3" t="s">
        <v>243</v>
      </c>
      <c r="E102" s="3"/>
      <c r="F102" s="51"/>
      <c r="G102" s="50" t="s">
        <v>102</v>
      </c>
      <c r="H102" s="52">
        <f>1</f>
        <v>1</v>
      </c>
      <c r="I102" s="36"/>
      <c r="J102" s="52">
        <v>1</v>
      </c>
      <c r="K102" s="53">
        <f>0</f>
        <v>0</v>
      </c>
      <c r="L102" s="53">
        <f>0</f>
        <v>0</v>
      </c>
      <c r="M102" s="53">
        <f>0</f>
        <v>0</v>
      </c>
      <c r="N102" s="54">
        <f t="shared" si="15"/>
        <v>0</v>
      </c>
      <c r="O102" s="54">
        <f t="shared" si="16"/>
        <v>0</v>
      </c>
      <c r="P102" s="54">
        <f t="shared" si="17"/>
        <v>0</v>
      </c>
      <c r="Q102" s="54">
        <f t="shared" si="18"/>
        <v>0</v>
      </c>
      <c r="R102" s="54">
        <f t="shared" si="19"/>
        <v>0</v>
      </c>
      <c r="S102" s="54"/>
      <c r="T102" s="36"/>
      <c r="XDA102"/>
      <c r="XDB102"/>
      <c r="XDC102"/>
      <c r="XDD102"/>
      <c r="XDE102"/>
      <c r="XDF102"/>
      <c r="XDG102"/>
      <c r="XDH102"/>
      <c r="XDI102"/>
      <c r="XDJ102"/>
      <c r="XDK102"/>
      <c r="XDL102"/>
      <c r="XDM102"/>
      <c r="XDN102"/>
      <c r="XDO102"/>
      <c r="XDP102"/>
      <c r="XDQ102"/>
      <c r="XDR102"/>
      <c r="XDS102"/>
      <c r="XDT102"/>
      <c r="XDU102"/>
      <c r="XDV102"/>
      <c r="XDW102"/>
      <c r="XDX102"/>
      <c r="XDY102"/>
      <c r="XDZ102"/>
      <c r="XEA102"/>
      <c r="XEB102"/>
      <c r="XEC102"/>
      <c r="XED102"/>
      <c r="XEE102"/>
      <c r="XEF102"/>
      <c r="XEG102"/>
      <c r="XEH102"/>
      <c r="XEI102"/>
      <c r="XEJ102"/>
      <c r="XEK102"/>
      <c r="XEL102"/>
      <c r="XEM102"/>
      <c r="XEN102"/>
      <c r="XEO102"/>
      <c r="XEP102"/>
      <c r="XEQ102"/>
      <c r="XER102"/>
      <c r="XES102"/>
      <c r="XET102"/>
      <c r="XEU102"/>
      <c r="XEV102"/>
      <c r="XEW102"/>
      <c r="XEX102"/>
      <c r="XEY102"/>
      <c r="XEZ102"/>
      <c r="XFA102"/>
      <c r="XFB102"/>
      <c r="XFC102"/>
    </row>
    <row r="103" spans="1:20 16329:16383" s="38" customFormat="1" ht="29.1" customHeight="1" outlineLevel="5" x14ac:dyDescent="0.25">
      <c r="A103" s="49" t="s">
        <v>244</v>
      </c>
      <c r="B103" s="50"/>
      <c r="C103" s="50"/>
      <c r="D103" s="3" t="s">
        <v>218</v>
      </c>
      <c r="E103" s="3"/>
      <c r="F103" s="51"/>
      <c r="G103" s="50" t="s">
        <v>219</v>
      </c>
      <c r="H103" s="52">
        <f>1</f>
        <v>1</v>
      </c>
      <c r="I103" s="36"/>
      <c r="J103" s="52">
        <v>1</v>
      </c>
      <c r="K103" s="53">
        <f>0</f>
        <v>0</v>
      </c>
      <c r="L103" s="53">
        <f>0</f>
        <v>0</v>
      </c>
      <c r="M103" s="53">
        <f>0</f>
        <v>0</v>
      </c>
      <c r="N103" s="54">
        <f t="shared" si="15"/>
        <v>0</v>
      </c>
      <c r="O103" s="54">
        <f t="shared" si="16"/>
        <v>0</v>
      </c>
      <c r="P103" s="54">
        <f t="shared" si="17"/>
        <v>0</v>
      </c>
      <c r="Q103" s="54">
        <f t="shared" si="18"/>
        <v>0</v>
      </c>
      <c r="R103" s="54">
        <f t="shared" si="19"/>
        <v>0</v>
      </c>
      <c r="S103" s="54"/>
      <c r="T103" s="36"/>
      <c r="XDA103"/>
      <c r="XDB103"/>
      <c r="XDC103"/>
      <c r="XDD103"/>
      <c r="XDE103"/>
      <c r="XDF103"/>
      <c r="XDG103"/>
      <c r="XDH103"/>
      <c r="XDI103"/>
      <c r="XDJ103"/>
      <c r="XDK103"/>
      <c r="XDL103"/>
      <c r="XDM103"/>
      <c r="XDN103"/>
      <c r="XDO103"/>
      <c r="XDP103"/>
      <c r="XDQ103"/>
      <c r="XDR103"/>
      <c r="XDS103"/>
      <c r="XDT103"/>
      <c r="XDU103"/>
      <c r="XDV103"/>
      <c r="XDW103"/>
      <c r="XDX103"/>
      <c r="XDY103"/>
      <c r="XDZ103"/>
      <c r="XEA103"/>
      <c r="XEB103"/>
      <c r="XEC103"/>
      <c r="XED103"/>
      <c r="XEE103"/>
      <c r="XEF103"/>
      <c r="XEG103"/>
      <c r="XEH103"/>
      <c r="XEI103"/>
      <c r="XEJ103"/>
      <c r="XEK103"/>
      <c r="XEL103"/>
      <c r="XEM103"/>
      <c r="XEN103"/>
      <c r="XEO103"/>
      <c r="XEP103"/>
      <c r="XEQ103"/>
      <c r="XER103"/>
      <c r="XES103"/>
      <c r="XET103"/>
      <c r="XEU103"/>
      <c r="XEV103"/>
      <c r="XEW103"/>
      <c r="XEX103"/>
      <c r="XEY103"/>
      <c r="XEZ103"/>
      <c r="XFA103"/>
      <c r="XFB103"/>
      <c r="XFC103"/>
    </row>
    <row r="104" spans="1:20 16329:16383" s="38" customFormat="1" ht="29.1" customHeight="1" outlineLevel="5" x14ac:dyDescent="0.25">
      <c r="A104" s="49" t="s">
        <v>245</v>
      </c>
      <c r="B104" s="50"/>
      <c r="C104" s="50"/>
      <c r="D104" s="3" t="s">
        <v>246</v>
      </c>
      <c r="E104" s="3"/>
      <c r="F104" s="51"/>
      <c r="G104" s="50" t="s">
        <v>134</v>
      </c>
      <c r="H104" s="52">
        <f>1</f>
        <v>1</v>
      </c>
      <c r="I104" s="36"/>
      <c r="J104" s="52">
        <v>1</v>
      </c>
      <c r="K104" s="53">
        <f>0</f>
        <v>0</v>
      </c>
      <c r="L104" s="53">
        <f>0</f>
        <v>0</v>
      </c>
      <c r="M104" s="53">
        <f>0</f>
        <v>0</v>
      </c>
      <c r="N104" s="54">
        <f t="shared" si="15"/>
        <v>0</v>
      </c>
      <c r="O104" s="54">
        <f t="shared" si="16"/>
        <v>0</v>
      </c>
      <c r="P104" s="54">
        <f t="shared" si="17"/>
        <v>0</v>
      </c>
      <c r="Q104" s="54">
        <f t="shared" si="18"/>
        <v>0</v>
      </c>
      <c r="R104" s="54">
        <f t="shared" si="19"/>
        <v>0</v>
      </c>
      <c r="S104" s="54"/>
      <c r="T104" s="36"/>
      <c r="XDA104"/>
      <c r="XDB104"/>
      <c r="XDC104"/>
      <c r="XDD104"/>
      <c r="XDE104"/>
      <c r="XDF104"/>
      <c r="XDG104"/>
      <c r="XDH104"/>
      <c r="XDI104"/>
      <c r="XDJ104"/>
      <c r="XDK104"/>
      <c r="XDL104"/>
      <c r="XDM104"/>
      <c r="XDN104"/>
      <c r="XDO104"/>
      <c r="XDP104"/>
      <c r="XDQ104"/>
      <c r="XDR104"/>
      <c r="XDS104"/>
      <c r="XDT104"/>
      <c r="XDU104"/>
      <c r="XDV104"/>
      <c r="XDW104"/>
      <c r="XDX104"/>
      <c r="XDY104"/>
      <c r="XDZ104"/>
      <c r="XEA104"/>
      <c r="XEB104"/>
      <c r="XEC104"/>
      <c r="XED104"/>
      <c r="XEE104"/>
      <c r="XEF104"/>
      <c r="XEG104"/>
      <c r="XEH104"/>
      <c r="XEI104"/>
      <c r="XEJ104"/>
      <c r="XEK104"/>
      <c r="XEL104"/>
      <c r="XEM104"/>
      <c r="XEN104"/>
      <c r="XEO104"/>
      <c r="XEP104"/>
      <c r="XEQ104"/>
      <c r="XER104"/>
      <c r="XES104"/>
      <c r="XET104"/>
      <c r="XEU104"/>
      <c r="XEV104"/>
      <c r="XEW104"/>
      <c r="XEX104"/>
      <c r="XEY104"/>
      <c r="XEZ104"/>
      <c r="XFA104"/>
      <c r="XFB104"/>
      <c r="XFC104"/>
    </row>
    <row r="105" spans="1:20 16329:16383" s="38" customFormat="1" ht="29.1" customHeight="1" outlineLevel="5" x14ac:dyDescent="0.25">
      <c r="A105" s="49" t="s">
        <v>247</v>
      </c>
      <c r="B105" s="50"/>
      <c r="C105" s="50"/>
      <c r="D105" s="3" t="s">
        <v>179</v>
      </c>
      <c r="E105" s="3"/>
      <c r="F105" s="51"/>
      <c r="G105" s="50" t="s">
        <v>102</v>
      </c>
      <c r="H105" s="52">
        <f>1</f>
        <v>1</v>
      </c>
      <c r="I105" s="36"/>
      <c r="J105" s="52">
        <v>1</v>
      </c>
      <c r="K105" s="53">
        <f>0</f>
        <v>0</v>
      </c>
      <c r="L105" s="53">
        <f>0</f>
        <v>0</v>
      </c>
      <c r="M105" s="53">
        <f>0</f>
        <v>0</v>
      </c>
      <c r="N105" s="54">
        <f t="shared" si="15"/>
        <v>0</v>
      </c>
      <c r="O105" s="54">
        <f t="shared" si="16"/>
        <v>0</v>
      </c>
      <c r="P105" s="54">
        <f t="shared" si="17"/>
        <v>0</v>
      </c>
      <c r="Q105" s="54">
        <f t="shared" si="18"/>
        <v>0</v>
      </c>
      <c r="R105" s="54">
        <f t="shared" si="19"/>
        <v>0</v>
      </c>
      <c r="S105" s="54"/>
      <c r="T105" s="36"/>
      <c r="XDA105"/>
      <c r="XDB105"/>
      <c r="XDC105"/>
      <c r="XDD105"/>
      <c r="XDE105"/>
      <c r="XDF105"/>
      <c r="XDG105"/>
      <c r="XDH105"/>
      <c r="XDI105"/>
      <c r="XDJ105"/>
      <c r="XDK105"/>
      <c r="XDL105"/>
      <c r="XDM105"/>
      <c r="XDN105"/>
      <c r="XDO105"/>
      <c r="XDP105"/>
      <c r="XDQ105"/>
      <c r="XDR105"/>
      <c r="XDS105"/>
      <c r="XDT105"/>
      <c r="XDU105"/>
      <c r="XDV105"/>
      <c r="XDW105"/>
      <c r="XDX105"/>
      <c r="XDY105"/>
      <c r="XDZ105"/>
      <c r="XEA105"/>
      <c r="XEB105"/>
      <c r="XEC105"/>
      <c r="XED105"/>
      <c r="XEE105"/>
      <c r="XEF105"/>
      <c r="XEG105"/>
      <c r="XEH105"/>
      <c r="XEI105"/>
      <c r="XEJ105"/>
      <c r="XEK105"/>
      <c r="XEL105"/>
      <c r="XEM105"/>
      <c r="XEN105"/>
      <c r="XEO105"/>
      <c r="XEP105"/>
      <c r="XEQ105"/>
      <c r="XER105"/>
      <c r="XES105"/>
      <c r="XET105"/>
      <c r="XEU105"/>
      <c r="XEV105"/>
      <c r="XEW105"/>
      <c r="XEX105"/>
      <c r="XEY105"/>
      <c r="XEZ105"/>
      <c r="XFA105"/>
      <c r="XFB105"/>
      <c r="XFC105"/>
    </row>
    <row r="106" spans="1:20 16329:16383" s="38" customFormat="1" ht="29.1" customHeight="1" outlineLevel="5" x14ac:dyDescent="0.25">
      <c r="A106" s="49" t="s">
        <v>248</v>
      </c>
      <c r="B106" s="50"/>
      <c r="C106" s="50"/>
      <c r="D106" s="3" t="s">
        <v>249</v>
      </c>
      <c r="E106" s="3"/>
      <c r="F106" s="51"/>
      <c r="G106" s="50" t="s">
        <v>194</v>
      </c>
      <c r="H106" s="52">
        <f>1</f>
        <v>1</v>
      </c>
      <c r="I106" s="36"/>
      <c r="J106" s="52">
        <v>1</v>
      </c>
      <c r="K106" s="53">
        <f>0</f>
        <v>0</v>
      </c>
      <c r="L106" s="53">
        <f>0</f>
        <v>0</v>
      </c>
      <c r="M106" s="53">
        <f>0</f>
        <v>0</v>
      </c>
      <c r="N106" s="54">
        <f t="shared" si="15"/>
        <v>0</v>
      </c>
      <c r="O106" s="54">
        <f t="shared" si="16"/>
        <v>0</v>
      </c>
      <c r="P106" s="54">
        <f t="shared" si="17"/>
        <v>0</v>
      </c>
      <c r="Q106" s="54">
        <f t="shared" si="18"/>
        <v>0</v>
      </c>
      <c r="R106" s="54">
        <f t="shared" si="19"/>
        <v>0</v>
      </c>
      <c r="S106" s="54"/>
      <c r="T106" s="36"/>
      <c r="XDA106"/>
      <c r="XDB106"/>
      <c r="XDC106"/>
      <c r="XDD106"/>
      <c r="XDE106"/>
      <c r="XDF106"/>
      <c r="XDG106"/>
      <c r="XDH106"/>
      <c r="XDI106"/>
      <c r="XDJ106"/>
      <c r="XDK106"/>
      <c r="XDL106"/>
      <c r="XDM106"/>
      <c r="XDN106"/>
      <c r="XDO106"/>
      <c r="XDP106"/>
      <c r="XDQ106"/>
      <c r="XDR106"/>
      <c r="XDS106"/>
      <c r="XDT106"/>
      <c r="XDU106"/>
      <c r="XDV106"/>
      <c r="XDW106"/>
      <c r="XDX106"/>
      <c r="XDY106"/>
      <c r="XDZ106"/>
      <c r="XEA106"/>
      <c r="XEB106"/>
      <c r="XEC106"/>
      <c r="XED106"/>
      <c r="XEE106"/>
      <c r="XEF106"/>
      <c r="XEG106"/>
      <c r="XEH106"/>
      <c r="XEI106"/>
      <c r="XEJ106"/>
      <c r="XEK106"/>
      <c r="XEL106"/>
      <c r="XEM106"/>
      <c r="XEN106"/>
      <c r="XEO106"/>
      <c r="XEP106"/>
      <c r="XEQ106"/>
      <c r="XER106"/>
      <c r="XES106"/>
      <c r="XET106"/>
      <c r="XEU106"/>
      <c r="XEV106"/>
      <c r="XEW106"/>
      <c r="XEX106"/>
      <c r="XEY106"/>
      <c r="XEZ106"/>
      <c r="XFA106"/>
      <c r="XFB106"/>
      <c r="XFC106"/>
    </row>
    <row r="107" spans="1:20 16329:16383" s="38" customFormat="1" ht="29.1" customHeight="1" outlineLevel="5" x14ac:dyDescent="0.25">
      <c r="A107" s="49" t="s">
        <v>250</v>
      </c>
      <c r="B107" s="50"/>
      <c r="C107" s="50"/>
      <c r="D107" s="3" t="s">
        <v>227</v>
      </c>
      <c r="E107" s="3"/>
      <c r="F107" s="51"/>
      <c r="G107" s="50" t="s">
        <v>102</v>
      </c>
      <c r="H107" s="52">
        <f>1</f>
        <v>1</v>
      </c>
      <c r="I107" s="36"/>
      <c r="J107" s="52">
        <v>1</v>
      </c>
      <c r="K107" s="53">
        <f>0</f>
        <v>0</v>
      </c>
      <c r="L107" s="53">
        <f>0</f>
        <v>0</v>
      </c>
      <c r="M107" s="53">
        <f>0</f>
        <v>0</v>
      </c>
      <c r="N107" s="54">
        <f t="shared" si="15"/>
        <v>0</v>
      </c>
      <c r="O107" s="54">
        <f t="shared" si="16"/>
        <v>0</v>
      </c>
      <c r="P107" s="54">
        <f t="shared" si="17"/>
        <v>0</v>
      </c>
      <c r="Q107" s="54">
        <f t="shared" si="18"/>
        <v>0</v>
      </c>
      <c r="R107" s="54">
        <f t="shared" si="19"/>
        <v>0</v>
      </c>
      <c r="S107" s="54"/>
      <c r="T107" s="36"/>
      <c r="XDA107"/>
      <c r="XDB107"/>
      <c r="XDC107"/>
      <c r="XDD107"/>
      <c r="XDE107"/>
      <c r="XDF107"/>
      <c r="XDG107"/>
      <c r="XDH107"/>
      <c r="XDI107"/>
      <c r="XDJ107"/>
      <c r="XDK107"/>
      <c r="XDL107"/>
      <c r="XDM107"/>
      <c r="XDN107"/>
      <c r="XDO107"/>
      <c r="XDP107"/>
      <c r="XDQ107"/>
      <c r="XDR107"/>
      <c r="XDS107"/>
      <c r="XDT107"/>
      <c r="XDU107"/>
      <c r="XDV107"/>
      <c r="XDW107"/>
      <c r="XDX107"/>
      <c r="XDY107"/>
      <c r="XDZ107"/>
      <c r="XEA107"/>
      <c r="XEB107"/>
      <c r="XEC107"/>
      <c r="XED107"/>
      <c r="XEE107"/>
      <c r="XEF107"/>
      <c r="XEG107"/>
      <c r="XEH107"/>
      <c r="XEI107"/>
      <c r="XEJ107"/>
      <c r="XEK107"/>
      <c r="XEL107"/>
      <c r="XEM107"/>
      <c r="XEN107"/>
      <c r="XEO107"/>
      <c r="XEP107"/>
      <c r="XEQ107"/>
      <c r="XER107"/>
      <c r="XES107"/>
      <c r="XET107"/>
      <c r="XEU107"/>
      <c r="XEV107"/>
      <c r="XEW107"/>
      <c r="XEX107"/>
      <c r="XEY107"/>
      <c r="XEZ107"/>
      <c r="XFA107"/>
      <c r="XFB107"/>
      <c r="XFC107"/>
    </row>
    <row r="108" spans="1:20 16329:16383" s="38" customFormat="1" ht="29.1" customHeight="1" outlineLevel="5" x14ac:dyDescent="0.25">
      <c r="A108" s="49" t="s">
        <v>251</v>
      </c>
      <c r="B108" s="50"/>
      <c r="C108" s="50"/>
      <c r="D108" s="3" t="s">
        <v>252</v>
      </c>
      <c r="E108" s="3"/>
      <c r="F108" s="51"/>
      <c r="G108" s="50" t="s">
        <v>194</v>
      </c>
      <c r="H108" s="52">
        <f>1</f>
        <v>1</v>
      </c>
      <c r="I108" s="36"/>
      <c r="J108" s="52">
        <v>1</v>
      </c>
      <c r="K108" s="53">
        <f>0</f>
        <v>0</v>
      </c>
      <c r="L108" s="53">
        <f>0</f>
        <v>0</v>
      </c>
      <c r="M108" s="53">
        <f>0</f>
        <v>0</v>
      </c>
      <c r="N108" s="54">
        <f t="shared" si="15"/>
        <v>0</v>
      </c>
      <c r="O108" s="54">
        <f t="shared" si="16"/>
        <v>0</v>
      </c>
      <c r="P108" s="54">
        <f t="shared" si="17"/>
        <v>0</v>
      </c>
      <c r="Q108" s="54">
        <f t="shared" si="18"/>
        <v>0</v>
      </c>
      <c r="R108" s="54">
        <f t="shared" si="19"/>
        <v>0</v>
      </c>
      <c r="S108" s="54"/>
      <c r="T108" s="36"/>
      <c r="XDA108"/>
      <c r="XDB108"/>
      <c r="XDC108"/>
      <c r="XDD108"/>
      <c r="XDE108"/>
      <c r="XDF108"/>
      <c r="XDG108"/>
      <c r="XDH108"/>
      <c r="XDI108"/>
      <c r="XDJ108"/>
      <c r="XDK108"/>
      <c r="XDL108"/>
      <c r="XDM108"/>
      <c r="XDN108"/>
      <c r="XDO108"/>
      <c r="XDP108"/>
      <c r="XDQ108"/>
      <c r="XDR108"/>
      <c r="XDS108"/>
      <c r="XDT108"/>
      <c r="XDU108"/>
      <c r="XDV108"/>
      <c r="XDW108"/>
      <c r="XDX108"/>
      <c r="XDY108"/>
      <c r="XDZ108"/>
      <c r="XEA108"/>
      <c r="XEB108"/>
      <c r="XEC108"/>
      <c r="XED108"/>
      <c r="XEE108"/>
      <c r="XEF108"/>
      <c r="XEG108"/>
      <c r="XEH108"/>
      <c r="XEI108"/>
      <c r="XEJ108"/>
      <c r="XEK108"/>
      <c r="XEL108"/>
      <c r="XEM108"/>
      <c r="XEN108"/>
      <c r="XEO108"/>
      <c r="XEP108"/>
      <c r="XEQ108"/>
      <c r="XER108"/>
      <c r="XES108"/>
      <c r="XET108"/>
      <c r="XEU108"/>
      <c r="XEV108"/>
      <c r="XEW108"/>
      <c r="XEX108"/>
      <c r="XEY108"/>
      <c r="XEZ108"/>
      <c r="XFA108"/>
      <c r="XFB108"/>
      <c r="XFC108"/>
    </row>
    <row r="109" spans="1:20 16329:16383" s="38" customFormat="1" ht="29.1" customHeight="1" outlineLevel="1" x14ac:dyDescent="0.25">
      <c r="A109" s="39" t="s">
        <v>253</v>
      </c>
      <c r="B109" s="40" t="s">
        <v>36</v>
      </c>
      <c r="C109" s="40" t="s">
        <v>254</v>
      </c>
      <c r="D109" s="5" t="s">
        <v>255</v>
      </c>
      <c r="E109" s="5"/>
      <c r="F109" s="41"/>
      <c r="G109" s="40" t="s">
        <v>117</v>
      </c>
      <c r="H109" s="42"/>
      <c r="I109" s="36"/>
      <c r="J109" s="42"/>
      <c r="K109" s="43"/>
      <c r="L109" s="43"/>
      <c r="M109" s="43"/>
      <c r="N109" s="43"/>
      <c r="O109" s="43">
        <f>O110+O168+O310</f>
        <v>0</v>
      </c>
      <c r="P109" s="43">
        <f>P110+P168+P310</f>
        <v>0</v>
      </c>
      <c r="Q109" s="43">
        <f>Q110+Q168+Q310</f>
        <v>0</v>
      </c>
      <c r="R109" s="43">
        <f>R110+R168+R310</f>
        <v>0</v>
      </c>
      <c r="S109" s="43"/>
      <c r="T109" s="36"/>
      <c r="XDA109"/>
      <c r="XDB109"/>
      <c r="XDC109"/>
      <c r="XDD109"/>
      <c r="XDE109"/>
      <c r="XDF109"/>
      <c r="XDG109"/>
      <c r="XDH109"/>
      <c r="XDI109"/>
      <c r="XDJ109"/>
      <c r="XDK109"/>
      <c r="XDL109"/>
      <c r="XDM109"/>
      <c r="XDN109"/>
      <c r="XDO109"/>
      <c r="XDP109"/>
      <c r="XDQ109"/>
      <c r="XDR109"/>
      <c r="XDS109"/>
      <c r="XDT109"/>
      <c r="XDU109"/>
      <c r="XDV109"/>
      <c r="XDW109"/>
      <c r="XDX109"/>
      <c r="XDY109"/>
      <c r="XDZ109"/>
      <c r="XEA109"/>
      <c r="XEB109"/>
      <c r="XEC109"/>
      <c r="XED109"/>
      <c r="XEE109"/>
      <c r="XEF109"/>
      <c r="XEG109"/>
      <c r="XEH109"/>
      <c r="XEI109"/>
      <c r="XEJ109"/>
      <c r="XEK109"/>
      <c r="XEL109"/>
      <c r="XEM109"/>
      <c r="XEN109"/>
      <c r="XEO109"/>
      <c r="XEP109"/>
      <c r="XEQ109"/>
      <c r="XER109"/>
      <c r="XES109"/>
      <c r="XET109"/>
      <c r="XEU109"/>
      <c r="XEV109"/>
      <c r="XEW109"/>
      <c r="XEX109"/>
      <c r="XEY109"/>
      <c r="XEZ109"/>
      <c r="XFA109"/>
      <c r="XFB109"/>
      <c r="XFC109"/>
    </row>
    <row r="110" spans="1:20 16329:16383" s="38" customFormat="1" ht="29.1" customHeight="1" outlineLevel="2" x14ac:dyDescent="0.25">
      <c r="A110" s="44" t="s">
        <v>256</v>
      </c>
      <c r="B110" s="45" t="s">
        <v>257</v>
      </c>
      <c r="C110" s="45" t="s">
        <v>258</v>
      </c>
      <c r="D110" s="4" t="s">
        <v>259</v>
      </c>
      <c r="E110" s="4"/>
      <c r="F110" s="46"/>
      <c r="G110" s="45" t="s">
        <v>117</v>
      </c>
      <c r="H110" s="47"/>
      <c r="I110" s="36"/>
      <c r="J110" s="47"/>
      <c r="K110" s="48"/>
      <c r="L110" s="48"/>
      <c r="M110" s="48"/>
      <c r="N110" s="48"/>
      <c r="O110" s="48">
        <f>O111+O120+O148</f>
        <v>0</v>
      </c>
      <c r="P110" s="48">
        <f>P111+P120+P148</f>
        <v>0</v>
      </c>
      <c r="Q110" s="48">
        <f>Q111+Q120+Q148</f>
        <v>0</v>
      </c>
      <c r="R110" s="48">
        <f>R111+R120+R148</f>
        <v>0</v>
      </c>
      <c r="S110" s="48"/>
      <c r="T110" s="36"/>
      <c r="XDA110"/>
      <c r="XDB110"/>
      <c r="XDC110"/>
      <c r="XDD110"/>
      <c r="XDE110"/>
      <c r="XDF110"/>
      <c r="XDG110"/>
      <c r="XDH110"/>
      <c r="XDI110"/>
      <c r="XDJ110"/>
      <c r="XDK110"/>
      <c r="XDL110"/>
      <c r="XDM110"/>
      <c r="XDN110"/>
      <c r="XDO110"/>
      <c r="XDP110"/>
      <c r="XDQ110"/>
      <c r="XDR110"/>
      <c r="XDS110"/>
      <c r="XDT110"/>
      <c r="XDU110"/>
      <c r="XDV110"/>
      <c r="XDW110"/>
      <c r="XDX110"/>
      <c r="XDY110"/>
      <c r="XDZ110"/>
      <c r="XEA110"/>
      <c r="XEB110"/>
      <c r="XEC110"/>
      <c r="XED110"/>
      <c r="XEE110"/>
      <c r="XEF110"/>
      <c r="XEG110"/>
      <c r="XEH110"/>
      <c r="XEI110"/>
      <c r="XEJ110"/>
      <c r="XEK110"/>
      <c r="XEL110"/>
      <c r="XEM110"/>
      <c r="XEN110"/>
      <c r="XEO110"/>
      <c r="XEP110"/>
      <c r="XEQ110"/>
      <c r="XER110"/>
      <c r="XES110"/>
      <c r="XET110"/>
      <c r="XEU110"/>
      <c r="XEV110"/>
      <c r="XEW110"/>
      <c r="XEX110"/>
      <c r="XEY110"/>
      <c r="XEZ110"/>
      <c r="XFA110"/>
      <c r="XFB110"/>
      <c r="XFC110"/>
    </row>
    <row r="111" spans="1:20 16329:16383" s="38" customFormat="1" ht="29.1" customHeight="1" outlineLevel="3" x14ac:dyDescent="0.25">
      <c r="A111" s="55" t="s">
        <v>260</v>
      </c>
      <c r="B111" s="56" t="s">
        <v>261</v>
      </c>
      <c r="C111" s="56" t="s">
        <v>262</v>
      </c>
      <c r="D111" s="2" t="s">
        <v>263</v>
      </c>
      <c r="E111" s="2"/>
      <c r="F111" s="57"/>
      <c r="G111" s="56" t="s">
        <v>117</v>
      </c>
      <c r="H111" s="58"/>
      <c r="I111" s="36"/>
      <c r="J111" s="58"/>
      <c r="K111" s="59"/>
      <c r="L111" s="59"/>
      <c r="M111" s="59"/>
      <c r="N111" s="59"/>
      <c r="O111" s="59">
        <f>O112+O117</f>
        <v>0</v>
      </c>
      <c r="P111" s="59">
        <f>P112+P117</f>
        <v>0</v>
      </c>
      <c r="Q111" s="59">
        <f>Q112+Q117</f>
        <v>0</v>
      </c>
      <c r="R111" s="59">
        <f>R112+R117</f>
        <v>0</v>
      </c>
      <c r="S111" s="59"/>
      <c r="T111" s="36"/>
      <c r="XDA111"/>
      <c r="XDB111"/>
      <c r="XDC111"/>
      <c r="XDD111"/>
      <c r="XDE111"/>
      <c r="XDF111"/>
      <c r="XDG111"/>
      <c r="XDH111"/>
      <c r="XDI111"/>
      <c r="XDJ111"/>
      <c r="XDK111"/>
      <c r="XDL111"/>
      <c r="XDM111"/>
      <c r="XDN111"/>
      <c r="XDO111"/>
      <c r="XDP111"/>
      <c r="XDQ111"/>
      <c r="XDR111"/>
      <c r="XDS111"/>
      <c r="XDT111"/>
      <c r="XDU111"/>
      <c r="XDV111"/>
      <c r="XDW111"/>
      <c r="XDX111"/>
      <c r="XDY111"/>
      <c r="XDZ111"/>
      <c r="XEA111"/>
      <c r="XEB111"/>
      <c r="XEC111"/>
      <c r="XED111"/>
      <c r="XEE111"/>
      <c r="XEF111"/>
      <c r="XEG111"/>
      <c r="XEH111"/>
      <c r="XEI111"/>
      <c r="XEJ111"/>
      <c r="XEK111"/>
      <c r="XEL111"/>
      <c r="XEM111"/>
      <c r="XEN111"/>
      <c r="XEO111"/>
      <c r="XEP111"/>
      <c r="XEQ111"/>
      <c r="XER111"/>
      <c r="XES111"/>
      <c r="XET111"/>
      <c r="XEU111"/>
      <c r="XEV111"/>
      <c r="XEW111"/>
      <c r="XEX111"/>
      <c r="XEY111"/>
      <c r="XEZ111"/>
      <c r="XFA111"/>
      <c r="XFB111"/>
      <c r="XFC111"/>
    </row>
    <row r="112" spans="1:20 16329:16383" s="38" customFormat="1" ht="29.1" customHeight="1" outlineLevel="4" x14ac:dyDescent="0.25">
      <c r="A112" s="60" t="s">
        <v>264</v>
      </c>
      <c r="B112" s="61" t="s">
        <v>265</v>
      </c>
      <c r="C112" s="61"/>
      <c r="D112" s="1" t="s">
        <v>266</v>
      </c>
      <c r="E112" s="1"/>
      <c r="F112" s="62"/>
      <c r="G112" s="61"/>
      <c r="H112" s="63"/>
      <c r="I112" s="36"/>
      <c r="J112" s="63"/>
      <c r="K112" s="64"/>
      <c r="L112" s="64"/>
      <c r="M112" s="64"/>
      <c r="N112" s="64"/>
      <c r="O112" s="64">
        <f>SUM(O113:O116)</f>
        <v>0</v>
      </c>
      <c r="P112" s="64">
        <f>SUM(P113:P116)</f>
        <v>0</v>
      </c>
      <c r="Q112" s="64">
        <f>SUM(Q113:Q116)</f>
        <v>0</v>
      </c>
      <c r="R112" s="64">
        <f>SUM(R113:R116)</f>
        <v>0</v>
      </c>
      <c r="S112" s="64"/>
      <c r="T112" s="36"/>
      <c r="XDA112"/>
      <c r="XDB112"/>
      <c r="XDC112"/>
      <c r="XDD112"/>
      <c r="XDE112"/>
      <c r="XDF112"/>
      <c r="XDG112"/>
      <c r="XDH112"/>
      <c r="XDI112"/>
      <c r="XDJ112"/>
      <c r="XDK112"/>
      <c r="XDL112"/>
      <c r="XDM112"/>
      <c r="XDN112"/>
      <c r="XDO112"/>
      <c r="XDP112"/>
      <c r="XDQ112"/>
      <c r="XDR112"/>
      <c r="XDS112"/>
      <c r="XDT112"/>
      <c r="XDU112"/>
      <c r="XDV112"/>
      <c r="XDW112"/>
      <c r="XDX112"/>
      <c r="XDY112"/>
      <c r="XDZ112"/>
      <c r="XEA112"/>
      <c r="XEB112"/>
      <c r="XEC112"/>
      <c r="XED112"/>
      <c r="XEE112"/>
      <c r="XEF112"/>
      <c r="XEG112"/>
      <c r="XEH112"/>
      <c r="XEI112"/>
      <c r="XEJ112"/>
      <c r="XEK112"/>
      <c r="XEL112"/>
      <c r="XEM112"/>
      <c r="XEN112"/>
      <c r="XEO112"/>
      <c r="XEP112"/>
      <c r="XEQ112"/>
      <c r="XER112"/>
      <c r="XES112"/>
      <c r="XET112"/>
      <c r="XEU112"/>
      <c r="XEV112"/>
      <c r="XEW112"/>
      <c r="XEX112"/>
      <c r="XEY112"/>
      <c r="XEZ112"/>
      <c r="XFA112"/>
      <c r="XFB112"/>
      <c r="XFC112"/>
    </row>
    <row r="113" spans="1:20 16329:16383" s="38" customFormat="1" ht="29.1" customHeight="1" outlineLevel="5" x14ac:dyDescent="0.25">
      <c r="A113" s="49" t="s">
        <v>267</v>
      </c>
      <c r="B113" s="50"/>
      <c r="C113" s="50"/>
      <c r="D113" s="3" t="s">
        <v>268</v>
      </c>
      <c r="E113" s="3"/>
      <c r="F113" s="51"/>
      <c r="G113" s="50" t="s">
        <v>117</v>
      </c>
      <c r="H113" s="52">
        <f>1</f>
        <v>1</v>
      </c>
      <c r="I113" s="36"/>
      <c r="J113" s="52">
        <v>1</v>
      </c>
      <c r="K113" s="53">
        <f>0</f>
        <v>0</v>
      </c>
      <c r="L113" s="53">
        <f>0</f>
        <v>0</v>
      </c>
      <c r="M113" s="53">
        <f>0</f>
        <v>0</v>
      </c>
      <c r="N113" s="54">
        <f>SUM(K113:M113)</f>
        <v>0</v>
      </c>
      <c r="O113" s="54">
        <f>ROUND((H113*K113),2)</f>
        <v>0</v>
      </c>
      <c r="P113" s="54">
        <f>ROUND((H113*L113),2)</f>
        <v>0</v>
      </c>
      <c r="Q113" s="54">
        <f>ROUND((H113*M113),2)</f>
        <v>0</v>
      </c>
      <c r="R113" s="54">
        <f>ROUND((H113*N113),2)</f>
        <v>0</v>
      </c>
      <c r="S113" s="54"/>
      <c r="T113" s="36"/>
      <c r="XDA113"/>
      <c r="XDB113"/>
      <c r="XDC113"/>
      <c r="XDD113"/>
      <c r="XDE113"/>
      <c r="XDF113"/>
      <c r="XDG113"/>
      <c r="XDH113"/>
      <c r="XDI113"/>
      <c r="XDJ113"/>
      <c r="XDK113"/>
      <c r="XDL113"/>
      <c r="XDM113"/>
      <c r="XDN113"/>
      <c r="XDO113"/>
      <c r="XDP113"/>
      <c r="XDQ113"/>
      <c r="XDR113"/>
      <c r="XDS113"/>
      <c r="XDT113"/>
      <c r="XDU113"/>
      <c r="XDV113"/>
      <c r="XDW113"/>
      <c r="XDX113"/>
      <c r="XDY113"/>
      <c r="XDZ113"/>
      <c r="XEA113"/>
      <c r="XEB113"/>
      <c r="XEC113"/>
      <c r="XED113"/>
      <c r="XEE113"/>
      <c r="XEF113"/>
      <c r="XEG113"/>
      <c r="XEH113"/>
      <c r="XEI113"/>
      <c r="XEJ113"/>
      <c r="XEK113"/>
      <c r="XEL113"/>
      <c r="XEM113"/>
      <c r="XEN113"/>
      <c r="XEO113"/>
      <c r="XEP113"/>
      <c r="XEQ113"/>
      <c r="XER113"/>
      <c r="XES113"/>
      <c r="XET113"/>
      <c r="XEU113"/>
      <c r="XEV113"/>
      <c r="XEW113"/>
      <c r="XEX113"/>
      <c r="XEY113"/>
      <c r="XEZ113"/>
      <c r="XFA113"/>
      <c r="XFB113"/>
      <c r="XFC113"/>
    </row>
    <row r="114" spans="1:20 16329:16383" s="38" customFormat="1" ht="29.1" customHeight="1" outlineLevel="5" x14ac:dyDescent="0.25">
      <c r="A114" s="49" t="s">
        <v>269</v>
      </c>
      <c r="B114" s="50"/>
      <c r="C114" s="50"/>
      <c r="D114" s="3" t="s">
        <v>270</v>
      </c>
      <c r="E114" s="3"/>
      <c r="F114" s="51"/>
      <c r="G114" s="50" t="s">
        <v>117</v>
      </c>
      <c r="H114" s="52">
        <f>1</f>
        <v>1</v>
      </c>
      <c r="I114" s="36"/>
      <c r="J114" s="52">
        <v>1</v>
      </c>
      <c r="K114" s="53">
        <f>0</f>
        <v>0</v>
      </c>
      <c r="L114" s="53">
        <f>0</f>
        <v>0</v>
      </c>
      <c r="M114" s="53">
        <f>0</f>
        <v>0</v>
      </c>
      <c r="N114" s="54">
        <f>SUM(K114:M114)</f>
        <v>0</v>
      </c>
      <c r="O114" s="54">
        <f>ROUND((H114*K114),2)</f>
        <v>0</v>
      </c>
      <c r="P114" s="54">
        <f>ROUND((H114*L114),2)</f>
        <v>0</v>
      </c>
      <c r="Q114" s="54">
        <f>ROUND((H114*M114),2)</f>
        <v>0</v>
      </c>
      <c r="R114" s="54">
        <f>ROUND((H114*N114),2)</f>
        <v>0</v>
      </c>
      <c r="S114" s="54"/>
      <c r="T114" s="36"/>
      <c r="XDA114"/>
      <c r="XDB114"/>
      <c r="XDC114"/>
      <c r="XDD114"/>
      <c r="XDE114"/>
      <c r="XDF114"/>
      <c r="XDG114"/>
      <c r="XDH114"/>
      <c r="XDI114"/>
      <c r="XDJ114"/>
      <c r="XDK114"/>
      <c r="XDL114"/>
      <c r="XDM114"/>
      <c r="XDN114"/>
      <c r="XDO114"/>
      <c r="XDP114"/>
      <c r="XDQ114"/>
      <c r="XDR114"/>
      <c r="XDS114"/>
      <c r="XDT114"/>
      <c r="XDU114"/>
      <c r="XDV114"/>
      <c r="XDW114"/>
      <c r="XDX114"/>
      <c r="XDY114"/>
      <c r="XDZ114"/>
      <c r="XEA114"/>
      <c r="XEB114"/>
      <c r="XEC114"/>
      <c r="XED114"/>
      <c r="XEE114"/>
      <c r="XEF114"/>
      <c r="XEG114"/>
      <c r="XEH114"/>
      <c r="XEI114"/>
      <c r="XEJ114"/>
      <c r="XEK114"/>
      <c r="XEL114"/>
      <c r="XEM114"/>
      <c r="XEN114"/>
      <c r="XEO114"/>
      <c r="XEP114"/>
      <c r="XEQ114"/>
      <c r="XER114"/>
      <c r="XES114"/>
      <c r="XET114"/>
      <c r="XEU114"/>
      <c r="XEV114"/>
      <c r="XEW114"/>
      <c r="XEX114"/>
      <c r="XEY114"/>
      <c r="XEZ114"/>
      <c r="XFA114"/>
      <c r="XFB114"/>
      <c r="XFC114"/>
    </row>
    <row r="115" spans="1:20 16329:16383" s="38" customFormat="1" ht="29.1" customHeight="1" outlineLevel="5" x14ac:dyDescent="0.25">
      <c r="A115" s="49" t="s">
        <v>271</v>
      </c>
      <c r="B115" s="50"/>
      <c r="C115" s="50"/>
      <c r="D115" s="3" t="s">
        <v>272</v>
      </c>
      <c r="E115" s="3"/>
      <c r="F115" s="51"/>
      <c r="G115" s="50" t="s">
        <v>117</v>
      </c>
      <c r="H115" s="52">
        <f>1</f>
        <v>1</v>
      </c>
      <c r="I115" s="36"/>
      <c r="J115" s="52">
        <v>1</v>
      </c>
      <c r="K115" s="53">
        <f>0</f>
        <v>0</v>
      </c>
      <c r="L115" s="53">
        <f>0</f>
        <v>0</v>
      </c>
      <c r="M115" s="53">
        <f>0</f>
        <v>0</v>
      </c>
      <c r="N115" s="54">
        <f>SUM(K115:M115)</f>
        <v>0</v>
      </c>
      <c r="O115" s="54">
        <f>ROUND((H115*K115),2)</f>
        <v>0</v>
      </c>
      <c r="P115" s="54">
        <f>ROUND((H115*L115),2)</f>
        <v>0</v>
      </c>
      <c r="Q115" s="54">
        <f>ROUND((H115*M115),2)</f>
        <v>0</v>
      </c>
      <c r="R115" s="54">
        <f>ROUND((H115*N115),2)</f>
        <v>0</v>
      </c>
      <c r="S115" s="54"/>
      <c r="T115" s="36"/>
      <c r="XDA115"/>
      <c r="XDB115"/>
      <c r="XDC115"/>
      <c r="XDD115"/>
      <c r="XDE115"/>
      <c r="XDF115"/>
      <c r="XDG115"/>
      <c r="XDH115"/>
      <c r="XDI115"/>
      <c r="XDJ115"/>
      <c r="XDK115"/>
      <c r="XDL115"/>
      <c r="XDM115"/>
      <c r="XDN115"/>
      <c r="XDO115"/>
      <c r="XDP115"/>
      <c r="XDQ115"/>
      <c r="XDR115"/>
      <c r="XDS115"/>
      <c r="XDT115"/>
      <c r="XDU115"/>
      <c r="XDV115"/>
      <c r="XDW115"/>
      <c r="XDX115"/>
      <c r="XDY115"/>
      <c r="XDZ115"/>
      <c r="XEA115"/>
      <c r="XEB115"/>
      <c r="XEC115"/>
      <c r="XED115"/>
      <c r="XEE115"/>
      <c r="XEF115"/>
      <c r="XEG115"/>
      <c r="XEH115"/>
      <c r="XEI115"/>
      <c r="XEJ115"/>
      <c r="XEK115"/>
      <c r="XEL115"/>
      <c r="XEM115"/>
      <c r="XEN115"/>
      <c r="XEO115"/>
      <c r="XEP115"/>
      <c r="XEQ115"/>
      <c r="XER115"/>
      <c r="XES115"/>
      <c r="XET115"/>
      <c r="XEU115"/>
      <c r="XEV115"/>
      <c r="XEW115"/>
      <c r="XEX115"/>
      <c r="XEY115"/>
      <c r="XEZ115"/>
      <c r="XFA115"/>
      <c r="XFB115"/>
      <c r="XFC115"/>
    </row>
    <row r="116" spans="1:20 16329:16383" s="38" customFormat="1" ht="29.1" customHeight="1" outlineLevel="5" x14ac:dyDescent="0.25">
      <c r="A116" s="49" t="s">
        <v>273</v>
      </c>
      <c r="B116" s="50"/>
      <c r="C116" s="50"/>
      <c r="D116" s="3" t="s">
        <v>274</v>
      </c>
      <c r="E116" s="3"/>
      <c r="F116" s="51"/>
      <c r="G116" s="50" t="s">
        <v>117</v>
      </c>
      <c r="H116" s="52">
        <f>1</f>
        <v>1</v>
      </c>
      <c r="I116" s="36"/>
      <c r="J116" s="52">
        <v>1</v>
      </c>
      <c r="K116" s="53">
        <f>0</f>
        <v>0</v>
      </c>
      <c r="L116" s="53">
        <f>0</f>
        <v>0</v>
      </c>
      <c r="M116" s="53">
        <f>0</f>
        <v>0</v>
      </c>
      <c r="N116" s="54">
        <f>SUM(K116:M116)</f>
        <v>0</v>
      </c>
      <c r="O116" s="54">
        <f>ROUND((H116*K116),2)</f>
        <v>0</v>
      </c>
      <c r="P116" s="54">
        <f>ROUND((H116*L116),2)</f>
        <v>0</v>
      </c>
      <c r="Q116" s="54">
        <f>ROUND((H116*M116),2)</f>
        <v>0</v>
      </c>
      <c r="R116" s="54">
        <f>ROUND((H116*N116),2)</f>
        <v>0</v>
      </c>
      <c r="S116" s="54"/>
      <c r="T116" s="36"/>
      <c r="XDA116"/>
      <c r="XDB116"/>
      <c r="XDC116"/>
      <c r="XDD116"/>
      <c r="XDE116"/>
      <c r="XDF116"/>
      <c r="XDG116"/>
      <c r="XDH116"/>
      <c r="XDI116"/>
      <c r="XDJ116"/>
      <c r="XDK116"/>
      <c r="XDL116"/>
      <c r="XDM116"/>
      <c r="XDN116"/>
      <c r="XDO116"/>
      <c r="XDP116"/>
      <c r="XDQ116"/>
      <c r="XDR116"/>
      <c r="XDS116"/>
      <c r="XDT116"/>
      <c r="XDU116"/>
      <c r="XDV116"/>
      <c r="XDW116"/>
      <c r="XDX116"/>
      <c r="XDY116"/>
      <c r="XDZ116"/>
      <c r="XEA116"/>
      <c r="XEB116"/>
      <c r="XEC116"/>
      <c r="XED116"/>
      <c r="XEE116"/>
      <c r="XEF116"/>
      <c r="XEG116"/>
      <c r="XEH116"/>
      <c r="XEI116"/>
      <c r="XEJ116"/>
      <c r="XEK116"/>
      <c r="XEL116"/>
      <c r="XEM116"/>
      <c r="XEN116"/>
      <c r="XEO116"/>
      <c r="XEP116"/>
      <c r="XEQ116"/>
      <c r="XER116"/>
      <c r="XES116"/>
      <c r="XET116"/>
      <c r="XEU116"/>
      <c r="XEV116"/>
      <c r="XEW116"/>
      <c r="XEX116"/>
      <c r="XEY116"/>
      <c r="XEZ116"/>
      <c r="XFA116"/>
      <c r="XFB116"/>
      <c r="XFC116"/>
    </row>
    <row r="117" spans="1:20 16329:16383" s="38" customFormat="1" ht="29.1" customHeight="1" outlineLevel="4" x14ac:dyDescent="0.25">
      <c r="A117" s="60" t="s">
        <v>275</v>
      </c>
      <c r="B117" s="61" t="s">
        <v>276</v>
      </c>
      <c r="C117" s="61"/>
      <c r="D117" s="1" t="s">
        <v>277</v>
      </c>
      <c r="E117" s="1"/>
      <c r="F117" s="62"/>
      <c r="G117" s="61"/>
      <c r="H117" s="63"/>
      <c r="I117" s="36"/>
      <c r="J117" s="63"/>
      <c r="K117" s="64"/>
      <c r="L117" s="64"/>
      <c r="M117" s="64"/>
      <c r="N117" s="64"/>
      <c r="O117" s="64">
        <f>O118+O119</f>
        <v>0</v>
      </c>
      <c r="P117" s="64">
        <f>P118+P119</f>
        <v>0</v>
      </c>
      <c r="Q117" s="64">
        <f>Q118+Q119</f>
        <v>0</v>
      </c>
      <c r="R117" s="64">
        <f>R118+R119</f>
        <v>0</v>
      </c>
      <c r="S117" s="64"/>
      <c r="T117" s="36"/>
      <c r="XDA117"/>
      <c r="XDB117"/>
      <c r="XDC117"/>
      <c r="XDD117"/>
      <c r="XDE117"/>
      <c r="XDF117"/>
      <c r="XDG117"/>
      <c r="XDH117"/>
      <c r="XDI117"/>
      <c r="XDJ117"/>
      <c r="XDK117"/>
      <c r="XDL117"/>
      <c r="XDM117"/>
      <c r="XDN117"/>
      <c r="XDO117"/>
      <c r="XDP117"/>
      <c r="XDQ117"/>
      <c r="XDR117"/>
      <c r="XDS117"/>
      <c r="XDT117"/>
      <c r="XDU117"/>
      <c r="XDV117"/>
      <c r="XDW117"/>
      <c r="XDX117"/>
      <c r="XDY117"/>
      <c r="XDZ117"/>
      <c r="XEA117"/>
      <c r="XEB117"/>
      <c r="XEC117"/>
      <c r="XED117"/>
      <c r="XEE117"/>
      <c r="XEF117"/>
      <c r="XEG117"/>
      <c r="XEH117"/>
      <c r="XEI117"/>
      <c r="XEJ117"/>
      <c r="XEK117"/>
      <c r="XEL117"/>
      <c r="XEM117"/>
      <c r="XEN117"/>
      <c r="XEO117"/>
      <c r="XEP117"/>
      <c r="XEQ117"/>
      <c r="XER117"/>
      <c r="XES117"/>
      <c r="XET117"/>
      <c r="XEU117"/>
      <c r="XEV117"/>
      <c r="XEW117"/>
      <c r="XEX117"/>
      <c r="XEY117"/>
      <c r="XEZ117"/>
      <c r="XFA117"/>
      <c r="XFB117"/>
      <c r="XFC117"/>
    </row>
    <row r="118" spans="1:20 16329:16383" s="38" customFormat="1" ht="29.1" customHeight="1" outlineLevel="5" x14ac:dyDescent="0.25">
      <c r="A118" s="49" t="s">
        <v>278</v>
      </c>
      <c r="B118" s="50"/>
      <c r="C118" s="50"/>
      <c r="D118" s="3" t="s">
        <v>279</v>
      </c>
      <c r="E118" s="3"/>
      <c r="F118" s="51"/>
      <c r="G118" s="50" t="s">
        <v>117</v>
      </c>
      <c r="H118" s="52">
        <f>1</f>
        <v>1</v>
      </c>
      <c r="I118" s="36"/>
      <c r="J118" s="52">
        <v>1</v>
      </c>
      <c r="K118" s="53">
        <f>0</f>
        <v>0</v>
      </c>
      <c r="L118" s="53">
        <f>0</f>
        <v>0</v>
      </c>
      <c r="M118" s="53">
        <f>0</f>
        <v>0</v>
      </c>
      <c r="N118" s="54">
        <f>SUM(K118:M118)</f>
        <v>0</v>
      </c>
      <c r="O118" s="54">
        <f>ROUND((H118*K118),2)</f>
        <v>0</v>
      </c>
      <c r="P118" s="54">
        <f>ROUND((H118*L118),2)</f>
        <v>0</v>
      </c>
      <c r="Q118" s="54">
        <f>ROUND((H118*M118),2)</f>
        <v>0</v>
      </c>
      <c r="R118" s="54">
        <f>ROUND((H118*N118),2)</f>
        <v>0</v>
      </c>
      <c r="S118" s="54"/>
      <c r="T118" s="36"/>
      <c r="XDA118"/>
      <c r="XDB118"/>
      <c r="XDC118"/>
      <c r="XDD118"/>
      <c r="XDE118"/>
      <c r="XDF118"/>
      <c r="XDG118"/>
      <c r="XDH118"/>
      <c r="XDI118"/>
      <c r="XDJ118"/>
      <c r="XDK118"/>
      <c r="XDL118"/>
      <c r="XDM118"/>
      <c r="XDN118"/>
      <c r="XDO118"/>
      <c r="XDP118"/>
      <c r="XDQ118"/>
      <c r="XDR118"/>
      <c r="XDS118"/>
      <c r="XDT118"/>
      <c r="XDU118"/>
      <c r="XDV118"/>
      <c r="XDW118"/>
      <c r="XDX118"/>
      <c r="XDY118"/>
      <c r="XDZ118"/>
      <c r="XEA118"/>
      <c r="XEB118"/>
      <c r="XEC118"/>
      <c r="XED118"/>
      <c r="XEE118"/>
      <c r="XEF118"/>
      <c r="XEG118"/>
      <c r="XEH118"/>
      <c r="XEI118"/>
      <c r="XEJ118"/>
      <c r="XEK118"/>
      <c r="XEL118"/>
      <c r="XEM118"/>
      <c r="XEN118"/>
      <c r="XEO118"/>
      <c r="XEP118"/>
      <c r="XEQ118"/>
      <c r="XER118"/>
      <c r="XES118"/>
      <c r="XET118"/>
      <c r="XEU118"/>
      <c r="XEV118"/>
      <c r="XEW118"/>
      <c r="XEX118"/>
      <c r="XEY118"/>
      <c r="XEZ118"/>
      <c r="XFA118"/>
      <c r="XFB118"/>
      <c r="XFC118"/>
    </row>
    <row r="119" spans="1:20 16329:16383" s="38" customFormat="1" ht="29.1" customHeight="1" outlineLevel="5" x14ac:dyDescent="0.25">
      <c r="A119" s="49" t="s">
        <v>280</v>
      </c>
      <c r="B119" s="50"/>
      <c r="C119" s="50"/>
      <c r="D119" s="3" t="s">
        <v>281</v>
      </c>
      <c r="E119" s="3"/>
      <c r="F119" s="51"/>
      <c r="G119" s="50" t="s">
        <v>117</v>
      </c>
      <c r="H119" s="52">
        <f>1</f>
        <v>1</v>
      </c>
      <c r="I119" s="36"/>
      <c r="J119" s="52">
        <v>1</v>
      </c>
      <c r="K119" s="53">
        <f>0</f>
        <v>0</v>
      </c>
      <c r="L119" s="53">
        <f>0</f>
        <v>0</v>
      </c>
      <c r="M119" s="53">
        <f>0</f>
        <v>0</v>
      </c>
      <c r="N119" s="54">
        <f>SUM(K119:M119)</f>
        <v>0</v>
      </c>
      <c r="O119" s="54">
        <f>ROUND((H119*K119),2)</f>
        <v>0</v>
      </c>
      <c r="P119" s="54">
        <f>ROUND((H119*L119),2)</f>
        <v>0</v>
      </c>
      <c r="Q119" s="54">
        <f>ROUND((H119*M119),2)</f>
        <v>0</v>
      </c>
      <c r="R119" s="54">
        <f>ROUND((H119*N119),2)</f>
        <v>0</v>
      </c>
      <c r="S119" s="54"/>
      <c r="T119" s="36"/>
      <c r="XDA119"/>
      <c r="XDB119"/>
      <c r="XDC119"/>
      <c r="XDD119"/>
      <c r="XDE119"/>
      <c r="XDF119"/>
      <c r="XDG119"/>
      <c r="XDH119"/>
      <c r="XDI119"/>
      <c r="XDJ119"/>
      <c r="XDK119"/>
      <c r="XDL119"/>
      <c r="XDM119"/>
      <c r="XDN119"/>
      <c r="XDO119"/>
      <c r="XDP119"/>
      <c r="XDQ119"/>
      <c r="XDR119"/>
      <c r="XDS119"/>
      <c r="XDT119"/>
      <c r="XDU119"/>
      <c r="XDV119"/>
      <c r="XDW119"/>
      <c r="XDX119"/>
      <c r="XDY119"/>
      <c r="XDZ119"/>
      <c r="XEA119"/>
      <c r="XEB119"/>
      <c r="XEC119"/>
      <c r="XED119"/>
      <c r="XEE119"/>
      <c r="XEF119"/>
      <c r="XEG119"/>
      <c r="XEH119"/>
      <c r="XEI119"/>
      <c r="XEJ119"/>
      <c r="XEK119"/>
      <c r="XEL119"/>
      <c r="XEM119"/>
      <c r="XEN119"/>
      <c r="XEO119"/>
      <c r="XEP119"/>
      <c r="XEQ119"/>
      <c r="XER119"/>
      <c r="XES119"/>
      <c r="XET119"/>
      <c r="XEU119"/>
      <c r="XEV119"/>
      <c r="XEW119"/>
      <c r="XEX119"/>
      <c r="XEY119"/>
      <c r="XEZ119"/>
      <c r="XFA119"/>
      <c r="XFB119"/>
      <c r="XFC119"/>
    </row>
    <row r="120" spans="1:20 16329:16383" s="38" customFormat="1" ht="29.1" customHeight="1" outlineLevel="3" x14ac:dyDescent="0.25">
      <c r="A120" s="55" t="s">
        <v>282</v>
      </c>
      <c r="B120" s="56" t="s">
        <v>283</v>
      </c>
      <c r="C120" s="56" t="s">
        <v>284</v>
      </c>
      <c r="D120" s="2" t="s">
        <v>285</v>
      </c>
      <c r="E120" s="2"/>
      <c r="F120" s="57"/>
      <c r="G120" s="56" t="s">
        <v>117</v>
      </c>
      <c r="H120" s="58"/>
      <c r="I120" s="36"/>
      <c r="J120" s="58"/>
      <c r="K120" s="59"/>
      <c r="L120" s="59"/>
      <c r="M120" s="59"/>
      <c r="N120" s="59"/>
      <c r="O120" s="59">
        <f>O121+O130</f>
        <v>0</v>
      </c>
      <c r="P120" s="59">
        <f>P121+P130</f>
        <v>0</v>
      </c>
      <c r="Q120" s="59">
        <f>Q121+Q130</f>
        <v>0</v>
      </c>
      <c r="R120" s="59">
        <f>R121+R130</f>
        <v>0</v>
      </c>
      <c r="S120" s="59"/>
      <c r="T120" s="36"/>
      <c r="XDA120"/>
      <c r="XDB120"/>
      <c r="XDC120"/>
      <c r="XDD120"/>
      <c r="XDE120"/>
      <c r="XDF120"/>
      <c r="XDG120"/>
      <c r="XDH120"/>
      <c r="XDI120"/>
      <c r="XDJ120"/>
      <c r="XDK120"/>
      <c r="XDL120"/>
      <c r="XDM120"/>
      <c r="XDN120"/>
      <c r="XDO120"/>
      <c r="XDP120"/>
      <c r="XDQ120"/>
      <c r="XDR120"/>
      <c r="XDS120"/>
      <c r="XDT120"/>
      <c r="XDU120"/>
      <c r="XDV120"/>
      <c r="XDW120"/>
      <c r="XDX120"/>
      <c r="XDY120"/>
      <c r="XDZ120"/>
      <c r="XEA120"/>
      <c r="XEB120"/>
      <c r="XEC120"/>
      <c r="XED120"/>
      <c r="XEE120"/>
      <c r="XEF120"/>
      <c r="XEG120"/>
      <c r="XEH120"/>
      <c r="XEI120"/>
      <c r="XEJ120"/>
      <c r="XEK120"/>
      <c r="XEL120"/>
      <c r="XEM120"/>
      <c r="XEN120"/>
      <c r="XEO120"/>
      <c r="XEP120"/>
      <c r="XEQ120"/>
      <c r="XER120"/>
      <c r="XES120"/>
      <c r="XET120"/>
      <c r="XEU120"/>
      <c r="XEV120"/>
      <c r="XEW120"/>
      <c r="XEX120"/>
      <c r="XEY120"/>
      <c r="XEZ120"/>
      <c r="XFA120"/>
      <c r="XFB120"/>
      <c r="XFC120"/>
    </row>
    <row r="121" spans="1:20 16329:16383" s="38" customFormat="1" ht="29.1" customHeight="1" outlineLevel="4" x14ac:dyDescent="0.25">
      <c r="A121" s="60" t="s">
        <v>286</v>
      </c>
      <c r="B121" s="61" t="s">
        <v>287</v>
      </c>
      <c r="C121" s="61"/>
      <c r="D121" s="1" t="s">
        <v>288</v>
      </c>
      <c r="E121" s="1"/>
      <c r="F121" s="62"/>
      <c r="G121" s="61"/>
      <c r="H121" s="63"/>
      <c r="I121" s="36"/>
      <c r="J121" s="63"/>
      <c r="K121" s="64"/>
      <c r="L121" s="64"/>
      <c r="M121" s="64"/>
      <c r="N121" s="64"/>
      <c r="O121" s="64">
        <f>O122+O124+O126+O128</f>
        <v>0</v>
      </c>
      <c r="P121" s="64">
        <f>P122+P124+P126+P128</f>
        <v>0</v>
      </c>
      <c r="Q121" s="64">
        <f>Q122+Q124+Q126+Q128</f>
        <v>0</v>
      </c>
      <c r="R121" s="64">
        <f>R122+R124+R126+R128</f>
        <v>0</v>
      </c>
      <c r="S121" s="64"/>
      <c r="T121" s="36"/>
      <c r="XDA121"/>
      <c r="XDB121"/>
      <c r="XDC121"/>
      <c r="XDD121"/>
      <c r="XDE121"/>
      <c r="XDF121"/>
      <c r="XDG121"/>
      <c r="XDH121"/>
      <c r="XDI121"/>
      <c r="XDJ121"/>
      <c r="XDK121"/>
      <c r="XDL121"/>
      <c r="XDM121"/>
      <c r="XDN121"/>
      <c r="XDO121"/>
      <c r="XDP121"/>
      <c r="XDQ121"/>
      <c r="XDR121"/>
      <c r="XDS121"/>
      <c r="XDT121"/>
      <c r="XDU121"/>
      <c r="XDV121"/>
      <c r="XDW121"/>
      <c r="XDX121"/>
      <c r="XDY121"/>
      <c r="XDZ121"/>
      <c r="XEA121"/>
      <c r="XEB121"/>
      <c r="XEC121"/>
      <c r="XED121"/>
      <c r="XEE121"/>
      <c r="XEF121"/>
      <c r="XEG121"/>
      <c r="XEH121"/>
      <c r="XEI121"/>
      <c r="XEJ121"/>
      <c r="XEK121"/>
      <c r="XEL121"/>
      <c r="XEM121"/>
      <c r="XEN121"/>
      <c r="XEO121"/>
      <c r="XEP121"/>
      <c r="XEQ121"/>
      <c r="XER121"/>
      <c r="XES121"/>
      <c r="XET121"/>
      <c r="XEU121"/>
      <c r="XEV121"/>
      <c r="XEW121"/>
      <c r="XEX121"/>
      <c r="XEY121"/>
      <c r="XEZ121"/>
      <c r="XFA121"/>
      <c r="XFB121"/>
      <c r="XFC121"/>
    </row>
    <row r="122" spans="1:20 16329:16383" s="38" customFormat="1" ht="29.1" customHeight="1" outlineLevel="5" x14ac:dyDescent="0.25">
      <c r="A122" s="65" t="s">
        <v>289</v>
      </c>
      <c r="B122" s="66" t="s">
        <v>290</v>
      </c>
      <c r="C122" s="66"/>
      <c r="D122" s="98" t="s">
        <v>291</v>
      </c>
      <c r="E122" s="98"/>
      <c r="F122" s="67"/>
      <c r="G122" s="66"/>
      <c r="H122" s="68"/>
      <c r="I122" s="36"/>
      <c r="J122" s="68"/>
      <c r="K122" s="69"/>
      <c r="L122" s="69"/>
      <c r="M122" s="69"/>
      <c r="N122" s="69"/>
      <c r="O122" s="69">
        <f>O123</f>
        <v>0</v>
      </c>
      <c r="P122" s="69">
        <f>P123</f>
        <v>0</v>
      </c>
      <c r="Q122" s="69">
        <f>Q123</f>
        <v>0</v>
      </c>
      <c r="R122" s="69">
        <f>R123</f>
        <v>0</v>
      </c>
      <c r="S122" s="69"/>
      <c r="T122" s="36"/>
      <c r="XDA122"/>
      <c r="XDB122"/>
      <c r="XDC122"/>
      <c r="XDD122"/>
      <c r="XDE122"/>
      <c r="XDF122"/>
      <c r="XDG122"/>
      <c r="XDH122"/>
      <c r="XDI122"/>
      <c r="XDJ122"/>
      <c r="XDK122"/>
      <c r="XDL122"/>
      <c r="XDM122"/>
      <c r="XDN122"/>
      <c r="XDO122"/>
      <c r="XDP122"/>
      <c r="XDQ122"/>
      <c r="XDR122"/>
      <c r="XDS122"/>
      <c r="XDT122"/>
      <c r="XDU122"/>
      <c r="XDV122"/>
      <c r="XDW122"/>
      <c r="XDX122"/>
      <c r="XDY122"/>
      <c r="XDZ122"/>
      <c r="XEA122"/>
      <c r="XEB122"/>
      <c r="XEC122"/>
      <c r="XED122"/>
      <c r="XEE122"/>
      <c r="XEF122"/>
      <c r="XEG122"/>
      <c r="XEH122"/>
      <c r="XEI122"/>
      <c r="XEJ122"/>
      <c r="XEK122"/>
      <c r="XEL122"/>
      <c r="XEM122"/>
      <c r="XEN122"/>
      <c r="XEO122"/>
      <c r="XEP122"/>
      <c r="XEQ122"/>
      <c r="XER122"/>
      <c r="XES122"/>
      <c r="XET122"/>
      <c r="XEU122"/>
      <c r="XEV122"/>
      <c r="XEW122"/>
      <c r="XEX122"/>
      <c r="XEY122"/>
      <c r="XEZ122"/>
      <c r="XFA122"/>
      <c r="XFB122"/>
      <c r="XFC122"/>
    </row>
    <row r="123" spans="1:20 16329:16383" s="38" customFormat="1" ht="29.1" customHeight="1" outlineLevel="6" x14ac:dyDescent="0.25">
      <c r="A123" s="49" t="s">
        <v>292</v>
      </c>
      <c r="B123" s="50"/>
      <c r="C123" s="50"/>
      <c r="D123" s="3" t="s">
        <v>293</v>
      </c>
      <c r="E123" s="3"/>
      <c r="F123" s="51"/>
      <c r="G123" s="50" t="s">
        <v>117</v>
      </c>
      <c r="H123" s="52">
        <f>1</f>
        <v>1</v>
      </c>
      <c r="I123" s="36"/>
      <c r="J123" s="52">
        <v>1</v>
      </c>
      <c r="K123" s="53">
        <f>0</f>
        <v>0</v>
      </c>
      <c r="L123" s="53">
        <f>0</f>
        <v>0</v>
      </c>
      <c r="M123" s="53">
        <f>0</f>
        <v>0</v>
      </c>
      <c r="N123" s="54">
        <f>SUM(K123:M123)</f>
        <v>0</v>
      </c>
      <c r="O123" s="54">
        <f>ROUND((H123*K123),2)</f>
        <v>0</v>
      </c>
      <c r="P123" s="54">
        <f>ROUND((H123*L123),2)</f>
        <v>0</v>
      </c>
      <c r="Q123" s="54">
        <f>ROUND((H123*M123),2)</f>
        <v>0</v>
      </c>
      <c r="R123" s="54">
        <f>ROUND((H123*N123),2)</f>
        <v>0</v>
      </c>
      <c r="S123" s="54"/>
      <c r="T123" s="36"/>
      <c r="XDA123"/>
      <c r="XDB123"/>
      <c r="XDC123"/>
      <c r="XDD123"/>
      <c r="XDE123"/>
      <c r="XDF123"/>
      <c r="XDG123"/>
      <c r="XDH123"/>
      <c r="XDI123"/>
      <c r="XDJ123"/>
      <c r="XDK123"/>
      <c r="XDL123"/>
      <c r="XDM123"/>
      <c r="XDN123"/>
      <c r="XDO123"/>
      <c r="XDP123"/>
      <c r="XDQ123"/>
      <c r="XDR123"/>
      <c r="XDS123"/>
      <c r="XDT123"/>
      <c r="XDU123"/>
      <c r="XDV123"/>
      <c r="XDW123"/>
      <c r="XDX123"/>
      <c r="XDY123"/>
      <c r="XDZ123"/>
      <c r="XEA123"/>
      <c r="XEB123"/>
      <c r="XEC123"/>
      <c r="XED123"/>
      <c r="XEE123"/>
      <c r="XEF123"/>
      <c r="XEG123"/>
      <c r="XEH123"/>
      <c r="XEI123"/>
      <c r="XEJ123"/>
      <c r="XEK123"/>
      <c r="XEL123"/>
      <c r="XEM123"/>
      <c r="XEN123"/>
      <c r="XEO123"/>
      <c r="XEP123"/>
      <c r="XEQ123"/>
      <c r="XER123"/>
      <c r="XES123"/>
      <c r="XET123"/>
      <c r="XEU123"/>
      <c r="XEV123"/>
      <c r="XEW123"/>
      <c r="XEX123"/>
      <c r="XEY123"/>
      <c r="XEZ123"/>
      <c r="XFA123"/>
      <c r="XFB123"/>
      <c r="XFC123"/>
    </row>
    <row r="124" spans="1:20 16329:16383" s="38" customFormat="1" ht="29.1" customHeight="1" outlineLevel="5" x14ac:dyDescent="0.25">
      <c r="A124" s="65" t="s">
        <v>294</v>
      </c>
      <c r="B124" s="66" t="s">
        <v>295</v>
      </c>
      <c r="C124" s="66"/>
      <c r="D124" s="98" t="s">
        <v>296</v>
      </c>
      <c r="E124" s="98"/>
      <c r="F124" s="67"/>
      <c r="G124" s="66"/>
      <c r="H124" s="68"/>
      <c r="I124" s="36"/>
      <c r="J124" s="68"/>
      <c r="K124" s="69"/>
      <c r="L124" s="69"/>
      <c r="M124" s="69"/>
      <c r="N124" s="69"/>
      <c r="O124" s="69">
        <f>O125</f>
        <v>0</v>
      </c>
      <c r="P124" s="69">
        <f>P125</f>
        <v>0</v>
      </c>
      <c r="Q124" s="69">
        <f>Q125</f>
        <v>0</v>
      </c>
      <c r="R124" s="69">
        <f>R125</f>
        <v>0</v>
      </c>
      <c r="S124" s="69"/>
      <c r="T124" s="36"/>
      <c r="XDA124"/>
      <c r="XDB124"/>
      <c r="XDC124"/>
      <c r="XDD124"/>
      <c r="XDE124"/>
      <c r="XDF124"/>
      <c r="XDG124"/>
      <c r="XDH124"/>
      <c r="XDI124"/>
      <c r="XDJ124"/>
      <c r="XDK124"/>
      <c r="XDL124"/>
      <c r="XDM124"/>
      <c r="XDN124"/>
      <c r="XDO124"/>
      <c r="XDP124"/>
      <c r="XDQ124"/>
      <c r="XDR124"/>
      <c r="XDS124"/>
      <c r="XDT124"/>
      <c r="XDU124"/>
      <c r="XDV124"/>
      <c r="XDW124"/>
      <c r="XDX124"/>
      <c r="XDY124"/>
      <c r="XDZ124"/>
      <c r="XEA124"/>
      <c r="XEB124"/>
      <c r="XEC124"/>
      <c r="XED124"/>
      <c r="XEE124"/>
      <c r="XEF124"/>
      <c r="XEG124"/>
      <c r="XEH124"/>
      <c r="XEI124"/>
      <c r="XEJ124"/>
      <c r="XEK124"/>
      <c r="XEL124"/>
      <c r="XEM124"/>
      <c r="XEN124"/>
      <c r="XEO124"/>
      <c r="XEP124"/>
      <c r="XEQ124"/>
      <c r="XER124"/>
      <c r="XES124"/>
      <c r="XET124"/>
      <c r="XEU124"/>
      <c r="XEV124"/>
      <c r="XEW124"/>
      <c r="XEX124"/>
      <c r="XEY124"/>
      <c r="XEZ124"/>
      <c r="XFA124"/>
      <c r="XFB124"/>
      <c r="XFC124"/>
    </row>
    <row r="125" spans="1:20 16329:16383" s="38" customFormat="1" ht="29.1" customHeight="1" outlineLevel="6" x14ac:dyDescent="0.25">
      <c r="A125" s="49" t="s">
        <v>297</v>
      </c>
      <c r="B125" s="50"/>
      <c r="C125" s="50"/>
      <c r="D125" s="3" t="s">
        <v>293</v>
      </c>
      <c r="E125" s="3"/>
      <c r="F125" s="51"/>
      <c r="G125" s="50" t="s">
        <v>117</v>
      </c>
      <c r="H125" s="52">
        <f>1</f>
        <v>1</v>
      </c>
      <c r="I125" s="36"/>
      <c r="J125" s="52">
        <v>1</v>
      </c>
      <c r="K125" s="53">
        <f>0</f>
        <v>0</v>
      </c>
      <c r="L125" s="53">
        <f>0</f>
        <v>0</v>
      </c>
      <c r="M125" s="53">
        <f>0</f>
        <v>0</v>
      </c>
      <c r="N125" s="54">
        <f>SUM(K125:M125)</f>
        <v>0</v>
      </c>
      <c r="O125" s="54">
        <f>ROUND((H125*K125),2)</f>
        <v>0</v>
      </c>
      <c r="P125" s="54">
        <f>ROUND((H125*L125),2)</f>
        <v>0</v>
      </c>
      <c r="Q125" s="54">
        <f>ROUND((H125*M125),2)</f>
        <v>0</v>
      </c>
      <c r="R125" s="54">
        <f>ROUND((H125*N125),2)</f>
        <v>0</v>
      </c>
      <c r="S125" s="54"/>
      <c r="T125" s="36"/>
      <c r="XDA125"/>
      <c r="XDB125"/>
      <c r="XDC125"/>
      <c r="XDD125"/>
      <c r="XDE125"/>
      <c r="XDF125"/>
      <c r="XDG125"/>
      <c r="XDH125"/>
      <c r="XDI125"/>
      <c r="XDJ125"/>
      <c r="XDK125"/>
      <c r="XDL125"/>
      <c r="XDM125"/>
      <c r="XDN125"/>
      <c r="XDO125"/>
      <c r="XDP125"/>
      <c r="XDQ125"/>
      <c r="XDR125"/>
      <c r="XDS125"/>
      <c r="XDT125"/>
      <c r="XDU125"/>
      <c r="XDV125"/>
      <c r="XDW125"/>
      <c r="XDX125"/>
      <c r="XDY125"/>
      <c r="XDZ125"/>
      <c r="XEA125"/>
      <c r="XEB125"/>
      <c r="XEC125"/>
      <c r="XED125"/>
      <c r="XEE125"/>
      <c r="XEF125"/>
      <c r="XEG125"/>
      <c r="XEH125"/>
      <c r="XEI125"/>
      <c r="XEJ125"/>
      <c r="XEK125"/>
      <c r="XEL125"/>
      <c r="XEM125"/>
      <c r="XEN125"/>
      <c r="XEO125"/>
      <c r="XEP125"/>
      <c r="XEQ125"/>
      <c r="XER125"/>
      <c r="XES125"/>
      <c r="XET125"/>
      <c r="XEU125"/>
      <c r="XEV125"/>
      <c r="XEW125"/>
      <c r="XEX125"/>
      <c r="XEY125"/>
      <c r="XEZ125"/>
      <c r="XFA125"/>
      <c r="XFB125"/>
      <c r="XFC125"/>
    </row>
    <row r="126" spans="1:20 16329:16383" s="38" customFormat="1" ht="29.1" customHeight="1" outlineLevel="5" x14ac:dyDescent="0.25">
      <c r="A126" s="65" t="s">
        <v>298</v>
      </c>
      <c r="B126" s="66" t="s">
        <v>299</v>
      </c>
      <c r="C126" s="66"/>
      <c r="D126" s="98" t="s">
        <v>300</v>
      </c>
      <c r="E126" s="98"/>
      <c r="F126" s="67"/>
      <c r="G126" s="66"/>
      <c r="H126" s="68"/>
      <c r="I126" s="36"/>
      <c r="J126" s="68"/>
      <c r="K126" s="69"/>
      <c r="L126" s="69"/>
      <c r="M126" s="69"/>
      <c r="N126" s="69"/>
      <c r="O126" s="69">
        <f>O127</f>
        <v>0</v>
      </c>
      <c r="P126" s="69">
        <f>P127</f>
        <v>0</v>
      </c>
      <c r="Q126" s="69">
        <f>Q127</f>
        <v>0</v>
      </c>
      <c r="R126" s="69">
        <f>R127</f>
        <v>0</v>
      </c>
      <c r="S126" s="69"/>
      <c r="T126" s="36"/>
      <c r="XDA126"/>
      <c r="XDB126"/>
      <c r="XDC126"/>
      <c r="XDD126"/>
      <c r="XDE126"/>
      <c r="XDF126"/>
      <c r="XDG126"/>
      <c r="XDH126"/>
      <c r="XDI126"/>
      <c r="XDJ126"/>
      <c r="XDK126"/>
      <c r="XDL126"/>
      <c r="XDM126"/>
      <c r="XDN126"/>
      <c r="XDO126"/>
      <c r="XDP126"/>
      <c r="XDQ126"/>
      <c r="XDR126"/>
      <c r="XDS126"/>
      <c r="XDT126"/>
      <c r="XDU126"/>
      <c r="XDV126"/>
      <c r="XDW126"/>
      <c r="XDX126"/>
      <c r="XDY126"/>
      <c r="XDZ126"/>
      <c r="XEA126"/>
      <c r="XEB126"/>
      <c r="XEC126"/>
      <c r="XED126"/>
      <c r="XEE126"/>
      <c r="XEF126"/>
      <c r="XEG126"/>
      <c r="XEH126"/>
      <c r="XEI126"/>
      <c r="XEJ126"/>
      <c r="XEK126"/>
      <c r="XEL126"/>
      <c r="XEM126"/>
      <c r="XEN126"/>
      <c r="XEO126"/>
      <c r="XEP126"/>
      <c r="XEQ126"/>
      <c r="XER126"/>
      <c r="XES126"/>
      <c r="XET126"/>
      <c r="XEU126"/>
      <c r="XEV126"/>
      <c r="XEW126"/>
      <c r="XEX126"/>
      <c r="XEY126"/>
      <c r="XEZ126"/>
      <c r="XFA126"/>
      <c r="XFB126"/>
      <c r="XFC126"/>
    </row>
    <row r="127" spans="1:20 16329:16383" s="38" customFormat="1" ht="29.1" customHeight="1" outlineLevel="6" x14ac:dyDescent="0.25">
      <c r="A127" s="49" t="s">
        <v>301</v>
      </c>
      <c r="B127" s="50"/>
      <c r="C127" s="50"/>
      <c r="D127" s="3" t="s">
        <v>293</v>
      </c>
      <c r="E127" s="3"/>
      <c r="F127" s="51"/>
      <c r="G127" s="50" t="s">
        <v>117</v>
      </c>
      <c r="H127" s="52">
        <f>1</f>
        <v>1</v>
      </c>
      <c r="I127" s="36"/>
      <c r="J127" s="52">
        <v>1</v>
      </c>
      <c r="K127" s="53">
        <f>0</f>
        <v>0</v>
      </c>
      <c r="L127" s="53">
        <f>0</f>
        <v>0</v>
      </c>
      <c r="M127" s="53">
        <f>0</f>
        <v>0</v>
      </c>
      <c r="N127" s="54">
        <f>SUM(K127:M127)</f>
        <v>0</v>
      </c>
      <c r="O127" s="54">
        <f>ROUND((H127*K127),2)</f>
        <v>0</v>
      </c>
      <c r="P127" s="54">
        <f>ROUND((H127*L127),2)</f>
        <v>0</v>
      </c>
      <c r="Q127" s="54">
        <f>ROUND((H127*M127),2)</f>
        <v>0</v>
      </c>
      <c r="R127" s="54">
        <f>ROUND((H127*N127),2)</f>
        <v>0</v>
      </c>
      <c r="S127" s="54"/>
      <c r="T127" s="36"/>
      <c r="XDA127"/>
      <c r="XDB127"/>
      <c r="XDC127"/>
      <c r="XDD127"/>
      <c r="XDE127"/>
      <c r="XDF127"/>
      <c r="XDG127"/>
      <c r="XDH127"/>
      <c r="XDI127"/>
      <c r="XDJ127"/>
      <c r="XDK127"/>
      <c r="XDL127"/>
      <c r="XDM127"/>
      <c r="XDN127"/>
      <c r="XDO127"/>
      <c r="XDP127"/>
      <c r="XDQ127"/>
      <c r="XDR127"/>
      <c r="XDS127"/>
      <c r="XDT127"/>
      <c r="XDU127"/>
      <c r="XDV127"/>
      <c r="XDW127"/>
      <c r="XDX127"/>
      <c r="XDY127"/>
      <c r="XDZ127"/>
      <c r="XEA127"/>
      <c r="XEB127"/>
      <c r="XEC127"/>
      <c r="XED127"/>
      <c r="XEE127"/>
      <c r="XEF127"/>
      <c r="XEG127"/>
      <c r="XEH127"/>
      <c r="XEI127"/>
      <c r="XEJ127"/>
      <c r="XEK127"/>
      <c r="XEL127"/>
      <c r="XEM127"/>
      <c r="XEN127"/>
      <c r="XEO127"/>
      <c r="XEP127"/>
      <c r="XEQ127"/>
      <c r="XER127"/>
      <c r="XES127"/>
      <c r="XET127"/>
      <c r="XEU127"/>
      <c r="XEV127"/>
      <c r="XEW127"/>
      <c r="XEX127"/>
      <c r="XEY127"/>
      <c r="XEZ127"/>
      <c r="XFA127"/>
      <c r="XFB127"/>
      <c r="XFC127"/>
    </row>
    <row r="128" spans="1:20 16329:16383" s="38" customFormat="1" ht="29.1" customHeight="1" outlineLevel="5" x14ac:dyDescent="0.25">
      <c r="A128" s="65" t="s">
        <v>302</v>
      </c>
      <c r="B128" s="66" t="s">
        <v>303</v>
      </c>
      <c r="C128" s="66"/>
      <c r="D128" s="98" t="s">
        <v>304</v>
      </c>
      <c r="E128" s="98"/>
      <c r="F128" s="67"/>
      <c r="G128" s="66"/>
      <c r="H128" s="68"/>
      <c r="I128" s="36"/>
      <c r="J128" s="68"/>
      <c r="K128" s="69"/>
      <c r="L128" s="69"/>
      <c r="M128" s="69"/>
      <c r="N128" s="69"/>
      <c r="O128" s="69">
        <f>O129</f>
        <v>0</v>
      </c>
      <c r="P128" s="69">
        <f>P129</f>
        <v>0</v>
      </c>
      <c r="Q128" s="69">
        <f>Q129</f>
        <v>0</v>
      </c>
      <c r="R128" s="69">
        <f>R129</f>
        <v>0</v>
      </c>
      <c r="S128" s="69"/>
      <c r="T128" s="36"/>
      <c r="XDA128"/>
      <c r="XDB128"/>
      <c r="XDC128"/>
      <c r="XDD128"/>
      <c r="XDE128"/>
      <c r="XDF128"/>
      <c r="XDG128"/>
      <c r="XDH128"/>
      <c r="XDI128"/>
      <c r="XDJ128"/>
      <c r="XDK128"/>
      <c r="XDL128"/>
      <c r="XDM128"/>
      <c r="XDN128"/>
      <c r="XDO128"/>
      <c r="XDP128"/>
      <c r="XDQ128"/>
      <c r="XDR128"/>
      <c r="XDS128"/>
      <c r="XDT128"/>
      <c r="XDU128"/>
      <c r="XDV128"/>
      <c r="XDW128"/>
      <c r="XDX128"/>
      <c r="XDY128"/>
      <c r="XDZ128"/>
      <c r="XEA128"/>
      <c r="XEB128"/>
      <c r="XEC128"/>
      <c r="XED128"/>
      <c r="XEE128"/>
      <c r="XEF128"/>
      <c r="XEG128"/>
      <c r="XEH128"/>
      <c r="XEI128"/>
      <c r="XEJ128"/>
      <c r="XEK128"/>
      <c r="XEL128"/>
      <c r="XEM128"/>
      <c r="XEN128"/>
      <c r="XEO128"/>
      <c r="XEP128"/>
      <c r="XEQ128"/>
      <c r="XER128"/>
      <c r="XES128"/>
      <c r="XET128"/>
      <c r="XEU128"/>
      <c r="XEV128"/>
      <c r="XEW128"/>
      <c r="XEX128"/>
      <c r="XEY128"/>
      <c r="XEZ128"/>
      <c r="XFA128"/>
      <c r="XFB128"/>
      <c r="XFC128"/>
    </row>
    <row r="129" spans="1:20 16329:16383" s="38" customFormat="1" ht="29.1" customHeight="1" outlineLevel="6" x14ac:dyDescent="0.25">
      <c r="A129" s="49" t="s">
        <v>305</v>
      </c>
      <c r="B129" s="50"/>
      <c r="C129" s="50"/>
      <c r="D129" s="3" t="s">
        <v>293</v>
      </c>
      <c r="E129" s="3"/>
      <c r="F129" s="51"/>
      <c r="G129" s="50" t="s">
        <v>117</v>
      </c>
      <c r="H129" s="52">
        <f>1</f>
        <v>1</v>
      </c>
      <c r="I129" s="36"/>
      <c r="J129" s="52">
        <v>1</v>
      </c>
      <c r="K129" s="53">
        <f>0</f>
        <v>0</v>
      </c>
      <c r="L129" s="53">
        <f>0</f>
        <v>0</v>
      </c>
      <c r="M129" s="53">
        <f>0</f>
        <v>0</v>
      </c>
      <c r="N129" s="54">
        <f>SUM(K129:M129)</f>
        <v>0</v>
      </c>
      <c r="O129" s="54">
        <f>ROUND((H129*K129),2)</f>
        <v>0</v>
      </c>
      <c r="P129" s="54">
        <f>ROUND((H129*L129),2)</f>
        <v>0</v>
      </c>
      <c r="Q129" s="54">
        <f>ROUND((H129*M129),2)</f>
        <v>0</v>
      </c>
      <c r="R129" s="54">
        <f>ROUND((H129*N129),2)</f>
        <v>0</v>
      </c>
      <c r="S129" s="54"/>
      <c r="T129" s="36"/>
      <c r="XDA129"/>
      <c r="XDB129"/>
      <c r="XDC129"/>
      <c r="XDD129"/>
      <c r="XDE129"/>
      <c r="XDF129"/>
      <c r="XDG129"/>
      <c r="XDH129"/>
      <c r="XDI129"/>
      <c r="XDJ129"/>
      <c r="XDK129"/>
      <c r="XDL129"/>
      <c r="XDM129"/>
      <c r="XDN129"/>
      <c r="XDO129"/>
      <c r="XDP129"/>
      <c r="XDQ129"/>
      <c r="XDR129"/>
      <c r="XDS129"/>
      <c r="XDT129"/>
      <c r="XDU129"/>
      <c r="XDV129"/>
      <c r="XDW129"/>
      <c r="XDX129"/>
      <c r="XDY129"/>
      <c r="XDZ129"/>
      <c r="XEA129"/>
      <c r="XEB129"/>
      <c r="XEC129"/>
      <c r="XED129"/>
      <c r="XEE129"/>
      <c r="XEF129"/>
      <c r="XEG129"/>
      <c r="XEH129"/>
      <c r="XEI129"/>
      <c r="XEJ129"/>
      <c r="XEK129"/>
      <c r="XEL129"/>
      <c r="XEM129"/>
      <c r="XEN129"/>
      <c r="XEO129"/>
      <c r="XEP129"/>
      <c r="XEQ129"/>
      <c r="XER129"/>
      <c r="XES129"/>
      <c r="XET129"/>
      <c r="XEU129"/>
      <c r="XEV129"/>
      <c r="XEW129"/>
      <c r="XEX129"/>
      <c r="XEY129"/>
      <c r="XEZ129"/>
      <c r="XFA129"/>
      <c r="XFB129"/>
      <c r="XFC129"/>
    </row>
    <row r="130" spans="1:20 16329:16383" s="38" customFormat="1" ht="29.1" customHeight="1" outlineLevel="4" x14ac:dyDescent="0.25">
      <c r="A130" s="60" t="s">
        <v>306</v>
      </c>
      <c r="B130" s="61" t="s">
        <v>307</v>
      </c>
      <c r="C130" s="61"/>
      <c r="D130" s="1" t="s">
        <v>308</v>
      </c>
      <c r="E130" s="1"/>
      <c r="F130" s="62"/>
      <c r="G130" s="61"/>
      <c r="H130" s="63"/>
      <c r="I130" s="36"/>
      <c r="J130" s="63"/>
      <c r="K130" s="64"/>
      <c r="L130" s="64"/>
      <c r="M130" s="64"/>
      <c r="N130" s="64"/>
      <c r="O130" s="64">
        <f>O131+O135+O139+O143</f>
        <v>0</v>
      </c>
      <c r="P130" s="64">
        <f>P131+P135+P139+P143</f>
        <v>0</v>
      </c>
      <c r="Q130" s="64">
        <f>Q131+Q135+Q139+Q143</f>
        <v>0</v>
      </c>
      <c r="R130" s="64">
        <f>R131+R135+R139+R143</f>
        <v>0</v>
      </c>
      <c r="S130" s="64"/>
      <c r="T130" s="36"/>
      <c r="XDA130"/>
      <c r="XDB130"/>
      <c r="XDC130"/>
      <c r="XDD130"/>
      <c r="XDE130"/>
      <c r="XDF130"/>
      <c r="XDG130"/>
      <c r="XDH130"/>
      <c r="XDI130"/>
      <c r="XDJ130"/>
      <c r="XDK130"/>
      <c r="XDL130"/>
      <c r="XDM130"/>
      <c r="XDN130"/>
      <c r="XDO130"/>
      <c r="XDP130"/>
      <c r="XDQ130"/>
      <c r="XDR130"/>
      <c r="XDS130"/>
      <c r="XDT130"/>
      <c r="XDU130"/>
      <c r="XDV130"/>
      <c r="XDW130"/>
      <c r="XDX130"/>
      <c r="XDY130"/>
      <c r="XDZ130"/>
      <c r="XEA130"/>
      <c r="XEB130"/>
      <c r="XEC130"/>
      <c r="XED130"/>
      <c r="XEE130"/>
      <c r="XEF130"/>
      <c r="XEG130"/>
      <c r="XEH130"/>
      <c r="XEI130"/>
      <c r="XEJ130"/>
      <c r="XEK130"/>
      <c r="XEL130"/>
      <c r="XEM130"/>
      <c r="XEN130"/>
      <c r="XEO130"/>
      <c r="XEP130"/>
      <c r="XEQ130"/>
      <c r="XER130"/>
      <c r="XES130"/>
      <c r="XET130"/>
      <c r="XEU130"/>
      <c r="XEV130"/>
      <c r="XEW130"/>
      <c r="XEX130"/>
      <c r="XEY130"/>
      <c r="XEZ130"/>
      <c r="XFA130"/>
      <c r="XFB130"/>
      <c r="XFC130"/>
    </row>
    <row r="131" spans="1:20 16329:16383" s="38" customFormat="1" ht="29.1" customHeight="1" outlineLevel="5" x14ac:dyDescent="0.25">
      <c r="A131" s="65" t="s">
        <v>309</v>
      </c>
      <c r="B131" s="66" t="s">
        <v>310</v>
      </c>
      <c r="C131" s="66"/>
      <c r="D131" s="98" t="s">
        <v>311</v>
      </c>
      <c r="E131" s="98"/>
      <c r="F131" s="67"/>
      <c r="G131" s="66"/>
      <c r="H131" s="68"/>
      <c r="I131" s="36"/>
      <c r="J131" s="68"/>
      <c r="K131" s="69"/>
      <c r="L131" s="69"/>
      <c r="M131" s="69"/>
      <c r="N131" s="69"/>
      <c r="O131" s="69">
        <f>SUM(O132:O134)</f>
        <v>0</v>
      </c>
      <c r="P131" s="69">
        <f>SUM(P132:P134)</f>
        <v>0</v>
      </c>
      <c r="Q131" s="69">
        <f>SUM(Q132:Q134)</f>
        <v>0</v>
      </c>
      <c r="R131" s="69">
        <f>SUM(R132:R134)</f>
        <v>0</v>
      </c>
      <c r="S131" s="69"/>
      <c r="T131" s="36"/>
      <c r="XDA131"/>
      <c r="XDB131"/>
      <c r="XDC131"/>
      <c r="XDD131"/>
      <c r="XDE131"/>
      <c r="XDF131"/>
      <c r="XDG131"/>
      <c r="XDH131"/>
      <c r="XDI131"/>
      <c r="XDJ131"/>
      <c r="XDK131"/>
      <c r="XDL131"/>
      <c r="XDM131"/>
      <c r="XDN131"/>
      <c r="XDO131"/>
      <c r="XDP131"/>
      <c r="XDQ131"/>
      <c r="XDR131"/>
      <c r="XDS131"/>
      <c r="XDT131"/>
      <c r="XDU131"/>
      <c r="XDV131"/>
      <c r="XDW131"/>
      <c r="XDX131"/>
      <c r="XDY131"/>
      <c r="XDZ131"/>
      <c r="XEA131"/>
      <c r="XEB131"/>
      <c r="XEC131"/>
      <c r="XED131"/>
      <c r="XEE131"/>
      <c r="XEF131"/>
      <c r="XEG131"/>
      <c r="XEH131"/>
      <c r="XEI131"/>
      <c r="XEJ131"/>
      <c r="XEK131"/>
      <c r="XEL131"/>
      <c r="XEM131"/>
      <c r="XEN131"/>
      <c r="XEO131"/>
      <c r="XEP131"/>
      <c r="XEQ131"/>
      <c r="XER131"/>
      <c r="XES131"/>
      <c r="XET131"/>
      <c r="XEU131"/>
      <c r="XEV131"/>
      <c r="XEW131"/>
      <c r="XEX131"/>
      <c r="XEY131"/>
      <c r="XEZ131"/>
      <c r="XFA131"/>
      <c r="XFB131"/>
      <c r="XFC131"/>
    </row>
    <row r="132" spans="1:20 16329:16383" s="38" customFormat="1" ht="29.1" customHeight="1" outlineLevel="6" x14ac:dyDescent="0.25">
      <c r="A132" s="49" t="s">
        <v>312</v>
      </c>
      <c r="B132" s="50"/>
      <c r="C132" s="50"/>
      <c r="D132" s="3" t="s">
        <v>313</v>
      </c>
      <c r="E132" s="3"/>
      <c r="F132" s="51"/>
      <c r="G132" s="50" t="s">
        <v>117</v>
      </c>
      <c r="H132" s="52">
        <f>1</f>
        <v>1</v>
      </c>
      <c r="I132" s="36"/>
      <c r="J132" s="52">
        <v>1</v>
      </c>
      <c r="K132" s="53">
        <f>0</f>
        <v>0</v>
      </c>
      <c r="L132" s="53">
        <f>0</f>
        <v>0</v>
      </c>
      <c r="M132" s="53">
        <f>0</f>
        <v>0</v>
      </c>
      <c r="N132" s="54">
        <f>SUM(K132:M132)</f>
        <v>0</v>
      </c>
      <c r="O132" s="54">
        <f>ROUND((H132*K132),2)</f>
        <v>0</v>
      </c>
      <c r="P132" s="54">
        <f>ROUND((H132*L132),2)</f>
        <v>0</v>
      </c>
      <c r="Q132" s="54">
        <f>ROUND((H132*M132),2)</f>
        <v>0</v>
      </c>
      <c r="R132" s="54">
        <f>ROUND((H132*N132),2)</f>
        <v>0</v>
      </c>
      <c r="S132" s="54"/>
      <c r="T132" s="36"/>
      <c r="XDA132"/>
      <c r="XDB132"/>
      <c r="XDC132"/>
      <c r="XDD132"/>
      <c r="XDE132"/>
      <c r="XDF132"/>
      <c r="XDG132"/>
      <c r="XDH132"/>
      <c r="XDI132"/>
      <c r="XDJ132"/>
      <c r="XDK132"/>
      <c r="XDL132"/>
      <c r="XDM132"/>
      <c r="XDN132"/>
      <c r="XDO132"/>
      <c r="XDP132"/>
      <c r="XDQ132"/>
      <c r="XDR132"/>
      <c r="XDS132"/>
      <c r="XDT132"/>
      <c r="XDU132"/>
      <c r="XDV132"/>
      <c r="XDW132"/>
      <c r="XDX132"/>
      <c r="XDY132"/>
      <c r="XDZ132"/>
      <c r="XEA132"/>
      <c r="XEB132"/>
      <c r="XEC132"/>
      <c r="XED132"/>
      <c r="XEE132"/>
      <c r="XEF132"/>
      <c r="XEG132"/>
      <c r="XEH132"/>
      <c r="XEI132"/>
      <c r="XEJ132"/>
      <c r="XEK132"/>
      <c r="XEL132"/>
      <c r="XEM132"/>
      <c r="XEN132"/>
      <c r="XEO132"/>
      <c r="XEP132"/>
      <c r="XEQ132"/>
      <c r="XER132"/>
      <c r="XES132"/>
      <c r="XET132"/>
      <c r="XEU132"/>
      <c r="XEV132"/>
      <c r="XEW132"/>
      <c r="XEX132"/>
      <c r="XEY132"/>
      <c r="XEZ132"/>
      <c r="XFA132"/>
      <c r="XFB132"/>
      <c r="XFC132"/>
    </row>
    <row r="133" spans="1:20 16329:16383" s="38" customFormat="1" ht="29.1" customHeight="1" outlineLevel="6" x14ac:dyDescent="0.25">
      <c r="A133" s="49" t="s">
        <v>314</v>
      </c>
      <c r="B133" s="50"/>
      <c r="C133" s="50"/>
      <c r="D133" s="3" t="s">
        <v>315</v>
      </c>
      <c r="E133" s="3"/>
      <c r="F133" s="51"/>
      <c r="G133" s="50" t="s">
        <v>117</v>
      </c>
      <c r="H133" s="52">
        <f>1</f>
        <v>1</v>
      </c>
      <c r="I133" s="36"/>
      <c r="J133" s="52">
        <v>1</v>
      </c>
      <c r="K133" s="53">
        <f>0</f>
        <v>0</v>
      </c>
      <c r="L133" s="53">
        <f>0</f>
        <v>0</v>
      </c>
      <c r="M133" s="53">
        <f>0</f>
        <v>0</v>
      </c>
      <c r="N133" s="54">
        <f>SUM(K133:M133)</f>
        <v>0</v>
      </c>
      <c r="O133" s="54">
        <f>ROUND((H133*K133),2)</f>
        <v>0</v>
      </c>
      <c r="P133" s="54">
        <f>ROUND((H133*L133),2)</f>
        <v>0</v>
      </c>
      <c r="Q133" s="54">
        <f>ROUND((H133*M133),2)</f>
        <v>0</v>
      </c>
      <c r="R133" s="54">
        <f>ROUND((H133*N133),2)</f>
        <v>0</v>
      </c>
      <c r="S133" s="54"/>
      <c r="T133" s="36"/>
      <c r="XDA133"/>
      <c r="XDB133"/>
      <c r="XDC133"/>
      <c r="XDD133"/>
      <c r="XDE133"/>
      <c r="XDF133"/>
      <c r="XDG133"/>
      <c r="XDH133"/>
      <c r="XDI133"/>
      <c r="XDJ133"/>
      <c r="XDK133"/>
      <c r="XDL133"/>
      <c r="XDM133"/>
      <c r="XDN133"/>
      <c r="XDO133"/>
      <c r="XDP133"/>
      <c r="XDQ133"/>
      <c r="XDR133"/>
      <c r="XDS133"/>
      <c r="XDT133"/>
      <c r="XDU133"/>
      <c r="XDV133"/>
      <c r="XDW133"/>
      <c r="XDX133"/>
      <c r="XDY133"/>
      <c r="XDZ133"/>
      <c r="XEA133"/>
      <c r="XEB133"/>
      <c r="XEC133"/>
      <c r="XED133"/>
      <c r="XEE133"/>
      <c r="XEF133"/>
      <c r="XEG133"/>
      <c r="XEH133"/>
      <c r="XEI133"/>
      <c r="XEJ133"/>
      <c r="XEK133"/>
      <c r="XEL133"/>
      <c r="XEM133"/>
      <c r="XEN133"/>
      <c r="XEO133"/>
      <c r="XEP133"/>
      <c r="XEQ133"/>
      <c r="XER133"/>
      <c r="XES133"/>
      <c r="XET133"/>
      <c r="XEU133"/>
      <c r="XEV133"/>
      <c r="XEW133"/>
      <c r="XEX133"/>
      <c r="XEY133"/>
      <c r="XEZ133"/>
      <c r="XFA133"/>
      <c r="XFB133"/>
      <c r="XFC133"/>
    </row>
    <row r="134" spans="1:20 16329:16383" s="38" customFormat="1" ht="29.1" customHeight="1" outlineLevel="6" x14ac:dyDescent="0.25">
      <c r="A134" s="49" t="s">
        <v>316</v>
      </c>
      <c r="B134" s="50"/>
      <c r="C134" s="50"/>
      <c r="D134" s="3" t="s">
        <v>317</v>
      </c>
      <c r="E134" s="3"/>
      <c r="F134" s="51"/>
      <c r="G134" s="50" t="s">
        <v>117</v>
      </c>
      <c r="H134" s="52">
        <f>1</f>
        <v>1</v>
      </c>
      <c r="I134" s="36"/>
      <c r="J134" s="52">
        <v>1</v>
      </c>
      <c r="K134" s="53">
        <f>0</f>
        <v>0</v>
      </c>
      <c r="L134" s="53">
        <f>0</f>
        <v>0</v>
      </c>
      <c r="M134" s="53">
        <f>0</f>
        <v>0</v>
      </c>
      <c r="N134" s="54">
        <f>SUM(K134:M134)</f>
        <v>0</v>
      </c>
      <c r="O134" s="54">
        <f>ROUND((H134*K134),2)</f>
        <v>0</v>
      </c>
      <c r="P134" s="54">
        <f>ROUND((H134*L134),2)</f>
        <v>0</v>
      </c>
      <c r="Q134" s="54">
        <f>ROUND((H134*M134),2)</f>
        <v>0</v>
      </c>
      <c r="R134" s="54">
        <f>ROUND((H134*N134),2)</f>
        <v>0</v>
      </c>
      <c r="S134" s="54"/>
      <c r="T134" s="36"/>
      <c r="XDA134"/>
      <c r="XDB134"/>
      <c r="XDC134"/>
      <c r="XDD134"/>
      <c r="XDE134"/>
      <c r="XDF134"/>
      <c r="XDG134"/>
      <c r="XDH134"/>
      <c r="XDI134"/>
      <c r="XDJ134"/>
      <c r="XDK134"/>
      <c r="XDL134"/>
      <c r="XDM134"/>
      <c r="XDN134"/>
      <c r="XDO134"/>
      <c r="XDP134"/>
      <c r="XDQ134"/>
      <c r="XDR134"/>
      <c r="XDS134"/>
      <c r="XDT134"/>
      <c r="XDU134"/>
      <c r="XDV134"/>
      <c r="XDW134"/>
      <c r="XDX134"/>
      <c r="XDY134"/>
      <c r="XDZ134"/>
      <c r="XEA134"/>
      <c r="XEB134"/>
      <c r="XEC134"/>
      <c r="XED134"/>
      <c r="XEE134"/>
      <c r="XEF134"/>
      <c r="XEG134"/>
      <c r="XEH134"/>
      <c r="XEI134"/>
      <c r="XEJ134"/>
      <c r="XEK134"/>
      <c r="XEL134"/>
      <c r="XEM134"/>
      <c r="XEN134"/>
      <c r="XEO134"/>
      <c r="XEP134"/>
      <c r="XEQ134"/>
      <c r="XER134"/>
      <c r="XES134"/>
      <c r="XET134"/>
      <c r="XEU134"/>
      <c r="XEV134"/>
      <c r="XEW134"/>
      <c r="XEX134"/>
      <c r="XEY134"/>
      <c r="XEZ134"/>
      <c r="XFA134"/>
      <c r="XFB134"/>
      <c r="XFC134"/>
    </row>
    <row r="135" spans="1:20 16329:16383" s="38" customFormat="1" ht="29.1" customHeight="1" outlineLevel="5" x14ac:dyDescent="0.25">
      <c r="A135" s="65" t="s">
        <v>318</v>
      </c>
      <c r="B135" s="66" t="s">
        <v>319</v>
      </c>
      <c r="C135" s="66"/>
      <c r="D135" s="98" t="s">
        <v>320</v>
      </c>
      <c r="E135" s="98"/>
      <c r="F135" s="67"/>
      <c r="G135" s="66"/>
      <c r="H135" s="68"/>
      <c r="I135" s="36"/>
      <c r="J135" s="68"/>
      <c r="K135" s="69"/>
      <c r="L135" s="69"/>
      <c r="M135" s="69"/>
      <c r="N135" s="69"/>
      <c r="O135" s="69">
        <f>SUM(O136:O138)</f>
        <v>0</v>
      </c>
      <c r="P135" s="69">
        <f>SUM(P136:P138)</f>
        <v>0</v>
      </c>
      <c r="Q135" s="69">
        <f>SUM(Q136:Q138)</f>
        <v>0</v>
      </c>
      <c r="R135" s="69">
        <f>SUM(R136:R138)</f>
        <v>0</v>
      </c>
      <c r="S135" s="69"/>
      <c r="T135" s="36"/>
      <c r="XDA135"/>
      <c r="XDB135"/>
      <c r="XDC135"/>
      <c r="XDD135"/>
      <c r="XDE135"/>
      <c r="XDF135"/>
      <c r="XDG135"/>
      <c r="XDH135"/>
      <c r="XDI135"/>
      <c r="XDJ135"/>
      <c r="XDK135"/>
      <c r="XDL135"/>
      <c r="XDM135"/>
      <c r="XDN135"/>
      <c r="XDO135"/>
      <c r="XDP135"/>
      <c r="XDQ135"/>
      <c r="XDR135"/>
      <c r="XDS135"/>
      <c r="XDT135"/>
      <c r="XDU135"/>
      <c r="XDV135"/>
      <c r="XDW135"/>
      <c r="XDX135"/>
      <c r="XDY135"/>
      <c r="XDZ135"/>
      <c r="XEA135"/>
      <c r="XEB135"/>
      <c r="XEC135"/>
      <c r="XED135"/>
      <c r="XEE135"/>
      <c r="XEF135"/>
      <c r="XEG135"/>
      <c r="XEH135"/>
      <c r="XEI135"/>
      <c r="XEJ135"/>
      <c r="XEK135"/>
      <c r="XEL135"/>
      <c r="XEM135"/>
      <c r="XEN135"/>
      <c r="XEO135"/>
      <c r="XEP135"/>
      <c r="XEQ135"/>
      <c r="XER135"/>
      <c r="XES135"/>
      <c r="XET135"/>
      <c r="XEU135"/>
      <c r="XEV135"/>
      <c r="XEW135"/>
      <c r="XEX135"/>
      <c r="XEY135"/>
      <c r="XEZ135"/>
      <c r="XFA135"/>
      <c r="XFB135"/>
      <c r="XFC135"/>
    </row>
    <row r="136" spans="1:20 16329:16383" s="38" customFormat="1" ht="29.1" customHeight="1" outlineLevel="6" x14ac:dyDescent="0.25">
      <c r="A136" s="49" t="s">
        <v>321</v>
      </c>
      <c r="B136" s="50"/>
      <c r="C136" s="50"/>
      <c r="D136" s="3" t="s">
        <v>313</v>
      </c>
      <c r="E136" s="3"/>
      <c r="F136" s="51"/>
      <c r="G136" s="50" t="s">
        <v>117</v>
      </c>
      <c r="H136" s="52">
        <f>1</f>
        <v>1</v>
      </c>
      <c r="I136" s="36"/>
      <c r="J136" s="52">
        <v>1</v>
      </c>
      <c r="K136" s="53">
        <f>0</f>
        <v>0</v>
      </c>
      <c r="L136" s="53">
        <f>0</f>
        <v>0</v>
      </c>
      <c r="M136" s="53">
        <f>0</f>
        <v>0</v>
      </c>
      <c r="N136" s="54">
        <f>SUM(K136:M136)</f>
        <v>0</v>
      </c>
      <c r="O136" s="54">
        <f>ROUND((H136*K136),2)</f>
        <v>0</v>
      </c>
      <c r="P136" s="54">
        <f>ROUND((H136*L136),2)</f>
        <v>0</v>
      </c>
      <c r="Q136" s="54">
        <f>ROUND((H136*M136),2)</f>
        <v>0</v>
      </c>
      <c r="R136" s="54">
        <f>ROUND((H136*N136),2)</f>
        <v>0</v>
      </c>
      <c r="S136" s="54"/>
      <c r="T136" s="36"/>
      <c r="XDA136"/>
      <c r="XDB136"/>
      <c r="XDC136"/>
      <c r="XDD136"/>
      <c r="XDE136"/>
      <c r="XDF136"/>
      <c r="XDG136"/>
      <c r="XDH136"/>
      <c r="XDI136"/>
      <c r="XDJ136"/>
      <c r="XDK136"/>
      <c r="XDL136"/>
      <c r="XDM136"/>
      <c r="XDN136"/>
      <c r="XDO136"/>
      <c r="XDP136"/>
      <c r="XDQ136"/>
      <c r="XDR136"/>
      <c r="XDS136"/>
      <c r="XDT136"/>
      <c r="XDU136"/>
      <c r="XDV136"/>
      <c r="XDW136"/>
      <c r="XDX136"/>
      <c r="XDY136"/>
      <c r="XDZ136"/>
      <c r="XEA136"/>
      <c r="XEB136"/>
      <c r="XEC136"/>
      <c r="XED136"/>
      <c r="XEE136"/>
      <c r="XEF136"/>
      <c r="XEG136"/>
      <c r="XEH136"/>
      <c r="XEI136"/>
      <c r="XEJ136"/>
      <c r="XEK136"/>
      <c r="XEL136"/>
      <c r="XEM136"/>
      <c r="XEN136"/>
      <c r="XEO136"/>
      <c r="XEP136"/>
      <c r="XEQ136"/>
      <c r="XER136"/>
      <c r="XES136"/>
      <c r="XET136"/>
      <c r="XEU136"/>
      <c r="XEV136"/>
      <c r="XEW136"/>
      <c r="XEX136"/>
      <c r="XEY136"/>
      <c r="XEZ136"/>
      <c r="XFA136"/>
      <c r="XFB136"/>
      <c r="XFC136"/>
    </row>
    <row r="137" spans="1:20 16329:16383" s="38" customFormat="1" ht="29.1" customHeight="1" outlineLevel="6" x14ac:dyDescent="0.25">
      <c r="A137" s="49" t="s">
        <v>322</v>
      </c>
      <c r="B137" s="50"/>
      <c r="C137" s="50"/>
      <c r="D137" s="3" t="s">
        <v>315</v>
      </c>
      <c r="E137" s="3"/>
      <c r="F137" s="51"/>
      <c r="G137" s="50" t="s">
        <v>117</v>
      </c>
      <c r="H137" s="52">
        <f>1</f>
        <v>1</v>
      </c>
      <c r="I137" s="36"/>
      <c r="J137" s="52">
        <v>1</v>
      </c>
      <c r="K137" s="53">
        <f>0</f>
        <v>0</v>
      </c>
      <c r="L137" s="53">
        <f>0</f>
        <v>0</v>
      </c>
      <c r="M137" s="53">
        <f>0</f>
        <v>0</v>
      </c>
      <c r="N137" s="54">
        <f>SUM(K137:M137)</f>
        <v>0</v>
      </c>
      <c r="O137" s="54">
        <f>ROUND((H137*K137),2)</f>
        <v>0</v>
      </c>
      <c r="P137" s="54">
        <f>ROUND((H137*L137),2)</f>
        <v>0</v>
      </c>
      <c r="Q137" s="54">
        <f>ROUND((H137*M137),2)</f>
        <v>0</v>
      </c>
      <c r="R137" s="54">
        <f>ROUND((H137*N137),2)</f>
        <v>0</v>
      </c>
      <c r="S137" s="54"/>
      <c r="T137" s="36"/>
      <c r="XDA137"/>
      <c r="XDB137"/>
      <c r="XDC137"/>
      <c r="XDD137"/>
      <c r="XDE137"/>
      <c r="XDF137"/>
      <c r="XDG137"/>
      <c r="XDH137"/>
      <c r="XDI137"/>
      <c r="XDJ137"/>
      <c r="XDK137"/>
      <c r="XDL137"/>
      <c r="XDM137"/>
      <c r="XDN137"/>
      <c r="XDO137"/>
      <c r="XDP137"/>
      <c r="XDQ137"/>
      <c r="XDR137"/>
      <c r="XDS137"/>
      <c r="XDT137"/>
      <c r="XDU137"/>
      <c r="XDV137"/>
      <c r="XDW137"/>
      <c r="XDX137"/>
      <c r="XDY137"/>
      <c r="XDZ137"/>
      <c r="XEA137"/>
      <c r="XEB137"/>
      <c r="XEC137"/>
      <c r="XED137"/>
      <c r="XEE137"/>
      <c r="XEF137"/>
      <c r="XEG137"/>
      <c r="XEH137"/>
      <c r="XEI137"/>
      <c r="XEJ137"/>
      <c r="XEK137"/>
      <c r="XEL137"/>
      <c r="XEM137"/>
      <c r="XEN137"/>
      <c r="XEO137"/>
      <c r="XEP137"/>
      <c r="XEQ137"/>
      <c r="XER137"/>
      <c r="XES137"/>
      <c r="XET137"/>
      <c r="XEU137"/>
      <c r="XEV137"/>
      <c r="XEW137"/>
      <c r="XEX137"/>
      <c r="XEY137"/>
      <c r="XEZ137"/>
      <c r="XFA137"/>
      <c r="XFB137"/>
      <c r="XFC137"/>
    </row>
    <row r="138" spans="1:20 16329:16383" s="38" customFormat="1" ht="29.1" customHeight="1" outlineLevel="6" x14ac:dyDescent="0.25">
      <c r="A138" s="49" t="s">
        <v>323</v>
      </c>
      <c r="B138" s="50"/>
      <c r="C138" s="50"/>
      <c r="D138" s="3" t="s">
        <v>317</v>
      </c>
      <c r="E138" s="3"/>
      <c r="F138" s="51"/>
      <c r="G138" s="50" t="s">
        <v>117</v>
      </c>
      <c r="H138" s="52">
        <f>1</f>
        <v>1</v>
      </c>
      <c r="I138" s="36"/>
      <c r="J138" s="52">
        <v>1</v>
      </c>
      <c r="K138" s="53">
        <f>0</f>
        <v>0</v>
      </c>
      <c r="L138" s="53">
        <f>0</f>
        <v>0</v>
      </c>
      <c r="M138" s="53">
        <f>0</f>
        <v>0</v>
      </c>
      <c r="N138" s="54">
        <f>SUM(K138:M138)</f>
        <v>0</v>
      </c>
      <c r="O138" s="54">
        <f>ROUND((H138*K138),2)</f>
        <v>0</v>
      </c>
      <c r="P138" s="54">
        <f>ROUND((H138*L138),2)</f>
        <v>0</v>
      </c>
      <c r="Q138" s="54">
        <f>ROUND((H138*M138),2)</f>
        <v>0</v>
      </c>
      <c r="R138" s="54">
        <f>ROUND((H138*N138),2)</f>
        <v>0</v>
      </c>
      <c r="S138" s="54"/>
      <c r="T138" s="36"/>
      <c r="XDA138"/>
      <c r="XDB138"/>
      <c r="XDC138"/>
      <c r="XDD138"/>
      <c r="XDE138"/>
      <c r="XDF138"/>
      <c r="XDG138"/>
      <c r="XDH138"/>
      <c r="XDI138"/>
      <c r="XDJ138"/>
      <c r="XDK138"/>
      <c r="XDL138"/>
      <c r="XDM138"/>
      <c r="XDN138"/>
      <c r="XDO138"/>
      <c r="XDP138"/>
      <c r="XDQ138"/>
      <c r="XDR138"/>
      <c r="XDS138"/>
      <c r="XDT138"/>
      <c r="XDU138"/>
      <c r="XDV138"/>
      <c r="XDW138"/>
      <c r="XDX138"/>
      <c r="XDY138"/>
      <c r="XDZ138"/>
      <c r="XEA138"/>
      <c r="XEB138"/>
      <c r="XEC138"/>
      <c r="XED138"/>
      <c r="XEE138"/>
      <c r="XEF138"/>
      <c r="XEG138"/>
      <c r="XEH138"/>
      <c r="XEI138"/>
      <c r="XEJ138"/>
      <c r="XEK138"/>
      <c r="XEL138"/>
      <c r="XEM138"/>
      <c r="XEN138"/>
      <c r="XEO138"/>
      <c r="XEP138"/>
      <c r="XEQ138"/>
      <c r="XER138"/>
      <c r="XES138"/>
      <c r="XET138"/>
      <c r="XEU138"/>
      <c r="XEV138"/>
      <c r="XEW138"/>
      <c r="XEX138"/>
      <c r="XEY138"/>
      <c r="XEZ138"/>
      <c r="XFA138"/>
      <c r="XFB138"/>
      <c r="XFC138"/>
    </row>
    <row r="139" spans="1:20 16329:16383" s="38" customFormat="1" ht="29.1" customHeight="1" outlineLevel="5" x14ac:dyDescent="0.25">
      <c r="A139" s="65" t="s">
        <v>324</v>
      </c>
      <c r="B139" s="66" t="s">
        <v>325</v>
      </c>
      <c r="C139" s="66"/>
      <c r="D139" s="98" t="s">
        <v>326</v>
      </c>
      <c r="E139" s="98"/>
      <c r="F139" s="67"/>
      <c r="G139" s="66"/>
      <c r="H139" s="68"/>
      <c r="I139" s="36"/>
      <c r="J139" s="68"/>
      <c r="K139" s="69"/>
      <c r="L139" s="69"/>
      <c r="M139" s="69"/>
      <c r="N139" s="69"/>
      <c r="O139" s="69">
        <f>SUM(O140:O142)</f>
        <v>0</v>
      </c>
      <c r="P139" s="69">
        <f>SUM(P140:P142)</f>
        <v>0</v>
      </c>
      <c r="Q139" s="69">
        <f>SUM(Q140:Q142)</f>
        <v>0</v>
      </c>
      <c r="R139" s="69">
        <f>SUM(R140:R142)</f>
        <v>0</v>
      </c>
      <c r="S139" s="69"/>
      <c r="T139" s="36"/>
      <c r="XDA139"/>
      <c r="XDB139"/>
      <c r="XDC139"/>
      <c r="XDD139"/>
      <c r="XDE139"/>
      <c r="XDF139"/>
      <c r="XDG139"/>
      <c r="XDH139"/>
      <c r="XDI139"/>
      <c r="XDJ139"/>
      <c r="XDK139"/>
      <c r="XDL139"/>
      <c r="XDM139"/>
      <c r="XDN139"/>
      <c r="XDO139"/>
      <c r="XDP139"/>
      <c r="XDQ139"/>
      <c r="XDR139"/>
      <c r="XDS139"/>
      <c r="XDT139"/>
      <c r="XDU139"/>
      <c r="XDV139"/>
      <c r="XDW139"/>
      <c r="XDX139"/>
      <c r="XDY139"/>
      <c r="XDZ139"/>
      <c r="XEA139"/>
      <c r="XEB139"/>
      <c r="XEC139"/>
      <c r="XED139"/>
      <c r="XEE139"/>
      <c r="XEF139"/>
      <c r="XEG139"/>
      <c r="XEH139"/>
      <c r="XEI139"/>
      <c r="XEJ139"/>
      <c r="XEK139"/>
      <c r="XEL139"/>
      <c r="XEM139"/>
      <c r="XEN139"/>
      <c r="XEO139"/>
      <c r="XEP139"/>
      <c r="XEQ139"/>
      <c r="XER139"/>
      <c r="XES139"/>
      <c r="XET139"/>
      <c r="XEU139"/>
      <c r="XEV139"/>
      <c r="XEW139"/>
      <c r="XEX139"/>
      <c r="XEY139"/>
      <c r="XEZ139"/>
      <c r="XFA139"/>
      <c r="XFB139"/>
      <c r="XFC139"/>
    </row>
    <row r="140" spans="1:20 16329:16383" s="38" customFormat="1" ht="29.1" customHeight="1" outlineLevel="6" x14ac:dyDescent="0.25">
      <c r="A140" s="49" t="s">
        <v>327</v>
      </c>
      <c r="B140" s="50"/>
      <c r="C140" s="50"/>
      <c r="D140" s="3" t="s">
        <v>313</v>
      </c>
      <c r="E140" s="3"/>
      <c r="F140" s="51"/>
      <c r="G140" s="50" t="s">
        <v>117</v>
      </c>
      <c r="H140" s="52">
        <f>1</f>
        <v>1</v>
      </c>
      <c r="I140" s="36"/>
      <c r="J140" s="52">
        <v>1</v>
      </c>
      <c r="K140" s="53">
        <f>0</f>
        <v>0</v>
      </c>
      <c r="L140" s="53">
        <f>0</f>
        <v>0</v>
      </c>
      <c r="M140" s="53">
        <f>0</f>
        <v>0</v>
      </c>
      <c r="N140" s="54">
        <f>SUM(K140:M140)</f>
        <v>0</v>
      </c>
      <c r="O140" s="54">
        <f>ROUND((H140*K140),2)</f>
        <v>0</v>
      </c>
      <c r="P140" s="54">
        <f>ROUND((H140*L140),2)</f>
        <v>0</v>
      </c>
      <c r="Q140" s="54">
        <f>ROUND((H140*M140),2)</f>
        <v>0</v>
      </c>
      <c r="R140" s="54">
        <f>ROUND((H140*N140),2)</f>
        <v>0</v>
      </c>
      <c r="S140" s="54"/>
      <c r="T140" s="36"/>
      <c r="XDA140"/>
      <c r="XDB140"/>
      <c r="XDC140"/>
      <c r="XDD140"/>
      <c r="XDE140"/>
      <c r="XDF140"/>
      <c r="XDG140"/>
      <c r="XDH140"/>
      <c r="XDI140"/>
      <c r="XDJ140"/>
      <c r="XDK140"/>
      <c r="XDL140"/>
      <c r="XDM140"/>
      <c r="XDN140"/>
      <c r="XDO140"/>
      <c r="XDP140"/>
      <c r="XDQ140"/>
      <c r="XDR140"/>
      <c r="XDS140"/>
      <c r="XDT140"/>
      <c r="XDU140"/>
      <c r="XDV140"/>
      <c r="XDW140"/>
      <c r="XDX140"/>
      <c r="XDY140"/>
      <c r="XDZ140"/>
      <c r="XEA140"/>
      <c r="XEB140"/>
      <c r="XEC140"/>
      <c r="XED140"/>
      <c r="XEE140"/>
      <c r="XEF140"/>
      <c r="XEG140"/>
      <c r="XEH140"/>
      <c r="XEI140"/>
      <c r="XEJ140"/>
      <c r="XEK140"/>
      <c r="XEL140"/>
      <c r="XEM140"/>
      <c r="XEN140"/>
      <c r="XEO140"/>
      <c r="XEP140"/>
      <c r="XEQ140"/>
      <c r="XER140"/>
      <c r="XES140"/>
      <c r="XET140"/>
      <c r="XEU140"/>
      <c r="XEV140"/>
      <c r="XEW140"/>
      <c r="XEX140"/>
      <c r="XEY140"/>
      <c r="XEZ140"/>
      <c r="XFA140"/>
      <c r="XFB140"/>
      <c r="XFC140"/>
    </row>
    <row r="141" spans="1:20 16329:16383" s="38" customFormat="1" ht="29.1" customHeight="1" outlineLevel="6" x14ac:dyDescent="0.25">
      <c r="A141" s="49" t="s">
        <v>328</v>
      </c>
      <c r="B141" s="50"/>
      <c r="C141" s="50"/>
      <c r="D141" s="3" t="s">
        <v>315</v>
      </c>
      <c r="E141" s="3"/>
      <c r="F141" s="51"/>
      <c r="G141" s="50" t="s">
        <v>117</v>
      </c>
      <c r="H141" s="52">
        <f>1</f>
        <v>1</v>
      </c>
      <c r="I141" s="36"/>
      <c r="J141" s="52">
        <v>1</v>
      </c>
      <c r="K141" s="53">
        <f>0</f>
        <v>0</v>
      </c>
      <c r="L141" s="53">
        <f>0</f>
        <v>0</v>
      </c>
      <c r="M141" s="53">
        <f>0</f>
        <v>0</v>
      </c>
      <c r="N141" s="54">
        <f>SUM(K141:M141)</f>
        <v>0</v>
      </c>
      <c r="O141" s="54">
        <f>ROUND((H141*K141),2)</f>
        <v>0</v>
      </c>
      <c r="P141" s="54">
        <f>ROUND((H141*L141),2)</f>
        <v>0</v>
      </c>
      <c r="Q141" s="54">
        <f>ROUND((H141*M141),2)</f>
        <v>0</v>
      </c>
      <c r="R141" s="54">
        <f>ROUND((H141*N141),2)</f>
        <v>0</v>
      </c>
      <c r="S141" s="54"/>
      <c r="T141" s="36"/>
      <c r="XDA141"/>
      <c r="XDB141"/>
      <c r="XDC141"/>
      <c r="XDD141"/>
      <c r="XDE141"/>
      <c r="XDF141"/>
      <c r="XDG141"/>
      <c r="XDH141"/>
      <c r="XDI141"/>
      <c r="XDJ141"/>
      <c r="XDK141"/>
      <c r="XDL141"/>
      <c r="XDM141"/>
      <c r="XDN141"/>
      <c r="XDO141"/>
      <c r="XDP141"/>
      <c r="XDQ141"/>
      <c r="XDR141"/>
      <c r="XDS141"/>
      <c r="XDT141"/>
      <c r="XDU141"/>
      <c r="XDV141"/>
      <c r="XDW141"/>
      <c r="XDX141"/>
      <c r="XDY141"/>
      <c r="XDZ141"/>
      <c r="XEA141"/>
      <c r="XEB141"/>
      <c r="XEC141"/>
      <c r="XED141"/>
      <c r="XEE141"/>
      <c r="XEF141"/>
      <c r="XEG141"/>
      <c r="XEH141"/>
      <c r="XEI141"/>
      <c r="XEJ141"/>
      <c r="XEK141"/>
      <c r="XEL141"/>
      <c r="XEM141"/>
      <c r="XEN141"/>
      <c r="XEO141"/>
      <c r="XEP141"/>
      <c r="XEQ141"/>
      <c r="XER141"/>
      <c r="XES141"/>
      <c r="XET141"/>
      <c r="XEU141"/>
      <c r="XEV141"/>
      <c r="XEW141"/>
      <c r="XEX141"/>
      <c r="XEY141"/>
      <c r="XEZ141"/>
      <c r="XFA141"/>
      <c r="XFB141"/>
      <c r="XFC141"/>
    </row>
    <row r="142" spans="1:20 16329:16383" s="38" customFormat="1" ht="29.1" customHeight="1" outlineLevel="6" x14ac:dyDescent="0.25">
      <c r="A142" s="49" t="s">
        <v>329</v>
      </c>
      <c r="B142" s="50"/>
      <c r="C142" s="50"/>
      <c r="D142" s="3" t="s">
        <v>317</v>
      </c>
      <c r="E142" s="3"/>
      <c r="F142" s="51"/>
      <c r="G142" s="50" t="s">
        <v>117</v>
      </c>
      <c r="H142" s="52">
        <f>1</f>
        <v>1</v>
      </c>
      <c r="I142" s="36"/>
      <c r="J142" s="52">
        <v>1</v>
      </c>
      <c r="K142" s="53">
        <f>0</f>
        <v>0</v>
      </c>
      <c r="L142" s="53">
        <f>0</f>
        <v>0</v>
      </c>
      <c r="M142" s="53">
        <f>0</f>
        <v>0</v>
      </c>
      <c r="N142" s="54">
        <f>SUM(K142:M142)</f>
        <v>0</v>
      </c>
      <c r="O142" s="54">
        <f>ROUND((H142*K142),2)</f>
        <v>0</v>
      </c>
      <c r="P142" s="54">
        <f>ROUND((H142*L142),2)</f>
        <v>0</v>
      </c>
      <c r="Q142" s="54">
        <f>ROUND((H142*M142),2)</f>
        <v>0</v>
      </c>
      <c r="R142" s="54">
        <f>ROUND((H142*N142),2)</f>
        <v>0</v>
      </c>
      <c r="S142" s="54"/>
      <c r="T142" s="36"/>
      <c r="XDA142"/>
      <c r="XDB142"/>
      <c r="XDC142"/>
      <c r="XDD142"/>
      <c r="XDE142"/>
      <c r="XDF142"/>
      <c r="XDG142"/>
      <c r="XDH142"/>
      <c r="XDI142"/>
      <c r="XDJ142"/>
      <c r="XDK142"/>
      <c r="XDL142"/>
      <c r="XDM142"/>
      <c r="XDN142"/>
      <c r="XDO142"/>
      <c r="XDP142"/>
      <c r="XDQ142"/>
      <c r="XDR142"/>
      <c r="XDS142"/>
      <c r="XDT142"/>
      <c r="XDU142"/>
      <c r="XDV142"/>
      <c r="XDW142"/>
      <c r="XDX142"/>
      <c r="XDY142"/>
      <c r="XDZ142"/>
      <c r="XEA142"/>
      <c r="XEB142"/>
      <c r="XEC142"/>
      <c r="XED142"/>
      <c r="XEE142"/>
      <c r="XEF142"/>
      <c r="XEG142"/>
      <c r="XEH142"/>
      <c r="XEI142"/>
      <c r="XEJ142"/>
      <c r="XEK142"/>
      <c r="XEL142"/>
      <c r="XEM142"/>
      <c r="XEN142"/>
      <c r="XEO142"/>
      <c r="XEP142"/>
      <c r="XEQ142"/>
      <c r="XER142"/>
      <c r="XES142"/>
      <c r="XET142"/>
      <c r="XEU142"/>
      <c r="XEV142"/>
      <c r="XEW142"/>
      <c r="XEX142"/>
      <c r="XEY142"/>
      <c r="XEZ142"/>
      <c r="XFA142"/>
      <c r="XFB142"/>
      <c r="XFC142"/>
    </row>
    <row r="143" spans="1:20 16329:16383" s="38" customFormat="1" ht="29.1" customHeight="1" outlineLevel="5" x14ac:dyDescent="0.25">
      <c r="A143" s="65" t="s">
        <v>330</v>
      </c>
      <c r="B143" s="66" t="s">
        <v>331</v>
      </c>
      <c r="C143" s="66"/>
      <c r="D143" s="98" t="s">
        <v>332</v>
      </c>
      <c r="E143" s="98"/>
      <c r="F143" s="67"/>
      <c r="G143" s="66"/>
      <c r="H143" s="68"/>
      <c r="I143" s="36"/>
      <c r="J143" s="68"/>
      <c r="K143" s="69"/>
      <c r="L143" s="69"/>
      <c r="M143" s="69"/>
      <c r="N143" s="69"/>
      <c r="O143" s="69">
        <f>SUM(O144:O147)</f>
        <v>0</v>
      </c>
      <c r="P143" s="69">
        <f>SUM(P144:P147)</f>
        <v>0</v>
      </c>
      <c r="Q143" s="69">
        <f>SUM(Q144:Q147)</f>
        <v>0</v>
      </c>
      <c r="R143" s="69">
        <f>SUM(R144:R147)</f>
        <v>0</v>
      </c>
      <c r="S143" s="69"/>
      <c r="T143" s="36"/>
      <c r="XDA143"/>
      <c r="XDB143"/>
      <c r="XDC143"/>
      <c r="XDD143"/>
      <c r="XDE143"/>
      <c r="XDF143"/>
      <c r="XDG143"/>
      <c r="XDH143"/>
      <c r="XDI143"/>
      <c r="XDJ143"/>
      <c r="XDK143"/>
      <c r="XDL143"/>
      <c r="XDM143"/>
      <c r="XDN143"/>
      <c r="XDO143"/>
      <c r="XDP143"/>
      <c r="XDQ143"/>
      <c r="XDR143"/>
      <c r="XDS143"/>
      <c r="XDT143"/>
      <c r="XDU143"/>
      <c r="XDV143"/>
      <c r="XDW143"/>
      <c r="XDX143"/>
      <c r="XDY143"/>
      <c r="XDZ143"/>
      <c r="XEA143"/>
      <c r="XEB143"/>
      <c r="XEC143"/>
      <c r="XED143"/>
      <c r="XEE143"/>
      <c r="XEF143"/>
      <c r="XEG143"/>
      <c r="XEH143"/>
      <c r="XEI143"/>
      <c r="XEJ143"/>
      <c r="XEK143"/>
      <c r="XEL143"/>
      <c r="XEM143"/>
      <c r="XEN143"/>
      <c r="XEO143"/>
      <c r="XEP143"/>
      <c r="XEQ143"/>
      <c r="XER143"/>
      <c r="XES143"/>
      <c r="XET143"/>
      <c r="XEU143"/>
      <c r="XEV143"/>
      <c r="XEW143"/>
      <c r="XEX143"/>
      <c r="XEY143"/>
      <c r="XEZ143"/>
      <c r="XFA143"/>
      <c r="XFB143"/>
      <c r="XFC143"/>
    </row>
    <row r="144" spans="1:20 16329:16383" s="38" customFormat="1" ht="29.1" customHeight="1" outlineLevel="6" x14ac:dyDescent="0.25">
      <c r="A144" s="49" t="s">
        <v>333</v>
      </c>
      <c r="B144" s="50"/>
      <c r="C144" s="50"/>
      <c r="D144" s="3" t="s">
        <v>313</v>
      </c>
      <c r="E144" s="3"/>
      <c r="F144" s="51"/>
      <c r="G144" s="50" t="s">
        <v>117</v>
      </c>
      <c r="H144" s="52">
        <f>1</f>
        <v>1</v>
      </c>
      <c r="I144" s="36"/>
      <c r="J144" s="52">
        <v>1</v>
      </c>
      <c r="K144" s="53">
        <f>0</f>
        <v>0</v>
      </c>
      <c r="L144" s="53">
        <f>0</f>
        <v>0</v>
      </c>
      <c r="M144" s="53">
        <f>0</f>
        <v>0</v>
      </c>
      <c r="N144" s="54">
        <f>SUM(K144:M144)</f>
        <v>0</v>
      </c>
      <c r="O144" s="54">
        <f>ROUND((H144*K144),2)</f>
        <v>0</v>
      </c>
      <c r="P144" s="54">
        <f>ROUND((H144*L144),2)</f>
        <v>0</v>
      </c>
      <c r="Q144" s="54">
        <f>ROUND((H144*M144),2)</f>
        <v>0</v>
      </c>
      <c r="R144" s="54">
        <f>ROUND((H144*N144),2)</f>
        <v>0</v>
      </c>
      <c r="S144" s="54"/>
      <c r="T144" s="36"/>
      <c r="XDA144"/>
      <c r="XDB144"/>
      <c r="XDC144"/>
      <c r="XDD144"/>
      <c r="XDE144"/>
      <c r="XDF144"/>
      <c r="XDG144"/>
      <c r="XDH144"/>
      <c r="XDI144"/>
      <c r="XDJ144"/>
      <c r="XDK144"/>
      <c r="XDL144"/>
      <c r="XDM144"/>
      <c r="XDN144"/>
      <c r="XDO144"/>
      <c r="XDP144"/>
      <c r="XDQ144"/>
      <c r="XDR144"/>
      <c r="XDS144"/>
      <c r="XDT144"/>
      <c r="XDU144"/>
      <c r="XDV144"/>
      <c r="XDW144"/>
      <c r="XDX144"/>
      <c r="XDY144"/>
      <c r="XDZ144"/>
      <c r="XEA144"/>
      <c r="XEB144"/>
      <c r="XEC144"/>
      <c r="XED144"/>
      <c r="XEE144"/>
      <c r="XEF144"/>
      <c r="XEG144"/>
      <c r="XEH144"/>
      <c r="XEI144"/>
      <c r="XEJ144"/>
      <c r="XEK144"/>
      <c r="XEL144"/>
      <c r="XEM144"/>
      <c r="XEN144"/>
      <c r="XEO144"/>
      <c r="XEP144"/>
      <c r="XEQ144"/>
      <c r="XER144"/>
      <c r="XES144"/>
      <c r="XET144"/>
      <c r="XEU144"/>
      <c r="XEV144"/>
      <c r="XEW144"/>
      <c r="XEX144"/>
      <c r="XEY144"/>
      <c r="XEZ144"/>
      <c r="XFA144"/>
      <c r="XFB144"/>
      <c r="XFC144"/>
    </row>
    <row r="145" spans="1:20 16329:16383" s="38" customFormat="1" ht="29.1" customHeight="1" outlineLevel="6" x14ac:dyDescent="0.25">
      <c r="A145" s="49" t="s">
        <v>334</v>
      </c>
      <c r="B145" s="50"/>
      <c r="C145" s="50"/>
      <c r="D145" s="3" t="s">
        <v>315</v>
      </c>
      <c r="E145" s="3"/>
      <c r="F145" s="51"/>
      <c r="G145" s="50" t="s">
        <v>117</v>
      </c>
      <c r="H145" s="52">
        <f>1</f>
        <v>1</v>
      </c>
      <c r="I145" s="36"/>
      <c r="J145" s="52">
        <v>1</v>
      </c>
      <c r="K145" s="53">
        <f>0</f>
        <v>0</v>
      </c>
      <c r="L145" s="53">
        <f>0</f>
        <v>0</v>
      </c>
      <c r="M145" s="53">
        <f>0</f>
        <v>0</v>
      </c>
      <c r="N145" s="54">
        <f>SUM(K145:M145)</f>
        <v>0</v>
      </c>
      <c r="O145" s="54">
        <f>ROUND((H145*K145),2)</f>
        <v>0</v>
      </c>
      <c r="P145" s="54">
        <f>ROUND((H145*L145),2)</f>
        <v>0</v>
      </c>
      <c r="Q145" s="54">
        <f>ROUND((H145*M145),2)</f>
        <v>0</v>
      </c>
      <c r="R145" s="54">
        <f>ROUND((H145*N145),2)</f>
        <v>0</v>
      </c>
      <c r="S145" s="54"/>
      <c r="T145" s="36"/>
      <c r="XDA145"/>
      <c r="XDB145"/>
      <c r="XDC145"/>
      <c r="XDD145"/>
      <c r="XDE145"/>
      <c r="XDF145"/>
      <c r="XDG145"/>
      <c r="XDH145"/>
      <c r="XDI145"/>
      <c r="XDJ145"/>
      <c r="XDK145"/>
      <c r="XDL145"/>
      <c r="XDM145"/>
      <c r="XDN145"/>
      <c r="XDO145"/>
      <c r="XDP145"/>
      <c r="XDQ145"/>
      <c r="XDR145"/>
      <c r="XDS145"/>
      <c r="XDT145"/>
      <c r="XDU145"/>
      <c r="XDV145"/>
      <c r="XDW145"/>
      <c r="XDX145"/>
      <c r="XDY145"/>
      <c r="XDZ145"/>
      <c r="XEA145"/>
      <c r="XEB145"/>
      <c r="XEC145"/>
      <c r="XED145"/>
      <c r="XEE145"/>
      <c r="XEF145"/>
      <c r="XEG145"/>
      <c r="XEH145"/>
      <c r="XEI145"/>
      <c r="XEJ145"/>
      <c r="XEK145"/>
      <c r="XEL145"/>
      <c r="XEM145"/>
      <c r="XEN145"/>
      <c r="XEO145"/>
      <c r="XEP145"/>
      <c r="XEQ145"/>
      <c r="XER145"/>
      <c r="XES145"/>
      <c r="XET145"/>
      <c r="XEU145"/>
      <c r="XEV145"/>
      <c r="XEW145"/>
      <c r="XEX145"/>
      <c r="XEY145"/>
      <c r="XEZ145"/>
      <c r="XFA145"/>
      <c r="XFB145"/>
      <c r="XFC145"/>
    </row>
    <row r="146" spans="1:20 16329:16383" s="38" customFormat="1" ht="29.1" customHeight="1" outlineLevel="6" x14ac:dyDescent="0.25">
      <c r="A146" s="49" t="s">
        <v>335</v>
      </c>
      <c r="B146" s="50"/>
      <c r="C146" s="50"/>
      <c r="D146" s="3" t="s">
        <v>317</v>
      </c>
      <c r="E146" s="3"/>
      <c r="F146" s="51"/>
      <c r="G146" s="50" t="s">
        <v>117</v>
      </c>
      <c r="H146" s="52">
        <f>1</f>
        <v>1</v>
      </c>
      <c r="I146" s="36"/>
      <c r="J146" s="52">
        <v>1</v>
      </c>
      <c r="K146" s="53">
        <f>0</f>
        <v>0</v>
      </c>
      <c r="L146" s="53">
        <f>0</f>
        <v>0</v>
      </c>
      <c r="M146" s="53">
        <f>0</f>
        <v>0</v>
      </c>
      <c r="N146" s="54">
        <f>SUM(K146:M146)</f>
        <v>0</v>
      </c>
      <c r="O146" s="54">
        <f>ROUND((H146*K146),2)</f>
        <v>0</v>
      </c>
      <c r="P146" s="54">
        <f>ROUND((H146*L146),2)</f>
        <v>0</v>
      </c>
      <c r="Q146" s="54">
        <f>ROUND((H146*M146),2)</f>
        <v>0</v>
      </c>
      <c r="R146" s="54">
        <f>ROUND((H146*N146),2)</f>
        <v>0</v>
      </c>
      <c r="S146" s="54"/>
      <c r="T146" s="36"/>
      <c r="XDA146"/>
      <c r="XDB146"/>
      <c r="XDC146"/>
      <c r="XDD146"/>
      <c r="XDE146"/>
      <c r="XDF146"/>
      <c r="XDG146"/>
      <c r="XDH146"/>
      <c r="XDI146"/>
      <c r="XDJ146"/>
      <c r="XDK146"/>
      <c r="XDL146"/>
      <c r="XDM146"/>
      <c r="XDN146"/>
      <c r="XDO146"/>
      <c r="XDP146"/>
      <c r="XDQ146"/>
      <c r="XDR146"/>
      <c r="XDS146"/>
      <c r="XDT146"/>
      <c r="XDU146"/>
      <c r="XDV146"/>
      <c r="XDW146"/>
      <c r="XDX146"/>
      <c r="XDY146"/>
      <c r="XDZ146"/>
      <c r="XEA146"/>
      <c r="XEB146"/>
      <c r="XEC146"/>
      <c r="XED146"/>
      <c r="XEE146"/>
      <c r="XEF146"/>
      <c r="XEG146"/>
      <c r="XEH146"/>
      <c r="XEI146"/>
      <c r="XEJ146"/>
      <c r="XEK146"/>
      <c r="XEL146"/>
      <c r="XEM146"/>
      <c r="XEN146"/>
      <c r="XEO146"/>
      <c r="XEP146"/>
      <c r="XEQ146"/>
      <c r="XER146"/>
      <c r="XES146"/>
      <c r="XET146"/>
      <c r="XEU146"/>
      <c r="XEV146"/>
      <c r="XEW146"/>
      <c r="XEX146"/>
      <c r="XEY146"/>
      <c r="XEZ146"/>
      <c r="XFA146"/>
      <c r="XFB146"/>
      <c r="XFC146"/>
    </row>
    <row r="147" spans="1:20 16329:16383" s="38" customFormat="1" ht="29.1" customHeight="1" outlineLevel="6" x14ac:dyDescent="0.25">
      <c r="A147" s="49" t="s">
        <v>336</v>
      </c>
      <c r="B147" s="50"/>
      <c r="C147" s="50"/>
      <c r="D147" s="3" t="s">
        <v>337</v>
      </c>
      <c r="E147" s="3"/>
      <c r="F147" s="51"/>
      <c r="G147" s="50" t="s">
        <v>117</v>
      </c>
      <c r="H147" s="52">
        <f>1</f>
        <v>1</v>
      </c>
      <c r="I147" s="36"/>
      <c r="J147" s="52">
        <v>1</v>
      </c>
      <c r="K147" s="53">
        <f>0</f>
        <v>0</v>
      </c>
      <c r="L147" s="53">
        <f>0</f>
        <v>0</v>
      </c>
      <c r="M147" s="53">
        <f>0</f>
        <v>0</v>
      </c>
      <c r="N147" s="54">
        <f>SUM(K147:M147)</f>
        <v>0</v>
      </c>
      <c r="O147" s="54">
        <f>ROUND((H147*K147),2)</f>
        <v>0</v>
      </c>
      <c r="P147" s="54">
        <f>ROUND((H147*L147),2)</f>
        <v>0</v>
      </c>
      <c r="Q147" s="54">
        <f>ROUND((H147*M147),2)</f>
        <v>0</v>
      </c>
      <c r="R147" s="54">
        <f>ROUND((H147*N147),2)</f>
        <v>0</v>
      </c>
      <c r="S147" s="54"/>
      <c r="T147" s="36"/>
      <c r="XDA147"/>
      <c r="XDB147"/>
      <c r="XDC147"/>
      <c r="XDD147"/>
      <c r="XDE147"/>
      <c r="XDF147"/>
      <c r="XDG147"/>
      <c r="XDH147"/>
      <c r="XDI147"/>
      <c r="XDJ147"/>
      <c r="XDK147"/>
      <c r="XDL147"/>
      <c r="XDM147"/>
      <c r="XDN147"/>
      <c r="XDO147"/>
      <c r="XDP147"/>
      <c r="XDQ147"/>
      <c r="XDR147"/>
      <c r="XDS147"/>
      <c r="XDT147"/>
      <c r="XDU147"/>
      <c r="XDV147"/>
      <c r="XDW147"/>
      <c r="XDX147"/>
      <c r="XDY147"/>
      <c r="XDZ147"/>
      <c r="XEA147"/>
      <c r="XEB147"/>
      <c r="XEC147"/>
      <c r="XED147"/>
      <c r="XEE147"/>
      <c r="XEF147"/>
      <c r="XEG147"/>
      <c r="XEH147"/>
      <c r="XEI147"/>
      <c r="XEJ147"/>
      <c r="XEK147"/>
      <c r="XEL147"/>
      <c r="XEM147"/>
      <c r="XEN147"/>
      <c r="XEO147"/>
      <c r="XEP147"/>
      <c r="XEQ147"/>
      <c r="XER147"/>
      <c r="XES147"/>
      <c r="XET147"/>
      <c r="XEU147"/>
      <c r="XEV147"/>
      <c r="XEW147"/>
      <c r="XEX147"/>
      <c r="XEY147"/>
      <c r="XEZ147"/>
      <c r="XFA147"/>
      <c r="XFB147"/>
      <c r="XFC147"/>
    </row>
    <row r="148" spans="1:20 16329:16383" s="38" customFormat="1" ht="29.1" customHeight="1" outlineLevel="3" x14ac:dyDescent="0.25">
      <c r="A148" s="55" t="s">
        <v>338</v>
      </c>
      <c r="B148" s="56" t="s">
        <v>339</v>
      </c>
      <c r="C148" s="56" t="s">
        <v>340</v>
      </c>
      <c r="D148" s="2" t="s">
        <v>341</v>
      </c>
      <c r="E148" s="2"/>
      <c r="F148" s="57"/>
      <c r="G148" s="56" t="s">
        <v>117</v>
      </c>
      <c r="H148" s="58"/>
      <c r="I148" s="36"/>
      <c r="J148" s="58"/>
      <c r="K148" s="59"/>
      <c r="L148" s="59"/>
      <c r="M148" s="59"/>
      <c r="N148" s="59"/>
      <c r="O148" s="59">
        <f>O149+O159</f>
        <v>0</v>
      </c>
      <c r="P148" s="59">
        <f>P149+P159</f>
        <v>0</v>
      </c>
      <c r="Q148" s="59">
        <f>Q149+Q159</f>
        <v>0</v>
      </c>
      <c r="R148" s="59">
        <f>R149+R159</f>
        <v>0</v>
      </c>
      <c r="S148" s="59"/>
      <c r="T148" s="36"/>
      <c r="XDA148"/>
      <c r="XDB148"/>
      <c r="XDC148"/>
      <c r="XDD148"/>
      <c r="XDE148"/>
      <c r="XDF148"/>
      <c r="XDG148"/>
      <c r="XDH148"/>
      <c r="XDI148"/>
      <c r="XDJ148"/>
      <c r="XDK148"/>
      <c r="XDL148"/>
      <c r="XDM148"/>
      <c r="XDN148"/>
      <c r="XDO148"/>
      <c r="XDP148"/>
      <c r="XDQ148"/>
      <c r="XDR148"/>
      <c r="XDS148"/>
      <c r="XDT148"/>
      <c r="XDU148"/>
      <c r="XDV148"/>
      <c r="XDW148"/>
      <c r="XDX148"/>
      <c r="XDY148"/>
      <c r="XDZ148"/>
      <c r="XEA148"/>
      <c r="XEB148"/>
      <c r="XEC148"/>
      <c r="XED148"/>
      <c r="XEE148"/>
      <c r="XEF148"/>
      <c r="XEG148"/>
      <c r="XEH148"/>
      <c r="XEI148"/>
      <c r="XEJ148"/>
      <c r="XEK148"/>
      <c r="XEL148"/>
      <c r="XEM148"/>
      <c r="XEN148"/>
      <c r="XEO148"/>
      <c r="XEP148"/>
      <c r="XEQ148"/>
      <c r="XER148"/>
      <c r="XES148"/>
      <c r="XET148"/>
      <c r="XEU148"/>
      <c r="XEV148"/>
      <c r="XEW148"/>
      <c r="XEX148"/>
      <c r="XEY148"/>
      <c r="XEZ148"/>
      <c r="XFA148"/>
      <c r="XFB148"/>
      <c r="XFC148"/>
    </row>
    <row r="149" spans="1:20 16329:16383" s="38" customFormat="1" ht="29.1" customHeight="1" outlineLevel="4" x14ac:dyDescent="0.25">
      <c r="A149" s="60" t="s">
        <v>342</v>
      </c>
      <c r="B149" s="61" t="s">
        <v>343</v>
      </c>
      <c r="C149" s="61"/>
      <c r="D149" s="1" t="s">
        <v>344</v>
      </c>
      <c r="E149" s="1"/>
      <c r="F149" s="62"/>
      <c r="G149" s="61"/>
      <c r="H149" s="63"/>
      <c r="I149" s="36"/>
      <c r="J149" s="63"/>
      <c r="K149" s="64"/>
      <c r="L149" s="64"/>
      <c r="M149" s="64"/>
      <c r="N149" s="64"/>
      <c r="O149" s="64">
        <f>O150+O152+O155+O157</f>
        <v>0</v>
      </c>
      <c r="P149" s="64">
        <f>P150+P152+P155+P157</f>
        <v>0</v>
      </c>
      <c r="Q149" s="64">
        <f>Q150+Q152+Q155+Q157</f>
        <v>0</v>
      </c>
      <c r="R149" s="64">
        <f>R150+R152+R155+R157</f>
        <v>0</v>
      </c>
      <c r="S149" s="64"/>
      <c r="T149" s="36"/>
      <c r="XDA149"/>
      <c r="XDB149"/>
      <c r="XDC149"/>
      <c r="XDD149"/>
      <c r="XDE149"/>
      <c r="XDF149"/>
      <c r="XDG149"/>
      <c r="XDH149"/>
      <c r="XDI149"/>
      <c r="XDJ149"/>
      <c r="XDK149"/>
      <c r="XDL149"/>
      <c r="XDM149"/>
      <c r="XDN149"/>
      <c r="XDO149"/>
      <c r="XDP149"/>
      <c r="XDQ149"/>
      <c r="XDR149"/>
      <c r="XDS149"/>
      <c r="XDT149"/>
      <c r="XDU149"/>
      <c r="XDV149"/>
      <c r="XDW149"/>
      <c r="XDX149"/>
      <c r="XDY149"/>
      <c r="XDZ149"/>
      <c r="XEA149"/>
      <c r="XEB149"/>
      <c r="XEC149"/>
      <c r="XED149"/>
      <c r="XEE149"/>
      <c r="XEF149"/>
      <c r="XEG149"/>
      <c r="XEH149"/>
      <c r="XEI149"/>
      <c r="XEJ149"/>
      <c r="XEK149"/>
      <c r="XEL149"/>
      <c r="XEM149"/>
      <c r="XEN149"/>
      <c r="XEO149"/>
      <c r="XEP149"/>
      <c r="XEQ149"/>
      <c r="XER149"/>
      <c r="XES149"/>
      <c r="XET149"/>
      <c r="XEU149"/>
      <c r="XEV149"/>
      <c r="XEW149"/>
      <c r="XEX149"/>
      <c r="XEY149"/>
      <c r="XEZ149"/>
      <c r="XFA149"/>
      <c r="XFB149"/>
      <c r="XFC149"/>
    </row>
    <row r="150" spans="1:20 16329:16383" s="38" customFormat="1" ht="29.1" customHeight="1" outlineLevel="5" x14ac:dyDescent="0.25">
      <c r="A150" s="65" t="s">
        <v>345</v>
      </c>
      <c r="B150" s="66" t="s">
        <v>346</v>
      </c>
      <c r="C150" s="66"/>
      <c r="D150" s="98" t="s">
        <v>347</v>
      </c>
      <c r="E150" s="98"/>
      <c r="F150" s="67"/>
      <c r="G150" s="66"/>
      <c r="H150" s="68"/>
      <c r="I150" s="36"/>
      <c r="J150" s="68"/>
      <c r="K150" s="69"/>
      <c r="L150" s="69"/>
      <c r="M150" s="69"/>
      <c r="N150" s="69"/>
      <c r="O150" s="69">
        <f>O151</f>
        <v>0</v>
      </c>
      <c r="P150" s="69">
        <f>P151</f>
        <v>0</v>
      </c>
      <c r="Q150" s="69">
        <f>Q151</f>
        <v>0</v>
      </c>
      <c r="R150" s="69">
        <f>R151</f>
        <v>0</v>
      </c>
      <c r="S150" s="69"/>
      <c r="T150" s="36"/>
      <c r="XDA150"/>
      <c r="XDB150"/>
      <c r="XDC150"/>
      <c r="XDD150"/>
      <c r="XDE150"/>
      <c r="XDF150"/>
      <c r="XDG150"/>
      <c r="XDH150"/>
      <c r="XDI150"/>
      <c r="XDJ150"/>
      <c r="XDK150"/>
      <c r="XDL150"/>
      <c r="XDM150"/>
      <c r="XDN150"/>
      <c r="XDO150"/>
      <c r="XDP150"/>
      <c r="XDQ150"/>
      <c r="XDR150"/>
      <c r="XDS150"/>
      <c r="XDT150"/>
      <c r="XDU150"/>
      <c r="XDV150"/>
      <c r="XDW150"/>
      <c r="XDX150"/>
      <c r="XDY150"/>
      <c r="XDZ150"/>
      <c r="XEA150"/>
      <c r="XEB150"/>
      <c r="XEC150"/>
      <c r="XED150"/>
      <c r="XEE150"/>
      <c r="XEF150"/>
      <c r="XEG150"/>
      <c r="XEH150"/>
      <c r="XEI150"/>
      <c r="XEJ150"/>
      <c r="XEK150"/>
      <c r="XEL150"/>
      <c r="XEM150"/>
      <c r="XEN150"/>
      <c r="XEO150"/>
      <c r="XEP150"/>
      <c r="XEQ150"/>
      <c r="XER150"/>
      <c r="XES150"/>
      <c r="XET150"/>
      <c r="XEU150"/>
      <c r="XEV150"/>
      <c r="XEW150"/>
      <c r="XEX150"/>
      <c r="XEY150"/>
      <c r="XEZ150"/>
      <c r="XFA150"/>
      <c r="XFB150"/>
      <c r="XFC150"/>
    </row>
    <row r="151" spans="1:20 16329:16383" s="38" customFormat="1" ht="29.1" customHeight="1" outlineLevel="6" x14ac:dyDescent="0.25">
      <c r="A151" s="49" t="s">
        <v>348</v>
      </c>
      <c r="B151" s="50"/>
      <c r="C151" s="50"/>
      <c r="D151" s="3" t="s">
        <v>349</v>
      </c>
      <c r="E151" s="3"/>
      <c r="F151" s="51"/>
      <c r="G151" s="50" t="s">
        <v>117</v>
      </c>
      <c r="H151" s="52">
        <f>1</f>
        <v>1</v>
      </c>
      <c r="I151" s="36"/>
      <c r="J151" s="52">
        <v>1</v>
      </c>
      <c r="K151" s="53">
        <f>0</f>
        <v>0</v>
      </c>
      <c r="L151" s="53">
        <f>0</f>
        <v>0</v>
      </c>
      <c r="M151" s="53">
        <f>0</f>
        <v>0</v>
      </c>
      <c r="N151" s="54">
        <f>SUM(K151:M151)</f>
        <v>0</v>
      </c>
      <c r="O151" s="54">
        <f>ROUND((H151*K151),2)</f>
        <v>0</v>
      </c>
      <c r="P151" s="54">
        <f>ROUND((H151*L151),2)</f>
        <v>0</v>
      </c>
      <c r="Q151" s="54">
        <f>ROUND((H151*M151),2)</f>
        <v>0</v>
      </c>
      <c r="R151" s="54">
        <f>ROUND((H151*N151),2)</f>
        <v>0</v>
      </c>
      <c r="S151" s="54"/>
      <c r="T151" s="36"/>
      <c r="XDA151"/>
      <c r="XDB151"/>
      <c r="XDC151"/>
      <c r="XDD151"/>
      <c r="XDE151"/>
      <c r="XDF151"/>
      <c r="XDG151"/>
      <c r="XDH151"/>
      <c r="XDI151"/>
      <c r="XDJ151"/>
      <c r="XDK151"/>
      <c r="XDL151"/>
      <c r="XDM151"/>
      <c r="XDN151"/>
      <c r="XDO151"/>
      <c r="XDP151"/>
      <c r="XDQ151"/>
      <c r="XDR151"/>
      <c r="XDS151"/>
      <c r="XDT151"/>
      <c r="XDU151"/>
      <c r="XDV151"/>
      <c r="XDW151"/>
      <c r="XDX151"/>
      <c r="XDY151"/>
      <c r="XDZ151"/>
      <c r="XEA151"/>
      <c r="XEB151"/>
      <c r="XEC151"/>
      <c r="XED151"/>
      <c r="XEE151"/>
      <c r="XEF151"/>
      <c r="XEG151"/>
      <c r="XEH151"/>
      <c r="XEI151"/>
      <c r="XEJ151"/>
      <c r="XEK151"/>
      <c r="XEL151"/>
      <c r="XEM151"/>
      <c r="XEN151"/>
      <c r="XEO151"/>
      <c r="XEP151"/>
      <c r="XEQ151"/>
      <c r="XER151"/>
      <c r="XES151"/>
      <c r="XET151"/>
      <c r="XEU151"/>
      <c r="XEV151"/>
      <c r="XEW151"/>
      <c r="XEX151"/>
      <c r="XEY151"/>
      <c r="XEZ151"/>
      <c r="XFA151"/>
      <c r="XFB151"/>
      <c r="XFC151"/>
    </row>
    <row r="152" spans="1:20 16329:16383" s="38" customFormat="1" ht="29.1" customHeight="1" outlineLevel="5" x14ac:dyDescent="0.25">
      <c r="A152" s="65" t="s">
        <v>350</v>
      </c>
      <c r="B152" s="66" t="s">
        <v>351</v>
      </c>
      <c r="C152" s="66"/>
      <c r="D152" s="98" t="s">
        <v>352</v>
      </c>
      <c r="E152" s="98"/>
      <c r="F152" s="67"/>
      <c r="G152" s="66"/>
      <c r="H152" s="68"/>
      <c r="I152" s="36"/>
      <c r="J152" s="68"/>
      <c r="K152" s="69"/>
      <c r="L152" s="69"/>
      <c r="M152" s="69"/>
      <c r="N152" s="69"/>
      <c r="O152" s="69">
        <f>O153+O154</f>
        <v>0</v>
      </c>
      <c r="P152" s="69">
        <f>P153+P154</f>
        <v>0</v>
      </c>
      <c r="Q152" s="69">
        <f>Q153+Q154</f>
        <v>0</v>
      </c>
      <c r="R152" s="69">
        <f>R153+R154</f>
        <v>0</v>
      </c>
      <c r="S152" s="69"/>
      <c r="T152" s="36"/>
      <c r="XDA152"/>
      <c r="XDB152"/>
      <c r="XDC152"/>
      <c r="XDD152"/>
      <c r="XDE152"/>
      <c r="XDF152"/>
      <c r="XDG152"/>
      <c r="XDH152"/>
      <c r="XDI152"/>
      <c r="XDJ152"/>
      <c r="XDK152"/>
      <c r="XDL152"/>
      <c r="XDM152"/>
      <c r="XDN152"/>
      <c r="XDO152"/>
      <c r="XDP152"/>
      <c r="XDQ152"/>
      <c r="XDR152"/>
      <c r="XDS152"/>
      <c r="XDT152"/>
      <c r="XDU152"/>
      <c r="XDV152"/>
      <c r="XDW152"/>
      <c r="XDX152"/>
      <c r="XDY152"/>
      <c r="XDZ152"/>
      <c r="XEA152"/>
      <c r="XEB152"/>
      <c r="XEC152"/>
      <c r="XED152"/>
      <c r="XEE152"/>
      <c r="XEF152"/>
      <c r="XEG152"/>
      <c r="XEH152"/>
      <c r="XEI152"/>
      <c r="XEJ152"/>
      <c r="XEK152"/>
      <c r="XEL152"/>
      <c r="XEM152"/>
      <c r="XEN152"/>
      <c r="XEO152"/>
      <c r="XEP152"/>
      <c r="XEQ152"/>
      <c r="XER152"/>
      <c r="XES152"/>
      <c r="XET152"/>
      <c r="XEU152"/>
      <c r="XEV152"/>
      <c r="XEW152"/>
      <c r="XEX152"/>
      <c r="XEY152"/>
      <c r="XEZ152"/>
      <c r="XFA152"/>
      <c r="XFB152"/>
      <c r="XFC152"/>
    </row>
    <row r="153" spans="1:20 16329:16383" s="38" customFormat="1" ht="29.1" customHeight="1" outlineLevel="6" x14ac:dyDescent="0.25">
      <c r="A153" s="49" t="s">
        <v>353</v>
      </c>
      <c r="B153" s="50"/>
      <c r="C153" s="50"/>
      <c r="D153" s="3" t="s">
        <v>349</v>
      </c>
      <c r="E153" s="3"/>
      <c r="F153" s="51"/>
      <c r="G153" s="50" t="s">
        <v>117</v>
      </c>
      <c r="H153" s="52">
        <f>1</f>
        <v>1</v>
      </c>
      <c r="I153" s="36"/>
      <c r="J153" s="52">
        <v>1</v>
      </c>
      <c r="K153" s="53">
        <f>0</f>
        <v>0</v>
      </c>
      <c r="L153" s="53">
        <f>0</f>
        <v>0</v>
      </c>
      <c r="M153" s="53">
        <f>0</f>
        <v>0</v>
      </c>
      <c r="N153" s="54">
        <f>SUM(K153:M153)</f>
        <v>0</v>
      </c>
      <c r="O153" s="54">
        <f>ROUND((H153*K153),2)</f>
        <v>0</v>
      </c>
      <c r="P153" s="54">
        <f>ROUND((H153*L153),2)</f>
        <v>0</v>
      </c>
      <c r="Q153" s="54">
        <f>ROUND((H153*M153),2)</f>
        <v>0</v>
      </c>
      <c r="R153" s="54">
        <f>ROUND((H153*N153),2)</f>
        <v>0</v>
      </c>
      <c r="S153" s="54"/>
      <c r="T153" s="36"/>
      <c r="XDA153"/>
      <c r="XDB153"/>
      <c r="XDC153"/>
      <c r="XDD153"/>
      <c r="XDE153"/>
      <c r="XDF153"/>
      <c r="XDG153"/>
      <c r="XDH153"/>
      <c r="XDI153"/>
      <c r="XDJ153"/>
      <c r="XDK153"/>
      <c r="XDL153"/>
      <c r="XDM153"/>
      <c r="XDN153"/>
      <c r="XDO153"/>
      <c r="XDP153"/>
      <c r="XDQ153"/>
      <c r="XDR153"/>
      <c r="XDS153"/>
      <c r="XDT153"/>
      <c r="XDU153"/>
      <c r="XDV153"/>
      <c r="XDW153"/>
      <c r="XDX153"/>
      <c r="XDY153"/>
      <c r="XDZ153"/>
      <c r="XEA153"/>
      <c r="XEB153"/>
      <c r="XEC153"/>
      <c r="XED153"/>
      <c r="XEE153"/>
      <c r="XEF153"/>
      <c r="XEG153"/>
      <c r="XEH153"/>
      <c r="XEI153"/>
      <c r="XEJ153"/>
      <c r="XEK153"/>
      <c r="XEL153"/>
      <c r="XEM153"/>
      <c r="XEN153"/>
      <c r="XEO153"/>
      <c r="XEP153"/>
      <c r="XEQ153"/>
      <c r="XER153"/>
      <c r="XES153"/>
      <c r="XET153"/>
      <c r="XEU153"/>
      <c r="XEV153"/>
      <c r="XEW153"/>
      <c r="XEX153"/>
      <c r="XEY153"/>
      <c r="XEZ153"/>
      <c r="XFA153"/>
      <c r="XFB153"/>
      <c r="XFC153"/>
    </row>
    <row r="154" spans="1:20 16329:16383" s="38" customFormat="1" ht="29.1" customHeight="1" outlineLevel="6" x14ac:dyDescent="0.25">
      <c r="A154" s="49" t="s">
        <v>354</v>
      </c>
      <c r="B154" s="50"/>
      <c r="C154" s="50"/>
      <c r="D154" s="3" t="s">
        <v>355</v>
      </c>
      <c r="E154" s="3"/>
      <c r="F154" s="51"/>
      <c r="G154" s="50" t="s">
        <v>117</v>
      </c>
      <c r="H154" s="52">
        <f>1</f>
        <v>1</v>
      </c>
      <c r="I154" s="36"/>
      <c r="J154" s="52">
        <v>1</v>
      </c>
      <c r="K154" s="53">
        <f>0</f>
        <v>0</v>
      </c>
      <c r="L154" s="53">
        <f>0</f>
        <v>0</v>
      </c>
      <c r="M154" s="53">
        <f>0</f>
        <v>0</v>
      </c>
      <c r="N154" s="54">
        <f>SUM(K154:M154)</f>
        <v>0</v>
      </c>
      <c r="O154" s="54">
        <f>ROUND((H154*K154),2)</f>
        <v>0</v>
      </c>
      <c r="P154" s="54">
        <f>ROUND((H154*L154),2)</f>
        <v>0</v>
      </c>
      <c r="Q154" s="54">
        <f>ROUND((H154*M154),2)</f>
        <v>0</v>
      </c>
      <c r="R154" s="54">
        <f>ROUND((H154*N154),2)</f>
        <v>0</v>
      </c>
      <c r="S154" s="54"/>
      <c r="T154" s="36"/>
      <c r="XDA154"/>
      <c r="XDB154"/>
      <c r="XDC154"/>
      <c r="XDD154"/>
      <c r="XDE154"/>
      <c r="XDF154"/>
      <c r="XDG154"/>
      <c r="XDH154"/>
      <c r="XDI154"/>
      <c r="XDJ154"/>
      <c r="XDK154"/>
      <c r="XDL154"/>
      <c r="XDM154"/>
      <c r="XDN154"/>
      <c r="XDO154"/>
      <c r="XDP154"/>
      <c r="XDQ154"/>
      <c r="XDR154"/>
      <c r="XDS154"/>
      <c r="XDT154"/>
      <c r="XDU154"/>
      <c r="XDV154"/>
      <c r="XDW154"/>
      <c r="XDX154"/>
      <c r="XDY154"/>
      <c r="XDZ154"/>
      <c r="XEA154"/>
      <c r="XEB154"/>
      <c r="XEC154"/>
      <c r="XED154"/>
      <c r="XEE154"/>
      <c r="XEF154"/>
      <c r="XEG154"/>
      <c r="XEH154"/>
      <c r="XEI154"/>
      <c r="XEJ154"/>
      <c r="XEK154"/>
      <c r="XEL154"/>
      <c r="XEM154"/>
      <c r="XEN154"/>
      <c r="XEO154"/>
      <c r="XEP154"/>
      <c r="XEQ154"/>
      <c r="XER154"/>
      <c r="XES154"/>
      <c r="XET154"/>
      <c r="XEU154"/>
      <c r="XEV154"/>
      <c r="XEW154"/>
      <c r="XEX154"/>
      <c r="XEY154"/>
      <c r="XEZ154"/>
      <c r="XFA154"/>
      <c r="XFB154"/>
      <c r="XFC154"/>
    </row>
    <row r="155" spans="1:20 16329:16383" s="38" customFormat="1" ht="29.1" customHeight="1" outlineLevel="5" x14ac:dyDescent="0.25">
      <c r="A155" s="65" t="s">
        <v>356</v>
      </c>
      <c r="B155" s="66" t="s">
        <v>357</v>
      </c>
      <c r="C155" s="66"/>
      <c r="D155" s="98" t="s">
        <v>358</v>
      </c>
      <c r="E155" s="98"/>
      <c r="F155" s="67"/>
      <c r="G155" s="66"/>
      <c r="H155" s="68"/>
      <c r="I155" s="36"/>
      <c r="J155" s="68"/>
      <c r="K155" s="69"/>
      <c r="L155" s="69"/>
      <c r="M155" s="69"/>
      <c r="N155" s="69"/>
      <c r="O155" s="69">
        <f>O156</f>
        <v>0</v>
      </c>
      <c r="P155" s="69">
        <f>P156</f>
        <v>0</v>
      </c>
      <c r="Q155" s="69">
        <f>Q156</f>
        <v>0</v>
      </c>
      <c r="R155" s="69">
        <f>R156</f>
        <v>0</v>
      </c>
      <c r="S155" s="69"/>
      <c r="T155" s="36"/>
      <c r="XDA155"/>
      <c r="XDB155"/>
      <c r="XDC155"/>
      <c r="XDD155"/>
      <c r="XDE155"/>
      <c r="XDF155"/>
      <c r="XDG155"/>
      <c r="XDH155"/>
      <c r="XDI155"/>
      <c r="XDJ155"/>
      <c r="XDK155"/>
      <c r="XDL155"/>
      <c r="XDM155"/>
      <c r="XDN155"/>
      <c r="XDO155"/>
      <c r="XDP155"/>
      <c r="XDQ155"/>
      <c r="XDR155"/>
      <c r="XDS155"/>
      <c r="XDT155"/>
      <c r="XDU155"/>
      <c r="XDV155"/>
      <c r="XDW155"/>
      <c r="XDX155"/>
      <c r="XDY155"/>
      <c r="XDZ155"/>
      <c r="XEA155"/>
      <c r="XEB155"/>
      <c r="XEC155"/>
      <c r="XED155"/>
      <c r="XEE155"/>
      <c r="XEF155"/>
      <c r="XEG155"/>
      <c r="XEH155"/>
      <c r="XEI155"/>
      <c r="XEJ155"/>
      <c r="XEK155"/>
      <c r="XEL155"/>
      <c r="XEM155"/>
      <c r="XEN155"/>
      <c r="XEO155"/>
      <c r="XEP155"/>
      <c r="XEQ155"/>
      <c r="XER155"/>
      <c r="XES155"/>
      <c r="XET155"/>
      <c r="XEU155"/>
      <c r="XEV155"/>
      <c r="XEW155"/>
      <c r="XEX155"/>
      <c r="XEY155"/>
      <c r="XEZ155"/>
      <c r="XFA155"/>
      <c r="XFB155"/>
      <c r="XFC155"/>
    </row>
    <row r="156" spans="1:20 16329:16383" s="38" customFormat="1" ht="29.1" customHeight="1" outlineLevel="6" x14ac:dyDescent="0.25">
      <c r="A156" s="49" t="s">
        <v>359</v>
      </c>
      <c r="B156" s="50"/>
      <c r="C156" s="50"/>
      <c r="D156" s="3" t="s">
        <v>360</v>
      </c>
      <c r="E156" s="3"/>
      <c r="F156" s="51"/>
      <c r="G156" s="50" t="s">
        <v>117</v>
      </c>
      <c r="H156" s="52">
        <f>1</f>
        <v>1</v>
      </c>
      <c r="I156" s="36"/>
      <c r="J156" s="52">
        <v>1</v>
      </c>
      <c r="K156" s="53">
        <f>0</f>
        <v>0</v>
      </c>
      <c r="L156" s="53">
        <f>0</f>
        <v>0</v>
      </c>
      <c r="M156" s="53">
        <f>0</f>
        <v>0</v>
      </c>
      <c r="N156" s="54">
        <f>SUM(K156:M156)</f>
        <v>0</v>
      </c>
      <c r="O156" s="54">
        <f>ROUND((H156*K156),2)</f>
        <v>0</v>
      </c>
      <c r="P156" s="54">
        <f>ROUND((H156*L156),2)</f>
        <v>0</v>
      </c>
      <c r="Q156" s="54">
        <f>ROUND((H156*M156),2)</f>
        <v>0</v>
      </c>
      <c r="R156" s="54">
        <f>ROUND((H156*N156),2)</f>
        <v>0</v>
      </c>
      <c r="S156" s="54"/>
      <c r="T156" s="36"/>
      <c r="XDA156"/>
      <c r="XDB156"/>
      <c r="XDC156"/>
      <c r="XDD156"/>
      <c r="XDE156"/>
      <c r="XDF156"/>
      <c r="XDG156"/>
      <c r="XDH156"/>
      <c r="XDI156"/>
      <c r="XDJ156"/>
      <c r="XDK156"/>
      <c r="XDL156"/>
      <c r="XDM156"/>
      <c r="XDN156"/>
      <c r="XDO156"/>
      <c r="XDP156"/>
      <c r="XDQ156"/>
      <c r="XDR156"/>
      <c r="XDS156"/>
      <c r="XDT156"/>
      <c r="XDU156"/>
      <c r="XDV156"/>
      <c r="XDW156"/>
      <c r="XDX156"/>
      <c r="XDY156"/>
      <c r="XDZ156"/>
      <c r="XEA156"/>
      <c r="XEB156"/>
      <c r="XEC156"/>
      <c r="XED156"/>
      <c r="XEE156"/>
      <c r="XEF156"/>
      <c r="XEG156"/>
      <c r="XEH156"/>
      <c r="XEI156"/>
      <c r="XEJ156"/>
      <c r="XEK156"/>
      <c r="XEL156"/>
      <c r="XEM156"/>
      <c r="XEN156"/>
      <c r="XEO156"/>
      <c r="XEP156"/>
      <c r="XEQ156"/>
      <c r="XER156"/>
      <c r="XES156"/>
      <c r="XET156"/>
      <c r="XEU156"/>
      <c r="XEV156"/>
      <c r="XEW156"/>
      <c r="XEX156"/>
      <c r="XEY156"/>
      <c r="XEZ156"/>
      <c r="XFA156"/>
      <c r="XFB156"/>
      <c r="XFC156"/>
    </row>
    <row r="157" spans="1:20 16329:16383" s="38" customFormat="1" ht="29.1" customHeight="1" outlineLevel="5" x14ac:dyDescent="0.25">
      <c r="A157" s="65" t="s">
        <v>361</v>
      </c>
      <c r="B157" s="66" t="s">
        <v>362</v>
      </c>
      <c r="C157" s="66"/>
      <c r="D157" s="98" t="s">
        <v>363</v>
      </c>
      <c r="E157" s="98"/>
      <c r="F157" s="67"/>
      <c r="G157" s="66"/>
      <c r="H157" s="68"/>
      <c r="I157" s="36"/>
      <c r="J157" s="68"/>
      <c r="K157" s="69"/>
      <c r="L157" s="69"/>
      <c r="M157" s="69"/>
      <c r="N157" s="69"/>
      <c r="O157" s="69">
        <f>O158</f>
        <v>0</v>
      </c>
      <c r="P157" s="69">
        <f>P158</f>
        <v>0</v>
      </c>
      <c r="Q157" s="69">
        <f>Q158</f>
        <v>0</v>
      </c>
      <c r="R157" s="69">
        <f>R158</f>
        <v>0</v>
      </c>
      <c r="S157" s="69"/>
      <c r="T157" s="36"/>
      <c r="XDA157"/>
      <c r="XDB157"/>
      <c r="XDC157"/>
      <c r="XDD157"/>
      <c r="XDE157"/>
      <c r="XDF157"/>
      <c r="XDG157"/>
      <c r="XDH157"/>
      <c r="XDI157"/>
      <c r="XDJ157"/>
      <c r="XDK157"/>
      <c r="XDL157"/>
      <c r="XDM157"/>
      <c r="XDN157"/>
      <c r="XDO157"/>
      <c r="XDP157"/>
      <c r="XDQ157"/>
      <c r="XDR157"/>
      <c r="XDS157"/>
      <c r="XDT157"/>
      <c r="XDU157"/>
      <c r="XDV157"/>
      <c r="XDW157"/>
      <c r="XDX157"/>
      <c r="XDY157"/>
      <c r="XDZ157"/>
      <c r="XEA157"/>
      <c r="XEB157"/>
      <c r="XEC157"/>
      <c r="XED157"/>
      <c r="XEE157"/>
      <c r="XEF157"/>
      <c r="XEG157"/>
      <c r="XEH157"/>
      <c r="XEI157"/>
      <c r="XEJ157"/>
      <c r="XEK157"/>
      <c r="XEL157"/>
      <c r="XEM157"/>
      <c r="XEN157"/>
      <c r="XEO157"/>
      <c r="XEP157"/>
      <c r="XEQ157"/>
      <c r="XER157"/>
      <c r="XES157"/>
      <c r="XET157"/>
      <c r="XEU157"/>
      <c r="XEV157"/>
      <c r="XEW157"/>
      <c r="XEX157"/>
      <c r="XEY157"/>
      <c r="XEZ157"/>
      <c r="XFA157"/>
      <c r="XFB157"/>
      <c r="XFC157"/>
    </row>
    <row r="158" spans="1:20 16329:16383" s="38" customFormat="1" ht="29.1" customHeight="1" outlineLevel="6" x14ac:dyDescent="0.25">
      <c r="A158" s="49" t="s">
        <v>364</v>
      </c>
      <c r="B158" s="50"/>
      <c r="C158" s="50"/>
      <c r="D158" s="3" t="s">
        <v>349</v>
      </c>
      <c r="E158" s="3"/>
      <c r="F158" s="51"/>
      <c r="G158" s="50" t="s">
        <v>117</v>
      </c>
      <c r="H158" s="52">
        <f>1</f>
        <v>1</v>
      </c>
      <c r="I158" s="36"/>
      <c r="J158" s="52">
        <v>1</v>
      </c>
      <c r="K158" s="53">
        <f>0</f>
        <v>0</v>
      </c>
      <c r="L158" s="53">
        <f>0</f>
        <v>0</v>
      </c>
      <c r="M158" s="53">
        <f>0</f>
        <v>0</v>
      </c>
      <c r="N158" s="54">
        <f>SUM(K158:M158)</f>
        <v>0</v>
      </c>
      <c r="O158" s="54">
        <f>ROUND((H158*K158),2)</f>
        <v>0</v>
      </c>
      <c r="P158" s="54">
        <f>ROUND((H158*L158),2)</f>
        <v>0</v>
      </c>
      <c r="Q158" s="54">
        <f>ROUND((H158*M158),2)</f>
        <v>0</v>
      </c>
      <c r="R158" s="54">
        <f>ROUND((H158*N158),2)</f>
        <v>0</v>
      </c>
      <c r="S158" s="54"/>
      <c r="T158" s="36"/>
      <c r="XDA158"/>
      <c r="XDB158"/>
      <c r="XDC158"/>
      <c r="XDD158"/>
      <c r="XDE158"/>
      <c r="XDF158"/>
      <c r="XDG158"/>
      <c r="XDH158"/>
      <c r="XDI158"/>
      <c r="XDJ158"/>
      <c r="XDK158"/>
      <c r="XDL158"/>
      <c r="XDM158"/>
      <c r="XDN158"/>
      <c r="XDO158"/>
      <c r="XDP158"/>
      <c r="XDQ158"/>
      <c r="XDR158"/>
      <c r="XDS158"/>
      <c r="XDT158"/>
      <c r="XDU158"/>
      <c r="XDV158"/>
      <c r="XDW158"/>
      <c r="XDX158"/>
      <c r="XDY158"/>
      <c r="XDZ158"/>
      <c r="XEA158"/>
      <c r="XEB158"/>
      <c r="XEC158"/>
      <c r="XED158"/>
      <c r="XEE158"/>
      <c r="XEF158"/>
      <c r="XEG158"/>
      <c r="XEH158"/>
      <c r="XEI158"/>
      <c r="XEJ158"/>
      <c r="XEK158"/>
      <c r="XEL158"/>
      <c r="XEM158"/>
      <c r="XEN158"/>
      <c r="XEO158"/>
      <c r="XEP158"/>
      <c r="XEQ158"/>
      <c r="XER158"/>
      <c r="XES158"/>
      <c r="XET158"/>
      <c r="XEU158"/>
      <c r="XEV158"/>
      <c r="XEW158"/>
      <c r="XEX158"/>
      <c r="XEY158"/>
      <c r="XEZ158"/>
      <c r="XFA158"/>
      <c r="XFB158"/>
      <c r="XFC158"/>
    </row>
    <row r="159" spans="1:20 16329:16383" s="38" customFormat="1" ht="29.1" customHeight="1" outlineLevel="4" x14ac:dyDescent="0.25">
      <c r="A159" s="60" t="s">
        <v>365</v>
      </c>
      <c r="B159" s="61" t="s">
        <v>366</v>
      </c>
      <c r="C159" s="61"/>
      <c r="D159" s="1" t="s">
        <v>367</v>
      </c>
      <c r="E159" s="1"/>
      <c r="F159" s="62"/>
      <c r="G159" s="61"/>
      <c r="H159" s="63"/>
      <c r="I159" s="36"/>
      <c r="J159" s="63"/>
      <c r="K159" s="64"/>
      <c r="L159" s="64"/>
      <c r="M159" s="64"/>
      <c r="N159" s="64"/>
      <c r="O159" s="64">
        <f>O160+O162+O164+O166</f>
        <v>0</v>
      </c>
      <c r="P159" s="64">
        <f>P160+P162+P164+P166</f>
        <v>0</v>
      </c>
      <c r="Q159" s="64">
        <f>Q160+Q162+Q164+Q166</f>
        <v>0</v>
      </c>
      <c r="R159" s="64">
        <f>R160+R162+R164+R166</f>
        <v>0</v>
      </c>
      <c r="S159" s="64"/>
      <c r="T159" s="36"/>
      <c r="XDA159"/>
      <c r="XDB159"/>
      <c r="XDC159"/>
      <c r="XDD159"/>
      <c r="XDE159"/>
      <c r="XDF159"/>
      <c r="XDG159"/>
      <c r="XDH159"/>
      <c r="XDI159"/>
      <c r="XDJ159"/>
      <c r="XDK159"/>
      <c r="XDL159"/>
      <c r="XDM159"/>
      <c r="XDN159"/>
      <c r="XDO159"/>
      <c r="XDP159"/>
      <c r="XDQ159"/>
      <c r="XDR159"/>
      <c r="XDS159"/>
      <c r="XDT159"/>
      <c r="XDU159"/>
      <c r="XDV159"/>
      <c r="XDW159"/>
      <c r="XDX159"/>
      <c r="XDY159"/>
      <c r="XDZ159"/>
      <c r="XEA159"/>
      <c r="XEB159"/>
      <c r="XEC159"/>
      <c r="XED159"/>
      <c r="XEE159"/>
      <c r="XEF159"/>
      <c r="XEG159"/>
      <c r="XEH159"/>
      <c r="XEI159"/>
      <c r="XEJ159"/>
      <c r="XEK159"/>
      <c r="XEL159"/>
      <c r="XEM159"/>
      <c r="XEN159"/>
      <c r="XEO159"/>
      <c r="XEP159"/>
      <c r="XEQ159"/>
      <c r="XER159"/>
      <c r="XES159"/>
      <c r="XET159"/>
      <c r="XEU159"/>
      <c r="XEV159"/>
      <c r="XEW159"/>
      <c r="XEX159"/>
      <c r="XEY159"/>
      <c r="XEZ159"/>
      <c r="XFA159"/>
      <c r="XFB159"/>
      <c r="XFC159"/>
    </row>
    <row r="160" spans="1:20 16329:16383" s="38" customFormat="1" ht="29.1" customHeight="1" outlineLevel="5" x14ac:dyDescent="0.25">
      <c r="A160" s="65" t="s">
        <v>368</v>
      </c>
      <c r="B160" s="66" t="s">
        <v>369</v>
      </c>
      <c r="C160" s="66"/>
      <c r="D160" s="98" t="s">
        <v>370</v>
      </c>
      <c r="E160" s="98"/>
      <c r="F160" s="67"/>
      <c r="G160" s="66"/>
      <c r="H160" s="68"/>
      <c r="I160" s="36"/>
      <c r="J160" s="68"/>
      <c r="K160" s="69"/>
      <c r="L160" s="69"/>
      <c r="M160" s="69"/>
      <c r="N160" s="69"/>
      <c r="O160" s="69">
        <f>O161</f>
        <v>0</v>
      </c>
      <c r="P160" s="69">
        <f>P161</f>
        <v>0</v>
      </c>
      <c r="Q160" s="69">
        <f>Q161</f>
        <v>0</v>
      </c>
      <c r="R160" s="69">
        <f>R161</f>
        <v>0</v>
      </c>
      <c r="S160" s="69"/>
      <c r="T160" s="36"/>
      <c r="XDA160"/>
      <c r="XDB160"/>
      <c r="XDC160"/>
      <c r="XDD160"/>
      <c r="XDE160"/>
      <c r="XDF160"/>
      <c r="XDG160"/>
      <c r="XDH160"/>
      <c r="XDI160"/>
      <c r="XDJ160"/>
      <c r="XDK160"/>
      <c r="XDL160"/>
      <c r="XDM160"/>
      <c r="XDN160"/>
      <c r="XDO160"/>
      <c r="XDP160"/>
      <c r="XDQ160"/>
      <c r="XDR160"/>
      <c r="XDS160"/>
      <c r="XDT160"/>
      <c r="XDU160"/>
      <c r="XDV160"/>
      <c r="XDW160"/>
      <c r="XDX160"/>
      <c r="XDY160"/>
      <c r="XDZ160"/>
      <c r="XEA160"/>
      <c r="XEB160"/>
      <c r="XEC160"/>
      <c r="XED160"/>
      <c r="XEE160"/>
      <c r="XEF160"/>
      <c r="XEG160"/>
      <c r="XEH160"/>
      <c r="XEI160"/>
      <c r="XEJ160"/>
      <c r="XEK160"/>
      <c r="XEL160"/>
      <c r="XEM160"/>
      <c r="XEN160"/>
      <c r="XEO160"/>
      <c r="XEP160"/>
      <c r="XEQ160"/>
      <c r="XER160"/>
      <c r="XES160"/>
      <c r="XET160"/>
      <c r="XEU160"/>
      <c r="XEV160"/>
      <c r="XEW160"/>
      <c r="XEX160"/>
      <c r="XEY160"/>
      <c r="XEZ160"/>
      <c r="XFA160"/>
      <c r="XFB160"/>
      <c r="XFC160"/>
    </row>
    <row r="161" spans="1:20 16329:16383" s="38" customFormat="1" ht="29.1" customHeight="1" outlineLevel="6" x14ac:dyDescent="0.25">
      <c r="A161" s="49" t="s">
        <v>371</v>
      </c>
      <c r="B161" s="50"/>
      <c r="C161" s="50"/>
      <c r="D161" s="3" t="s">
        <v>372</v>
      </c>
      <c r="E161" s="3"/>
      <c r="F161" s="51"/>
      <c r="G161" s="50" t="s">
        <v>117</v>
      </c>
      <c r="H161" s="52">
        <f>1</f>
        <v>1</v>
      </c>
      <c r="I161" s="36"/>
      <c r="J161" s="52">
        <v>1</v>
      </c>
      <c r="K161" s="53">
        <f>0</f>
        <v>0</v>
      </c>
      <c r="L161" s="53">
        <f>0</f>
        <v>0</v>
      </c>
      <c r="M161" s="53">
        <f>0</f>
        <v>0</v>
      </c>
      <c r="N161" s="54">
        <f>SUM(K161:M161)</f>
        <v>0</v>
      </c>
      <c r="O161" s="54">
        <f>ROUND((H161*K161),2)</f>
        <v>0</v>
      </c>
      <c r="P161" s="54">
        <f>ROUND((H161*L161),2)</f>
        <v>0</v>
      </c>
      <c r="Q161" s="54">
        <f>ROUND((H161*M161),2)</f>
        <v>0</v>
      </c>
      <c r="R161" s="54">
        <f>ROUND((H161*N161),2)</f>
        <v>0</v>
      </c>
      <c r="S161" s="54"/>
      <c r="T161" s="36"/>
      <c r="XDA161"/>
      <c r="XDB161"/>
      <c r="XDC161"/>
      <c r="XDD161"/>
      <c r="XDE161"/>
      <c r="XDF161"/>
      <c r="XDG161"/>
      <c r="XDH161"/>
      <c r="XDI161"/>
      <c r="XDJ161"/>
      <c r="XDK161"/>
      <c r="XDL161"/>
      <c r="XDM161"/>
      <c r="XDN161"/>
      <c r="XDO161"/>
      <c r="XDP161"/>
      <c r="XDQ161"/>
      <c r="XDR161"/>
      <c r="XDS161"/>
      <c r="XDT161"/>
      <c r="XDU161"/>
      <c r="XDV161"/>
      <c r="XDW161"/>
      <c r="XDX161"/>
      <c r="XDY161"/>
      <c r="XDZ161"/>
      <c r="XEA161"/>
      <c r="XEB161"/>
      <c r="XEC161"/>
      <c r="XED161"/>
      <c r="XEE161"/>
      <c r="XEF161"/>
      <c r="XEG161"/>
      <c r="XEH161"/>
      <c r="XEI161"/>
      <c r="XEJ161"/>
      <c r="XEK161"/>
      <c r="XEL161"/>
      <c r="XEM161"/>
      <c r="XEN161"/>
      <c r="XEO161"/>
      <c r="XEP161"/>
      <c r="XEQ161"/>
      <c r="XER161"/>
      <c r="XES161"/>
      <c r="XET161"/>
      <c r="XEU161"/>
      <c r="XEV161"/>
      <c r="XEW161"/>
      <c r="XEX161"/>
      <c r="XEY161"/>
      <c r="XEZ161"/>
      <c r="XFA161"/>
      <c r="XFB161"/>
      <c r="XFC161"/>
    </row>
    <row r="162" spans="1:20 16329:16383" s="38" customFormat="1" ht="29.1" customHeight="1" outlineLevel="5" x14ac:dyDescent="0.25">
      <c r="A162" s="65" t="s">
        <v>373</v>
      </c>
      <c r="B162" s="66" t="s">
        <v>374</v>
      </c>
      <c r="C162" s="66"/>
      <c r="D162" s="98" t="s">
        <v>375</v>
      </c>
      <c r="E162" s="98"/>
      <c r="F162" s="67"/>
      <c r="G162" s="66"/>
      <c r="H162" s="68"/>
      <c r="I162" s="36"/>
      <c r="J162" s="68"/>
      <c r="K162" s="69"/>
      <c r="L162" s="69"/>
      <c r="M162" s="69"/>
      <c r="N162" s="69"/>
      <c r="O162" s="69">
        <f>O163</f>
        <v>0</v>
      </c>
      <c r="P162" s="69">
        <f>P163</f>
        <v>0</v>
      </c>
      <c r="Q162" s="69">
        <f>Q163</f>
        <v>0</v>
      </c>
      <c r="R162" s="69">
        <f>R163</f>
        <v>0</v>
      </c>
      <c r="S162" s="69"/>
      <c r="T162" s="36"/>
      <c r="XDA162"/>
      <c r="XDB162"/>
      <c r="XDC162"/>
      <c r="XDD162"/>
      <c r="XDE162"/>
      <c r="XDF162"/>
      <c r="XDG162"/>
      <c r="XDH162"/>
      <c r="XDI162"/>
      <c r="XDJ162"/>
      <c r="XDK162"/>
      <c r="XDL162"/>
      <c r="XDM162"/>
      <c r="XDN162"/>
      <c r="XDO162"/>
      <c r="XDP162"/>
      <c r="XDQ162"/>
      <c r="XDR162"/>
      <c r="XDS162"/>
      <c r="XDT162"/>
      <c r="XDU162"/>
      <c r="XDV162"/>
      <c r="XDW162"/>
      <c r="XDX162"/>
      <c r="XDY162"/>
      <c r="XDZ162"/>
      <c r="XEA162"/>
      <c r="XEB162"/>
      <c r="XEC162"/>
      <c r="XED162"/>
      <c r="XEE162"/>
      <c r="XEF162"/>
      <c r="XEG162"/>
      <c r="XEH162"/>
      <c r="XEI162"/>
      <c r="XEJ162"/>
      <c r="XEK162"/>
      <c r="XEL162"/>
      <c r="XEM162"/>
      <c r="XEN162"/>
      <c r="XEO162"/>
      <c r="XEP162"/>
      <c r="XEQ162"/>
      <c r="XER162"/>
      <c r="XES162"/>
      <c r="XET162"/>
      <c r="XEU162"/>
      <c r="XEV162"/>
      <c r="XEW162"/>
      <c r="XEX162"/>
      <c r="XEY162"/>
      <c r="XEZ162"/>
      <c r="XFA162"/>
      <c r="XFB162"/>
      <c r="XFC162"/>
    </row>
    <row r="163" spans="1:20 16329:16383" s="38" customFormat="1" ht="29.1" customHeight="1" outlineLevel="6" x14ac:dyDescent="0.25">
      <c r="A163" s="49" t="s">
        <v>376</v>
      </c>
      <c r="B163" s="50"/>
      <c r="C163" s="50"/>
      <c r="D163" s="3" t="s">
        <v>377</v>
      </c>
      <c r="E163" s="3"/>
      <c r="F163" s="51"/>
      <c r="G163" s="50" t="s">
        <v>117</v>
      </c>
      <c r="H163" s="52">
        <f>1</f>
        <v>1</v>
      </c>
      <c r="I163" s="36"/>
      <c r="J163" s="52">
        <v>1</v>
      </c>
      <c r="K163" s="53">
        <f>0</f>
        <v>0</v>
      </c>
      <c r="L163" s="53">
        <f>0</f>
        <v>0</v>
      </c>
      <c r="M163" s="53">
        <f>0</f>
        <v>0</v>
      </c>
      <c r="N163" s="54">
        <f>SUM(K163:M163)</f>
        <v>0</v>
      </c>
      <c r="O163" s="54">
        <f>ROUND((H163*K163),2)</f>
        <v>0</v>
      </c>
      <c r="P163" s="54">
        <f>ROUND((H163*L163),2)</f>
        <v>0</v>
      </c>
      <c r="Q163" s="54">
        <f>ROUND((H163*M163),2)</f>
        <v>0</v>
      </c>
      <c r="R163" s="54">
        <f>ROUND((H163*N163),2)</f>
        <v>0</v>
      </c>
      <c r="S163" s="54"/>
      <c r="T163" s="36"/>
      <c r="XDA163"/>
      <c r="XDB163"/>
      <c r="XDC163"/>
      <c r="XDD163"/>
      <c r="XDE163"/>
      <c r="XDF163"/>
      <c r="XDG163"/>
      <c r="XDH163"/>
      <c r="XDI163"/>
      <c r="XDJ163"/>
      <c r="XDK163"/>
      <c r="XDL163"/>
      <c r="XDM163"/>
      <c r="XDN163"/>
      <c r="XDO163"/>
      <c r="XDP163"/>
      <c r="XDQ163"/>
      <c r="XDR163"/>
      <c r="XDS163"/>
      <c r="XDT163"/>
      <c r="XDU163"/>
      <c r="XDV163"/>
      <c r="XDW163"/>
      <c r="XDX163"/>
      <c r="XDY163"/>
      <c r="XDZ163"/>
      <c r="XEA163"/>
      <c r="XEB163"/>
      <c r="XEC163"/>
      <c r="XED163"/>
      <c r="XEE163"/>
      <c r="XEF163"/>
      <c r="XEG163"/>
      <c r="XEH163"/>
      <c r="XEI163"/>
      <c r="XEJ163"/>
      <c r="XEK163"/>
      <c r="XEL163"/>
      <c r="XEM163"/>
      <c r="XEN163"/>
      <c r="XEO163"/>
      <c r="XEP163"/>
      <c r="XEQ163"/>
      <c r="XER163"/>
      <c r="XES163"/>
      <c r="XET163"/>
      <c r="XEU163"/>
      <c r="XEV163"/>
      <c r="XEW163"/>
      <c r="XEX163"/>
      <c r="XEY163"/>
      <c r="XEZ163"/>
      <c r="XFA163"/>
      <c r="XFB163"/>
      <c r="XFC163"/>
    </row>
    <row r="164" spans="1:20 16329:16383" s="38" customFormat="1" ht="29.1" customHeight="1" outlineLevel="5" x14ac:dyDescent="0.25">
      <c r="A164" s="65" t="s">
        <v>378</v>
      </c>
      <c r="B164" s="66" t="s">
        <v>379</v>
      </c>
      <c r="C164" s="66"/>
      <c r="D164" s="98" t="s">
        <v>380</v>
      </c>
      <c r="E164" s="98"/>
      <c r="F164" s="67"/>
      <c r="G164" s="66"/>
      <c r="H164" s="68"/>
      <c r="I164" s="36"/>
      <c r="J164" s="68"/>
      <c r="K164" s="69"/>
      <c r="L164" s="69"/>
      <c r="M164" s="69"/>
      <c r="N164" s="69"/>
      <c r="O164" s="69">
        <f>O165</f>
        <v>0</v>
      </c>
      <c r="P164" s="69">
        <f>P165</f>
        <v>0</v>
      </c>
      <c r="Q164" s="69">
        <f>Q165</f>
        <v>0</v>
      </c>
      <c r="R164" s="69">
        <f>R165</f>
        <v>0</v>
      </c>
      <c r="S164" s="69"/>
      <c r="T164" s="36"/>
      <c r="XDA164"/>
      <c r="XDB164"/>
      <c r="XDC164"/>
      <c r="XDD164"/>
      <c r="XDE164"/>
      <c r="XDF164"/>
      <c r="XDG164"/>
      <c r="XDH164"/>
      <c r="XDI164"/>
      <c r="XDJ164"/>
      <c r="XDK164"/>
      <c r="XDL164"/>
      <c r="XDM164"/>
      <c r="XDN164"/>
      <c r="XDO164"/>
      <c r="XDP164"/>
      <c r="XDQ164"/>
      <c r="XDR164"/>
      <c r="XDS164"/>
      <c r="XDT164"/>
      <c r="XDU164"/>
      <c r="XDV164"/>
      <c r="XDW164"/>
      <c r="XDX164"/>
      <c r="XDY164"/>
      <c r="XDZ164"/>
      <c r="XEA164"/>
      <c r="XEB164"/>
      <c r="XEC164"/>
      <c r="XED164"/>
      <c r="XEE164"/>
      <c r="XEF164"/>
      <c r="XEG164"/>
      <c r="XEH164"/>
      <c r="XEI164"/>
      <c r="XEJ164"/>
      <c r="XEK164"/>
      <c r="XEL164"/>
      <c r="XEM164"/>
      <c r="XEN164"/>
      <c r="XEO164"/>
      <c r="XEP164"/>
      <c r="XEQ164"/>
      <c r="XER164"/>
      <c r="XES164"/>
      <c r="XET164"/>
      <c r="XEU164"/>
      <c r="XEV164"/>
      <c r="XEW164"/>
      <c r="XEX164"/>
      <c r="XEY164"/>
      <c r="XEZ164"/>
      <c r="XFA164"/>
      <c r="XFB164"/>
      <c r="XFC164"/>
    </row>
    <row r="165" spans="1:20 16329:16383" s="38" customFormat="1" ht="29.1" customHeight="1" outlineLevel="6" x14ac:dyDescent="0.25">
      <c r="A165" s="49" t="s">
        <v>381</v>
      </c>
      <c r="B165" s="50"/>
      <c r="C165" s="50"/>
      <c r="D165" s="3" t="s">
        <v>382</v>
      </c>
      <c r="E165" s="3"/>
      <c r="F165" s="51"/>
      <c r="G165" s="50" t="s">
        <v>117</v>
      </c>
      <c r="H165" s="52">
        <f>1</f>
        <v>1</v>
      </c>
      <c r="I165" s="36"/>
      <c r="J165" s="52">
        <v>1</v>
      </c>
      <c r="K165" s="53">
        <f>0</f>
        <v>0</v>
      </c>
      <c r="L165" s="53">
        <f>0</f>
        <v>0</v>
      </c>
      <c r="M165" s="53">
        <f>0</f>
        <v>0</v>
      </c>
      <c r="N165" s="54">
        <f>SUM(K165:M165)</f>
        <v>0</v>
      </c>
      <c r="O165" s="54">
        <f>ROUND((H165*K165),2)</f>
        <v>0</v>
      </c>
      <c r="P165" s="54">
        <f>ROUND((H165*L165),2)</f>
        <v>0</v>
      </c>
      <c r="Q165" s="54">
        <f>ROUND((H165*M165),2)</f>
        <v>0</v>
      </c>
      <c r="R165" s="54">
        <f>ROUND((H165*N165),2)</f>
        <v>0</v>
      </c>
      <c r="S165" s="54"/>
      <c r="T165" s="36"/>
      <c r="XDA165"/>
      <c r="XDB165"/>
      <c r="XDC165"/>
      <c r="XDD165"/>
      <c r="XDE165"/>
      <c r="XDF165"/>
      <c r="XDG165"/>
      <c r="XDH165"/>
      <c r="XDI165"/>
      <c r="XDJ165"/>
      <c r="XDK165"/>
      <c r="XDL165"/>
      <c r="XDM165"/>
      <c r="XDN165"/>
      <c r="XDO165"/>
      <c r="XDP165"/>
      <c r="XDQ165"/>
      <c r="XDR165"/>
      <c r="XDS165"/>
      <c r="XDT165"/>
      <c r="XDU165"/>
      <c r="XDV165"/>
      <c r="XDW165"/>
      <c r="XDX165"/>
      <c r="XDY165"/>
      <c r="XDZ165"/>
      <c r="XEA165"/>
      <c r="XEB165"/>
      <c r="XEC165"/>
      <c r="XED165"/>
      <c r="XEE165"/>
      <c r="XEF165"/>
      <c r="XEG165"/>
      <c r="XEH165"/>
      <c r="XEI165"/>
      <c r="XEJ165"/>
      <c r="XEK165"/>
      <c r="XEL165"/>
      <c r="XEM165"/>
      <c r="XEN165"/>
      <c r="XEO165"/>
      <c r="XEP165"/>
      <c r="XEQ165"/>
      <c r="XER165"/>
      <c r="XES165"/>
      <c r="XET165"/>
      <c r="XEU165"/>
      <c r="XEV165"/>
      <c r="XEW165"/>
      <c r="XEX165"/>
      <c r="XEY165"/>
      <c r="XEZ165"/>
      <c r="XFA165"/>
      <c r="XFB165"/>
      <c r="XFC165"/>
    </row>
    <row r="166" spans="1:20 16329:16383" s="38" customFormat="1" ht="29.1" customHeight="1" outlineLevel="5" x14ac:dyDescent="0.25">
      <c r="A166" s="65" t="s">
        <v>383</v>
      </c>
      <c r="B166" s="66" t="s">
        <v>384</v>
      </c>
      <c r="C166" s="66"/>
      <c r="D166" s="98" t="s">
        <v>385</v>
      </c>
      <c r="E166" s="98"/>
      <c r="F166" s="67"/>
      <c r="G166" s="66"/>
      <c r="H166" s="68"/>
      <c r="I166" s="36"/>
      <c r="J166" s="68"/>
      <c r="K166" s="69"/>
      <c r="L166" s="69"/>
      <c r="M166" s="69"/>
      <c r="N166" s="69"/>
      <c r="O166" s="69">
        <f>O167</f>
        <v>0</v>
      </c>
      <c r="P166" s="69">
        <f>P167</f>
        <v>0</v>
      </c>
      <c r="Q166" s="69">
        <f>Q167</f>
        <v>0</v>
      </c>
      <c r="R166" s="69">
        <f>R167</f>
        <v>0</v>
      </c>
      <c r="S166" s="69"/>
      <c r="T166" s="36"/>
      <c r="XDA166"/>
      <c r="XDB166"/>
      <c r="XDC166"/>
      <c r="XDD166"/>
      <c r="XDE166"/>
      <c r="XDF166"/>
      <c r="XDG166"/>
      <c r="XDH166"/>
      <c r="XDI166"/>
      <c r="XDJ166"/>
      <c r="XDK166"/>
      <c r="XDL166"/>
      <c r="XDM166"/>
      <c r="XDN166"/>
      <c r="XDO166"/>
      <c r="XDP166"/>
      <c r="XDQ166"/>
      <c r="XDR166"/>
      <c r="XDS166"/>
      <c r="XDT166"/>
      <c r="XDU166"/>
      <c r="XDV166"/>
      <c r="XDW166"/>
      <c r="XDX166"/>
      <c r="XDY166"/>
      <c r="XDZ166"/>
      <c r="XEA166"/>
      <c r="XEB166"/>
      <c r="XEC166"/>
      <c r="XED166"/>
      <c r="XEE166"/>
      <c r="XEF166"/>
      <c r="XEG166"/>
      <c r="XEH166"/>
      <c r="XEI166"/>
      <c r="XEJ166"/>
      <c r="XEK166"/>
      <c r="XEL166"/>
      <c r="XEM166"/>
      <c r="XEN166"/>
      <c r="XEO166"/>
      <c r="XEP166"/>
      <c r="XEQ166"/>
      <c r="XER166"/>
      <c r="XES166"/>
      <c r="XET166"/>
      <c r="XEU166"/>
      <c r="XEV166"/>
      <c r="XEW166"/>
      <c r="XEX166"/>
      <c r="XEY166"/>
      <c r="XEZ166"/>
      <c r="XFA166"/>
      <c r="XFB166"/>
      <c r="XFC166"/>
    </row>
    <row r="167" spans="1:20 16329:16383" s="38" customFormat="1" ht="29.1" customHeight="1" outlineLevel="6" x14ac:dyDescent="0.25">
      <c r="A167" s="49" t="s">
        <v>386</v>
      </c>
      <c r="B167" s="50"/>
      <c r="C167" s="50"/>
      <c r="D167" s="3" t="s">
        <v>372</v>
      </c>
      <c r="E167" s="3"/>
      <c r="F167" s="51"/>
      <c r="G167" s="50" t="s">
        <v>117</v>
      </c>
      <c r="H167" s="52">
        <f>1</f>
        <v>1</v>
      </c>
      <c r="I167" s="36"/>
      <c r="J167" s="52">
        <v>1</v>
      </c>
      <c r="K167" s="53">
        <f>0</f>
        <v>0</v>
      </c>
      <c r="L167" s="53">
        <f>0</f>
        <v>0</v>
      </c>
      <c r="M167" s="53">
        <f>0</f>
        <v>0</v>
      </c>
      <c r="N167" s="54">
        <f>SUM(K167:M167)</f>
        <v>0</v>
      </c>
      <c r="O167" s="54">
        <f>ROUND((H167*K167),2)</f>
        <v>0</v>
      </c>
      <c r="P167" s="54">
        <f>ROUND((H167*L167),2)</f>
        <v>0</v>
      </c>
      <c r="Q167" s="54">
        <f>ROUND((H167*M167),2)</f>
        <v>0</v>
      </c>
      <c r="R167" s="54">
        <f>ROUND((H167*N167),2)</f>
        <v>0</v>
      </c>
      <c r="S167" s="54"/>
      <c r="T167" s="36"/>
      <c r="XDA167"/>
      <c r="XDB167"/>
      <c r="XDC167"/>
      <c r="XDD167"/>
      <c r="XDE167"/>
      <c r="XDF167"/>
      <c r="XDG167"/>
      <c r="XDH167"/>
      <c r="XDI167"/>
      <c r="XDJ167"/>
      <c r="XDK167"/>
      <c r="XDL167"/>
      <c r="XDM167"/>
      <c r="XDN167"/>
      <c r="XDO167"/>
      <c r="XDP167"/>
      <c r="XDQ167"/>
      <c r="XDR167"/>
      <c r="XDS167"/>
      <c r="XDT167"/>
      <c r="XDU167"/>
      <c r="XDV167"/>
      <c r="XDW167"/>
      <c r="XDX167"/>
      <c r="XDY167"/>
      <c r="XDZ167"/>
      <c r="XEA167"/>
      <c r="XEB167"/>
      <c r="XEC167"/>
      <c r="XED167"/>
      <c r="XEE167"/>
      <c r="XEF167"/>
      <c r="XEG167"/>
      <c r="XEH167"/>
      <c r="XEI167"/>
      <c r="XEJ167"/>
      <c r="XEK167"/>
      <c r="XEL167"/>
      <c r="XEM167"/>
      <c r="XEN167"/>
      <c r="XEO167"/>
      <c r="XEP167"/>
      <c r="XEQ167"/>
      <c r="XER167"/>
      <c r="XES167"/>
      <c r="XET167"/>
      <c r="XEU167"/>
      <c r="XEV167"/>
      <c r="XEW167"/>
      <c r="XEX167"/>
      <c r="XEY167"/>
      <c r="XEZ167"/>
      <c r="XFA167"/>
      <c r="XFB167"/>
      <c r="XFC167"/>
    </row>
    <row r="168" spans="1:20 16329:16383" s="38" customFormat="1" ht="29.1" customHeight="1" outlineLevel="2" x14ac:dyDescent="0.25">
      <c r="A168" s="44" t="s">
        <v>387</v>
      </c>
      <c r="B168" s="45" t="s">
        <v>388</v>
      </c>
      <c r="C168" s="45" t="s">
        <v>389</v>
      </c>
      <c r="D168" s="4" t="s">
        <v>390</v>
      </c>
      <c r="E168" s="4"/>
      <c r="F168" s="46"/>
      <c r="G168" s="45" t="s">
        <v>117</v>
      </c>
      <c r="H168" s="47"/>
      <c r="I168" s="36"/>
      <c r="J168" s="47"/>
      <c r="K168" s="48"/>
      <c r="L168" s="48"/>
      <c r="M168" s="48"/>
      <c r="N168" s="48"/>
      <c r="O168" s="48">
        <f>O169+O203+O232+O268</f>
        <v>0</v>
      </c>
      <c r="P168" s="48">
        <f>P169+P203+P232+P268</f>
        <v>0</v>
      </c>
      <c r="Q168" s="48">
        <f>Q169+Q203+Q232+Q268</f>
        <v>0</v>
      </c>
      <c r="R168" s="48">
        <f>R169+R203+R232+R268</f>
        <v>0</v>
      </c>
      <c r="S168" s="48"/>
      <c r="T168" s="36"/>
      <c r="XDA168"/>
      <c r="XDB168"/>
      <c r="XDC168"/>
      <c r="XDD168"/>
      <c r="XDE168"/>
      <c r="XDF168"/>
      <c r="XDG168"/>
      <c r="XDH168"/>
      <c r="XDI168"/>
      <c r="XDJ168"/>
      <c r="XDK168"/>
      <c r="XDL168"/>
      <c r="XDM168"/>
      <c r="XDN168"/>
      <c r="XDO168"/>
      <c r="XDP168"/>
      <c r="XDQ168"/>
      <c r="XDR168"/>
      <c r="XDS168"/>
      <c r="XDT168"/>
      <c r="XDU168"/>
      <c r="XDV168"/>
      <c r="XDW168"/>
      <c r="XDX168"/>
      <c r="XDY168"/>
      <c r="XDZ168"/>
      <c r="XEA168"/>
      <c r="XEB168"/>
      <c r="XEC168"/>
      <c r="XED168"/>
      <c r="XEE168"/>
      <c r="XEF168"/>
      <c r="XEG168"/>
      <c r="XEH168"/>
      <c r="XEI168"/>
      <c r="XEJ168"/>
      <c r="XEK168"/>
      <c r="XEL168"/>
      <c r="XEM168"/>
      <c r="XEN168"/>
      <c r="XEO168"/>
      <c r="XEP168"/>
      <c r="XEQ168"/>
      <c r="XER168"/>
      <c r="XES168"/>
      <c r="XET168"/>
      <c r="XEU168"/>
      <c r="XEV168"/>
      <c r="XEW168"/>
      <c r="XEX168"/>
      <c r="XEY168"/>
      <c r="XEZ168"/>
      <c r="XFA168"/>
      <c r="XFB168"/>
      <c r="XFC168"/>
    </row>
    <row r="169" spans="1:20 16329:16383" s="38" customFormat="1" ht="29.1" customHeight="1" outlineLevel="3" x14ac:dyDescent="0.25">
      <c r="A169" s="55" t="s">
        <v>391</v>
      </c>
      <c r="B169" s="56" t="s">
        <v>392</v>
      </c>
      <c r="C169" s="56" t="s">
        <v>393</v>
      </c>
      <c r="D169" s="2" t="s">
        <v>394</v>
      </c>
      <c r="E169" s="2"/>
      <c r="F169" s="57"/>
      <c r="G169" s="56" t="s">
        <v>117</v>
      </c>
      <c r="H169" s="58"/>
      <c r="I169" s="36"/>
      <c r="J169" s="58"/>
      <c r="K169" s="59"/>
      <c r="L169" s="59"/>
      <c r="M169" s="59"/>
      <c r="N169" s="59"/>
      <c r="O169" s="59">
        <f>O170+O181</f>
        <v>0</v>
      </c>
      <c r="P169" s="59">
        <f>P170+P181</f>
        <v>0</v>
      </c>
      <c r="Q169" s="59">
        <f>Q170+Q181</f>
        <v>0</v>
      </c>
      <c r="R169" s="59">
        <f>R170+R181</f>
        <v>0</v>
      </c>
      <c r="S169" s="59"/>
      <c r="T169" s="36"/>
      <c r="XDA169"/>
      <c r="XDB169"/>
      <c r="XDC169"/>
      <c r="XDD169"/>
      <c r="XDE169"/>
      <c r="XDF169"/>
      <c r="XDG169"/>
      <c r="XDH169"/>
      <c r="XDI169"/>
      <c r="XDJ169"/>
      <c r="XDK169"/>
      <c r="XDL169"/>
      <c r="XDM169"/>
      <c r="XDN169"/>
      <c r="XDO169"/>
      <c r="XDP169"/>
      <c r="XDQ169"/>
      <c r="XDR169"/>
      <c r="XDS169"/>
      <c r="XDT169"/>
      <c r="XDU169"/>
      <c r="XDV169"/>
      <c r="XDW169"/>
      <c r="XDX169"/>
      <c r="XDY169"/>
      <c r="XDZ169"/>
      <c r="XEA169"/>
      <c r="XEB169"/>
      <c r="XEC169"/>
      <c r="XED169"/>
      <c r="XEE169"/>
      <c r="XEF169"/>
      <c r="XEG169"/>
      <c r="XEH169"/>
      <c r="XEI169"/>
      <c r="XEJ169"/>
      <c r="XEK169"/>
      <c r="XEL169"/>
      <c r="XEM169"/>
      <c r="XEN169"/>
      <c r="XEO169"/>
      <c r="XEP169"/>
      <c r="XEQ169"/>
      <c r="XER169"/>
      <c r="XES169"/>
      <c r="XET169"/>
      <c r="XEU169"/>
      <c r="XEV169"/>
      <c r="XEW169"/>
      <c r="XEX169"/>
      <c r="XEY169"/>
      <c r="XEZ169"/>
      <c r="XFA169"/>
      <c r="XFB169"/>
      <c r="XFC169"/>
    </row>
    <row r="170" spans="1:20 16329:16383" s="38" customFormat="1" ht="29.1" customHeight="1" outlineLevel="4" x14ac:dyDescent="0.25">
      <c r="A170" s="60" t="s">
        <v>395</v>
      </c>
      <c r="B170" s="61" t="s">
        <v>396</v>
      </c>
      <c r="C170" s="61"/>
      <c r="D170" s="1" t="s">
        <v>288</v>
      </c>
      <c r="E170" s="1"/>
      <c r="F170" s="62"/>
      <c r="G170" s="61"/>
      <c r="H170" s="63"/>
      <c r="I170" s="36"/>
      <c r="J170" s="63"/>
      <c r="K170" s="64"/>
      <c r="L170" s="64"/>
      <c r="M170" s="64"/>
      <c r="N170" s="64"/>
      <c r="O170" s="64">
        <f>O171+O173+O175+O177+O179</f>
        <v>0</v>
      </c>
      <c r="P170" s="64">
        <f>P171+P173+P175+P177+P179</f>
        <v>0</v>
      </c>
      <c r="Q170" s="64">
        <f>Q171+Q173+Q175+Q177+Q179</f>
        <v>0</v>
      </c>
      <c r="R170" s="64">
        <f>R171+R173+R175+R177+R179</f>
        <v>0</v>
      </c>
      <c r="S170" s="64"/>
      <c r="T170" s="36"/>
      <c r="XDA170"/>
      <c r="XDB170"/>
      <c r="XDC170"/>
      <c r="XDD170"/>
      <c r="XDE170"/>
      <c r="XDF170"/>
      <c r="XDG170"/>
      <c r="XDH170"/>
      <c r="XDI170"/>
      <c r="XDJ170"/>
      <c r="XDK170"/>
      <c r="XDL170"/>
      <c r="XDM170"/>
      <c r="XDN170"/>
      <c r="XDO170"/>
      <c r="XDP170"/>
      <c r="XDQ170"/>
      <c r="XDR170"/>
      <c r="XDS170"/>
      <c r="XDT170"/>
      <c r="XDU170"/>
      <c r="XDV170"/>
      <c r="XDW170"/>
      <c r="XDX170"/>
      <c r="XDY170"/>
      <c r="XDZ170"/>
      <c r="XEA170"/>
      <c r="XEB170"/>
      <c r="XEC170"/>
      <c r="XED170"/>
      <c r="XEE170"/>
      <c r="XEF170"/>
      <c r="XEG170"/>
      <c r="XEH170"/>
      <c r="XEI170"/>
      <c r="XEJ170"/>
      <c r="XEK170"/>
      <c r="XEL170"/>
      <c r="XEM170"/>
      <c r="XEN170"/>
      <c r="XEO170"/>
      <c r="XEP170"/>
      <c r="XEQ170"/>
      <c r="XER170"/>
      <c r="XES170"/>
      <c r="XET170"/>
      <c r="XEU170"/>
      <c r="XEV170"/>
      <c r="XEW170"/>
      <c r="XEX170"/>
      <c r="XEY170"/>
      <c r="XEZ170"/>
      <c r="XFA170"/>
      <c r="XFB170"/>
      <c r="XFC170"/>
    </row>
    <row r="171" spans="1:20 16329:16383" s="38" customFormat="1" ht="29.1" customHeight="1" outlineLevel="5" x14ac:dyDescent="0.25">
      <c r="A171" s="65" t="s">
        <v>397</v>
      </c>
      <c r="B171" s="66" t="s">
        <v>398</v>
      </c>
      <c r="C171" s="66"/>
      <c r="D171" s="98" t="s">
        <v>291</v>
      </c>
      <c r="E171" s="98"/>
      <c r="F171" s="67"/>
      <c r="G171" s="66"/>
      <c r="H171" s="68"/>
      <c r="I171" s="36"/>
      <c r="J171" s="68"/>
      <c r="K171" s="69"/>
      <c r="L171" s="69"/>
      <c r="M171" s="69"/>
      <c r="N171" s="69"/>
      <c r="O171" s="69">
        <f>O172</f>
        <v>0</v>
      </c>
      <c r="P171" s="69">
        <f>P172</f>
        <v>0</v>
      </c>
      <c r="Q171" s="69">
        <f>Q172</f>
        <v>0</v>
      </c>
      <c r="R171" s="69">
        <f>R172</f>
        <v>0</v>
      </c>
      <c r="S171" s="69"/>
      <c r="T171" s="36"/>
      <c r="XDA171"/>
      <c r="XDB171"/>
      <c r="XDC171"/>
      <c r="XDD171"/>
      <c r="XDE171"/>
      <c r="XDF171"/>
      <c r="XDG171"/>
      <c r="XDH171"/>
      <c r="XDI171"/>
      <c r="XDJ171"/>
      <c r="XDK171"/>
      <c r="XDL171"/>
      <c r="XDM171"/>
      <c r="XDN171"/>
      <c r="XDO171"/>
      <c r="XDP171"/>
      <c r="XDQ171"/>
      <c r="XDR171"/>
      <c r="XDS171"/>
      <c r="XDT171"/>
      <c r="XDU171"/>
      <c r="XDV171"/>
      <c r="XDW171"/>
      <c r="XDX171"/>
      <c r="XDY171"/>
      <c r="XDZ171"/>
      <c r="XEA171"/>
      <c r="XEB171"/>
      <c r="XEC171"/>
      <c r="XED171"/>
      <c r="XEE171"/>
      <c r="XEF171"/>
      <c r="XEG171"/>
      <c r="XEH171"/>
      <c r="XEI171"/>
      <c r="XEJ171"/>
      <c r="XEK171"/>
      <c r="XEL171"/>
      <c r="XEM171"/>
      <c r="XEN171"/>
      <c r="XEO171"/>
      <c r="XEP171"/>
      <c r="XEQ171"/>
      <c r="XER171"/>
      <c r="XES171"/>
      <c r="XET171"/>
      <c r="XEU171"/>
      <c r="XEV171"/>
      <c r="XEW171"/>
      <c r="XEX171"/>
      <c r="XEY171"/>
      <c r="XEZ171"/>
      <c r="XFA171"/>
      <c r="XFB171"/>
      <c r="XFC171"/>
    </row>
    <row r="172" spans="1:20 16329:16383" s="38" customFormat="1" ht="29.1" customHeight="1" outlineLevel="6" x14ac:dyDescent="0.25">
      <c r="A172" s="49" t="s">
        <v>399</v>
      </c>
      <c r="B172" s="50"/>
      <c r="C172" s="50"/>
      <c r="D172" s="3" t="s">
        <v>293</v>
      </c>
      <c r="E172" s="3"/>
      <c r="F172" s="51"/>
      <c r="G172" s="50" t="s">
        <v>117</v>
      </c>
      <c r="H172" s="52">
        <f>1</f>
        <v>1</v>
      </c>
      <c r="I172" s="36"/>
      <c r="J172" s="52">
        <v>1</v>
      </c>
      <c r="K172" s="53">
        <f>0</f>
        <v>0</v>
      </c>
      <c r="L172" s="53">
        <f>0</f>
        <v>0</v>
      </c>
      <c r="M172" s="53">
        <f>0</f>
        <v>0</v>
      </c>
      <c r="N172" s="54">
        <f>SUM(K172:M172)</f>
        <v>0</v>
      </c>
      <c r="O172" s="54">
        <f>ROUND((H172*K172),2)</f>
        <v>0</v>
      </c>
      <c r="P172" s="54">
        <f>ROUND((H172*L172),2)</f>
        <v>0</v>
      </c>
      <c r="Q172" s="54">
        <f>ROUND((H172*M172),2)</f>
        <v>0</v>
      </c>
      <c r="R172" s="54">
        <f>ROUND((H172*N172),2)</f>
        <v>0</v>
      </c>
      <c r="S172" s="54"/>
      <c r="T172" s="36"/>
      <c r="XDA172"/>
      <c r="XDB172"/>
      <c r="XDC172"/>
      <c r="XDD172"/>
      <c r="XDE172"/>
      <c r="XDF172"/>
      <c r="XDG172"/>
      <c r="XDH172"/>
      <c r="XDI172"/>
      <c r="XDJ172"/>
      <c r="XDK172"/>
      <c r="XDL172"/>
      <c r="XDM172"/>
      <c r="XDN172"/>
      <c r="XDO172"/>
      <c r="XDP172"/>
      <c r="XDQ172"/>
      <c r="XDR172"/>
      <c r="XDS172"/>
      <c r="XDT172"/>
      <c r="XDU172"/>
      <c r="XDV172"/>
      <c r="XDW172"/>
      <c r="XDX172"/>
      <c r="XDY172"/>
      <c r="XDZ172"/>
      <c r="XEA172"/>
      <c r="XEB172"/>
      <c r="XEC172"/>
      <c r="XED172"/>
      <c r="XEE172"/>
      <c r="XEF172"/>
      <c r="XEG172"/>
      <c r="XEH172"/>
      <c r="XEI172"/>
      <c r="XEJ172"/>
      <c r="XEK172"/>
      <c r="XEL172"/>
      <c r="XEM172"/>
      <c r="XEN172"/>
      <c r="XEO172"/>
      <c r="XEP172"/>
      <c r="XEQ172"/>
      <c r="XER172"/>
      <c r="XES172"/>
      <c r="XET172"/>
      <c r="XEU172"/>
      <c r="XEV172"/>
      <c r="XEW172"/>
      <c r="XEX172"/>
      <c r="XEY172"/>
      <c r="XEZ172"/>
      <c r="XFA172"/>
      <c r="XFB172"/>
      <c r="XFC172"/>
    </row>
    <row r="173" spans="1:20 16329:16383" s="38" customFormat="1" ht="29.1" customHeight="1" outlineLevel="5" x14ac:dyDescent="0.25">
      <c r="A173" s="65" t="s">
        <v>400</v>
      </c>
      <c r="B173" s="66" t="s">
        <v>401</v>
      </c>
      <c r="C173" s="66"/>
      <c r="D173" s="98" t="s">
        <v>296</v>
      </c>
      <c r="E173" s="98"/>
      <c r="F173" s="67"/>
      <c r="G173" s="66"/>
      <c r="H173" s="68"/>
      <c r="I173" s="36"/>
      <c r="J173" s="68"/>
      <c r="K173" s="69"/>
      <c r="L173" s="69"/>
      <c r="M173" s="69"/>
      <c r="N173" s="69"/>
      <c r="O173" s="69">
        <f>O174</f>
        <v>0</v>
      </c>
      <c r="P173" s="69">
        <f>P174</f>
        <v>0</v>
      </c>
      <c r="Q173" s="69">
        <f>Q174</f>
        <v>0</v>
      </c>
      <c r="R173" s="69">
        <f>R174</f>
        <v>0</v>
      </c>
      <c r="S173" s="69"/>
      <c r="T173" s="36"/>
      <c r="XDA173"/>
      <c r="XDB173"/>
      <c r="XDC173"/>
      <c r="XDD173"/>
      <c r="XDE173"/>
      <c r="XDF173"/>
      <c r="XDG173"/>
      <c r="XDH173"/>
      <c r="XDI173"/>
      <c r="XDJ173"/>
      <c r="XDK173"/>
      <c r="XDL173"/>
      <c r="XDM173"/>
      <c r="XDN173"/>
      <c r="XDO173"/>
      <c r="XDP173"/>
      <c r="XDQ173"/>
      <c r="XDR173"/>
      <c r="XDS173"/>
      <c r="XDT173"/>
      <c r="XDU173"/>
      <c r="XDV173"/>
      <c r="XDW173"/>
      <c r="XDX173"/>
      <c r="XDY173"/>
      <c r="XDZ173"/>
      <c r="XEA173"/>
      <c r="XEB173"/>
      <c r="XEC173"/>
      <c r="XED173"/>
      <c r="XEE173"/>
      <c r="XEF173"/>
      <c r="XEG173"/>
      <c r="XEH173"/>
      <c r="XEI173"/>
      <c r="XEJ173"/>
      <c r="XEK173"/>
      <c r="XEL173"/>
      <c r="XEM173"/>
      <c r="XEN173"/>
      <c r="XEO173"/>
      <c r="XEP173"/>
      <c r="XEQ173"/>
      <c r="XER173"/>
      <c r="XES173"/>
      <c r="XET173"/>
      <c r="XEU173"/>
      <c r="XEV173"/>
      <c r="XEW173"/>
      <c r="XEX173"/>
      <c r="XEY173"/>
      <c r="XEZ173"/>
      <c r="XFA173"/>
      <c r="XFB173"/>
      <c r="XFC173"/>
    </row>
    <row r="174" spans="1:20 16329:16383" s="38" customFormat="1" ht="29.1" customHeight="1" outlineLevel="6" x14ac:dyDescent="0.25">
      <c r="A174" s="49" t="s">
        <v>402</v>
      </c>
      <c r="B174" s="50"/>
      <c r="C174" s="50"/>
      <c r="D174" s="3" t="s">
        <v>293</v>
      </c>
      <c r="E174" s="3"/>
      <c r="F174" s="51"/>
      <c r="G174" s="50" t="s">
        <v>117</v>
      </c>
      <c r="H174" s="52">
        <f>1</f>
        <v>1</v>
      </c>
      <c r="I174" s="36"/>
      <c r="J174" s="52">
        <v>1</v>
      </c>
      <c r="K174" s="53">
        <f>0</f>
        <v>0</v>
      </c>
      <c r="L174" s="53">
        <f>0</f>
        <v>0</v>
      </c>
      <c r="M174" s="53">
        <f>0</f>
        <v>0</v>
      </c>
      <c r="N174" s="54">
        <f>SUM(K174:M174)</f>
        <v>0</v>
      </c>
      <c r="O174" s="54">
        <f>ROUND((H174*K174),2)</f>
        <v>0</v>
      </c>
      <c r="P174" s="54">
        <f>ROUND((H174*L174),2)</f>
        <v>0</v>
      </c>
      <c r="Q174" s="54">
        <f>ROUND((H174*M174),2)</f>
        <v>0</v>
      </c>
      <c r="R174" s="54">
        <f>ROUND((H174*N174),2)</f>
        <v>0</v>
      </c>
      <c r="S174" s="54"/>
      <c r="T174" s="36"/>
      <c r="XDA174"/>
      <c r="XDB174"/>
      <c r="XDC174"/>
      <c r="XDD174"/>
      <c r="XDE174"/>
      <c r="XDF174"/>
      <c r="XDG174"/>
      <c r="XDH174"/>
      <c r="XDI174"/>
      <c r="XDJ174"/>
      <c r="XDK174"/>
      <c r="XDL174"/>
      <c r="XDM174"/>
      <c r="XDN174"/>
      <c r="XDO174"/>
      <c r="XDP174"/>
      <c r="XDQ174"/>
      <c r="XDR174"/>
      <c r="XDS174"/>
      <c r="XDT174"/>
      <c r="XDU174"/>
      <c r="XDV174"/>
      <c r="XDW174"/>
      <c r="XDX174"/>
      <c r="XDY174"/>
      <c r="XDZ174"/>
      <c r="XEA174"/>
      <c r="XEB174"/>
      <c r="XEC174"/>
      <c r="XED174"/>
      <c r="XEE174"/>
      <c r="XEF174"/>
      <c r="XEG174"/>
      <c r="XEH174"/>
      <c r="XEI174"/>
      <c r="XEJ174"/>
      <c r="XEK174"/>
      <c r="XEL174"/>
      <c r="XEM174"/>
      <c r="XEN174"/>
      <c r="XEO174"/>
      <c r="XEP174"/>
      <c r="XEQ174"/>
      <c r="XER174"/>
      <c r="XES174"/>
      <c r="XET174"/>
      <c r="XEU174"/>
      <c r="XEV174"/>
      <c r="XEW174"/>
      <c r="XEX174"/>
      <c r="XEY174"/>
      <c r="XEZ174"/>
      <c r="XFA174"/>
      <c r="XFB174"/>
      <c r="XFC174"/>
    </row>
    <row r="175" spans="1:20 16329:16383" s="38" customFormat="1" ht="29.1" customHeight="1" outlineLevel="5" x14ac:dyDescent="0.25">
      <c r="A175" s="65" t="s">
        <v>403</v>
      </c>
      <c r="B175" s="66" t="s">
        <v>404</v>
      </c>
      <c r="C175" s="66"/>
      <c r="D175" s="98" t="s">
        <v>300</v>
      </c>
      <c r="E175" s="98"/>
      <c r="F175" s="67"/>
      <c r="G175" s="66"/>
      <c r="H175" s="68"/>
      <c r="I175" s="36"/>
      <c r="J175" s="68"/>
      <c r="K175" s="69"/>
      <c r="L175" s="69"/>
      <c r="M175" s="69"/>
      <c r="N175" s="69"/>
      <c r="O175" s="69">
        <f>O176</f>
        <v>0</v>
      </c>
      <c r="P175" s="69">
        <f>P176</f>
        <v>0</v>
      </c>
      <c r="Q175" s="69">
        <f>Q176</f>
        <v>0</v>
      </c>
      <c r="R175" s="69">
        <f>R176</f>
        <v>0</v>
      </c>
      <c r="S175" s="69"/>
      <c r="T175" s="36"/>
      <c r="XDA175"/>
      <c r="XDB175"/>
      <c r="XDC175"/>
      <c r="XDD175"/>
      <c r="XDE175"/>
      <c r="XDF175"/>
      <c r="XDG175"/>
      <c r="XDH175"/>
      <c r="XDI175"/>
      <c r="XDJ175"/>
      <c r="XDK175"/>
      <c r="XDL175"/>
      <c r="XDM175"/>
      <c r="XDN175"/>
      <c r="XDO175"/>
      <c r="XDP175"/>
      <c r="XDQ175"/>
      <c r="XDR175"/>
      <c r="XDS175"/>
      <c r="XDT175"/>
      <c r="XDU175"/>
      <c r="XDV175"/>
      <c r="XDW175"/>
      <c r="XDX175"/>
      <c r="XDY175"/>
      <c r="XDZ175"/>
      <c r="XEA175"/>
      <c r="XEB175"/>
      <c r="XEC175"/>
      <c r="XED175"/>
      <c r="XEE175"/>
      <c r="XEF175"/>
      <c r="XEG175"/>
      <c r="XEH175"/>
      <c r="XEI175"/>
      <c r="XEJ175"/>
      <c r="XEK175"/>
      <c r="XEL175"/>
      <c r="XEM175"/>
      <c r="XEN175"/>
      <c r="XEO175"/>
      <c r="XEP175"/>
      <c r="XEQ175"/>
      <c r="XER175"/>
      <c r="XES175"/>
      <c r="XET175"/>
      <c r="XEU175"/>
      <c r="XEV175"/>
      <c r="XEW175"/>
      <c r="XEX175"/>
      <c r="XEY175"/>
      <c r="XEZ175"/>
      <c r="XFA175"/>
      <c r="XFB175"/>
      <c r="XFC175"/>
    </row>
    <row r="176" spans="1:20 16329:16383" s="38" customFormat="1" ht="29.1" customHeight="1" outlineLevel="6" x14ac:dyDescent="0.25">
      <c r="A176" s="49" t="s">
        <v>405</v>
      </c>
      <c r="B176" s="50"/>
      <c r="C176" s="50"/>
      <c r="D176" s="3" t="s">
        <v>293</v>
      </c>
      <c r="E176" s="3"/>
      <c r="F176" s="51"/>
      <c r="G176" s="50" t="s">
        <v>117</v>
      </c>
      <c r="H176" s="52">
        <f>1</f>
        <v>1</v>
      </c>
      <c r="I176" s="36"/>
      <c r="J176" s="52">
        <v>1</v>
      </c>
      <c r="K176" s="53">
        <f>0</f>
        <v>0</v>
      </c>
      <c r="L176" s="53">
        <f>0</f>
        <v>0</v>
      </c>
      <c r="M176" s="53">
        <f>0</f>
        <v>0</v>
      </c>
      <c r="N176" s="54">
        <f>SUM(K176:M176)</f>
        <v>0</v>
      </c>
      <c r="O176" s="54">
        <f>ROUND((H176*K176),2)</f>
        <v>0</v>
      </c>
      <c r="P176" s="54">
        <f>ROUND((H176*L176),2)</f>
        <v>0</v>
      </c>
      <c r="Q176" s="54">
        <f>ROUND((H176*M176),2)</f>
        <v>0</v>
      </c>
      <c r="R176" s="54">
        <f>ROUND((H176*N176),2)</f>
        <v>0</v>
      </c>
      <c r="S176" s="54"/>
      <c r="T176" s="36"/>
      <c r="XDA176"/>
      <c r="XDB176"/>
      <c r="XDC176"/>
      <c r="XDD176"/>
      <c r="XDE176"/>
      <c r="XDF176"/>
      <c r="XDG176"/>
      <c r="XDH176"/>
      <c r="XDI176"/>
      <c r="XDJ176"/>
      <c r="XDK176"/>
      <c r="XDL176"/>
      <c r="XDM176"/>
      <c r="XDN176"/>
      <c r="XDO176"/>
      <c r="XDP176"/>
      <c r="XDQ176"/>
      <c r="XDR176"/>
      <c r="XDS176"/>
      <c r="XDT176"/>
      <c r="XDU176"/>
      <c r="XDV176"/>
      <c r="XDW176"/>
      <c r="XDX176"/>
      <c r="XDY176"/>
      <c r="XDZ176"/>
      <c r="XEA176"/>
      <c r="XEB176"/>
      <c r="XEC176"/>
      <c r="XED176"/>
      <c r="XEE176"/>
      <c r="XEF176"/>
      <c r="XEG176"/>
      <c r="XEH176"/>
      <c r="XEI176"/>
      <c r="XEJ176"/>
      <c r="XEK176"/>
      <c r="XEL176"/>
      <c r="XEM176"/>
      <c r="XEN176"/>
      <c r="XEO176"/>
      <c r="XEP176"/>
      <c r="XEQ176"/>
      <c r="XER176"/>
      <c r="XES176"/>
      <c r="XET176"/>
      <c r="XEU176"/>
      <c r="XEV176"/>
      <c r="XEW176"/>
      <c r="XEX176"/>
      <c r="XEY176"/>
      <c r="XEZ176"/>
      <c r="XFA176"/>
      <c r="XFB176"/>
      <c r="XFC176"/>
    </row>
    <row r="177" spans="1:20 16329:16383" s="38" customFormat="1" ht="29.1" customHeight="1" outlineLevel="5" x14ac:dyDescent="0.25">
      <c r="A177" s="65" t="s">
        <v>406</v>
      </c>
      <c r="B177" s="66" t="s">
        <v>407</v>
      </c>
      <c r="C177" s="66"/>
      <c r="D177" s="98" t="s">
        <v>408</v>
      </c>
      <c r="E177" s="98"/>
      <c r="F177" s="67"/>
      <c r="G177" s="66"/>
      <c r="H177" s="68"/>
      <c r="I177" s="36"/>
      <c r="J177" s="68"/>
      <c r="K177" s="69"/>
      <c r="L177" s="69"/>
      <c r="M177" s="69"/>
      <c r="N177" s="69"/>
      <c r="O177" s="69">
        <f>O178</f>
        <v>0</v>
      </c>
      <c r="P177" s="69">
        <f>P178</f>
        <v>0</v>
      </c>
      <c r="Q177" s="69">
        <f>Q178</f>
        <v>0</v>
      </c>
      <c r="R177" s="69">
        <f>R178</f>
        <v>0</v>
      </c>
      <c r="S177" s="69"/>
      <c r="T177" s="36"/>
      <c r="XDA177"/>
      <c r="XDB177"/>
      <c r="XDC177"/>
      <c r="XDD177"/>
      <c r="XDE177"/>
      <c r="XDF177"/>
      <c r="XDG177"/>
      <c r="XDH177"/>
      <c r="XDI177"/>
      <c r="XDJ177"/>
      <c r="XDK177"/>
      <c r="XDL177"/>
      <c r="XDM177"/>
      <c r="XDN177"/>
      <c r="XDO177"/>
      <c r="XDP177"/>
      <c r="XDQ177"/>
      <c r="XDR177"/>
      <c r="XDS177"/>
      <c r="XDT177"/>
      <c r="XDU177"/>
      <c r="XDV177"/>
      <c r="XDW177"/>
      <c r="XDX177"/>
      <c r="XDY177"/>
      <c r="XDZ177"/>
      <c r="XEA177"/>
      <c r="XEB177"/>
      <c r="XEC177"/>
      <c r="XED177"/>
      <c r="XEE177"/>
      <c r="XEF177"/>
      <c r="XEG177"/>
      <c r="XEH177"/>
      <c r="XEI177"/>
      <c r="XEJ177"/>
      <c r="XEK177"/>
      <c r="XEL177"/>
      <c r="XEM177"/>
      <c r="XEN177"/>
      <c r="XEO177"/>
      <c r="XEP177"/>
      <c r="XEQ177"/>
      <c r="XER177"/>
      <c r="XES177"/>
      <c r="XET177"/>
      <c r="XEU177"/>
      <c r="XEV177"/>
      <c r="XEW177"/>
      <c r="XEX177"/>
      <c r="XEY177"/>
      <c r="XEZ177"/>
      <c r="XFA177"/>
      <c r="XFB177"/>
      <c r="XFC177"/>
    </row>
    <row r="178" spans="1:20 16329:16383" s="38" customFormat="1" ht="29.1" customHeight="1" outlineLevel="6" x14ac:dyDescent="0.25">
      <c r="A178" s="49" t="s">
        <v>409</v>
      </c>
      <c r="B178" s="50"/>
      <c r="C178" s="50"/>
      <c r="D178" s="3" t="s">
        <v>293</v>
      </c>
      <c r="E178" s="3"/>
      <c r="F178" s="51"/>
      <c r="G178" s="50" t="s">
        <v>117</v>
      </c>
      <c r="H178" s="52">
        <f>1</f>
        <v>1</v>
      </c>
      <c r="I178" s="36"/>
      <c r="J178" s="52">
        <v>1</v>
      </c>
      <c r="K178" s="53">
        <f>0</f>
        <v>0</v>
      </c>
      <c r="L178" s="53">
        <f>0</f>
        <v>0</v>
      </c>
      <c r="M178" s="53">
        <f>0</f>
        <v>0</v>
      </c>
      <c r="N178" s="54">
        <f>SUM(K178:M178)</f>
        <v>0</v>
      </c>
      <c r="O178" s="54">
        <f>ROUND((H178*K178),2)</f>
        <v>0</v>
      </c>
      <c r="P178" s="54">
        <f>ROUND((H178*L178),2)</f>
        <v>0</v>
      </c>
      <c r="Q178" s="54">
        <f>ROUND((H178*M178),2)</f>
        <v>0</v>
      </c>
      <c r="R178" s="54">
        <f>ROUND((H178*N178),2)</f>
        <v>0</v>
      </c>
      <c r="S178" s="54"/>
      <c r="T178" s="36"/>
      <c r="XDA178"/>
      <c r="XDB178"/>
      <c r="XDC178"/>
      <c r="XDD178"/>
      <c r="XDE178"/>
      <c r="XDF178"/>
      <c r="XDG178"/>
      <c r="XDH178"/>
      <c r="XDI178"/>
      <c r="XDJ178"/>
      <c r="XDK178"/>
      <c r="XDL178"/>
      <c r="XDM178"/>
      <c r="XDN178"/>
      <c r="XDO178"/>
      <c r="XDP178"/>
      <c r="XDQ178"/>
      <c r="XDR178"/>
      <c r="XDS178"/>
      <c r="XDT178"/>
      <c r="XDU178"/>
      <c r="XDV178"/>
      <c r="XDW178"/>
      <c r="XDX178"/>
      <c r="XDY178"/>
      <c r="XDZ178"/>
      <c r="XEA178"/>
      <c r="XEB178"/>
      <c r="XEC178"/>
      <c r="XED178"/>
      <c r="XEE178"/>
      <c r="XEF178"/>
      <c r="XEG178"/>
      <c r="XEH178"/>
      <c r="XEI178"/>
      <c r="XEJ178"/>
      <c r="XEK178"/>
      <c r="XEL178"/>
      <c r="XEM178"/>
      <c r="XEN178"/>
      <c r="XEO178"/>
      <c r="XEP178"/>
      <c r="XEQ178"/>
      <c r="XER178"/>
      <c r="XES178"/>
      <c r="XET178"/>
      <c r="XEU178"/>
      <c r="XEV178"/>
      <c r="XEW178"/>
      <c r="XEX178"/>
      <c r="XEY178"/>
      <c r="XEZ178"/>
      <c r="XFA178"/>
      <c r="XFB178"/>
      <c r="XFC178"/>
    </row>
    <row r="179" spans="1:20 16329:16383" s="38" customFormat="1" ht="29.1" customHeight="1" outlineLevel="5" x14ac:dyDescent="0.25">
      <c r="A179" s="65" t="s">
        <v>410</v>
      </c>
      <c r="B179" s="66" t="s">
        <v>411</v>
      </c>
      <c r="C179" s="66"/>
      <c r="D179" s="98" t="s">
        <v>412</v>
      </c>
      <c r="E179" s="98"/>
      <c r="F179" s="67"/>
      <c r="G179" s="66"/>
      <c r="H179" s="68"/>
      <c r="I179" s="36"/>
      <c r="J179" s="68"/>
      <c r="K179" s="69"/>
      <c r="L179" s="69"/>
      <c r="M179" s="69"/>
      <c r="N179" s="69"/>
      <c r="O179" s="69">
        <f>O180</f>
        <v>0</v>
      </c>
      <c r="P179" s="69">
        <f>P180</f>
        <v>0</v>
      </c>
      <c r="Q179" s="69">
        <f>Q180</f>
        <v>0</v>
      </c>
      <c r="R179" s="69">
        <f>R180</f>
        <v>0</v>
      </c>
      <c r="S179" s="69"/>
      <c r="T179" s="36"/>
      <c r="XDA179"/>
      <c r="XDB179"/>
      <c r="XDC179"/>
      <c r="XDD179"/>
      <c r="XDE179"/>
      <c r="XDF179"/>
      <c r="XDG179"/>
      <c r="XDH179"/>
      <c r="XDI179"/>
      <c r="XDJ179"/>
      <c r="XDK179"/>
      <c r="XDL179"/>
      <c r="XDM179"/>
      <c r="XDN179"/>
      <c r="XDO179"/>
      <c r="XDP179"/>
      <c r="XDQ179"/>
      <c r="XDR179"/>
      <c r="XDS179"/>
      <c r="XDT179"/>
      <c r="XDU179"/>
      <c r="XDV179"/>
      <c r="XDW179"/>
      <c r="XDX179"/>
      <c r="XDY179"/>
      <c r="XDZ179"/>
      <c r="XEA179"/>
      <c r="XEB179"/>
      <c r="XEC179"/>
      <c r="XED179"/>
      <c r="XEE179"/>
      <c r="XEF179"/>
      <c r="XEG179"/>
      <c r="XEH179"/>
      <c r="XEI179"/>
      <c r="XEJ179"/>
      <c r="XEK179"/>
      <c r="XEL179"/>
      <c r="XEM179"/>
      <c r="XEN179"/>
      <c r="XEO179"/>
      <c r="XEP179"/>
      <c r="XEQ179"/>
      <c r="XER179"/>
      <c r="XES179"/>
      <c r="XET179"/>
      <c r="XEU179"/>
      <c r="XEV179"/>
      <c r="XEW179"/>
      <c r="XEX179"/>
      <c r="XEY179"/>
      <c r="XEZ179"/>
      <c r="XFA179"/>
      <c r="XFB179"/>
      <c r="XFC179"/>
    </row>
    <row r="180" spans="1:20 16329:16383" s="38" customFormat="1" ht="29.1" customHeight="1" outlineLevel="6" x14ac:dyDescent="0.25">
      <c r="A180" s="49" t="s">
        <v>413</v>
      </c>
      <c r="B180" s="50"/>
      <c r="C180" s="50"/>
      <c r="D180" s="3" t="s">
        <v>293</v>
      </c>
      <c r="E180" s="3"/>
      <c r="F180" s="51"/>
      <c r="G180" s="50" t="s">
        <v>117</v>
      </c>
      <c r="H180" s="52">
        <f>1</f>
        <v>1</v>
      </c>
      <c r="I180" s="36"/>
      <c r="J180" s="52">
        <v>1</v>
      </c>
      <c r="K180" s="53">
        <f>0</f>
        <v>0</v>
      </c>
      <c r="L180" s="53">
        <f>0</f>
        <v>0</v>
      </c>
      <c r="M180" s="53">
        <f>0</f>
        <v>0</v>
      </c>
      <c r="N180" s="54">
        <f>SUM(K180:M180)</f>
        <v>0</v>
      </c>
      <c r="O180" s="54">
        <f>ROUND((H180*K180),2)</f>
        <v>0</v>
      </c>
      <c r="P180" s="54">
        <f>ROUND((H180*L180),2)</f>
        <v>0</v>
      </c>
      <c r="Q180" s="54">
        <f>ROUND((H180*M180),2)</f>
        <v>0</v>
      </c>
      <c r="R180" s="54">
        <f>ROUND((H180*N180),2)</f>
        <v>0</v>
      </c>
      <c r="S180" s="54"/>
      <c r="T180" s="36"/>
      <c r="XDA180"/>
      <c r="XDB180"/>
      <c r="XDC180"/>
      <c r="XDD180"/>
      <c r="XDE180"/>
      <c r="XDF180"/>
      <c r="XDG180"/>
      <c r="XDH180"/>
      <c r="XDI180"/>
      <c r="XDJ180"/>
      <c r="XDK180"/>
      <c r="XDL180"/>
      <c r="XDM180"/>
      <c r="XDN180"/>
      <c r="XDO180"/>
      <c r="XDP180"/>
      <c r="XDQ180"/>
      <c r="XDR180"/>
      <c r="XDS180"/>
      <c r="XDT180"/>
      <c r="XDU180"/>
      <c r="XDV180"/>
      <c r="XDW180"/>
      <c r="XDX180"/>
      <c r="XDY180"/>
      <c r="XDZ180"/>
      <c r="XEA180"/>
      <c r="XEB180"/>
      <c r="XEC180"/>
      <c r="XED180"/>
      <c r="XEE180"/>
      <c r="XEF180"/>
      <c r="XEG180"/>
      <c r="XEH180"/>
      <c r="XEI180"/>
      <c r="XEJ180"/>
      <c r="XEK180"/>
      <c r="XEL180"/>
      <c r="XEM180"/>
      <c r="XEN180"/>
      <c r="XEO180"/>
      <c r="XEP180"/>
      <c r="XEQ180"/>
      <c r="XER180"/>
      <c r="XES180"/>
      <c r="XET180"/>
      <c r="XEU180"/>
      <c r="XEV180"/>
      <c r="XEW180"/>
      <c r="XEX180"/>
      <c r="XEY180"/>
      <c r="XEZ180"/>
      <c r="XFA180"/>
      <c r="XFB180"/>
      <c r="XFC180"/>
    </row>
    <row r="181" spans="1:20 16329:16383" s="38" customFormat="1" ht="29.1" customHeight="1" outlineLevel="4" x14ac:dyDescent="0.25">
      <c r="A181" s="60" t="s">
        <v>414</v>
      </c>
      <c r="B181" s="61" t="s">
        <v>415</v>
      </c>
      <c r="C181" s="61"/>
      <c r="D181" s="1" t="s">
        <v>416</v>
      </c>
      <c r="E181" s="1"/>
      <c r="F181" s="62"/>
      <c r="G181" s="61"/>
      <c r="H181" s="63"/>
      <c r="I181" s="36"/>
      <c r="J181" s="63"/>
      <c r="K181" s="64"/>
      <c r="L181" s="64"/>
      <c r="M181" s="64"/>
      <c r="N181" s="64"/>
      <c r="O181" s="64">
        <f>O182+O186+O190+O194+O197+O201</f>
        <v>0</v>
      </c>
      <c r="P181" s="64">
        <f>P182+P186+P190+P194+P197+P201</f>
        <v>0</v>
      </c>
      <c r="Q181" s="64">
        <f>Q182+Q186+Q190+Q194+Q197+Q201</f>
        <v>0</v>
      </c>
      <c r="R181" s="64">
        <f>R182+R186+R190+R194+R197+R201</f>
        <v>0</v>
      </c>
      <c r="S181" s="64"/>
      <c r="T181" s="36"/>
      <c r="XDA181"/>
      <c r="XDB181"/>
      <c r="XDC181"/>
      <c r="XDD181"/>
      <c r="XDE181"/>
      <c r="XDF181"/>
      <c r="XDG181"/>
      <c r="XDH181"/>
      <c r="XDI181"/>
      <c r="XDJ181"/>
      <c r="XDK181"/>
      <c r="XDL181"/>
      <c r="XDM181"/>
      <c r="XDN181"/>
      <c r="XDO181"/>
      <c r="XDP181"/>
      <c r="XDQ181"/>
      <c r="XDR181"/>
      <c r="XDS181"/>
      <c r="XDT181"/>
      <c r="XDU181"/>
      <c r="XDV181"/>
      <c r="XDW181"/>
      <c r="XDX181"/>
      <c r="XDY181"/>
      <c r="XDZ181"/>
      <c r="XEA181"/>
      <c r="XEB181"/>
      <c r="XEC181"/>
      <c r="XED181"/>
      <c r="XEE181"/>
      <c r="XEF181"/>
      <c r="XEG181"/>
      <c r="XEH181"/>
      <c r="XEI181"/>
      <c r="XEJ181"/>
      <c r="XEK181"/>
      <c r="XEL181"/>
      <c r="XEM181"/>
      <c r="XEN181"/>
      <c r="XEO181"/>
      <c r="XEP181"/>
      <c r="XEQ181"/>
      <c r="XER181"/>
      <c r="XES181"/>
      <c r="XET181"/>
      <c r="XEU181"/>
      <c r="XEV181"/>
      <c r="XEW181"/>
      <c r="XEX181"/>
      <c r="XEY181"/>
      <c r="XEZ181"/>
      <c r="XFA181"/>
      <c r="XFB181"/>
      <c r="XFC181"/>
    </row>
    <row r="182" spans="1:20 16329:16383" s="38" customFormat="1" ht="29.1" customHeight="1" outlineLevel="5" x14ac:dyDescent="0.25">
      <c r="A182" s="65" t="s">
        <v>417</v>
      </c>
      <c r="B182" s="66" t="s">
        <v>418</v>
      </c>
      <c r="C182" s="66"/>
      <c r="D182" s="98" t="s">
        <v>419</v>
      </c>
      <c r="E182" s="98"/>
      <c r="F182" s="67"/>
      <c r="G182" s="66"/>
      <c r="H182" s="68"/>
      <c r="I182" s="36"/>
      <c r="J182" s="68"/>
      <c r="K182" s="69"/>
      <c r="L182" s="69"/>
      <c r="M182" s="69"/>
      <c r="N182" s="69"/>
      <c r="O182" s="69">
        <f>SUM(O183:O185)</f>
        <v>0</v>
      </c>
      <c r="P182" s="69">
        <f>SUM(P183:P185)</f>
        <v>0</v>
      </c>
      <c r="Q182" s="69">
        <f>SUM(Q183:Q185)</f>
        <v>0</v>
      </c>
      <c r="R182" s="69">
        <f>SUM(R183:R185)</f>
        <v>0</v>
      </c>
      <c r="S182" s="69"/>
      <c r="T182" s="36"/>
      <c r="XDA182"/>
      <c r="XDB182"/>
      <c r="XDC182"/>
      <c r="XDD182"/>
      <c r="XDE182"/>
      <c r="XDF182"/>
      <c r="XDG182"/>
      <c r="XDH182"/>
      <c r="XDI182"/>
      <c r="XDJ182"/>
      <c r="XDK182"/>
      <c r="XDL182"/>
      <c r="XDM182"/>
      <c r="XDN182"/>
      <c r="XDO182"/>
      <c r="XDP182"/>
      <c r="XDQ182"/>
      <c r="XDR182"/>
      <c r="XDS182"/>
      <c r="XDT182"/>
      <c r="XDU182"/>
      <c r="XDV182"/>
      <c r="XDW182"/>
      <c r="XDX182"/>
      <c r="XDY182"/>
      <c r="XDZ182"/>
      <c r="XEA182"/>
      <c r="XEB182"/>
      <c r="XEC182"/>
      <c r="XED182"/>
      <c r="XEE182"/>
      <c r="XEF182"/>
      <c r="XEG182"/>
      <c r="XEH182"/>
      <c r="XEI182"/>
      <c r="XEJ182"/>
      <c r="XEK182"/>
      <c r="XEL182"/>
      <c r="XEM182"/>
      <c r="XEN182"/>
      <c r="XEO182"/>
      <c r="XEP182"/>
      <c r="XEQ182"/>
      <c r="XER182"/>
      <c r="XES182"/>
      <c r="XET182"/>
      <c r="XEU182"/>
      <c r="XEV182"/>
      <c r="XEW182"/>
      <c r="XEX182"/>
      <c r="XEY182"/>
      <c r="XEZ182"/>
      <c r="XFA182"/>
      <c r="XFB182"/>
      <c r="XFC182"/>
    </row>
    <row r="183" spans="1:20 16329:16383" s="38" customFormat="1" ht="29.1" customHeight="1" outlineLevel="6" x14ac:dyDescent="0.25">
      <c r="A183" s="49" t="s">
        <v>420</v>
      </c>
      <c r="B183" s="50"/>
      <c r="C183" s="50"/>
      <c r="D183" s="3" t="s">
        <v>313</v>
      </c>
      <c r="E183" s="3"/>
      <c r="F183" s="51"/>
      <c r="G183" s="50" t="s">
        <v>117</v>
      </c>
      <c r="H183" s="52">
        <f>1</f>
        <v>1</v>
      </c>
      <c r="I183" s="36"/>
      <c r="J183" s="52">
        <v>1</v>
      </c>
      <c r="K183" s="53">
        <f>0</f>
        <v>0</v>
      </c>
      <c r="L183" s="53">
        <f>0</f>
        <v>0</v>
      </c>
      <c r="M183" s="53">
        <f>0</f>
        <v>0</v>
      </c>
      <c r="N183" s="54">
        <f>SUM(K183:M183)</f>
        <v>0</v>
      </c>
      <c r="O183" s="54">
        <f>ROUND((H183*K183),2)</f>
        <v>0</v>
      </c>
      <c r="P183" s="54">
        <f>ROUND((H183*L183),2)</f>
        <v>0</v>
      </c>
      <c r="Q183" s="54">
        <f>ROUND((H183*M183),2)</f>
        <v>0</v>
      </c>
      <c r="R183" s="54">
        <f>ROUND((H183*N183),2)</f>
        <v>0</v>
      </c>
      <c r="S183" s="54"/>
      <c r="T183" s="36"/>
      <c r="XDA183"/>
      <c r="XDB183"/>
      <c r="XDC183"/>
      <c r="XDD183"/>
      <c r="XDE183"/>
      <c r="XDF183"/>
      <c r="XDG183"/>
      <c r="XDH183"/>
      <c r="XDI183"/>
      <c r="XDJ183"/>
      <c r="XDK183"/>
      <c r="XDL183"/>
      <c r="XDM183"/>
      <c r="XDN183"/>
      <c r="XDO183"/>
      <c r="XDP183"/>
      <c r="XDQ183"/>
      <c r="XDR183"/>
      <c r="XDS183"/>
      <c r="XDT183"/>
      <c r="XDU183"/>
      <c r="XDV183"/>
      <c r="XDW183"/>
      <c r="XDX183"/>
      <c r="XDY183"/>
      <c r="XDZ183"/>
      <c r="XEA183"/>
      <c r="XEB183"/>
      <c r="XEC183"/>
      <c r="XED183"/>
      <c r="XEE183"/>
      <c r="XEF183"/>
      <c r="XEG183"/>
      <c r="XEH183"/>
      <c r="XEI183"/>
      <c r="XEJ183"/>
      <c r="XEK183"/>
      <c r="XEL183"/>
      <c r="XEM183"/>
      <c r="XEN183"/>
      <c r="XEO183"/>
      <c r="XEP183"/>
      <c r="XEQ183"/>
      <c r="XER183"/>
      <c r="XES183"/>
      <c r="XET183"/>
      <c r="XEU183"/>
      <c r="XEV183"/>
      <c r="XEW183"/>
      <c r="XEX183"/>
      <c r="XEY183"/>
      <c r="XEZ183"/>
      <c r="XFA183"/>
      <c r="XFB183"/>
      <c r="XFC183"/>
    </row>
    <row r="184" spans="1:20 16329:16383" s="38" customFormat="1" ht="29.1" customHeight="1" outlineLevel="6" x14ac:dyDescent="0.25">
      <c r="A184" s="49" t="s">
        <v>421</v>
      </c>
      <c r="B184" s="50"/>
      <c r="C184" s="50"/>
      <c r="D184" s="3" t="s">
        <v>315</v>
      </c>
      <c r="E184" s="3"/>
      <c r="F184" s="51"/>
      <c r="G184" s="50" t="s">
        <v>117</v>
      </c>
      <c r="H184" s="52">
        <f>1</f>
        <v>1</v>
      </c>
      <c r="I184" s="36"/>
      <c r="J184" s="52">
        <v>1</v>
      </c>
      <c r="K184" s="53">
        <f>0</f>
        <v>0</v>
      </c>
      <c r="L184" s="53">
        <f>0</f>
        <v>0</v>
      </c>
      <c r="M184" s="53">
        <f>0</f>
        <v>0</v>
      </c>
      <c r="N184" s="54">
        <f>SUM(K184:M184)</f>
        <v>0</v>
      </c>
      <c r="O184" s="54">
        <f>ROUND((H184*K184),2)</f>
        <v>0</v>
      </c>
      <c r="P184" s="54">
        <f>ROUND((H184*L184),2)</f>
        <v>0</v>
      </c>
      <c r="Q184" s="54">
        <f>ROUND((H184*M184),2)</f>
        <v>0</v>
      </c>
      <c r="R184" s="54">
        <f>ROUND((H184*N184),2)</f>
        <v>0</v>
      </c>
      <c r="S184" s="54"/>
      <c r="T184" s="36"/>
      <c r="XDA184"/>
      <c r="XDB184"/>
      <c r="XDC184"/>
      <c r="XDD184"/>
      <c r="XDE184"/>
      <c r="XDF184"/>
      <c r="XDG184"/>
      <c r="XDH184"/>
      <c r="XDI184"/>
      <c r="XDJ184"/>
      <c r="XDK184"/>
      <c r="XDL184"/>
      <c r="XDM184"/>
      <c r="XDN184"/>
      <c r="XDO184"/>
      <c r="XDP184"/>
      <c r="XDQ184"/>
      <c r="XDR184"/>
      <c r="XDS184"/>
      <c r="XDT184"/>
      <c r="XDU184"/>
      <c r="XDV184"/>
      <c r="XDW184"/>
      <c r="XDX184"/>
      <c r="XDY184"/>
      <c r="XDZ184"/>
      <c r="XEA184"/>
      <c r="XEB184"/>
      <c r="XEC184"/>
      <c r="XED184"/>
      <c r="XEE184"/>
      <c r="XEF184"/>
      <c r="XEG184"/>
      <c r="XEH184"/>
      <c r="XEI184"/>
      <c r="XEJ184"/>
      <c r="XEK184"/>
      <c r="XEL184"/>
      <c r="XEM184"/>
      <c r="XEN184"/>
      <c r="XEO184"/>
      <c r="XEP184"/>
      <c r="XEQ184"/>
      <c r="XER184"/>
      <c r="XES184"/>
      <c r="XET184"/>
      <c r="XEU184"/>
      <c r="XEV184"/>
      <c r="XEW184"/>
      <c r="XEX184"/>
      <c r="XEY184"/>
      <c r="XEZ184"/>
      <c r="XFA184"/>
      <c r="XFB184"/>
      <c r="XFC184"/>
    </row>
    <row r="185" spans="1:20 16329:16383" s="38" customFormat="1" ht="29.1" customHeight="1" outlineLevel="6" x14ac:dyDescent="0.25">
      <c r="A185" s="49" t="s">
        <v>422</v>
      </c>
      <c r="B185" s="50"/>
      <c r="C185" s="50"/>
      <c r="D185" s="3" t="s">
        <v>317</v>
      </c>
      <c r="E185" s="3"/>
      <c r="F185" s="51"/>
      <c r="G185" s="50" t="s">
        <v>117</v>
      </c>
      <c r="H185" s="52">
        <f>1</f>
        <v>1</v>
      </c>
      <c r="I185" s="36"/>
      <c r="J185" s="52">
        <v>1</v>
      </c>
      <c r="K185" s="53">
        <f>0</f>
        <v>0</v>
      </c>
      <c r="L185" s="53">
        <f>0</f>
        <v>0</v>
      </c>
      <c r="M185" s="53">
        <f>0</f>
        <v>0</v>
      </c>
      <c r="N185" s="54">
        <f>SUM(K185:M185)</f>
        <v>0</v>
      </c>
      <c r="O185" s="54">
        <f>ROUND((H185*K185),2)</f>
        <v>0</v>
      </c>
      <c r="P185" s="54">
        <f>ROUND((H185*L185),2)</f>
        <v>0</v>
      </c>
      <c r="Q185" s="54">
        <f>ROUND((H185*M185),2)</f>
        <v>0</v>
      </c>
      <c r="R185" s="54">
        <f>ROUND((H185*N185),2)</f>
        <v>0</v>
      </c>
      <c r="S185" s="54"/>
      <c r="T185" s="36"/>
      <c r="XDA185"/>
      <c r="XDB185"/>
      <c r="XDC185"/>
      <c r="XDD185"/>
      <c r="XDE185"/>
      <c r="XDF185"/>
      <c r="XDG185"/>
      <c r="XDH185"/>
      <c r="XDI185"/>
      <c r="XDJ185"/>
      <c r="XDK185"/>
      <c r="XDL185"/>
      <c r="XDM185"/>
      <c r="XDN185"/>
      <c r="XDO185"/>
      <c r="XDP185"/>
      <c r="XDQ185"/>
      <c r="XDR185"/>
      <c r="XDS185"/>
      <c r="XDT185"/>
      <c r="XDU185"/>
      <c r="XDV185"/>
      <c r="XDW185"/>
      <c r="XDX185"/>
      <c r="XDY185"/>
      <c r="XDZ185"/>
      <c r="XEA185"/>
      <c r="XEB185"/>
      <c r="XEC185"/>
      <c r="XED185"/>
      <c r="XEE185"/>
      <c r="XEF185"/>
      <c r="XEG185"/>
      <c r="XEH185"/>
      <c r="XEI185"/>
      <c r="XEJ185"/>
      <c r="XEK185"/>
      <c r="XEL185"/>
      <c r="XEM185"/>
      <c r="XEN185"/>
      <c r="XEO185"/>
      <c r="XEP185"/>
      <c r="XEQ185"/>
      <c r="XER185"/>
      <c r="XES185"/>
      <c r="XET185"/>
      <c r="XEU185"/>
      <c r="XEV185"/>
      <c r="XEW185"/>
      <c r="XEX185"/>
      <c r="XEY185"/>
      <c r="XEZ185"/>
      <c r="XFA185"/>
      <c r="XFB185"/>
      <c r="XFC185"/>
    </row>
    <row r="186" spans="1:20 16329:16383" s="38" customFormat="1" ht="29.1" customHeight="1" outlineLevel="5" x14ac:dyDescent="0.25">
      <c r="A186" s="65" t="s">
        <v>423</v>
      </c>
      <c r="B186" s="66" t="s">
        <v>424</v>
      </c>
      <c r="C186" s="66"/>
      <c r="D186" s="98" t="s">
        <v>425</v>
      </c>
      <c r="E186" s="98"/>
      <c r="F186" s="67"/>
      <c r="G186" s="66"/>
      <c r="H186" s="68"/>
      <c r="I186" s="36"/>
      <c r="J186" s="68"/>
      <c r="K186" s="69"/>
      <c r="L186" s="69"/>
      <c r="M186" s="69"/>
      <c r="N186" s="69"/>
      <c r="O186" s="69">
        <f>SUM(O187:O189)</f>
        <v>0</v>
      </c>
      <c r="P186" s="69">
        <f>SUM(P187:P189)</f>
        <v>0</v>
      </c>
      <c r="Q186" s="69">
        <f>SUM(Q187:Q189)</f>
        <v>0</v>
      </c>
      <c r="R186" s="69">
        <f>SUM(R187:R189)</f>
        <v>0</v>
      </c>
      <c r="S186" s="69"/>
      <c r="T186" s="36"/>
      <c r="XDA186"/>
      <c r="XDB186"/>
      <c r="XDC186"/>
      <c r="XDD186"/>
      <c r="XDE186"/>
      <c r="XDF186"/>
      <c r="XDG186"/>
      <c r="XDH186"/>
      <c r="XDI186"/>
      <c r="XDJ186"/>
      <c r="XDK186"/>
      <c r="XDL186"/>
      <c r="XDM186"/>
      <c r="XDN186"/>
      <c r="XDO186"/>
      <c r="XDP186"/>
      <c r="XDQ186"/>
      <c r="XDR186"/>
      <c r="XDS186"/>
      <c r="XDT186"/>
      <c r="XDU186"/>
      <c r="XDV186"/>
      <c r="XDW186"/>
      <c r="XDX186"/>
      <c r="XDY186"/>
      <c r="XDZ186"/>
      <c r="XEA186"/>
      <c r="XEB186"/>
      <c r="XEC186"/>
      <c r="XED186"/>
      <c r="XEE186"/>
      <c r="XEF186"/>
      <c r="XEG186"/>
      <c r="XEH186"/>
      <c r="XEI186"/>
      <c r="XEJ186"/>
      <c r="XEK186"/>
      <c r="XEL186"/>
      <c r="XEM186"/>
      <c r="XEN186"/>
      <c r="XEO186"/>
      <c r="XEP186"/>
      <c r="XEQ186"/>
      <c r="XER186"/>
      <c r="XES186"/>
      <c r="XET186"/>
      <c r="XEU186"/>
      <c r="XEV186"/>
      <c r="XEW186"/>
      <c r="XEX186"/>
      <c r="XEY186"/>
      <c r="XEZ186"/>
      <c r="XFA186"/>
      <c r="XFB186"/>
      <c r="XFC186"/>
    </row>
    <row r="187" spans="1:20 16329:16383" s="38" customFormat="1" ht="29.1" customHeight="1" outlineLevel="6" x14ac:dyDescent="0.25">
      <c r="A187" s="49" t="s">
        <v>426</v>
      </c>
      <c r="B187" s="50"/>
      <c r="C187" s="50"/>
      <c r="D187" s="3" t="s">
        <v>313</v>
      </c>
      <c r="E187" s="3"/>
      <c r="F187" s="51"/>
      <c r="G187" s="50" t="s">
        <v>117</v>
      </c>
      <c r="H187" s="52">
        <f>1</f>
        <v>1</v>
      </c>
      <c r="I187" s="36"/>
      <c r="J187" s="52">
        <v>1</v>
      </c>
      <c r="K187" s="53">
        <f>0</f>
        <v>0</v>
      </c>
      <c r="L187" s="53">
        <f>0</f>
        <v>0</v>
      </c>
      <c r="M187" s="53">
        <f>0</f>
        <v>0</v>
      </c>
      <c r="N187" s="54">
        <f>SUM(K187:M187)</f>
        <v>0</v>
      </c>
      <c r="O187" s="54">
        <f>ROUND((H187*K187),2)</f>
        <v>0</v>
      </c>
      <c r="P187" s="54">
        <f>ROUND((H187*L187),2)</f>
        <v>0</v>
      </c>
      <c r="Q187" s="54">
        <f>ROUND((H187*M187),2)</f>
        <v>0</v>
      </c>
      <c r="R187" s="54">
        <f>ROUND((H187*N187),2)</f>
        <v>0</v>
      </c>
      <c r="S187" s="54"/>
      <c r="T187" s="36"/>
      <c r="XDA187"/>
      <c r="XDB187"/>
      <c r="XDC187"/>
      <c r="XDD187"/>
      <c r="XDE187"/>
      <c r="XDF187"/>
      <c r="XDG187"/>
      <c r="XDH187"/>
      <c r="XDI187"/>
      <c r="XDJ187"/>
      <c r="XDK187"/>
      <c r="XDL187"/>
      <c r="XDM187"/>
      <c r="XDN187"/>
      <c r="XDO187"/>
      <c r="XDP187"/>
      <c r="XDQ187"/>
      <c r="XDR187"/>
      <c r="XDS187"/>
      <c r="XDT187"/>
      <c r="XDU187"/>
      <c r="XDV187"/>
      <c r="XDW187"/>
      <c r="XDX187"/>
      <c r="XDY187"/>
      <c r="XDZ187"/>
      <c r="XEA187"/>
      <c r="XEB187"/>
      <c r="XEC187"/>
      <c r="XED187"/>
      <c r="XEE187"/>
      <c r="XEF187"/>
      <c r="XEG187"/>
      <c r="XEH187"/>
      <c r="XEI187"/>
      <c r="XEJ187"/>
      <c r="XEK187"/>
      <c r="XEL187"/>
      <c r="XEM187"/>
      <c r="XEN187"/>
      <c r="XEO187"/>
      <c r="XEP187"/>
      <c r="XEQ187"/>
      <c r="XER187"/>
      <c r="XES187"/>
      <c r="XET187"/>
      <c r="XEU187"/>
      <c r="XEV187"/>
      <c r="XEW187"/>
      <c r="XEX187"/>
      <c r="XEY187"/>
      <c r="XEZ187"/>
      <c r="XFA187"/>
      <c r="XFB187"/>
      <c r="XFC187"/>
    </row>
    <row r="188" spans="1:20 16329:16383" s="38" customFormat="1" ht="29.1" customHeight="1" outlineLevel="6" x14ac:dyDescent="0.25">
      <c r="A188" s="49" t="s">
        <v>427</v>
      </c>
      <c r="B188" s="50"/>
      <c r="C188" s="50"/>
      <c r="D188" s="3" t="s">
        <v>315</v>
      </c>
      <c r="E188" s="3"/>
      <c r="F188" s="51"/>
      <c r="G188" s="50" t="s">
        <v>117</v>
      </c>
      <c r="H188" s="52">
        <f>1</f>
        <v>1</v>
      </c>
      <c r="I188" s="36"/>
      <c r="J188" s="52">
        <v>1</v>
      </c>
      <c r="K188" s="53">
        <f>0</f>
        <v>0</v>
      </c>
      <c r="L188" s="53">
        <f>0</f>
        <v>0</v>
      </c>
      <c r="M188" s="53">
        <f>0</f>
        <v>0</v>
      </c>
      <c r="N188" s="54">
        <f>SUM(K188:M188)</f>
        <v>0</v>
      </c>
      <c r="O188" s="54">
        <f>ROUND((H188*K188),2)</f>
        <v>0</v>
      </c>
      <c r="P188" s="54">
        <f>ROUND((H188*L188),2)</f>
        <v>0</v>
      </c>
      <c r="Q188" s="54">
        <f>ROUND((H188*M188),2)</f>
        <v>0</v>
      </c>
      <c r="R188" s="54">
        <f>ROUND((H188*N188),2)</f>
        <v>0</v>
      </c>
      <c r="S188" s="54"/>
      <c r="T188" s="36"/>
      <c r="XDA188"/>
      <c r="XDB188"/>
      <c r="XDC188"/>
      <c r="XDD188"/>
      <c r="XDE188"/>
      <c r="XDF188"/>
      <c r="XDG188"/>
      <c r="XDH188"/>
      <c r="XDI188"/>
      <c r="XDJ188"/>
      <c r="XDK188"/>
      <c r="XDL188"/>
      <c r="XDM188"/>
      <c r="XDN188"/>
      <c r="XDO188"/>
      <c r="XDP188"/>
      <c r="XDQ188"/>
      <c r="XDR188"/>
      <c r="XDS188"/>
      <c r="XDT188"/>
      <c r="XDU188"/>
      <c r="XDV188"/>
      <c r="XDW188"/>
      <c r="XDX188"/>
      <c r="XDY188"/>
      <c r="XDZ188"/>
      <c r="XEA188"/>
      <c r="XEB188"/>
      <c r="XEC188"/>
      <c r="XED188"/>
      <c r="XEE188"/>
      <c r="XEF188"/>
      <c r="XEG188"/>
      <c r="XEH188"/>
      <c r="XEI188"/>
      <c r="XEJ188"/>
      <c r="XEK188"/>
      <c r="XEL188"/>
      <c r="XEM188"/>
      <c r="XEN188"/>
      <c r="XEO188"/>
      <c r="XEP188"/>
      <c r="XEQ188"/>
      <c r="XER188"/>
      <c r="XES188"/>
      <c r="XET188"/>
      <c r="XEU188"/>
      <c r="XEV188"/>
      <c r="XEW188"/>
      <c r="XEX188"/>
      <c r="XEY188"/>
      <c r="XEZ188"/>
      <c r="XFA188"/>
      <c r="XFB188"/>
      <c r="XFC188"/>
    </row>
    <row r="189" spans="1:20 16329:16383" s="38" customFormat="1" ht="29.1" customHeight="1" outlineLevel="6" x14ac:dyDescent="0.25">
      <c r="A189" s="49" t="s">
        <v>428</v>
      </c>
      <c r="B189" s="50"/>
      <c r="C189" s="50"/>
      <c r="D189" s="3" t="s">
        <v>317</v>
      </c>
      <c r="E189" s="3"/>
      <c r="F189" s="51"/>
      <c r="G189" s="50" t="s">
        <v>117</v>
      </c>
      <c r="H189" s="52">
        <f>1</f>
        <v>1</v>
      </c>
      <c r="I189" s="36"/>
      <c r="J189" s="52">
        <v>1</v>
      </c>
      <c r="K189" s="53">
        <f>0</f>
        <v>0</v>
      </c>
      <c r="L189" s="53">
        <f>0</f>
        <v>0</v>
      </c>
      <c r="M189" s="53">
        <f>0</f>
        <v>0</v>
      </c>
      <c r="N189" s="54">
        <f>SUM(K189:M189)</f>
        <v>0</v>
      </c>
      <c r="O189" s="54">
        <f>ROUND((H189*K189),2)</f>
        <v>0</v>
      </c>
      <c r="P189" s="54">
        <f>ROUND((H189*L189),2)</f>
        <v>0</v>
      </c>
      <c r="Q189" s="54">
        <f>ROUND((H189*M189),2)</f>
        <v>0</v>
      </c>
      <c r="R189" s="54">
        <f>ROUND((H189*N189),2)</f>
        <v>0</v>
      </c>
      <c r="S189" s="54"/>
      <c r="T189" s="36"/>
      <c r="XDA189"/>
      <c r="XDB189"/>
      <c r="XDC189"/>
      <c r="XDD189"/>
      <c r="XDE189"/>
      <c r="XDF189"/>
      <c r="XDG189"/>
      <c r="XDH189"/>
      <c r="XDI189"/>
      <c r="XDJ189"/>
      <c r="XDK189"/>
      <c r="XDL189"/>
      <c r="XDM189"/>
      <c r="XDN189"/>
      <c r="XDO189"/>
      <c r="XDP189"/>
      <c r="XDQ189"/>
      <c r="XDR189"/>
      <c r="XDS189"/>
      <c r="XDT189"/>
      <c r="XDU189"/>
      <c r="XDV189"/>
      <c r="XDW189"/>
      <c r="XDX189"/>
      <c r="XDY189"/>
      <c r="XDZ189"/>
      <c r="XEA189"/>
      <c r="XEB189"/>
      <c r="XEC189"/>
      <c r="XED189"/>
      <c r="XEE189"/>
      <c r="XEF189"/>
      <c r="XEG189"/>
      <c r="XEH189"/>
      <c r="XEI189"/>
      <c r="XEJ189"/>
      <c r="XEK189"/>
      <c r="XEL189"/>
      <c r="XEM189"/>
      <c r="XEN189"/>
      <c r="XEO189"/>
      <c r="XEP189"/>
      <c r="XEQ189"/>
      <c r="XER189"/>
      <c r="XES189"/>
      <c r="XET189"/>
      <c r="XEU189"/>
      <c r="XEV189"/>
      <c r="XEW189"/>
      <c r="XEX189"/>
      <c r="XEY189"/>
      <c r="XEZ189"/>
      <c r="XFA189"/>
      <c r="XFB189"/>
      <c r="XFC189"/>
    </row>
    <row r="190" spans="1:20 16329:16383" s="38" customFormat="1" ht="29.1" customHeight="1" outlineLevel="5" x14ac:dyDescent="0.25">
      <c r="A190" s="65" t="s">
        <v>429</v>
      </c>
      <c r="B190" s="66" t="s">
        <v>430</v>
      </c>
      <c r="C190" s="66"/>
      <c r="D190" s="98" t="s">
        <v>431</v>
      </c>
      <c r="E190" s="98"/>
      <c r="F190" s="67"/>
      <c r="G190" s="66"/>
      <c r="H190" s="68"/>
      <c r="I190" s="36"/>
      <c r="J190" s="68"/>
      <c r="K190" s="69"/>
      <c r="L190" s="69"/>
      <c r="M190" s="69"/>
      <c r="N190" s="69"/>
      <c r="O190" s="69">
        <f>SUM(O191:O193)</f>
        <v>0</v>
      </c>
      <c r="P190" s="69">
        <f>SUM(P191:P193)</f>
        <v>0</v>
      </c>
      <c r="Q190" s="69">
        <f>SUM(Q191:Q193)</f>
        <v>0</v>
      </c>
      <c r="R190" s="69">
        <f>SUM(R191:R193)</f>
        <v>0</v>
      </c>
      <c r="S190" s="69"/>
      <c r="T190" s="36"/>
      <c r="XDA190"/>
      <c r="XDB190"/>
      <c r="XDC190"/>
      <c r="XDD190"/>
      <c r="XDE190"/>
      <c r="XDF190"/>
      <c r="XDG190"/>
      <c r="XDH190"/>
      <c r="XDI190"/>
      <c r="XDJ190"/>
      <c r="XDK190"/>
      <c r="XDL190"/>
      <c r="XDM190"/>
      <c r="XDN190"/>
      <c r="XDO190"/>
      <c r="XDP190"/>
      <c r="XDQ190"/>
      <c r="XDR190"/>
      <c r="XDS190"/>
      <c r="XDT190"/>
      <c r="XDU190"/>
      <c r="XDV190"/>
      <c r="XDW190"/>
      <c r="XDX190"/>
      <c r="XDY190"/>
      <c r="XDZ190"/>
      <c r="XEA190"/>
      <c r="XEB190"/>
      <c r="XEC190"/>
      <c r="XED190"/>
      <c r="XEE190"/>
      <c r="XEF190"/>
      <c r="XEG190"/>
      <c r="XEH190"/>
      <c r="XEI190"/>
      <c r="XEJ190"/>
      <c r="XEK190"/>
      <c r="XEL190"/>
      <c r="XEM190"/>
      <c r="XEN190"/>
      <c r="XEO190"/>
      <c r="XEP190"/>
      <c r="XEQ190"/>
      <c r="XER190"/>
      <c r="XES190"/>
      <c r="XET190"/>
      <c r="XEU190"/>
      <c r="XEV190"/>
      <c r="XEW190"/>
      <c r="XEX190"/>
      <c r="XEY190"/>
      <c r="XEZ190"/>
      <c r="XFA190"/>
      <c r="XFB190"/>
      <c r="XFC190"/>
    </row>
    <row r="191" spans="1:20 16329:16383" s="38" customFormat="1" ht="29.1" customHeight="1" outlineLevel="6" x14ac:dyDescent="0.25">
      <c r="A191" s="49" t="s">
        <v>432</v>
      </c>
      <c r="B191" s="50"/>
      <c r="C191" s="50"/>
      <c r="D191" s="3" t="s">
        <v>313</v>
      </c>
      <c r="E191" s="3"/>
      <c r="F191" s="51"/>
      <c r="G191" s="50" t="s">
        <v>117</v>
      </c>
      <c r="H191" s="52">
        <f>1</f>
        <v>1</v>
      </c>
      <c r="I191" s="36"/>
      <c r="J191" s="52">
        <v>1</v>
      </c>
      <c r="K191" s="53">
        <f>0</f>
        <v>0</v>
      </c>
      <c r="L191" s="53">
        <f>0</f>
        <v>0</v>
      </c>
      <c r="M191" s="53">
        <f>0</f>
        <v>0</v>
      </c>
      <c r="N191" s="54">
        <f>SUM(K191:M191)</f>
        <v>0</v>
      </c>
      <c r="O191" s="54">
        <f>ROUND((H191*K191),2)</f>
        <v>0</v>
      </c>
      <c r="P191" s="54">
        <f>ROUND((H191*L191),2)</f>
        <v>0</v>
      </c>
      <c r="Q191" s="54">
        <f>ROUND((H191*M191),2)</f>
        <v>0</v>
      </c>
      <c r="R191" s="54">
        <f>ROUND((H191*N191),2)</f>
        <v>0</v>
      </c>
      <c r="S191" s="54"/>
      <c r="T191" s="36"/>
      <c r="XDA191"/>
      <c r="XDB191"/>
      <c r="XDC191"/>
      <c r="XDD191"/>
      <c r="XDE191"/>
      <c r="XDF191"/>
      <c r="XDG191"/>
      <c r="XDH191"/>
      <c r="XDI191"/>
      <c r="XDJ191"/>
      <c r="XDK191"/>
      <c r="XDL191"/>
      <c r="XDM191"/>
      <c r="XDN191"/>
      <c r="XDO191"/>
      <c r="XDP191"/>
      <c r="XDQ191"/>
      <c r="XDR191"/>
      <c r="XDS191"/>
      <c r="XDT191"/>
      <c r="XDU191"/>
      <c r="XDV191"/>
      <c r="XDW191"/>
      <c r="XDX191"/>
      <c r="XDY191"/>
      <c r="XDZ191"/>
      <c r="XEA191"/>
      <c r="XEB191"/>
      <c r="XEC191"/>
      <c r="XED191"/>
      <c r="XEE191"/>
      <c r="XEF191"/>
      <c r="XEG191"/>
      <c r="XEH191"/>
      <c r="XEI191"/>
      <c r="XEJ191"/>
      <c r="XEK191"/>
      <c r="XEL191"/>
      <c r="XEM191"/>
      <c r="XEN191"/>
      <c r="XEO191"/>
      <c r="XEP191"/>
      <c r="XEQ191"/>
      <c r="XER191"/>
      <c r="XES191"/>
      <c r="XET191"/>
      <c r="XEU191"/>
      <c r="XEV191"/>
      <c r="XEW191"/>
      <c r="XEX191"/>
      <c r="XEY191"/>
      <c r="XEZ191"/>
      <c r="XFA191"/>
      <c r="XFB191"/>
      <c r="XFC191"/>
    </row>
    <row r="192" spans="1:20 16329:16383" s="38" customFormat="1" ht="29.1" customHeight="1" outlineLevel="6" x14ac:dyDescent="0.25">
      <c r="A192" s="49" t="s">
        <v>433</v>
      </c>
      <c r="B192" s="50"/>
      <c r="C192" s="50"/>
      <c r="D192" s="3" t="s">
        <v>315</v>
      </c>
      <c r="E192" s="3"/>
      <c r="F192" s="51"/>
      <c r="G192" s="50" t="s">
        <v>117</v>
      </c>
      <c r="H192" s="52">
        <f>1</f>
        <v>1</v>
      </c>
      <c r="I192" s="36"/>
      <c r="J192" s="52">
        <v>1</v>
      </c>
      <c r="K192" s="53">
        <f>0</f>
        <v>0</v>
      </c>
      <c r="L192" s="53">
        <f>0</f>
        <v>0</v>
      </c>
      <c r="M192" s="53">
        <f>0</f>
        <v>0</v>
      </c>
      <c r="N192" s="54">
        <f>SUM(K192:M192)</f>
        <v>0</v>
      </c>
      <c r="O192" s="54">
        <f>ROUND((H192*K192),2)</f>
        <v>0</v>
      </c>
      <c r="P192" s="54">
        <f>ROUND((H192*L192),2)</f>
        <v>0</v>
      </c>
      <c r="Q192" s="54">
        <f>ROUND((H192*M192),2)</f>
        <v>0</v>
      </c>
      <c r="R192" s="54">
        <f>ROUND((H192*N192),2)</f>
        <v>0</v>
      </c>
      <c r="S192" s="54"/>
      <c r="T192" s="36"/>
      <c r="XDA192"/>
      <c r="XDB192"/>
      <c r="XDC192"/>
      <c r="XDD192"/>
      <c r="XDE192"/>
      <c r="XDF192"/>
      <c r="XDG192"/>
      <c r="XDH192"/>
      <c r="XDI192"/>
      <c r="XDJ192"/>
      <c r="XDK192"/>
      <c r="XDL192"/>
      <c r="XDM192"/>
      <c r="XDN192"/>
      <c r="XDO192"/>
      <c r="XDP192"/>
      <c r="XDQ192"/>
      <c r="XDR192"/>
      <c r="XDS192"/>
      <c r="XDT192"/>
      <c r="XDU192"/>
      <c r="XDV192"/>
      <c r="XDW192"/>
      <c r="XDX192"/>
      <c r="XDY192"/>
      <c r="XDZ192"/>
      <c r="XEA192"/>
      <c r="XEB192"/>
      <c r="XEC192"/>
      <c r="XED192"/>
      <c r="XEE192"/>
      <c r="XEF192"/>
      <c r="XEG192"/>
      <c r="XEH192"/>
      <c r="XEI192"/>
      <c r="XEJ192"/>
      <c r="XEK192"/>
      <c r="XEL192"/>
      <c r="XEM192"/>
      <c r="XEN192"/>
      <c r="XEO192"/>
      <c r="XEP192"/>
      <c r="XEQ192"/>
      <c r="XER192"/>
      <c r="XES192"/>
      <c r="XET192"/>
      <c r="XEU192"/>
      <c r="XEV192"/>
      <c r="XEW192"/>
      <c r="XEX192"/>
      <c r="XEY192"/>
      <c r="XEZ192"/>
      <c r="XFA192"/>
      <c r="XFB192"/>
      <c r="XFC192"/>
    </row>
    <row r="193" spans="1:20 16329:16383" s="38" customFormat="1" ht="29.1" customHeight="1" outlineLevel="6" x14ac:dyDescent="0.25">
      <c r="A193" s="49" t="s">
        <v>434</v>
      </c>
      <c r="B193" s="50"/>
      <c r="C193" s="50"/>
      <c r="D193" s="3" t="s">
        <v>317</v>
      </c>
      <c r="E193" s="3"/>
      <c r="F193" s="51"/>
      <c r="G193" s="50" t="s">
        <v>117</v>
      </c>
      <c r="H193" s="52">
        <f>1</f>
        <v>1</v>
      </c>
      <c r="I193" s="36"/>
      <c r="J193" s="52">
        <v>1</v>
      </c>
      <c r="K193" s="53">
        <f>0</f>
        <v>0</v>
      </c>
      <c r="L193" s="53">
        <f>0</f>
        <v>0</v>
      </c>
      <c r="M193" s="53">
        <f>0</f>
        <v>0</v>
      </c>
      <c r="N193" s="54">
        <f>SUM(K193:M193)</f>
        <v>0</v>
      </c>
      <c r="O193" s="54">
        <f>ROUND((H193*K193),2)</f>
        <v>0</v>
      </c>
      <c r="P193" s="54">
        <f>ROUND((H193*L193),2)</f>
        <v>0</v>
      </c>
      <c r="Q193" s="54">
        <f>ROUND((H193*M193),2)</f>
        <v>0</v>
      </c>
      <c r="R193" s="54">
        <f>ROUND((H193*N193),2)</f>
        <v>0</v>
      </c>
      <c r="S193" s="54"/>
      <c r="T193" s="36"/>
      <c r="XDA193"/>
      <c r="XDB193"/>
      <c r="XDC193"/>
      <c r="XDD193"/>
      <c r="XDE193"/>
      <c r="XDF193"/>
      <c r="XDG193"/>
      <c r="XDH193"/>
      <c r="XDI193"/>
      <c r="XDJ193"/>
      <c r="XDK193"/>
      <c r="XDL193"/>
      <c r="XDM193"/>
      <c r="XDN193"/>
      <c r="XDO193"/>
      <c r="XDP193"/>
      <c r="XDQ193"/>
      <c r="XDR193"/>
      <c r="XDS193"/>
      <c r="XDT193"/>
      <c r="XDU193"/>
      <c r="XDV193"/>
      <c r="XDW193"/>
      <c r="XDX193"/>
      <c r="XDY193"/>
      <c r="XDZ193"/>
      <c r="XEA193"/>
      <c r="XEB193"/>
      <c r="XEC193"/>
      <c r="XED193"/>
      <c r="XEE193"/>
      <c r="XEF193"/>
      <c r="XEG193"/>
      <c r="XEH193"/>
      <c r="XEI193"/>
      <c r="XEJ193"/>
      <c r="XEK193"/>
      <c r="XEL193"/>
      <c r="XEM193"/>
      <c r="XEN193"/>
      <c r="XEO193"/>
      <c r="XEP193"/>
      <c r="XEQ193"/>
      <c r="XER193"/>
      <c r="XES193"/>
      <c r="XET193"/>
      <c r="XEU193"/>
      <c r="XEV193"/>
      <c r="XEW193"/>
      <c r="XEX193"/>
      <c r="XEY193"/>
      <c r="XEZ193"/>
      <c r="XFA193"/>
      <c r="XFB193"/>
      <c r="XFC193"/>
    </row>
    <row r="194" spans="1:20 16329:16383" s="38" customFormat="1" ht="29.1" customHeight="1" outlineLevel="5" x14ac:dyDescent="0.25">
      <c r="A194" s="65" t="s">
        <v>435</v>
      </c>
      <c r="B194" s="66" t="s">
        <v>436</v>
      </c>
      <c r="C194" s="66"/>
      <c r="D194" s="98" t="s">
        <v>437</v>
      </c>
      <c r="E194" s="98"/>
      <c r="F194" s="67"/>
      <c r="G194" s="66"/>
      <c r="H194" s="68"/>
      <c r="I194" s="36"/>
      <c r="J194" s="68"/>
      <c r="K194" s="69"/>
      <c r="L194" s="69"/>
      <c r="M194" s="69"/>
      <c r="N194" s="69"/>
      <c r="O194" s="69">
        <f>O195+O196</f>
        <v>0</v>
      </c>
      <c r="P194" s="69">
        <f>P195+P196</f>
        <v>0</v>
      </c>
      <c r="Q194" s="69">
        <f>Q195+Q196</f>
        <v>0</v>
      </c>
      <c r="R194" s="69">
        <f>R195+R196</f>
        <v>0</v>
      </c>
      <c r="S194" s="69"/>
      <c r="T194" s="36"/>
      <c r="XDA194"/>
      <c r="XDB194"/>
      <c r="XDC194"/>
      <c r="XDD194"/>
      <c r="XDE194"/>
      <c r="XDF194"/>
      <c r="XDG194"/>
      <c r="XDH194"/>
      <c r="XDI194"/>
      <c r="XDJ194"/>
      <c r="XDK194"/>
      <c r="XDL194"/>
      <c r="XDM194"/>
      <c r="XDN194"/>
      <c r="XDO194"/>
      <c r="XDP194"/>
      <c r="XDQ194"/>
      <c r="XDR194"/>
      <c r="XDS194"/>
      <c r="XDT194"/>
      <c r="XDU194"/>
      <c r="XDV194"/>
      <c r="XDW194"/>
      <c r="XDX194"/>
      <c r="XDY194"/>
      <c r="XDZ194"/>
      <c r="XEA194"/>
      <c r="XEB194"/>
      <c r="XEC194"/>
      <c r="XED194"/>
      <c r="XEE194"/>
      <c r="XEF194"/>
      <c r="XEG194"/>
      <c r="XEH194"/>
      <c r="XEI194"/>
      <c r="XEJ194"/>
      <c r="XEK194"/>
      <c r="XEL194"/>
      <c r="XEM194"/>
      <c r="XEN194"/>
      <c r="XEO194"/>
      <c r="XEP194"/>
      <c r="XEQ194"/>
      <c r="XER194"/>
      <c r="XES194"/>
      <c r="XET194"/>
      <c r="XEU194"/>
      <c r="XEV194"/>
      <c r="XEW194"/>
      <c r="XEX194"/>
      <c r="XEY194"/>
      <c r="XEZ194"/>
      <c r="XFA194"/>
      <c r="XFB194"/>
      <c r="XFC194"/>
    </row>
    <row r="195" spans="1:20 16329:16383" s="38" customFormat="1" ht="29.1" customHeight="1" outlineLevel="6" x14ac:dyDescent="0.25">
      <c r="A195" s="49" t="s">
        <v>438</v>
      </c>
      <c r="B195" s="50"/>
      <c r="C195" s="50"/>
      <c r="D195" s="3" t="s">
        <v>315</v>
      </c>
      <c r="E195" s="3"/>
      <c r="F195" s="51"/>
      <c r="G195" s="50" t="s">
        <v>117</v>
      </c>
      <c r="H195" s="52">
        <f>1</f>
        <v>1</v>
      </c>
      <c r="I195" s="36"/>
      <c r="J195" s="52">
        <v>1</v>
      </c>
      <c r="K195" s="53">
        <f>0</f>
        <v>0</v>
      </c>
      <c r="L195" s="53">
        <f>0</f>
        <v>0</v>
      </c>
      <c r="M195" s="53">
        <f>0</f>
        <v>0</v>
      </c>
      <c r="N195" s="54">
        <f>SUM(K195:M195)</f>
        <v>0</v>
      </c>
      <c r="O195" s="54">
        <f>ROUND((H195*K195),2)</f>
        <v>0</v>
      </c>
      <c r="P195" s="54">
        <f>ROUND((H195*L195),2)</f>
        <v>0</v>
      </c>
      <c r="Q195" s="54">
        <f>ROUND((H195*M195),2)</f>
        <v>0</v>
      </c>
      <c r="R195" s="54">
        <f>ROUND((H195*N195),2)</f>
        <v>0</v>
      </c>
      <c r="S195" s="54"/>
      <c r="T195" s="36"/>
      <c r="XDA195"/>
      <c r="XDB195"/>
      <c r="XDC195"/>
      <c r="XDD195"/>
      <c r="XDE195"/>
      <c r="XDF195"/>
      <c r="XDG195"/>
      <c r="XDH195"/>
      <c r="XDI195"/>
      <c r="XDJ195"/>
      <c r="XDK195"/>
      <c r="XDL195"/>
      <c r="XDM195"/>
      <c r="XDN195"/>
      <c r="XDO195"/>
      <c r="XDP195"/>
      <c r="XDQ195"/>
      <c r="XDR195"/>
      <c r="XDS195"/>
      <c r="XDT195"/>
      <c r="XDU195"/>
      <c r="XDV195"/>
      <c r="XDW195"/>
      <c r="XDX195"/>
      <c r="XDY195"/>
      <c r="XDZ195"/>
      <c r="XEA195"/>
      <c r="XEB195"/>
      <c r="XEC195"/>
      <c r="XED195"/>
      <c r="XEE195"/>
      <c r="XEF195"/>
      <c r="XEG195"/>
      <c r="XEH195"/>
      <c r="XEI195"/>
      <c r="XEJ195"/>
      <c r="XEK195"/>
      <c r="XEL195"/>
      <c r="XEM195"/>
      <c r="XEN195"/>
      <c r="XEO195"/>
      <c r="XEP195"/>
      <c r="XEQ195"/>
      <c r="XER195"/>
      <c r="XES195"/>
      <c r="XET195"/>
      <c r="XEU195"/>
      <c r="XEV195"/>
      <c r="XEW195"/>
      <c r="XEX195"/>
      <c r="XEY195"/>
      <c r="XEZ195"/>
      <c r="XFA195"/>
      <c r="XFB195"/>
      <c r="XFC195"/>
    </row>
    <row r="196" spans="1:20 16329:16383" s="38" customFormat="1" ht="29.1" customHeight="1" outlineLevel="6" x14ac:dyDescent="0.25">
      <c r="A196" s="49" t="s">
        <v>439</v>
      </c>
      <c r="B196" s="50"/>
      <c r="C196" s="50"/>
      <c r="D196" s="3" t="s">
        <v>317</v>
      </c>
      <c r="E196" s="3"/>
      <c r="F196" s="51"/>
      <c r="G196" s="50" t="s">
        <v>117</v>
      </c>
      <c r="H196" s="52">
        <f>1</f>
        <v>1</v>
      </c>
      <c r="I196" s="36"/>
      <c r="J196" s="52">
        <v>1</v>
      </c>
      <c r="K196" s="53">
        <f>0</f>
        <v>0</v>
      </c>
      <c r="L196" s="53">
        <f>0</f>
        <v>0</v>
      </c>
      <c r="M196" s="53">
        <f>0</f>
        <v>0</v>
      </c>
      <c r="N196" s="54">
        <f>SUM(K196:M196)</f>
        <v>0</v>
      </c>
      <c r="O196" s="54">
        <f>ROUND((H196*K196),2)</f>
        <v>0</v>
      </c>
      <c r="P196" s="54">
        <f>ROUND((H196*L196),2)</f>
        <v>0</v>
      </c>
      <c r="Q196" s="54">
        <f>ROUND((H196*M196),2)</f>
        <v>0</v>
      </c>
      <c r="R196" s="54">
        <f>ROUND((H196*N196),2)</f>
        <v>0</v>
      </c>
      <c r="S196" s="54"/>
      <c r="T196" s="36"/>
      <c r="XDA196"/>
      <c r="XDB196"/>
      <c r="XDC196"/>
      <c r="XDD196"/>
      <c r="XDE196"/>
      <c r="XDF196"/>
      <c r="XDG196"/>
      <c r="XDH196"/>
      <c r="XDI196"/>
      <c r="XDJ196"/>
      <c r="XDK196"/>
      <c r="XDL196"/>
      <c r="XDM196"/>
      <c r="XDN196"/>
      <c r="XDO196"/>
      <c r="XDP196"/>
      <c r="XDQ196"/>
      <c r="XDR196"/>
      <c r="XDS196"/>
      <c r="XDT196"/>
      <c r="XDU196"/>
      <c r="XDV196"/>
      <c r="XDW196"/>
      <c r="XDX196"/>
      <c r="XDY196"/>
      <c r="XDZ196"/>
      <c r="XEA196"/>
      <c r="XEB196"/>
      <c r="XEC196"/>
      <c r="XED196"/>
      <c r="XEE196"/>
      <c r="XEF196"/>
      <c r="XEG196"/>
      <c r="XEH196"/>
      <c r="XEI196"/>
      <c r="XEJ196"/>
      <c r="XEK196"/>
      <c r="XEL196"/>
      <c r="XEM196"/>
      <c r="XEN196"/>
      <c r="XEO196"/>
      <c r="XEP196"/>
      <c r="XEQ196"/>
      <c r="XER196"/>
      <c r="XES196"/>
      <c r="XET196"/>
      <c r="XEU196"/>
      <c r="XEV196"/>
      <c r="XEW196"/>
      <c r="XEX196"/>
      <c r="XEY196"/>
      <c r="XEZ196"/>
      <c r="XFA196"/>
      <c r="XFB196"/>
      <c r="XFC196"/>
    </row>
    <row r="197" spans="1:20 16329:16383" s="38" customFormat="1" ht="29.1" customHeight="1" outlineLevel="5" x14ac:dyDescent="0.25">
      <c r="A197" s="65" t="s">
        <v>440</v>
      </c>
      <c r="B197" s="66" t="s">
        <v>441</v>
      </c>
      <c r="C197" s="66"/>
      <c r="D197" s="98" t="s">
        <v>442</v>
      </c>
      <c r="E197" s="98"/>
      <c r="F197" s="67"/>
      <c r="G197" s="66"/>
      <c r="H197" s="68"/>
      <c r="I197" s="36"/>
      <c r="J197" s="68"/>
      <c r="K197" s="69"/>
      <c r="L197" s="69"/>
      <c r="M197" s="69"/>
      <c r="N197" s="69"/>
      <c r="O197" s="69">
        <f>SUM(O198:O200)</f>
        <v>0</v>
      </c>
      <c r="P197" s="69">
        <f>SUM(P198:P200)</f>
        <v>0</v>
      </c>
      <c r="Q197" s="69">
        <f>SUM(Q198:Q200)</f>
        <v>0</v>
      </c>
      <c r="R197" s="69">
        <f>SUM(R198:R200)</f>
        <v>0</v>
      </c>
      <c r="S197" s="69"/>
      <c r="T197" s="36"/>
      <c r="XDA197"/>
      <c r="XDB197"/>
      <c r="XDC197"/>
      <c r="XDD197"/>
      <c r="XDE197"/>
      <c r="XDF197"/>
      <c r="XDG197"/>
      <c r="XDH197"/>
      <c r="XDI197"/>
      <c r="XDJ197"/>
      <c r="XDK197"/>
      <c r="XDL197"/>
      <c r="XDM197"/>
      <c r="XDN197"/>
      <c r="XDO197"/>
      <c r="XDP197"/>
      <c r="XDQ197"/>
      <c r="XDR197"/>
      <c r="XDS197"/>
      <c r="XDT197"/>
      <c r="XDU197"/>
      <c r="XDV197"/>
      <c r="XDW197"/>
      <c r="XDX197"/>
      <c r="XDY197"/>
      <c r="XDZ197"/>
      <c r="XEA197"/>
      <c r="XEB197"/>
      <c r="XEC197"/>
      <c r="XED197"/>
      <c r="XEE197"/>
      <c r="XEF197"/>
      <c r="XEG197"/>
      <c r="XEH197"/>
      <c r="XEI197"/>
      <c r="XEJ197"/>
      <c r="XEK197"/>
      <c r="XEL197"/>
      <c r="XEM197"/>
      <c r="XEN197"/>
      <c r="XEO197"/>
      <c r="XEP197"/>
      <c r="XEQ197"/>
      <c r="XER197"/>
      <c r="XES197"/>
      <c r="XET197"/>
      <c r="XEU197"/>
      <c r="XEV197"/>
      <c r="XEW197"/>
      <c r="XEX197"/>
      <c r="XEY197"/>
      <c r="XEZ197"/>
      <c r="XFA197"/>
      <c r="XFB197"/>
      <c r="XFC197"/>
    </row>
    <row r="198" spans="1:20 16329:16383" s="38" customFormat="1" ht="29.1" customHeight="1" outlineLevel="6" x14ac:dyDescent="0.25">
      <c r="A198" s="49" t="s">
        <v>443</v>
      </c>
      <c r="B198" s="50"/>
      <c r="C198" s="50"/>
      <c r="D198" s="3" t="s">
        <v>313</v>
      </c>
      <c r="E198" s="3"/>
      <c r="F198" s="51"/>
      <c r="G198" s="50" t="s">
        <v>117</v>
      </c>
      <c r="H198" s="52">
        <f>1</f>
        <v>1</v>
      </c>
      <c r="I198" s="36"/>
      <c r="J198" s="52">
        <v>1</v>
      </c>
      <c r="K198" s="53">
        <f>0</f>
        <v>0</v>
      </c>
      <c r="L198" s="53">
        <f>0</f>
        <v>0</v>
      </c>
      <c r="M198" s="53">
        <f>0</f>
        <v>0</v>
      </c>
      <c r="N198" s="54">
        <f>SUM(K198:M198)</f>
        <v>0</v>
      </c>
      <c r="O198" s="54">
        <f>ROUND((H198*K198),2)</f>
        <v>0</v>
      </c>
      <c r="P198" s="54">
        <f>ROUND((H198*L198),2)</f>
        <v>0</v>
      </c>
      <c r="Q198" s="54">
        <f>ROUND((H198*M198),2)</f>
        <v>0</v>
      </c>
      <c r="R198" s="54">
        <f>ROUND((H198*N198),2)</f>
        <v>0</v>
      </c>
      <c r="S198" s="54"/>
      <c r="T198" s="36"/>
      <c r="XDA198"/>
      <c r="XDB198"/>
      <c r="XDC198"/>
      <c r="XDD198"/>
      <c r="XDE198"/>
      <c r="XDF198"/>
      <c r="XDG198"/>
      <c r="XDH198"/>
      <c r="XDI198"/>
      <c r="XDJ198"/>
      <c r="XDK198"/>
      <c r="XDL198"/>
      <c r="XDM198"/>
      <c r="XDN198"/>
      <c r="XDO198"/>
      <c r="XDP198"/>
      <c r="XDQ198"/>
      <c r="XDR198"/>
      <c r="XDS198"/>
      <c r="XDT198"/>
      <c r="XDU198"/>
      <c r="XDV198"/>
      <c r="XDW198"/>
      <c r="XDX198"/>
      <c r="XDY198"/>
      <c r="XDZ198"/>
      <c r="XEA198"/>
      <c r="XEB198"/>
      <c r="XEC198"/>
      <c r="XED198"/>
      <c r="XEE198"/>
      <c r="XEF198"/>
      <c r="XEG198"/>
      <c r="XEH198"/>
      <c r="XEI198"/>
      <c r="XEJ198"/>
      <c r="XEK198"/>
      <c r="XEL198"/>
      <c r="XEM198"/>
      <c r="XEN198"/>
      <c r="XEO198"/>
      <c r="XEP198"/>
      <c r="XEQ198"/>
      <c r="XER198"/>
      <c r="XES198"/>
      <c r="XET198"/>
      <c r="XEU198"/>
      <c r="XEV198"/>
      <c r="XEW198"/>
      <c r="XEX198"/>
      <c r="XEY198"/>
      <c r="XEZ198"/>
      <c r="XFA198"/>
      <c r="XFB198"/>
      <c r="XFC198"/>
    </row>
    <row r="199" spans="1:20 16329:16383" s="38" customFormat="1" ht="29.1" customHeight="1" outlineLevel="6" x14ac:dyDescent="0.25">
      <c r="A199" s="49" t="s">
        <v>444</v>
      </c>
      <c r="B199" s="50"/>
      <c r="C199" s="50"/>
      <c r="D199" s="3" t="s">
        <v>315</v>
      </c>
      <c r="E199" s="3"/>
      <c r="F199" s="51"/>
      <c r="G199" s="50" t="s">
        <v>117</v>
      </c>
      <c r="H199" s="52">
        <f>1</f>
        <v>1</v>
      </c>
      <c r="I199" s="36"/>
      <c r="J199" s="52">
        <v>1</v>
      </c>
      <c r="K199" s="53">
        <f>0</f>
        <v>0</v>
      </c>
      <c r="L199" s="53">
        <f>0</f>
        <v>0</v>
      </c>
      <c r="M199" s="53">
        <f>0</f>
        <v>0</v>
      </c>
      <c r="N199" s="54">
        <f>SUM(K199:M199)</f>
        <v>0</v>
      </c>
      <c r="O199" s="54">
        <f>ROUND((H199*K199),2)</f>
        <v>0</v>
      </c>
      <c r="P199" s="54">
        <f>ROUND((H199*L199),2)</f>
        <v>0</v>
      </c>
      <c r="Q199" s="54">
        <f>ROUND((H199*M199),2)</f>
        <v>0</v>
      </c>
      <c r="R199" s="54">
        <f>ROUND((H199*N199),2)</f>
        <v>0</v>
      </c>
      <c r="S199" s="54"/>
      <c r="T199" s="36"/>
      <c r="XDA199"/>
      <c r="XDB199"/>
      <c r="XDC199"/>
      <c r="XDD199"/>
      <c r="XDE199"/>
      <c r="XDF199"/>
      <c r="XDG199"/>
      <c r="XDH199"/>
      <c r="XDI199"/>
      <c r="XDJ199"/>
      <c r="XDK199"/>
      <c r="XDL199"/>
      <c r="XDM199"/>
      <c r="XDN199"/>
      <c r="XDO199"/>
      <c r="XDP199"/>
      <c r="XDQ199"/>
      <c r="XDR199"/>
      <c r="XDS199"/>
      <c r="XDT199"/>
      <c r="XDU199"/>
      <c r="XDV199"/>
      <c r="XDW199"/>
      <c r="XDX199"/>
      <c r="XDY199"/>
      <c r="XDZ199"/>
      <c r="XEA199"/>
      <c r="XEB199"/>
      <c r="XEC199"/>
      <c r="XED199"/>
      <c r="XEE199"/>
      <c r="XEF199"/>
      <c r="XEG199"/>
      <c r="XEH199"/>
      <c r="XEI199"/>
      <c r="XEJ199"/>
      <c r="XEK199"/>
      <c r="XEL199"/>
      <c r="XEM199"/>
      <c r="XEN199"/>
      <c r="XEO199"/>
      <c r="XEP199"/>
      <c r="XEQ199"/>
      <c r="XER199"/>
      <c r="XES199"/>
      <c r="XET199"/>
      <c r="XEU199"/>
      <c r="XEV199"/>
      <c r="XEW199"/>
      <c r="XEX199"/>
      <c r="XEY199"/>
      <c r="XEZ199"/>
      <c r="XFA199"/>
      <c r="XFB199"/>
      <c r="XFC199"/>
    </row>
    <row r="200" spans="1:20 16329:16383" s="38" customFormat="1" ht="29.1" customHeight="1" outlineLevel="6" x14ac:dyDescent="0.25">
      <c r="A200" s="49" t="s">
        <v>445</v>
      </c>
      <c r="B200" s="50"/>
      <c r="C200" s="50"/>
      <c r="D200" s="3" t="s">
        <v>317</v>
      </c>
      <c r="E200" s="3"/>
      <c r="F200" s="51"/>
      <c r="G200" s="50" t="s">
        <v>117</v>
      </c>
      <c r="H200" s="52">
        <f>1</f>
        <v>1</v>
      </c>
      <c r="I200" s="36"/>
      <c r="J200" s="52">
        <v>1</v>
      </c>
      <c r="K200" s="53">
        <f>0</f>
        <v>0</v>
      </c>
      <c r="L200" s="53">
        <f>0</f>
        <v>0</v>
      </c>
      <c r="M200" s="53">
        <f>0</f>
        <v>0</v>
      </c>
      <c r="N200" s="54">
        <f>SUM(K200:M200)</f>
        <v>0</v>
      </c>
      <c r="O200" s="54">
        <f>ROUND((H200*K200),2)</f>
        <v>0</v>
      </c>
      <c r="P200" s="54">
        <f>ROUND((H200*L200),2)</f>
        <v>0</v>
      </c>
      <c r="Q200" s="54">
        <f>ROUND((H200*M200),2)</f>
        <v>0</v>
      </c>
      <c r="R200" s="54">
        <f>ROUND((H200*N200),2)</f>
        <v>0</v>
      </c>
      <c r="S200" s="54"/>
      <c r="T200" s="36"/>
      <c r="XDA200"/>
      <c r="XDB200"/>
      <c r="XDC200"/>
      <c r="XDD200"/>
      <c r="XDE200"/>
      <c r="XDF200"/>
      <c r="XDG200"/>
      <c r="XDH200"/>
      <c r="XDI200"/>
      <c r="XDJ200"/>
      <c r="XDK200"/>
      <c r="XDL200"/>
      <c r="XDM200"/>
      <c r="XDN200"/>
      <c r="XDO200"/>
      <c r="XDP200"/>
      <c r="XDQ200"/>
      <c r="XDR200"/>
      <c r="XDS200"/>
      <c r="XDT200"/>
      <c r="XDU200"/>
      <c r="XDV200"/>
      <c r="XDW200"/>
      <c r="XDX200"/>
      <c r="XDY200"/>
      <c r="XDZ200"/>
      <c r="XEA200"/>
      <c r="XEB200"/>
      <c r="XEC200"/>
      <c r="XED200"/>
      <c r="XEE200"/>
      <c r="XEF200"/>
      <c r="XEG200"/>
      <c r="XEH200"/>
      <c r="XEI200"/>
      <c r="XEJ200"/>
      <c r="XEK200"/>
      <c r="XEL200"/>
      <c r="XEM200"/>
      <c r="XEN200"/>
      <c r="XEO200"/>
      <c r="XEP200"/>
      <c r="XEQ200"/>
      <c r="XER200"/>
      <c r="XES200"/>
      <c r="XET200"/>
      <c r="XEU200"/>
      <c r="XEV200"/>
      <c r="XEW200"/>
      <c r="XEX200"/>
      <c r="XEY200"/>
      <c r="XEZ200"/>
      <c r="XFA200"/>
      <c r="XFB200"/>
      <c r="XFC200"/>
    </row>
    <row r="201" spans="1:20 16329:16383" s="38" customFormat="1" ht="29.1" customHeight="1" outlineLevel="5" x14ac:dyDescent="0.25">
      <c r="A201" s="65" t="s">
        <v>446</v>
      </c>
      <c r="B201" s="66" t="s">
        <v>447</v>
      </c>
      <c r="C201" s="66"/>
      <c r="D201" s="98" t="s">
        <v>448</v>
      </c>
      <c r="E201" s="98"/>
      <c r="F201" s="67"/>
      <c r="G201" s="66"/>
      <c r="H201" s="68"/>
      <c r="I201" s="36"/>
      <c r="J201" s="68"/>
      <c r="K201" s="69"/>
      <c r="L201" s="69"/>
      <c r="M201" s="69"/>
      <c r="N201" s="69"/>
      <c r="O201" s="69">
        <f>O202</f>
        <v>0</v>
      </c>
      <c r="P201" s="69">
        <f>P202</f>
        <v>0</v>
      </c>
      <c r="Q201" s="69">
        <f>Q202</f>
        <v>0</v>
      </c>
      <c r="R201" s="69">
        <f>R202</f>
        <v>0</v>
      </c>
      <c r="S201" s="69"/>
      <c r="T201" s="36"/>
      <c r="XDA201"/>
      <c r="XDB201"/>
      <c r="XDC201"/>
      <c r="XDD201"/>
      <c r="XDE201"/>
      <c r="XDF201"/>
      <c r="XDG201"/>
      <c r="XDH201"/>
      <c r="XDI201"/>
      <c r="XDJ201"/>
      <c r="XDK201"/>
      <c r="XDL201"/>
      <c r="XDM201"/>
      <c r="XDN201"/>
      <c r="XDO201"/>
      <c r="XDP201"/>
      <c r="XDQ201"/>
      <c r="XDR201"/>
      <c r="XDS201"/>
      <c r="XDT201"/>
      <c r="XDU201"/>
      <c r="XDV201"/>
      <c r="XDW201"/>
      <c r="XDX201"/>
      <c r="XDY201"/>
      <c r="XDZ201"/>
      <c r="XEA201"/>
      <c r="XEB201"/>
      <c r="XEC201"/>
      <c r="XED201"/>
      <c r="XEE201"/>
      <c r="XEF201"/>
      <c r="XEG201"/>
      <c r="XEH201"/>
      <c r="XEI201"/>
      <c r="XEJ201"/>
      <c r="XEK201"/>
      <c r="XEL201"/>
      <c r="XEM201"/>
      <c r="XEN201"/>
      <c r="XEO201"/>
      <c r="XEP201"/>
      <c r="XEQ201"/>
      <c r="XER201"/>
      <c r="XES201"/>
      <c r="XET201"/>
      <c r="XEU201"/>
      <c r="XEV201"/>
      <c r="XEW201"/>
      <c r="XEX201"/>
      <c r="XEY201"/>
      <c r="XEZ201"/>
      <c r="XFA201"/>
      <c r="XFB201"/>
      <c r="XFC201"/>
    </row>
    <row r="202" spans="1:20 16329:16383" s="38" customFormat="1" ht="29.1" customHeight="1" outlineLevel="6" x14ac:dyDescent="0.25">
      <c r="A202" s="49" t="s">
        <v>449</v>
      </c>
      <c r="B202" s="50"/>
      <c r="C202" s="50"/>
      <c r="D202" s="3" t="s">
        <v>313</v>
      </c>
      <c r="E202" s="3"/>
      <c r="F202" s="51"/>
      <c r="G202" s="50" t="s">
        <v>117</v>
      </c>
      <c r="H202" s="52">
        <f>1</f>
        <v>1</v>
      </c>
      <c r="I202" s="36"/>
      <c r="J202" s="52">
        <v>1</v>
      </c>
      <c r="K202" s="53">
        <f>0</f>
        <v>0</v>
      </c>
      <c r="L202" s="53">
        <f>0</f>
        <v>0</v>
      </c>
      <c r="M202" s="53">
        <f>0</f>
        <v>0</v>
      </c>
      <c r="N202" s="54">
        <f>SUM(K202:M202)</f>
        <v>0</v>
      </c>
      <c r="O202" s="54">
        <f>ROUND((H202*K202),2)</f>
        <v>0</v>
      </c>
      <c r="P202" s="54">
        <f>ROUND((H202*L202),2)</f>
        <v>0</v>
      </c>
      <c r="Q202" s="54">
        <f>ROUND((H202*M202),2)</f>
        <v>0</v>
      </c>
      <c r="R202" s="54">
        <f>ROUND((H202*N202),2)</f>
        <v>0</v>
      </c>
      <c r="S202" s="54"/>
      <c r="T202" s="36"/>
      <c r="XDA202"/>
      <c r="XDB202"/>
      <c r="XDC202"/>
      <c r="XDD202"/>
      <c r="XDE202"/>
      <c r="XDF202"/>
      <c r="XDG202"/>
      <c r="XDH202"/>
      <c r="XDI202"/>
      <c r="XDJ202"/>
      <c r="XDK202"/>
      <c r="XDL202"/>
      <c r="XDM202"/>
      <c r="XDN202"/>
      <c r="XDO202"/>
      <c r="XDP202"/>
      <c r="XDQ202"/>
      <c r="XDR202"/>
      <c r="XDS202"/>
      <c r="XDT202"/>
      <c r="XDU202"/>
      <c r="XDV202"/>
      <c r="XDW202"/>
      <c r="XDX202"/>
      <c r="XDY202"/>
      <c r="XDZ202"/>
      <c r="XEA202"/>
      <c r="XEB202"/>
      <c r="XEC202"/>
      <c r="XED202"/>
      <c r="XEE202"/>
      <c r="XEF202"/>
      <c r="XEG202"/>
      <c r="XEH202"/>
      <c r="XEI202"/>
      <c r="XEJ202"/>
      <c r="XEK202"/>
      <c r="XEL202"/>
      <c r="XEM202"/>
      <c r="XEN202"/>
      <c r="XEO202"/>
      <c r="XEP202"/>
      <c r="XEQ202"/>
      <c r="XER202"/>
      <c r="XES202"/>
      <c r="XET202"/>
      <c r="XEU202"/>
      <c r="XEV202"/>
      <c r="XEW202"/>
      <c r="XEX202"/>
      <c r="XEY202"/>
      <c r="XEZ202"/>
      <c r="XFA202"/>
      <c r="XFB202"/>
      <c r="XFC202"/>
    </row>
    <row r="203" spans="1:20 16329:16383" s="38" customFormat="1" ht="29.1" customHeight="1" outlineLevel="3" x14ac:dyDescent="0.25">
      <c r="A203" s="55" t="s">
        <v>450</v>
      </c>
      <c r="B203" s="56" t="s">
        <v>451</v>
      </c>
      <c r="C203" s="56" t="s">
        <v>452</v>
      </c>
      <c r="D203" s="2" t="s">
        <v>453</v>
      </c>
      <c r="E203" s="2"/>
      <c r="F203" s="57"/>
      <c r="G203" s="56" t="s">
        <v>117</v>
      </c>
      <c r="H203" s="58"/>
      <c r="I203" s="36"/>
      <c r="J203" s="58"/>
      <c r="K203" s="59"/>
      <c r="L203" s="59"/>
      <c r="M203" s="59"/>
      <c r="N203" s="59"/>
      <c r="O203" s="59">
        <f>O204+O219</f>
        <v>0</v>
      </c>
      <c r="P203" s="59">
        <f>P204+P219</f>
        <v>0</v>
      </c>
      <c r="Q203" s="59">
        <f>Q204+Q219</f>
        <v>0</v>
      </c>
      <c r="R203" s="59">
        <f>R204+R219</f>
        <v>0</v>
      </c>
      <c r="S203" s="59"/>
      <c r="T203" s="36"/>
      <c r="XDA203"/>
      <c r="XDB203"/>
      <c r="XDC203"/>
      <c r="XDD203"/>
      <c r="XDE203"/>
      <c r="XDF203"/>
      <c r="XDG203"/>
      <c r="XDH203"/>
      <c r="XDI203"/>
      <c r="XDJ203"/>
      <c r="XDK203"/>
      <c r="XDL203"/>
      <c r="XDM203"/>
      <c r="XDN203"/>
      <c r="XDO203"/>
      <c r="XDP203"/>
      <c r="XDQ203"/>
      <c r="XDR203"/>
      <c r="XDS203"/>
      <c r="XDT203"/>
      <c r="XDU203"/>
      <c r="XDV203"/>
      <c r="XDW203"/>
      <c r="XDX203"/>
      <c r="XDY203"/>
      <c r="XDZ203"/>
      <c r="XEA203"/>
      <c r="XEB203"/>
      <c r="XEC203"/>
      <c r="XED203"/>
      <c r="XEE203"/>
      <c r="XEF203"/>
      <c r="XEG203"/>
      <c r="XEH203"/>
      <c r="XEI203"/>
      <c r="XEJ203"/>
      <c r="XEK203"/>
      <c r="XEL203"/>
      <c r="XEM203"/>
      <c r="XEN203"/>
      <c r="XEO203"/>
      <c r="XEP203"/>
      <c r="XEQ203"/>
      <c r="XER203"/>
      <c r="XES203"/>
      <c r="XET203"/>
      <c r="XEU203"/>
      <c r="XEV203"/>
      <c r="XEW203"/>
      <c r="XEX203"/>
      <c r="XEY203"/>
      <c r="XEZ203"/>
      <c r="XFA203"/>
      <c r="XFB203"/>
      <c r="XFC203"/>
    </row>
    <row r="204" spans="1:20 16329:16383" s="38" customFormat="1" ht="29.1" customHeight="1" outlineLevel="4" x14ac:dyDescent="0.25">
      <c r="A204" s="60" t="s">
        <v>454</v>
      </c>
      <c r="B204" s="61" t="s">
        <v>455</v>
      </c>
      <c r="C204" s="61"/>
      <c r="D204" s="1" t="s">
        <v>344</v>
      </c>
      <c r="E204" s="1"/>
      <c r="F204" s="62"/>
      <c r="G204" s="61"/>
      <c r="H204" s="63"/>
      <c r="I204" s="36"/>
      <c r="J204" s="63"/>
      <c r="K204" s="64"/>
      <c r="L204" s="64"/>
      <c r="M204" s="64"/>
      <c r="N204" s="64"/>
      <c r="O204" s="64">
        <f>O205+O207+O210+O213+O215+O217</f>
        <v>0</v>
      </c>
      <c r="P204" s="64">
        <f>P205+P207+P210+P213+P215+P217</f>
        <v>0</v>
      </c>
      <c r="Q204" s="64">
        <f>Q205+Q207+Q210+Q213+Q215+Q217</f>
        <v>0</v>
      </c>
      <c r="R204" s="64">
        <f>R205+R207+R210+R213+R215+R217</f>
        <v>0</v>
      </c>
      <c r="S204" s="64"/>
      <c r="T204" s="36"/>
      <c r="XDA204"/>
      <c r="XDB204"/>
      <c r="XDC204"/>
      <c r="XDD204"/>
      <c r="XDE204"/>
      <c r="XDF204"/>
      <c r="XDG204"/>
      <c r="XDH204"/>
      <c r="XDI204"/>
      <c r="XDJ204"/>
      <c r="XDK204"/>
      <c r="XDL204"/>
      <c r="XDM204"/>
      <c r="XDN204"/>
      <c r="XDO204"/>
      <c r="XDP204"/>
      <c r="XDQ204"/>
      <c r="XDR204"/>
      <c r="XDS204"/>
      <c r="XDT204"/>
      <c r="XDU204"/>
      <c r="XDV204"/>
      <c r="XDW204"/>
      <c r="XDX204"/>
      <c r="XDY204"/>
      <c r="XDZ204"/>
      <c r="XEA204"/>
      <c r="XEB204"/>
      <c r="XEC204"/>
      <c r="XED204"/>
      <c r="XEE204"/>
      <c r="XEF204"/>
      <c r="XEG204"/>
      <c r="XEH204"/>
      <c r="XEI204"/>
      <c r="XEJ204"/>
      <c r="XEK204"/>
      <c r="XEL204"/>
      <c r="XEM204"/>
      <c r="XEN204"/>
      <c r="XEO204"/>
      <c r="XEP204"/>
      <c r="XEQ204"/>
      <c r="XER204"/>
      <c r="XES204"/>
      <c r="XET204"/>
      <c r="XEU204"/>
      <c r="XEV204"/>
      <c r="XEW204"/>
      <c r="XEX204"/>
      <c r="XEY204"/>
      <c r="XEZ204"/>
      <c r="XFA204"/>
      <c r="XFB204"/>
      <c r="XFC204"/>
    </row>
    <row r="205" spans="1:20 16329:16383" s="38" customFormat="1" ht="29.1" customHeight="1" outlineLevel="5" x14ac:dyDescent="0.25">
      <c r="A205" s="65" t="s">
        <v>456</v>
      </c>
      <c r="B205" s="66" t="s">
        <v>457</v>
      </c>
      <c r="C205" s="66"/>
      <c r="D205" s="98" t="s">
        <v>347</v>
      </c>
      <c r="E205" s="98"/>
      <c r="F205" s="67"/>
      <c r="G205" s="66"/>
      <c r="H205" s="68"/>
      <c r="I205" s="36"/>
      <c r="J205" s="68"/>
      <c r="K205" s="69"/>
      <c r="L205" s="69"/>
      <c r="M205" s="69"/>
      <c r="N205" s="69"/>
      <c r="O205" s="69">
        <f>O206</f>
        <v>0</v>
      </c>
      <c r="P205" s="69">
        <f>P206</f>
        <v>0</v>
      </c>
      <c r="Q205" s="69">
        <f>Q206</f>
        <v>0</v>
      </c>
      <c r="R205" s="69">
        <f>R206</f>
        <v>0</v>
      </c>
      <c r="S205" s="69"/>
      <c r="T205" s="36"/>
      <c r="XDA205"/>
      <c r="XDB205"/>
      <c r="XDC205"/>
      <c r="XDD205"/>
      <c r="XDE205"/>
      <c r="XDF205"/>
      <c r="XDG205"/>
      <c r="XDH205"/>
      <c r="XDI205"/>
      <c r="XDJ205"/>
      <c r="XDK205"/>
      <c r="XDL205"/>
      <c r="XDM205"/>
      <c r="XDN205"/>
      <c r="XDO205"/>
      <c r="XDP205"/>
      <c r="XDQ205"/>
      <c r="XDR205"/>
      <c r="XDS205"/>
      <c r="XDT205"/>
      <c r="XDU205"/>
      <c r="XDV205"/>
      <c r="XDW205"/>
      <c r="XDX205"/>
      <c r="XDY205"/>
      <c r="XDZ205"/>
      <c r="XEA205"/>
      <c r="XEB205"/>
      <c r="XEC205"/>
      <c r="XED205"/>
      <c r="XEE205"/>
      <c r="XEF205"/>
      <c r="XEG205"/>
      <c r="XEH205"/>
      <c r="XEI205"/>
      <c r="XEJ205"/>
      <c r="XEK205"/>
      <c r="XEL205"/>
      <c r="XEM205"/>
      <c r="XEN205"/>
      <c r="XEO205"/>
      <c r="XEP205"/>
      <c r="XEQ205"/>
      <c r="XER205"/>
      <c r="XES205"/>
      <c r="XET205"/>
      <c r="XEU205"/>
      <c r="XEV205"/>
      <c r="XEW205"/>
      <c r="XEX205"/>
      <c r="XEY205"/>
      <c r="XEZ205"/>
      <c r="XFA205"/>
      <c r="XFB205"/>
      <c r="XFC205"/>
    </row>
    <row r="206" spans="1:20 16329:16383" s="38" customFormat="1" ht="29.1" customHeight="1" outlineLevel="6" x14ac:dyDescent="0.25">
      <c r="A206" s="49" t="s">
        <v>458</v>
      </c>
      <c r="B206" s="50"/>
      <c r="C206" s="50"/>
      <c r="D206" s="3" t="s">
        <v>349</v>
      </c>
      <c r="E206" s="3"/>
      <c r="F206" s="51"/>
      <c r="G206" s="50" t="s">
        <v>117</v>
      </c>
      <c r="H206" s="52">
        <f>1</f>
        <v>1</v>
      </c>
      <c r="I206" s="36"/>
      <c r="J206" s="52">
        <v>1</v>
      </c>
      <c r="K206" s="53">
        <f>0</f>
        <v>0</v>
      </c>
      <c r="L206" s="53">
        <f>0</f>
        <v>0</v>
      </c>
      <c r="M206" s="53">
        <f>0</f>
        <v>0</v>
      </c>
      <c r="N206" s="54">
        <f>SUM(K206:M206)</f>
        <v>0</v>
      </c>
      <c r="O206" s="54">
        <f>ROUND((H206*K206),2)</f>
        <v>0</v>
      </c>
      <c r="P206" s="54">
        <f>ROUND((H206*L206),2)</f>
        <v>0</v>
      </c>
      <c r="Q206" s="54">
        <f>ROUND((H206*M206),2)</f>
        <v>0</v>
      </c>
      <c r="R206" s="54">
        <f>ROUND((H206*N206),2)</f>
        <v>0</v>
      </c>
      <c r="S206" s="54"/>
      <c r="T206" s="36"/>
      <c r="XDA206"/>
      <c r="XDB206"/>
      <c r="XDC206"/>
      <c r="XDD206"/>
      <c r="XDE206"/>
      <c r="XDF206"/>
      <c r="XDG206"/>
      <c r="XDH206"/>
      <c r="XDI206"/>
      <c r="XDJ206"/>
      <c r="XDK206"/>
      <c r="XDL206"/>
      <c r="XDM206"/>
      <c r="XDN206"/>
      <c r="XDO206"/>
      <c r="XDP206"/>
      <c r="XDQ206"/>
      <c r="XDR206"/>
      <c r="XDS206"/>
      <c r="XDT206"/>
      <c r="XDU206"/>
      <c r="XDV206"/>
      <c r="XDW206"/>
      <c r="XDX206"/>
      <c r="XDY206"/>
      <c r="XDZ206"/>
      <c r="XEA206"/>
      <c r="XEB206"/>
      <c r="XEC206"/>
      <c r="XED206"/>
      <c r="XEE206"/>
      <c r="XEF206"/>
      <c r="XEG206"/>
      <c r="XEH206"/>
      <c r="XEI206"/>
      <c r="XEJ206"/>
      <c r="XEK206"/>
      <c r="XEL206"/>
      <c r="XEM206"/>
      <c r="XEN206"/>
      <c r="XEO206"/>
      <c r="XEP206"/>
      <c r="XEQ206"/>
      <c r="XER206"/>
      <c r="XES206"/>
      <c r="XET206"/>
      <c r="XEU206"/>
      <c r="XEV206"/>
      <c r="XEW206"/>
      <c r="XEX206"/>
      <c r="XEY206"/>
      <c r="XEZ206"/>
      <c r="XFA206"/>
      <c r="XFB206"/>
      <c r="XFC206"/>
    </row>
    <row r="207" spans="1:20 16329:16383" s="38" customFormat="1" ht="29.1" customHeight="1" outlineLevel="5" x14ac:dyDescent="0.25">
      <c r="A207" s="65" t="s">
        <v>459</v>
      </c>
      <c r="B207" s="66" t="s">
        <v>460</v>
      </c>
      <c r="C207" s="66"/>
      <c r="D207" s="98" t="s">
        <v>352</v>
      </c>
      <c r="E207" s="98"/>
      <c r="F207" s="67"/>
      <c r="G207" s="66"/>
      <c r="H207" s="68"/>
      <c r="I207" s="36"/>
      <c r="J207" s="68"/>
      <c r="K207" s="69"/>
      <c r="L207" s="69"/>
      <c r="M207" s="69"/>
      <c r="N207" s="69"/>
      <c r="O207" s="69">
        <f>O208+O209</f>
        <v>0</v>
      </c>
      <c r="P207" s="69">
        <f>P208+P209</f>
        <v>0</v>
      </c>
      <c r="Q207" s="69">
        <f>Q208+Q209</f>
        <v>0</v>
      </c>
      <c r="R207" s="69">
        <f>R208+R209</f>
        <v>0</v>
      </c>
      <c r="S207" s="69"/>
      <c r="T207" s="36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  <c r="XEV207"/>
      <c r="XEW207"/>
      <c r="XEX207"/>
      <c r="XEY207"/>
      <c r="XEZ207"/>
      <c r="XFA207"/>
      <c r="XFB207"/>
      <c r="XFC207"/>
    </row>
    <row r="208" spans="1:20 16329:16383" s="38" customFormat="1" ht="29.1" customHeight="1" outlineLevel="6" x14ac:dyDescent="0.25">
      <c r="A208" s="49" t="s">
        <v>461</v>
      </c>
      <c r="B208" s="50"/>
      <c r="C208" s="50"/>
      <c r="D208" s="3" t="s">
        <v>349</v>
      </c>
      <c r="E208" s="3"/>
      <c r="F208" s="51"/>
      <c r="G208" s="50" t="s">
        <v>117</v>
      </c>
      <c r="H208" s="52">
        <f>1</f>
        <v>1</v>
      </c>
      <c r="I208" s="36"/>
      <c r="J208" s="52">
        <v>1</v>
      </c>
      <c r="K208" s="53">
        <f>0</f>
        <v>0</v>
      </c>
      <c r="L208" s="53">
        <f>0</f>
        <v>0</v>
      </c>
      <c r="M208" s="53">
        <f>0</f>
        <v>0</v>
      </c>
      <c r="N208" s="54">
        <f>SUM(K208:M208)</f>
        <v>0</v>
      </c>
      <c r="O208" s="54">
        <f>ROUND((H208*K208),2)</f>
        <v>0</v>
      </c>
      <c r="P208" s="54">
        <f>ROUND((H208*L208),2)</f>
        <v>0</v>
      </c>
      <c r="Q208" s="54">
        <f>ROUND((H208*M208),2)</f>
        <v>0</v>
      </c>
      <c r="R208" s="54">
        <f>ROUND((H208*N208),2)</f>
        <v>0</v>
      </c>
      <c r="S208" s="54"/>
      <c r="T208" s="36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  <c r="XEV208"/>
      <c r="XEW208"/>
      <c r="XEX208"/>
      <c r="XEY208"/>
      <c r="XEZ208"/>
      <c r="XFA208"/>
      <c r="XFB208"/>
      <c r="XFC208"/>
    </row>
    <row r="209" spans="1:20 16329:16383" s="38" customFormat="1" ht="29.1" customHeight="1" outlineLevel="6" x14ac:dyDescent="0.25">
      <c r="A209" s="49" t="s">
        <v>462</v>
      </c>
      <c r="B209" s="50"/>
      <c r="C209" s="50"/>
      <c r="D209" s="3" t="s">
        <v>355</v>
      </c>
      <c r="E209" s="3"/>
      <c r="F209" s="51"/>
      <c r="G209" s="50" t="s">
        <v>117</v>
      </c>
      <c r="H209" s="52">
        <f>1</f>
        <v>1</v>
      </c>
      <c r="I209" s="36"/>
      <c r="J209" s="52">
        <v>1</v>
      </c>
      <c r="K209" s="53">
        <f>0</f>
        <v>0</v>
      </c>
      <c r="L209" s="53">
        <f>0</f>
        <v>0</v>
      </c>
      <c r="M209" s="53">
        <f>0</f>
        <v>0</v>
      </c>
      <c r="N209" s="54">
        <f>SUM(K209:M209)</f>
        <v>0</v>
      </c>
      <c r="O209" s="54">
        <f>ROUND((H209*K209),2)</f>
        <v>0</v>
      </c>
      <c r="P209" s="54">
        <f>ROUND((H209*L209),2)</f>
        <v>0</v>
      </c>
      <c r="Q209" s="54">
        <f>ROUND((H209*M209),2)</f>
        <v>0</v>
      </c>
      <c r="R209" s="54">
        <f>ROUND((H209*N209),2)</f>
        <v>0</v>
      </c>
      <c r="S209" s="54"/>
      <c r="T209" s="36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  <c r="XEV209"/>
      <c r="XEW209"/>
      <c r="XEX209"/>
      <c r="XEY209"/>
      <c r="XEZ209"/>
      <c r="XFA209"/>
      <c r="XFB209"/>
      <c r="XFC209"/>
    </row>
    <row r="210" spans="1:20 16329:16383" s="38" customFormat="1" ht="29.1" customHeight="1" outlineLevel="5" x14ac:dyDescent="0.25">
      <c r="A210" s="65" t="s">
        <v>463</v>
      </c>
      <c r="B210" s="66" t="s">
        <v>464</v>
      </c>
      <c r="C210" s="66"/>
      <c r="D210" s="98" t="s">
        <v>358</v>
      </c>
      <c r="E210" s="98"/>
      <c r="F210" s="67"/>
      <c r="G210" s="66"/>
      <c r="H210" s="68"/>
      <c r="I210" s="36"/>
      <c r="J210" s="68"/>
      <c r="K210" s="69"/>
      <c r="L210" s="69"/>
      <c r="M210" s="69"/>
      <c r="N210" s="69"/>
      <c r="O210" s="69">
        <f>O211+O212</f>
        <v>0</v>
      </c>
      <c r="P210" s="69">
        <f>P211+P212</f>
        <v>0</v>
      </c>
      <c r="Q210" s="69">
        <f>Q211+Q212</f>
        <v>0</v>
      </c>
      <c r="R210" s="69">
        <f>R211+R212</f>
        <v>0</v>
      </c>
      <c r="S210" s="69"/>
      <c r="T210" s="36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  <c r="XEV210"/>
      <c r="XEW210"/>
      <c r="XEX210"/>
      <c r="XEY210"/>
      <c r="XEZ210"/>
      <c r="XFA210"/>
      <c r="XFB210"/>
      <c r="XFC210"/>
    </row>
    <row r="211" spans="1:20 16329:16383" s="38" customFormat="1" ht="29.1" customHeight="1" outlineLevel="6" x14ac:dyDescent="0.25">
      <c r="A211" s="49" t="s">
        <v>465</v>
      </c>
      <c r="B211" s="50"/>
      <c r="C211" s="50"/>
      <c r="D211" s="3" t="s">
        <v>349</v>
      </c>
      <c r="E211" s="3"/>
      <c r="F211" s="51"/>
      <c r="G211" s="50" t="s">
        <v>117</v>
      </c>
      <c r="H211" s="52">
        <f>1</f>
        <v>1</v>
      </c>
      <c r="I211" s="36"/>
      <c r="J211" s="52">
        <v>1</v>
      </c>
      <c r="K211" s="53">
        <f>0</f>
        <v>0</v>
      </c>
      <c r="L211" s="53">
        <f>0</f>
        <v>0</v>
      </c>
      <c r="M211" s="53">
        <f>0</f>
        <v>0</v>
      </c>
      <c r="N211" s="54">
        <f>SUM(K211:M211)</f>
        <v>0</v>
      </c>
      <c r="O211" s="54">
        <f>ROUND((H211*K211),2)</f>
        <v>0</v>
      </c>
      <c r="P211" s="54">
        <f>ROUND((H211*L211),2)</f>
        <v>0</v>
      </c>
      <c r="Q211" s="54">
        <f>ROUND((H211*M211),2)</f>
        <v>0</v>
      </c>
      <c r="R211" s="54">
        <f>ROUND((H211*N211),2)</f>
        <v>0</v>
      </c>
      <c r="S211" s="54"/>
      <c r="T211" s="36"/>
      <c r="XDA211"/>
      <c r="XDB211"/>
      <c r="XDC211"/>
      <c r="XDD211"/>
      <c r="XDE211"/>
      <c r="XDF211"/>
      <c r="XDG211"/>
      <c r="XDH211"/>
      <c r="XDI211"/>
      <c r="XDJ211"/>
      <c r="XDK211"/>
      <c r="XDL211"/>
      <c r="XDM211"/>
      <c r="XDN211"/>
      <c r="XDO211"/>
      <c r="XDP211"/>
      <c r="XDQ211"/>
      <c r="XDR211"/>
      <c r="XDS211"/>
      <c r="XDT211"/>
      <c r="XDU211"/>
      <c r="XDV211"/>
      <c r="XDW211"/>
      <c r="XDX211"/>
      <c r="XDY211"/>
      <c r="XDZ211"/>
      <c r="XEA211"/>
      <c r="XEB211"/>
      <c r="XEC211"/>
      <c r="XED211"/>
      <c r="XEE211"/>
      <c r="XEF211"/>
      <c r="XEG211"/>
      <c r="XEH211"/>
      <c r="XEI211"/>
      <c r="XEJ211"/>
      <c r="XEK211"/>
      <c r="XEL211"/>
      <c r="XEM211"/>
      <c r="XEN211"/>
      <c r="XEO211"/>
      <c r="XEP211"/>
      <c r="XEQ211"/>
      <c r="XER211"/>
      <c r="XES211"/>
      <c r="XET211"/>
      <c r="XEU211"/>
      <c r="XEV211"/>
      <c r="XEW211"/>
      <c r="XEX211"/>
      <c r="XEY211"/>
      <c r="XEZ211"/>
      <c r="XFA211"/>
      <c r="XFB211"/>
      <c r="XFC211"/>
    </row>
    <row r="212" spans="1:20 16329:16383" s="38" customFormat="1" ht="29.1" customHeight="1" outlineLevel="6" x14ac:dyDescent="0.25">
      <c r="A212" s="49" t="s">
        <v>466</v>
      </c>
      <c r="B212" s="50"/>
      <c r="C212" s="50"/>
      <c r="D212" s="3" t="s">
        <v>360</v>
      </c>
      <c r="E212" s="3"/>
      <c r="F212" s="51"/>
      <c r="G212" s="50" t="s">
        <v>117</v>
      </c>
      <c r="H212" s="52">
        <f>1</f>
        <v>1</v>
      </c>
      <c r="I212" s="36"/>
      <c r="J212" s="52">
        <v>1</v>
      </c>
      <c r="K212" s="53">
        <f>0</f>
        <v>0</v>
      </c>
      <c r="L212" s="53">
        <f>0</f>
        <v>0</v>
      </c>
      <c r="M212" s="53">
        <f>0</f>
        <v>0</v>
      </c>
      <c r="N212" s="54">
        <f>SUM(K212:M212)</f>
        <v>0</v>
      </c>
      <c r="O212" s="54">
        <f>ROUND((H212*K212),2)</f>
        <v>0</v>
      </c>
      <c r="P212" s="54">
        <f>ROUND((H212*L212),2)</f>
        <v>0</v>
      </c>
      <c r="Q212" s="54">
        <f>ROUND((H212*M212),2)</f>
        <v>0</v>
      </c>
      <c r="R212" s="54">
        <f>ROUND((H212*N212),2)</f>
        <v>0</v>
      </c>
      <c r="S212" s="54"/>
      <c r="T212" s="36"/>
      <c r="XDA212"/>
      <c r="XDB212"/>
      <c r="XDC212"/>
      <c r="XDD212"/>
      <c r="XDE212"/>
      <c r="XDF212"/>
      <c r="XDG212"/>
      <c r="XDH212"/>
      <c r="XDI212"/>
      <c r="XDJ212"/>
      <c r="XDK212"/>
      <c r="XDL212"/>
      <c r="XDM212"/>
      <c r="XDN212"/>
      <c r="XDO212"/>
      <c r="XDP212"/>
      <c r="XDQ212"/>
      <c r="XDR212"/>
      <c r="XDS212"/>
      <c r="XDT212"/>
      <c r="XDU212"/>
      <c r="XDV212"/>
      <c r="XDW212"/>
      <c r="XDX212"/>
      <c r="XDY212"/>
      <c r="XDZ212"/>
      <c r="XEA212"/>
      <c r="XEB212"/>
      <c r="XEC212"/>
      <c r="XED212"/>
      <c r="XEE212"/>
      <c r="XEF212"/>
      <c r="XEG212"/>
      <c r="XEH212"/>
      <c r="XEI212"/>
      <c r="XEJ212"/>
      <c r="XEK212"/>
      <c r="XEL212"/>
      <c r="XEM212"/>
      <c r="XEN212"/>
      <c r="XEO212"/>
      <c r="XEP212"/>
      <c r="XEQ212"/>
      <c r="XER212"/>
      <c r="XES212"/>
      <c r="XET212"/>
      <c r="XEU212"/>
      <c r="XEV212"/>
      <c r="XEW212"/>
      <c r="XEX212"/>
      <c r="XEY212"/>
      <c r="XEZ212"/>
      <c r="XFA212"/>
      <c r="XFB212"/>
      <c r="XFC212"/>
    </row>
    <row r="213" spans="1:20 16329:16383" s="38" customFormat="1" ht="29.1" customHeight="1" outlineLevel="5" x14ac:dyDescent="0.25">
      <c r="A213" s="65" t="s">
        <v>467</v>
      </c>
      <c r="B213" s="66" t="s">
        <v>468</v>
      </c>
      <c r="C213" s="66"/>
      <c r="D213" s="98" t="s">
        <v>469</v>
      </c>
      <c r="E213" s="98"/>
      <c r="F213" s="67"/>
      <c r="G213" s="66"/>
      <c r="H213" s="68"/>
      <c r="I213" s="36"/>
      <c r="J213" s="68"/>
      <c r="K213" s="69"/>
      <c r="L213" s="69"/>
      <c r="M213" s="69"/>
      <c r="N213" s="69"/>
      <c r="O213" s="69">
        <f>O214</f>
        <v>0</v>
      </c>
      <c r="P213" s="69">
        <f>P214</f>
        <v>0</v>
      </c>
      <c r="Q213" s="69">
        <f>Q214</f>
        <v>0</v>
      </c>
      <c r="R213" s="69">
        <f>R214</f>
        <v>0</v>
      </c>
      <c r="S213" s="69"/>
      <c r="T213" s="36"/>
      <c r="XDA213"/>
      <c r="XDB213"/>
      <c r="XDC213"/>
      <c r="XDD213"/>
      <c r="XDE213"/>
      <c r="XDF213"/>
      <c r="XDG213"/>
      <c r="XDH213"/>
      <c r="XDI213"/>
      <c r="XDJ213"/>
      <c r="XDK213"/>
      <c r="XDL213"/>
      <c r="XDM213"/>
      <c r="XDN213"/>
      <c r="XDO213"/>
      <c r="XDP213"/>
      <c r="XDQ213"/>
      <c r="XDR213"/>
      <c r="XDS213"/>
      <c r="XDT213"/>
      <c r="XDU213"/>
      <c r="XDV213"/>
      <c r="XDW213"/>
      <c r="XDX213"/>
      <c r="XDY213"/>
      <c r="XDZ213"/>
      <c r="XEA213"/>
      <c r="XEB213"/>
      <c r="XEC213"/>
      <c r="XED213"/>
      <c r="XEE213"/>
      <c r="XEF213"/>
      <c r="XEG213"/>
      <c r="XEH213"/>
      <c r="XEI213"/>
      <c r="XEJ213"/>
      <c r="XEK213"/>
      <c r="XEL213"/>
      <c r="XEM213"/>
      <c r="XEN213"/>
      <c r="XEO213"/>
      <c r="XEP213"/>
      <c r="XEQ213"/>
      <c r="XER213"/>
      <c r="XES213"/>
      <c r="XET213"/>
      <c r="XEU213"/>
      <c r="XEV213"/>
      <c r="XEW213"/>
      <c r="XEX213"/>
      <c r="XEY213"/>
      <c r="XEZ213"/>
      <c r="XFA213"/>
      <c r="XFB213"/>
      <c r="XFC213"/>
    </row>
    <row r="214" spans="1:20 16329:16383" s="38" customFormat="1" ht="29.1" customHeight="1" outlineLevel="6" x14ac:dyDescent="0.25">
      <c r="A214" s="49" t="s">
        <v>470</v>
      </c>
      <c r="B214" s="50"/>
      <c r="C214" s="50"/>
      <c r="D214" s="3" t="s">
        <v>349</v>
      </c>
      <c r="E214" s="3"/>
      <c r="F214" s="51"/>
      <c r="G214" s="50" t="s">
        <v>117</v>
      </c>
      <c r="H214" s="52">
        <f>1</f>
        <v>1</v>
      </c>
      <c r="I214" s="36"/>
      <c r="J214" s="52">
        <v>1</v>
      </c>
      <c r="K214" s="53">
        <f>0</f>
        <v>0</v>
      </c>
      <c r="L214" s="53">
        <f>0</f>
        <v>0</v>
      </c>
      <c r="M214" s="53">
        <f>0</f>
        <v>0</v>
      </c>
      <c r="N214" s="54">
        <f>SUM(K214:M214)</f>
        <v>0</v>
      </c>
      <c r="O214" s="54">
        <f>ROUND((H214*K214),2)</f>
        <v>0</v>
      </c>
      <c r="P214" s="54">
        <f>ROUND((H214*L214),2)</f>
        <v>0</v>
      </c>
      <c r="Q214" s="54">
        <f>ROUND((H214*M214),2)</f>
        <v>0</v>
      </c>
      <c r="R214" s="54">
        <f>ROUND((H214*N214),2)</f>
        <v>0</v>
      </c>
      <c r="S214" s="54"/>
      <c r="T214" s="36"/>
      <c r="XDA214"/>
      <c r="XDB214"/>
      <c r="XDC214"/>
      <c r="XDD214"/>
      <c r="XDE214"/>
      <c r="XDF214"/>
      <c r="XDG214"/>
      <c r="XDH214"/>
      <c r="XDI214"/>
      <c r="XDJ214"/>
      <c r="XDK214"/>
      <c r="XDL214"/>
      <c r="XDM214"/>
      <c r="XDN214"/>
      <c r="XDO214"/>
      <c r="XDP214"/>
      <c r="XDQ214"/>
      <c r="XDR214"/>
      <c r="XDS214"/>
      <c r="XDT214"/>
      <c r="XDU214"/>
      <c r="XDV214"/>
      <c r="XDW214"/>
      <c r="XDX214"/>
      <c r="XDY214"/>
      <c r="XDZ214"/>
      <c r="XEA214"/>
      <c r="XEB214"/>
      <c r="XEC214"/>
      <c r="XED214"/>
      <c r="XEE214"/>
      <c r="XEF214"/>
      <c r="XEG214"/>
      <c r="XEH214"/>
      <c r="XEI214"/>
      <c r="XEJ214"/>
      <c r="XEK214"/>
      <c r="XEL214"/>
      <c r="XEM214"/>
      <c r="XEN214"/>
      <c r="XEO214"/>
      <c r="XEP214"/>
      <c r="XEQ214"/>
      <c r="XER214"/>
      <c r="XES214"/>
      <c r="XET214"/>
      <c r="XEU214"/>
      <c r="XEV214"/>
      <c r="XEW214"/>
      <c r="XEX214"/>
      <c r="XEY214"/>
      <c r="XEZ214"/>
      <c r="XFA214"/>
      <c r="XFB214"/>
      <c r="XFC214"/>
    </row>
    <row r="215" spans="1:20 16329:16383" s="38" customFormat="1" ht="29.1" customHeight="1" outlineLevel="5" x14ac:dyDescent="0.25">
      <c r="A215" s="65" t="s">
        <v>471</v>
      </c>
      <c r="B215" s="66" t="s">
        <v>472</v>
      </c>
      <c r="C215" s="66"/>
      <c r="D215" s="98" t="s">
        <v>473</v>
      </c>
      <c r="E215" s="98"/>
      <c r="F215" s="67"/>
      <c r="G215" s="66"/>
      <c r="H215" s="68"/>
      <c r="I215" s="36"/>
      <c r="J215" s="68"/>
      <c r="K215" s="69"/>
      <c r="L215" s="69"/>
      <c r="M215" s="69"/>
      <c r="N215" s="69"/>
      <c r="O215" s="69">
        <f>O216</f>
        <v>0</v>
      </c>
      <c r="P215" s="69">
        <f>P216</f>
        <v>0</v>
      </c>
      <c r="Q215" s="69">
        <f>Q216</f>
        <v>0</v>
      </c>
      <c r="R215" s="69">
        <f>R216</f>
        <v>0</v>
      </c>
      <c r="S215" s="69"/>
      <c r="T215" s="36"/>
      <c r="XDA215"/>
      <c r="XDB215"/>
      <c r="XDC215"/>
      <c r="XDD215"/>
      <c r="XDE215"/>
      <c r="XDF215"/>
      <c r="XDG215"/>
      <c r="XDH215"/>
      <c r="XDI215"/>
      <c r="XDJ215"/>
      <c r="XDK215"/>
      <c r="XDL215"/>
      <c r="XDM215"/>
      <c r="XDN215"/>
      <c r="XDO215"/>
      <c r="XDP215"/>
      <c r="XDQ215"/>
      <c r="XDR215"/>
      <c r="XDS215"/>
      <c r="XDT215"/>
      <c r="XDU215"/>
      <c r="XDV215"/>
      <c r="XDW215"/>
      <c r="XDX215"/>
      <c r="XDY215"/>
      <c r="XDZ215"/>
      <c r="XEA215"/>
      <c r="XEB215"/>
      <c r="XEC215"/>
      <c r="XED215"/>
      <c r="XEE215"/>
      <c r="XEF215"/>
      <c r="XEG215"/>
      <c r="XEH215"/>
      <c r="XEI215"/>
      <c r="XEJ215"/>
      <c r="XEK215"/>
      <c r="XEL215"/>
      <c r="XEM215"/>
      <c r="XEN215"/>
      <c r="XEO215"/>
      <c r="XEP215"/>
      <c r="XEQ215"/>
      <c r="XER215"/>
      <c r="XES215"/>
      <c r="XET215"/>
      <c r="XEU215"/>
      <c r="XEV215"/>
      <c r="XEW215"/>
      <c r="XEX215"/>
      <c r="XEY215"/>
      <c r="XEZ215"/>
      <c r="XFA215"/>
      <c r="XFB215"/>
      <c r="XFC215"/>
    </row>
    <row r="216" spans="1:20 16329:16383" s="38" customFormat="1" ht="29.1" customHeight="1" outlineLevel="6" x14ac:dyDescent="0.25">
      <c r="A216" s="49" t="s">
        <v>474</v>
      </c>
      <c r="B216" s="50"/>
      <c r="C216" s="50"/>
      <c r="D216" s="3" t="s">
        <v>349</v>
      </c>
      <c r="E216" s="3"/>
      <c r="F216" s="51"/>
      <c r="G216" s="50" t="s">
        <v>117</v>
      </c>
      <c r="H216" s="52">
        <f>1</f>
        <v>1</v>
      </c>
      <c r="I216" s="36"/>
      <c r="J216" s="52">
        <v>1</v>
      </c>
      <c r="K216" s="53">
        <f>0</f>
        <v>0</v>
      </c>
      <c r="L216" s="53">
        <f>0</f>
        <v>0</v>
      </c>
      <c r="M216" s="53">
        <f>0</f>
        <v>0</v>
      </c>
      <c r="N216" s="54">
        <f>SUM(K216:M216)</f>
        <v>0</v>
      </c>
      <c r="O216" s="54">
        <f>ROUND((H216*K216),2)</f>
        <v>0</v>
      </c>
      <c r="P216" s="54">
        <f>ROUND((H216*L216),2)</f>
        <v>0</v>
      </c>
      <c r="Q216" s="54">
        <f>ROUND((H216*M216),2)</f>
        <v>0</v>
      </c>
      <c r="R216" s="54">
        <f>ROUND((H216*N216),2)</f>
        <v>0</v>
      </c>
      <c r="S216" s="54"/>
      <c r="T216" s="36"/>
      <c r="XDA216"/>
      <c r="XDB216"/>
      <c r="XDC216"/>
      <c r="XDD216"/>
      <c r="XDE216"/>
      <c r="XDF216"/>
      <c r="XDG216"/>
      <c r="XDH216"/>
      <c r="XDI216"/>
      <c r="XDJ216"/>
      <c r="XDK216"/>
      <c r="XDL216"/>
      <c r="XDM216"/>
      <c r="XDN216"/>
      <c r="XDO216"/>
      <c r="XDP216"/>
      <c r="XDQ216"/>
      <c r="XDR216"/>
      <c r="XDS216"/>
      <c r="XDT216"/>
      <c r="XDU216"/>
      <c r="XDV216"/>
      <c r="XDW216"/>
      <c r="XDX216"/>
      <c r="XDY216"/>
      <c r="XDZ216"/>
      <c r="XEA216"/>
      <c r="XEB216"/>
      <c r="XEC216"/>
      <c r="XED216"/>
      <c r="XEE216"/>
      <c r="XEF216"/>
      <c r="XEG216"/>
      <c r="XEH216"/>
      <c r="XEI216"/>
      <c r="XEJ216"/>
      <c r="XEK216"/>
      <c r="XEL216"/>
      <c r="XEM216"/>
      <c r="XEN216"/>
      <c r="XEO216"/>
      <c r="XEP216"/>
      <c r="XEQ216"/>
      <c r="XER216"/>
      <c r="XES216"/>
      <c r="XET216"/>
      <c r="XEU216"/>
      <c r="XEV216"/>
      <c r="XEW216"/>
      <c r="XEX216"/>
      <c r="XEY216"/>
      <c r="XEZ216"/>
      <c r="XFA216"/>
      <c r="XFB216"/>
      <c r="XFC216"/>
    </row>
    <row r="217" spans="1:20 16329:16383" s="38" customFormat="1" ht="29.1" customHeight="1" outlineLevel="5" x14ac:dyDescent="0.25">
      <c r="A217" s="65" t="s">
        <v>475</v>
      </c>
      <c r="B217" s="66" t="s">
        <v>476</v>
      </c>
      <c r="C217" s="66"/>
      <c r="D217" s="98" t="s">
        <v>477</v>
      </c>
      <c r="E217" s="98"/>
      <c r="F217" s="67"/>
      <c r="G217" s="66"/>
      <c r="H217" s="68"/>
      <c r="I217" s="36"/>
      <c r="J217" s="68"/>
      <c r="K217" s="69"/>
      <c r="L217" s="69"/>
      <c r="M217" s="69"/>
      <c r="N217" s="69"/>
      <c r="O217" s="69">
        <f>O218</f>
        <v>0</v>
      </c>
      <c r="P217" s="69">
        <f>P218</f>
        <v>0</v>
      </c>
      <c r="Q217" s="69">
        <f>Q218</f>
        <v>0</v>
      </c>
      <c r="R217" s="69">
        <f>R218</f>
        <v>0</v>
      </c>
      <c r="S217" s="69"/>
      <c r="T217" s="36"/>
      <c r="XDA217"/>
      <c r="XDB217"/>
      <c r="XDC217"/>
      <c r="XDD217"/>
      <c r="XDE217"/>
      <c r="XDF217"/>
      <c r="XDG217"/>
      <c r="XDH217"/>
      <c r="XDI217"/>
      <c r="XDJ217"/>
      <c r="XDK217"/>
      <c r="XDL217"/>
      <c r="XDM217"/>
      <c r="XDN217"/>
      <c r="XDO217"/>
      <c r="XDP217"/>
      <c r="XDQ217"/>
      <c r="XDR217"/>
      <c r="XDS217"/>
      <c r="XDT217"/>
      <c r="XDU217"/>
      <c r="XDV217"/>
      <c r="XDW217"/>
      <c r="XDX217"/>
      <c r="XDY217"/>
      <c r="XDZ217"/>
      <c r="XEA217"/>
      <c r="XEB217"/>
      <c r="XEC217"/>
      <c r="XED217"/>
      <c r="XEE217"/>
      <c r="XEF217"/>
      <c r="XEG217"/>
      <c r="XEH217"/>
      <c r="XEI217"/>
      <c r="XEJ217"/>
      <c r="XEK217"/>
      <c r="XEL217"/>
      <c r="XEM217"/>
      <c r="XEN217"/>
      <c r="XEO217"/>
      <c r="XEP217"/>
      <c r="XEQ217"/>
      <c r="XER217"/>
      <c r="XES217"/>
      <c r="XET217"/>
      <c r="XEU217"/>
      <c r="XEV217"/>
      <c r="XEW217"/>
      <c r="XEX217"/>
      <c r="XEY217"/>
      <c r="XEZ217"/>
      <c r="XFA217"/>
      <c r="XFB217"/>
      <c r="XFC217"/>
    </row>
    <row r="218" spans="1:20 16329:16383" s="38" customFormat="1" ht="29.1" customHeight="1" outlineLevel="6" x14ac:dyDescent="0.25">
      <c r="A218" s="49" t="s">
        <v>478</v>
      </c>
      <c r="B218" s="50"/>
      <c r="C218" s="50"/>
      <c r="D218" s="3" t="s">
        <v>349</v>
      </c>
      <c r="E218" s="3"/>
      <c r="F218" s="51"/>
      <c r="G218" s="50" t="s">
        <v>117</v>
      </c>
      <c r="H218" s="52">
        <f>1</f>
        <v>1</v>
      </c>
      <c r="I218" s="36"/>
      <c r="J218" s="52">
        <v>1</v>
      </c>
      <c r="K218" s="53">
        <f>0</f>
        <v>0</v>
      </c>
      <c r="L218" s="53">
        <f>0</f>
        <v>0</v>
      </c>
      <c r="M218" s="53">
        <f>0</f>
        <v>0</v>
      </c>
      <c r="N218" s="54">
        <f>SUM(K218:M218)</f>
        <v>0</v>
      </c>
      <c r="O218" s="54">
        <f>ROUND((H218*K218),2)</f>
        <v>0</v>
      </c>
      <c r="P218" s="54">
        <f>ROUND((H218*L218),2)</f>
        <v>0</v>
      </c>
      <c r="Q218" s="54">
        <f>ROUND((H218*M218),2)</f>
        <v>0</v>
      </c>
      <c r="R218" s="54">
        <f>ROUND((H218*N218),2)</f>
        <v>0</v>
      </c>
      <c r="S218" s="54"/>
      <c r="T218" s="36"/>
      <c r="XDA218"/>
      <c r="XDB218"/>
      <c r="XDC218"/>
      <c r="XDD218"/>
      <c r="XDE218"/>
      <c r="XDF218"/>
      <c r="XDG218"/>
      <c r="XDH218"/>
      <c r="XDI218"/>
      <c r="XDJ218"/>
      <c r="XDK218"/>
      <c r="XDL218"/>
      <c r="XDM218"/>
      <c r="XDN218"/>
      <c r="XDO218"/>
      <c r="XDP218"/>
      <c r="XDQ218"/>
      <c r="XDR218"/>
      <c r="XDS218"/>
      <c r="XDT218"/>
      <c r="XDU218"/>
      <c r="XDV218"/>
      <c r="XDW218"/>
      <c r="XDX218"/>
      <c r="XDY218"/>
      <c r="XDZ218"/>
      <c r="XEA218"/>
      <c r="XEB218"/>
      <c r="XEC218"/>
      <c r="XED218"/>
      <c r="XEE218"/>
      <c r="XEF218"/>
      <c r="XEG218"/>
      <c r="XEH218"/>
      <c r="XEI218"/>
      <c r="XEJ218"/>
      <c r="XEK218"/>
      <c r="XEL218"/>
      <c r="XEM218"/>
      <c r="XEN218"/>
      <c r="XEO218"/>
      <c r="XEP218"/>
      <c r="XEQ218"/>
      <c r="XER218"/>
      <c r="XES218"/>
      <c r="XET218"/>
      <c r="XEU218"/>
      <c r="XEV218"/>
      <c r="XEW218"/>
      <c r="XEX218"/>
      <c r="XEY218"/>
      <c r="XEZ218"/>
      <c r="XFA218"/>
      <c r="XFB218"/>
      <c r="XFC218"/>
    </row>
    <row r="219" spans="1:20 16329:16383" s="38" customFormat="1" ht="29.1" customHeight="1" outlineLevel="4" x14ac:dyDescent="0.25">
      <c r="A219" s="60" t="s">
        <v>479</v>
      </c>
      <c r="B219" s="61" t="s">
        <v>480</v>
      </c>
      <c r="C219" s="61"/>
      <c r="D219" s="1" t="s">
        <v>367</v>
      </c>
      <c r="E219" s="1"/>
      <c r="F219" s="62"/>
      <c r="G219" s="61"/>
      <c r="H219" s="63"/>
      <c r="I219" s="36"/>
      <c r="J219" s="63"/>
      <c r="K219" s="64"/>
      <c r="L219" s="64"/>
      <c r="M219" s="64"/>
      <c r="N219" s="64"/>
      <c r="O219" s="64">
        <f>O220+O222+O224+O226+O228+O230</f>
        <v>0</v>
      </c>
      <c r="P219" s="64">
        <f>P220+P222+P224+P226+P228+P230</f>
        <v>0</v>
      </c>
      <c r="Q219" s="64">
        <f>Q220+Q222+Q224+Q226+Q228+Q230</f>
        <v>0</v>
      </c>
      <c r="R219" s="64">
        <f>R220+R222+R224+R226+R228+R230</f>
        <v>0</v>
      </c>
      <c r="S219" s="64"/>
      <c r="T219" s="36"/>
      <c r="XDA219"/>
      <c r="XDB219"/>
      <c r="XDC219"/>
      <c r="XDD219"/>
      <c r="XDE219"/>
      <c r="XDF219"/>
      <c r="XDG219"/>
      <c r="XDH219"/>
      <c r="XDI219"/>
      <c r="XDJ219"/>
      <c r="XDK219"/>
      <c r="XDL219"/>
      <c r="XDM219"/>
      <c r="XDN219"/>
      <c r="XDO219"/>
      <c r="XDP219"/>
      <c r="XDQ219"/>
      <c r="XDR219"/>
      <c r="XDS219"/>
      <c r="XDT219"/>
      <c r="XDU219"/>
      <c r="XDV219"/>
      <c r="XDW219"/>
      <c r="XDX219"/>
      <c r="XDY219"/>
      <c r="XDZ219"/>
      <c r="XEA219"/>
      <c r="XEB219"/>
      <c r="XEC219"/>
      <c r="XED219"/>
      <c r="XEE219"/>
      <c r="XEF219"/>
      <c r="XEG219"/>
      <c r="XEH219"/>
      <c r="XEI219"/>
      <c r="XEJ219"/>
      <c r="XEK219"/>
      <c r="XEL219"/>
      <c r="XEM219"/>
      <c r="XEN219"/>
      <c r="XEO219"/>
      <c r="XEP219"/>
      <c r="XEQ219"/>
      <c r="XER219"/>
      <c r="XES219"/>
      <c r="XET219"/>
      <c r="XEU219"/>
      <c r="XEV219"/>
      <c r="XEW219"/>
      <c r="XEX219"/>
      <c r="XEY219"/>
      <c r="XEZ219"/>
      <c r="XFA219"/>
      <c r="XFB219"/>
      <c r="XFC219"/>
    </row>
    <row r="220" spans="1:20 16329:16383" s="38" customFormat="1" ht="29.1" customHeight="1" outlineLevel="5" x14ac:dyDescent="0.25">
      <c r="A220" s="65" t="s">
        <v>481</v>
      </c>
      <c r="B220" s="66" t="s">
        <v>482</v>
      </c>
      <c r="C220" s="66"/>
      <c r="D220" s="98" t="s">
        <v>370</v>
      </c>
      <c r="E220" s="98"/>
      <c r="F220" s="67"/>
      <c r="G220" s="66"/>
      <c r="H220" s="68"/>
      <c r="I220" s="36"/>
      <c r="J220" s="68"/>
      <c r="K220" s="69"/>
      <c r="L220" s="69"/>
      <c r="M220" s="69"/>
      <c r="N220" s="69"/>
      <c r="O220" s="69">
        <f>O221</f>
        <v>0</v>
      </c>
      <c r="P220" s="69">
        <f>P221</f>
        <v>0</v>
      </c>
      <c r="Q220" s="69">
        <f>Q221</f>
        <v>0</v>
      </c>
      <c r="R220" s="69">
        <f>R221</f>
        <v>0</v>
      </c>
      <c r="S220" s="69"/>
      <c r="T220" s="36"/>
      <c r="XDA220"/>
      <c r="XDB220"/>
      <c r="XDC220"/>
      <c r="XDD220"/>
      <c r="XDE220"/>
      <c r="XDF220"/>
      <c r="XDG220"/>
      <c r="XDH220"/>
      <c r="XDI220"/>
      <c r="XDJ220"/>
      <c r="XDK220"/>
      <c r="XDL220"/>
      <c r="XDM220"/>
      <c r="XDN220"/>
      <c r="XDO220"/>
      <c r="XDP220"/>
      <c r="XDQ220"/>
      <c r="XDR220"/>
      <c r="XDS220"/>
      <c r="XDT220"/>
      <c r="XDU220"/>
      <c r="XDV220"/>
      <c r="XDW220"/>
      <c r="XDX220"/>
      <c r="XDY220"/>
      <c r="XDZ220"/>
      <c r="XEA220"/>
      <c r="XEB220"/>
      <c r="XEC220"/>
      <c r="XED220"/>
      <c r="XEE220"/>
      <c r="XEF220"/>
      <c r="XEG220"/>
      <c r="XEH220"/>
      <c r="XEI220"/>
      <c r="XEJ220"/>
      <c r="XEK220"/>
      <c r="XEL220"/>
      <c r="XEM220"/>
      <c r="XEN220"/>
      <c r="XEO220"/>
      <c r="XEP220"/>
      <c r="XEQ220"/>
      <c r="XER220"/>
      <c r="XES220"/>
      <c r="XET220"/>
      <c r="XEU220"/>
      <c r="XEV220"/>
      <c r="XEW220"/>
      <c r="XEX220"/>
      <c r="XEY220"/>
      <c r="XEZ220"/>
      <c r="XFA220"/>
      <c r="XFB220"/>
      <c r="XFC220"/>
    </row>
    <row r="221" spans="1:20 16329:16383" s="38" customFormat="1" ht="29.1" customHeight="1" outlineLevel="6" x14ac:dyDescent="0.25">
      <c r="A221" s="49" t="s">
        <v>483</v>
      </c>
      <c r="B221" s="50"/>
      <c r="C221" s="50"/>
      <c r="D221" s="3" t="s">
        <v>372</v>
      </c>
      <c r="E221" s="3"/>
      <c r="F221" s="51"/>
      <c r="G221" s="50" t="s">
        <v>117</v>
      </c>
      <c r="H221" s="52">
        <f>1</f>
        <v>1</v>
      </c>
      <c r="I221" s="36"/>
      <c r="J221" s="52">
        <v>1</v>
      </c>
      <c r="K221" s="53">
        <f>0</f>
        <v>0</v>
      </c>
      <c r="L221" s="53">
        <f>0</f>
        <v>0</v>
      </c>
      <c r="M221" s="53">
        <f>0</f>
        <v>0</v>
      </c>
      <c r="N221" s="54">
        <f>SUM(K221:M221)</f>
        <v>0</v>
      </c>
      <c r="O221" s="54">
        <f>ROUND((H221*K221),2)</f>
        <v>0</v>
      </c>
      <c r="P221" s="54">
        <f>ROUND((H221*L221),2)</f>
        <v>0</v>
      </c>
      <c r="Q221" s="54">
        <f>ROUND((H221*M221),2)</f>
        <v>0</v>
      </c>
      <c r="R221" s="54">
        <f>ROUND((H221*N221),2)</f>
        <v>0</v>
      </c>
      <c r="S221" s="54"/>
      <c r="T221" s="36"/>
      <c r="XDA221"/>
      <c r="XDB221"/>
      <c r="XDC221"/>
      <c r="XDD221"/>
      <c r="XDE221"/>
      <c r="XDF221"/>
      <c r="XDG221"/>
      <c r="XDH221"/>
      <c r="XDI221"/>
      <c r="XDJ221"/>
      <c r="XDK221"/>
      <c r="XDL221"/>
      <c r="XDM221"/>
      <c r="XDN221"/>
      <c r="XDO221"/>
      <c r="XDP221"/>
      <c r="XDQ221"/>
      <c r="XDR221"/>
      <c r="XDS221"/>
      <c r="XDT221"/>
      <c r="XDU221"/>
      <c r="XDV221"/>
      <c r="XDW221"/>
      <c r="XDX221"/>
      <c r="XDY221"/>
      <c r="XDZ221"/>
      <c r="XEA221"/>
      <c r="XEB221"/>
      <c r="XEC221"/>
      <c r="XED221"/>
      <c r="XEE221"/>
      <c r="XEF221"/>
      <c r="XEG221"/>
      <c r="XEH221"/>
      <c r="XEI221"/>
      <c r="XEJ221"/>
      <c r="XEK221"/>
      <c r="XEL221"/>
      <c r="XEM221"/>
      <c r="XEN221"/>
      <c r="XEO221"/>
      <c r="XEP221"/>
      <c r="XEQ221"/>
      <c r="XER221"/>
      <c r="XES221"/>
      <c r="XET221"/>
      <c r="XEU221"/>
      <c r="XEV221"/>
      <c r="XEW221"/>
      <c r="XEX221"/>
      <c r="XEY221"/>
      <c r="XEZ221"/>
      <c r="XFA221"/>
      <c r="XFB221"/>
      <c r="XFC221"/>
    </row>
    <row r="222" spans="1:20 16329:16383" s="38" customFormat="1" ht="29.1" customHeight="1" outlineLevel="5" x14ac:dyDescent="0.25">
      <c r="A222" s="65" t="s">
        <v>484</v>
      </c>
      <c r="B222" s="66" t="s">
        <v>485</v>
      </c>
      <c r="C222" s="66"/>
      <c r="D222" s="98" t="s">
        <v>375</v>
      </c>
      <c r="E222" s="98"/>
      <c r="F222" s="67"/>
      <c r="G222" s="66"/>
      <c r="H222" s="68"/>
      <c r="I222" s="36"/>
      <c r="J222" s="68"/>
      <c r="K222" s="69"/>
      <c r="L222" s="69"/>
      <c r="M222" s="69"/>
      <c r="N222" s="69"/>
      <c r="O222" s="69">
        <f>O223</f>
        <v>0</v>
      </c>
      <c r="P222" s="69">
        <f>P223</f>
        <v>0</v>
      </c>
      <c r="Q222" s="69">
        <f>Q223</f>
        <v>0</v>
      </c>
      <c r="R222" s="69">
        <f>R223</f>
        <v>0</v>
      </c>
      <c r="S222" s="69"/>
      <c r="T222" s="36"/>
      <c r="XDA222"/>
      <c r="XDB222"/>
      <c r="XDC222"/>
      <c r="XDD222"/>
      <c r="XDE222"/>
      <c r="XDF222"/>
      <c r="XDG222"/>
      <c r="XDH222"/>
      <c r="XDI222"/>
      <c r="XDJ222"/>
      <c r="XDK222"/>
      <c r="XDL222"/>
      <c r="XDM222"/>
      <c r="XDN222"/>
      <c r="XDO222"/>
      <c r="XDP222"/>
      <c r="XDQ222"/>
      <c r="XDR222"/>
      <c r="XDS222"/>
      <c r="XDT222"/>
      <c r="XDU222"/>
      <c r="XDV222"/>
      <c r="XDW222"/>
      <c r="XDX222"/>
      <c r="XDY222"/>
      <c r="XDZ222"/>
      <c r="XEA222"/>
      <c r="XEB222"/>
      <c r="XEC222"/>
      <c r="XED222"/>
      <c r="XEE222"/>
      <c r="XEF222"/>
      <c r="XEG222"/>
      <c r="XEH222"/>
      <c r="XEI222"/>
      <c r="XEJ222"/>
      <c r="XEK222"/>
      <c r="XEL222"/>
      <c r="XEM222"/>
      <c r="XEN222"/>
      <c r="XEO222"/>
      <c r="XEP222"/>
      <c r="XEQ222"/>
      <c r="XER222"/>
      <c r="XES222"/>
      <c r="XET222"/>
      <c r="XEU222"/>
      <c r="XEV222"/>
      <c r="XEW222"/>
      <c r="XEX222"/>
      <c r="XEY222"/>
      <c r="XEZ222"/>
      <c r="XFA222"/>
      <c r="XFB222"/>
      <c r="XFC222"/>
    </row>
    <row r="223" spans="1:20 16329:16383" s="38" customFormat="1" ht="29.1" customHeight="1" outlineLevel="6" x14ac:dyDescent="0.25">
      <c r="A223" s="49" t="s">
        <v>486</v>
      </c>
      <c r="B223" s="50"/>
      <c r="C223" s="50"/>
      <c r="D223" s="3" t="s">
        <v>377</v>
      </c>
      <c r="E223" s="3"/>
      <c r="F223" s="51"/>
      <c r="G223" s="50" t="s">
        <v>117</v>
      </c>
      <c r="H223" s="52">
        <f>1</f>
        <v>1</v>
      </c>
      <c r="I223" s="36"/>
      <c r="J223" s="52">
        <v>1</v>
      </c>
      <c r="K223" s="53">
        <f>0</f>
        <v>0</v>
      </c>
      <c r="L223" s="53">
        <f>0</f>
        <v>0</v>
      </c>
      <c r="M223" s="53">
        <f>0</f>
        <v>0</v>
      </c>
      <c r="N223" s="54">
        <f>SUM(K223:M223)</f>
        <v>0</v>
      </c>
      <c r="O223" s="54">
        <f>ROUND((H223*K223),2)</f>
        <v>0</v>
      </c>
      <c r="P223" s="54">
        <f>ROUND((H223*L223),2)</f>
        <v>0</v>
      </c>
      <c r="Q223" s="54">
        <f>ROUND((H223*M223),2)</f>
        <v>0</v>
      </c>
      <c r="R223" s="54">
        <f>ROUND((H223*N223),2)</f>
        <v>0</v>
      </c>
      <c r="S223" s="54"/>
      <c r="T223" s="36"/>
      <c r="XDA223"/>
      <c r="XDB223"/>
      <c r="XDC223"/>
      <c r="XDD223"/>
      <c r="XDE223"/>
      <c r="XDF223"/>
      <c r="XDG223"/>
      <c r="XDH223"/>
      <c r="XDI223"/>
      <c r="XDJ223"/>
      <c r="XDK223"/>
      <c r="XDL223"/>
      <c r="XDM223"/>
      <c r="XDN223"/>
      <c r="XDO223"/>
      <c r="XDP223"/>
      <c r="XDQ223"/>
      <c r="XDR223"/>
      <c r="XDS223"/>
      <c r="XDT223"/>
      <c r="XDU223"/>
      <c r="XDV223"/>
      <c r="XDW223"/>
      <c r="XDX223"/>
      <c r="XDY223"/>
      <c r="XDZ223"/>
      <c r="XEA223"/>
      <c r="XEB223"/>
      <c r="XEC223"/>
      <c r="XED223"/>
      <c r="XEE223"/>
      <c r="XEF223"/>
      <c r="XEG223"/>
      <c r="XEH223"/>
      <c r="XEI223"/>
      <c r="XEJ223"/>
      <c r="XEK223"/>
      <c r="XEL223"/>
      <c r="XEM223"/>
      <c r="XEN223"/>
      <c r="XEO223"/>
      <c r="XEP223"/>
      <c r="XEQ223"/>
      <c r="XER223"/>
      <c r="XES223"/>
      <c r="XET223"/>
      <c r="XEU223"/>
      <c r="XEV223"/>
      <c r="XEW223"/>
      <c r="XEX223"/>
      <c r="XEY223"/>
      <c r="XEZ223"/>
      <c r="XFA223"/>
      <c r="XFB223"/>
      <c r="XFC223"/>
    </row>
    <row r="224" spans="1:20 16329:16383" s="38" customFormat="1" ht="29.1" customHeight="1" outlineLevel="5" x14ac:dyDescent="0.25">
      <c r="A224" s="65" t="s">
        <v>487</v>
      </c>
      <c r="B224" s="66" t="s">
        <v>488</v>
      </c>
      <c r="C224" s="66"/>
      <c r="D224" s="98" t="s">
        <v>380</v>
      </c>
      <c r="E224" s="98"/>
      <c r="F224" s="67"/>
      <c r="G224" s="66"/>
      <c r="H224" s="68"/>
      <c r="I224" s="36"/>
      <c r="J224" s="68"/>
      <c r="K224" s="69"/>
      <c r="L224" s="69"/>
      <c r="M224" s="69"/>
      <c r="N224" s="69"/>
      <c r="O224" s="69">
        <f>O225</f>
        <v>0</v>
      </c>
      <c r="P224" s="69">
        <f>P225</f>
        <v>0</v>
      </c>
      <c r="Q224" s="69">
        <f>Q225</f>
        <v>0</v>
      </c>
      <c r="R224" s="69">
        <f>R225</f>
        <v>0</v>
      </c>
      <c r="S224" s="69"/>
      <c r="T224" s="36"/>
      <c r="XDA224"/>
      <c r="XDB224"/>
      <c r="XDC224"/>
      <c r="XDD224"/>
      <c r="XDE224"/>
      <c r="XDF224"/>
      <c r="XDG224"/>
      <c r="XDH224"/>
      <c r="XDI224"/>
      <c r="XDJ224"/>
      <c r="XDK224"/>
      <c r="XDL224"/>
      <c r="XDM224"/>
      <c r="XDN224"/>
      <c r="XDO224"/>
      <c r="XDP224"/>
      <c r="XDQ224"/>
      <c r="XDR224"/>
      <c r="XDS224"/>
      <c r="XDT224"/>
      <c r="XDU224"/>
      <c r="XDV224"/>
      <c r="XDW224"/>
      <c r="XDX224"/>
      <c r="XDY224"/>
      <c r="XDZ224"/>
      <c r="XEA224"/>
      <c r="XEB224"/>
      <c r="XEC224"/>
      <c r="XED224"/>
      <c r="XEE224"/>
      <c r="XEF224"/>
      <c r="XEG224"/>
      <c r="XEH224"/>
      <c r="XEI224"/>
      <c r="XEJ224"/>
      <c r="XEK224"/>
      <c r="XEL224"/>
      <c r="XEM224"/>
      <c r="XEN224"/>
      <c r="XEO224"/>
      <c r="XEP224"/>
      <c r="XEQ224"/>
      <c r="XER224"/>
      <c r="XES224"/>
      <c r="XET224"/>
      <c r="XEU224"/>
      <c r="XEV224"/>
      <c r="XEW224"/>
      <c r="XEX224"/>
      <c r="XEY224"/>
      <c r="XEZ224"/>
      <c r="XFA224"/>
      <c r="XFB224"/>
      <c r="XFC224"/>
    </row>
    <row r="225" spans="1:20 16329:16383" s="38" customFormat="1" ht="29.1" customHeight="1" outlineLevel="6" x14ac:dyDescent="0.25">
      <c r="A225" s="49" t="s">
        <v>489</v>
      </c>
      <c r="B225" s="50"/>
      <c r="C225" s="50"/>
      <c r="D225" s="3" t="s">
        <v>382</v>
      </c>
      <c r="E225" s="3"/>
      <c r="F225" s="51"/>
      <c r="G225" s="50" t="s">
        <v>117</v>
      </c>
      <c r="H225" s="52">
        <f>1</f>
        <v>1</v>
      </c>
      <c r="I225" s="36"/>
      <c r="J225" s="52">
        <v>1</v>
      </c>
      <c r="K225" s="53">
        <f>0</f>
        <v>0</v>
      </c>
      <c r="L225" s="53">
        <f>0</f>
        <v>0</v>
      </c>
      <c r="M225" s="53">
        <f>0</f>
        <v>0</v>
      </c>
      <c r="N225" s="54">
        <f>SUM(K225:M225)</f>
        <v>0</v>
      </c>
      <c r="O225" s="54">
        <f>ROUND((H225*K225),2)</f>
        <v>0</v>
      </c>
      <c r="P225" s="54">
        <f>ROUND((H225*L225),2)</f>
        <v>0</v>
      </c>
      <c r="Q225" s="54">
        <f>ROUND((H225*M225),2)</f>
        <v>0</v>
      </c>
      <c r="R225" s="54">
        <f>ROUND((H225*N225),2)</f>
        <v>0</v>
      </c>
      <c r="S225" s="54"/>
      <c r="T225" s="36"/>
      <c r="XDA225"/>
      <c r="XDB225"/>
      <c r="XDC225"/>
      <c r="XDD225"/>
      <c r="XDE225"/>
      <c r="XDF225"/>
      <c r="XDG225"/>
      <c r="XDH225"/>
      <c r="XDI225"/>
      <c r="XDJ225"/>
      <c r="XDK225"/>
      <c r="XDL225"/>
      <c r="XDM225"/>
      <c r="XDN225"/>
      <c r="XDO225"/>
      <c r="XDP225"/>
      <c r="XDQ225"/>
      <c r="XDR225"/>
      <c r="XDS225"/>
      <c r="XDT225"/>
      <c r="XDU225"/>
      <c r="XDV225"/>
      <c r="XDW225"/>
      <c r="XDX225"/>
      <c r="XDY225"/>
      <c r="XDZ225"/>
      <c r="XEA225"/>
      <c r="XEB225"/>
      <c r="XEC225"/>
      <c r="XED225"/>
      <c r="XEE225"/>
      <c r="XEF225"/>
      <c r="XEG225"/>
      <c r="XEH225"/>
      <c r="XEI225"/>
      <c r="XEJ225"/>
      <c r="XEK225"/>
      <c r="XEL225"/>
      <c r="XEM225"/>
      <c r="XEN225"/>
      <c r="XEO225"/>
      <c r="XEP225"/>
      <c r="XEQ225"/>
      <c r="XER225"/>
      <c r="XES225"/>
      <c r="XET225"/>
      <c r="XEU225"/>
      <c r="XEV225"/>
      <c r="XEW225"/>
      <c r="XEX225"/>
      <c r="XEY225"/>
      <c r="XEZ225"/>
      <c r="XFA225"/>
      <c r="XFB225"/>
      <c r="XFC225"/>
    </row>
    <row r="226" spans="1:20 16329:16383" s="38" customFormat="1" ht="29.1" customHeight="1" outlineLevel="5" x14ac:dyDescent="0.25">
      <c r="A226" s="65" t="s">
        <v>490</v>
      </c>
      <c r="B226" s="66" t="s">
        <v>491</v>
      </c>
      <c r="C226" s="66"/>
      <c r="D226" s="98" t="s">
        <v>492</v>
      </c>
      <c r="E226" s="98"/>
      <c r="F226" s="67"/>
      <c r="G226" s="66"/>
      <c r="H226" s="68"/>
      <c r="I226" s="36"/>
      <c r="J226" s="68"/>
      <c r="K226" s="69"/>
      <c r="L226" s="69"/>
      <c r="M226" s="69"/>
      <c r="N226" s="69"/>
      <c r="O226" s="69">
        <f>O227</f>
        <v>0</v>
      </c>
      <c r="P226" s="69">
        <f>P227</f>
        <v>0</v>
      </c>
      <c r="Q226" s="69">
        <f>Q227</f>
        <v>0</v>
      </c>
      <c r="R226" s="69">
        <f>R227</f>
        <v>0</v>
      </c>
      <c r="S226" s="69"/>
      <c r="T226" s="36"/>
      <c r="XDA226"/>
      <c r="XDB226"/>
      <c r="XDC226"/>
      <c r="XDD226"/>
      <c r="XDE226"/>
      <c r="XDF226"/>
      <c r="XDG226"/>
      <c r="XDH226"/>
      <c r="XDI226"/>
      <c r="XDJ226"/>
      <c r="XDK226"/>
      <c r="XDL226"/>
      <c r="XDM226"/>
      <c r="XDN226"/>
      <c r="XDO226"/>
      <c r="XDP226"/>
      <c r="XDQ226"/>
      <c r="XDR226"/>
      <c r="XDS226"/>
      <c r="XDT226"/>
      <c r="XDU226"/>
      <c r="XDV226"/>
      <c r="XDW226"/>
      <c r="XDX226"/>
      <c r="XDY226"/>
      <c r="XDZ226"/>
      <c r="XEA226"/>
      <c r="XEB226"/>
      <c r="XEC226"/>
      <c r="XED226"/>
      <c r="XEE226"/>
      <c r="XEF226"/>
      <c r="XEG226"/>
      <c r="XEH226"/>
      <c r="XEI226"/>
      <c r="XEJ226"/>
      <c r="XEK226"/>
      <c r="XEL226"/>
      <c r="XEM226"/>
      <c r="XEN226"/>
      <c r="XEO226"/>
      <c r="XEP226"/>
      <c r="XEQ226"/>
      <c r="XER226"/>
      <c r="XES226"/>
      <c r="XET226"/>
      <c r="XEU226"/>
      <c r="XEV226"/>
      <c r="XEW226"/>
      <c r="XEX226"/>
      <c r="XEY226"/>
      <c r="XEZ226"/>
      <c r="XFA226"/>
      <c r="XFB226"/>
      <c r="XFC226"/>
    </row>
    <row r="227" spans="1:20 16329:16383" s="38" customFormat="1" ht="29.1" customHeight="1" outlineLevel="6" x14ac:dyDescent="0.25">
      <c r="A227" s="49" t="s">
        <v>493</v>
      </c>
      <c r="B227" s="50"/>
      <c r="C227" s="50"/>
      <c r="D227" s="3" t="s">
        <v>372</v>
      </c>
      <c r="E227" s="3"/>
      <c r="F227" s="51"/>
      <c r="G227" s="50" t="s">
        <v>117</v>
      </c>
      <c r="H227" s="52">
        <f>1</f>
        <v>1</v>
      </c>
      <c r="I227" s="36"/>
      <c r="J227" s="52">
        <v>1</v>
      </c>
      <c r="K227" s="53">
        <f>0</f>
        <v>0</v>
      </c>
      <c r="L227" s="53">
        <f>0</f>
        <v>0</v>
      </c>
      <c r="M227" s="53">
        <f>0</f>
        <v>0</v>
      </c>
      <c r="N227" s="54">
        <f>SUM(K227:M227)</f>
        <v>0</v>
      </c>
      <c r="O227" s="54">
        <f>ROUND((H227*K227),2)</f>
        <v>0</v>
      </c>
      <c r="P227" s="54">
        <f>ROUND((H227*L227),2)</f>
        <v>0</v>
      </c>
      <c r="Q227" s="54">
        <f>ROUND((H227*M227),2)</f>
        <v>0</v>
      </c>
      <c r="R227" s="54">
        <f>ROUND((H227*N227),2)</f>
        <v>0</v>
      </c>
      <c r="S227" s="54"/>
      <c r="T227" s="36"/>
      <c r="XDA227"/>
      <c r="XDB227"/>
      <c r="XDC227"/>
      <c r="XDD227"/>
      <c r="XDE227"/>
      <c r="XDF227"/>
      <c r="XDG227"/>
      <c r="XDH227"/>
      <c r="XDI227"/>
      <c r="XDJ227"/>
      <c r="XDK227"/>
      <c r="XDL227"/>
      <c r="XDM227"/>
      <c r="XDN227"/>
      <c r="XDO227"/>
      <c r="XDP227"/>
      <c r="XDQ227"/>
      <c r="XDR227"/>
      <c r="XDS227"/>
      <c r="XDT227"/>
      <c r="XDU227"/>
      <c r="XDV227"/>
      <c r="XDW227"/>
      <c r="XDX227"/>
      <c r="XDY227"/>
      <c r="XDZ227"/>
      <c r="XEA227"/>
      <c r="XEB227"/>
      <c r="XEC227"/>
      <c r="XED227"/>
      <c r="XEE227"/>
      <c r="XEF227"/>
      <c r="XEG227"/>
      <c r="XEH227"/>
      <c r="XEI227"/>
      <c r="XEJ227"/>
      <c r="XEK227"/>
      <c r="XEL227"/>
      <c r="XEM227"/>
      <c r="XEN227"/>
      <c r="XEO227"/>
      <c r="XEP227"/>
      <c r="XEQ227"/>
      <c r="XER227"/>
      <c r="XES227"/>
      <c r="XET227"/>
      <c r="XEU227"/>
      <c r="XEV227"/>
      <c r="XEW227"/>
      <c r="XEX227"/>
      <c r="XEY227"/>
      <c r="XEZ227"/>
      <c r="XFA227"/>
      <c r="XFB227"/>
      <c r="XFC227"/>
    </row>
    <row r="228" spans="1:20 16329:16383" s="38" customFormat="1" ht="29.1" customHeight="1" outlineLevel="5" x14ac:dyDescent="0.25">
      <c r="A228" s="65" t="s">
        <v>494</v>
      </c>
      <c r="B228" s="66" t="s">
        <v>495</v>
      </c>
      <c r="C228" s="66"/>
      <c r="D228" s="98" t="s">
        <v>496</v>
      </c>
      <c r="E228" s="98"/>
      <c r="F228" s="67"/>
      <c r="G228" s="66"/>
      <c r="H228" s="68"/>
      <c r="I228" s="36"/>
      <c r="J228" s="68"/>
      <c r="K228" s="69"/>
      <c r="L228" s="69"/>
      <c r="M228" s="69"/>
      <c r="N228" s="69"/>
      <c r="O228" s="69">
        <f>O229</f>
        <v>0</v>
      </c>
      <c r="P228" s="69">
        <f>P229</f>
        <v>0</v>
      </c>
      <c r="Q228" s="69">
        <f>Q229</f>
        <v>0</v>
      </c>
      <c r="R228" s="69">
        <f>R229</f>
        <v>0</v>
      </c>
      <c r="S228" s="69"/>
      <c r="T228" s="36"/>
      <c r="XDA228"/>
      <c r="XDB228"/>
      <c r="XDC228"/>
      <c r="XDD228"/>
      <c r="XDE228"/>
      <c r="XDF228"/>
      <c r="XDG228"/>
      <c r="XDH228"/>
      <c r="XDI228"/>
      <c r="XDJ228"/>
      <c r="XDK228"/>
      <c r="XDL228"/>
      <c r="XDM228"/>
      <c r="XDN228"/>
      <c r="XDO228"/>
      <c r="XDP228"/>
      <c r="XDQ228"/>
      <c r="XDR228"/>
      <c r="XDS228"/>
      <c r="XDT228"/>
      <c r="XDU228"/>
      <c r="XDV228"/>
      <c r="XDW228"/>
      <c r="XDX228"/>
      <c r="XDY228"/>
      <c r="XDZ228"/>
      <c r="XEA228"/>
      <c r="XEB228"/>
      <c r="XEC228"/>
      <c r="XED228"/>
      <c r="XEE228"/>
      <c r="XEF228"/>
      <c r="XEG228"/>
      <c r="XEH228"/>
      <c r="XEI228"/>
      <c r="XEJ228"/>
      <c r="XEK228"/>
      <c r="XEL228"/>
      <c r="XEM228"/>
      <c r="XEN228"/>
      <c r="XEO228"/>
      <c r="XEP228"/>
      <c r="XEQ228"/>
      <c r="XER228"/>
      <c r="XES228"/>
      <c r="XET228"/>
      <c r="XEU228"/>
      <c r="XEV228"/>
      <c r="XEW228"/>
      <c r="XEX228"/>
      <c r="XEY228"/>
      <c r="XEZ228"/>
      <c r="XFA228"/>
      <c r="XFB228"/>
      <c r="XFC228"/>
    </row>
    <row r="229" spans="1:20 16329:16383" s="38" customFormat="1" ht="29.1" customHeight="1" outlineLevel="6" x14ac:dyDescent="0.25">
      <c r="A229" s="49" t="s">
        <v>497</v>
      </c>
      <c r="B229" s="50"/>
      <c r="C229" s="50"/>
      <c r="D229" s="3" t="s">
        <v>372</v>
      </c>
      <c r="E229" s="3"/>
      <c r="F229" s="51"/>
      <c r="G229" s="50" t="s">
        <v>117</v>
      </c>
      <c r="H229" s="52">
        <f>1</f>
        <v>1</v>
      </c>
      <c r="I229" s="36"/>
      <c r="J229" s="52">
        <v>1</v>
      </c>
      <c r="K229" s="53">
        <f>0</f>
        <v>0</v>
      </c>
      <c r="L229" s="53">
        <f>0</f>
        <v>0</v>
      </c>
      <c r="M229" s="53">
        <f>0</f>
        <v>0</v>
      </c>
      <c r="N229" s="54">
        <f>SUM(K229:M229)</f>
        <v>0</v>
      </c>
      <c r="O229" s="54">
        <f>ROUND((H229*K229),2)</f>
        <v>0</v>
      </c>
      <c r="P229" s="54">
        <f>ROUND((H229*L229),2)</f>
        <v>0</v>
      </c>
      <c r="Q229" s="54">
        <f>ROUND((H229*M229),2)</f>
        <v>0</v>
      </c>
      <c r="R229" s="54">
        <f>ROUND((H229*N229),2)</f>
        <v>0</v>
      </c>
      <c r="S229" s="54"/>
      <c r="T229" s="36"/>
      <c r="XDA229"/>
      <c r="XDB229"/>
      <c r="XDC229"/>
      <c r="XDD229"/>
      <c r="XDE229"/>
      <c r="XDF229"/>
      <c r="XDG229"/>
      <c r="XDH229"/>
      <c r="XDI229"/>
      <c r="XDJ229"/>
      <c r="XDK229"/>
      <c r="XDL229"/>
      <c r="XDM229"/>
      <c r="XDN229"/>
      <c r="XDO229"/>
      <c r="XDP229"/>
      <c r="XDQ229"/>
      <c r="XDR229"/>
      <c r="XDS229"/>
      <c r="XDT229"/>
      <c r="XDU229"/>
      <c r="XDV229"/>
      <c r="XDW229"/>
      <c r="XDX229"/>
      <c r="XDY229"/>
      <c r="XDZ229"/>
      <c r="XEA229"/>
      <c r="XEB229"/>
      <c r="XEC229"/>
      <c r="XED229"/>
      <c r="XEE229"/>
      <c r="XEF229"/>
      <c r="XEG229"/>
      <c r="XEH229"/>
      <c r="XEI229"/>
      <c r="XEJ229"/>
      <c r="XEK229"/>
      <c r="XEL229"/>
      <c r="XEM229"/>
      <c r="XEN229"/>
      <c r="XEO229"/>
      <c r="XEP229"/>
      <c r="XEQ229"/>
      <c r="XER229"/>
      <c r="XES229"/>
      <c r="XET229"/>
      <c r="XEU229"/>
      <c r="XEV229"/>
      <c r="XEW229"/>
      <c r="XEX229"/>
      <c r="XEY229"/>
      <c r="XEZ229"/>
      <c r="XFA229"/>
      <c r="XFB229"/>
      <c r="XFC229"/>
    </row>
    <row r="230" spans="1:20 16329:16383" s="38" customFormat="1" ht="29.1" customHeight="1" outlineLevel="5" x14ac:dyDescent="0.25">
      <c r="A230" s="65" t="s">
        <v>498</v>
      </c>
      <c r="B230" s="66" t="s">
        <v>499</v>
      </c>
      <c r="C230" s="66"/>
      <c r="D230" s="98" t="s">
        <v>500</v>
      </c>
      <c r="E230" s="98"/>
      <c r="F230" s="67"/>
      <c r="G230" s="66"/>
      <c r="H230" s="68"/>
      <c r="I230" s="36"/>
      <c r="J230" s="68"/>
      <c r="K230" s="69"/>
      <c r="L230" s="69"/>
      <c r="M230" s="69"/>
      <c r="N230" s="69"/>
      <c r="O230" s="69">
        <f>O231</f>
        <v>0</v>
      </c>
      <c r="P230" s="69">
        <f>P231</f>
        <v>0</v>
      </c>
      <c r="Q230" s="69">
        <f>Q231</f>
        <v>0</v>
      </c>
      <c r="R230" s="69">
        <f>R231</f>
        <v>0</v>
      </c>
      <c r="S230" s="69"/>
      <c r="T230" s="36"/>
      <c r="XDA230"/>
      <c r="XDB230"/>
      <c r="XDC230"/>
      <c r="XDD230"/>
      <c r="XDE230"/>
      <c r="XDF230"/>
      <c r="XDG230"/>
      <c r="XDH230"/>
      <c r="XDI230"/>
      <c r="XDJ230"/>
      <c r="XDK230"/>
      <c r="XDL230"/>
      <c r="XDM230"/>
      <c r="XDN230"/>
      <c r="XDO230"/>
      <c r="XDP230"/>
      <c r="XDQ230"/>
      <c r="XDR230"/>
      <c r="XDS230"/>
      <c r="XDT230"/>
      <c r="XDU230"/>
      <c r="XDV230"/>
      <c r="XDW230"/>
      <c r="XDX230"/>
      <c r="XDY230"/>
      <c r="XDZ230"/>
      <c r="XEA230"/>
      <c r="XEB230"/>
      <c r="XEC230"/>
      <c r="XED230"/>
      <c r="XEE230"/>
      <c r="XEF230"/>
      <c r="XEG230"/>
      <c r="XEH230"/>
      <c r="XEI230"/>
      <c r="XEJ230"/>
      <c r="XEK230"/>
      <c r="XEL230"/>
      <c r="XEM230"/>
      <c r="XEN230"/>
      <c r="XEO230"/>
      <c r="XEP230"/>
      <c r="XEQ230"/>
      <c r="XER230"/>
      <c r="XES230"/>
      <c r="XET230"/>
      <c r="XEU230"/>
      <c r="XEV230"/>
      <c r="XEW230"/>
      <c r="XEX230"/>
      <c r="XEY230"/>
      <c r="XEZ230"/>
      <c r="XFA230"/>
      <c r="XFB230"/>
      <c r="XFC230"/>
    </row>
    <row r="231" spans="1:20 16329:16383" s="38" customFormat="1" ht="29.1" customHeight="1" outlineLevel="6" x14ac:dyDescent="0.25">
      <c r="A231" s="49" t="s">
        <v>501</v>
      </c>
      <c r="B231" s="50"/>
      <c r="C231" s="50"/>
      <c r="D231" s="3" t="s">
        <v>372</v>
      </c>
      <c r="E231" s="3"/>
      <c r="F231" s="51"/>
      <c r="G231" s="50" t="s">
        <v>117</v>
      </c>
      <c r="H231" s="52">
        <f>1</f>
        <v>1</v>
      </c>
      <c r="I231" s="36"/>
      <c r="J231" s="52">
        <v>1</v>
      </c>
      <c r="K231" s="53">
        <f>0</f>
        <v>0</v>
      </c>
      <c r="L231" s="53">
        <f>0</f>
        <v>0</v>
      </c>
      <c r="M231" s="53">
        <f>0</f>
        <v>0</v>
      </c>
      <c r="N231" s="54">
        <f>SUM(K231:M231)</f>
        <v>0</v>
      </c>
      <c r="O231" s="54">
        <f>ROUND((H231*K231),2)</f>
        <v>0</v>
      </c>
      <c r="P231" s="54">
        <f>ROUND((H231*L231),2)</f>
        <v>0</v>
      </c>
      <c r="Q231" s="54">
        <f>ROUND((H231*M231),2)</f>
        <v>0</v>
      </c>
      <c r="R231" s="54">
        <f>ROUND((H231*N231),2)</f>
        <v>0</v>
      </c>
      <c r="S231" s="54"/>
      <c r="T231" s="36"/>
      <c r="XDA231"/>
      <c r="XDB231"/>
      <c r="XDC231"/>
      <c r="XDD231"/>
      <c r="XDE231"/>
      <c r="XDF231"/>
      <c r="XDG231"/>
      <c r="XDH231"/>
      <c r="XDI231"/>
      <c r="XDJ231"/>
      <c r="XDK231"/>
      <c r="XDL231"/>
      <c r="XDM231"/>
      <c r="XDN231"/>
      <c r="XDO231"/>
      <c r="XDP231"/>
      <c r="XDQ231"/>
      <c r="XDR231"/>
      <c r="XDS231"/>
      <c r="XDT231"/>
      <c r="XDU231"/>
      <c r="XDV231"/>
      <c r="XDW231"/>
      <c r="XDX231"/>
      <c r="XDY231"/>
      <c r="XDZ231"/>
      <c r="XEA231"/>
      <c r="XEB231"/>
      <c r="XEC231"/>
      <c r="XED231"/>
      <c r="XEE231"/>
      <c r="XEF231"/>
      <c r="XEG231"/>
      <c r="XEH231"/>
      <c r="XEI231"/>
      <c r="XEJ231"/>
      <c r="XEK231"/>
      <c r="XEL231"/>
      <c r="XEM231"/>
      <c r="XEN231"/>
      <c r="XEO231"/>
      <c r="XEP231"/>
      <c r="XEQ231"/>
      <c r="XER231"/>
      <c r="XES231"/>
      <c r="XET231"/>
      <c r="XEU231"/>
      <c r="XEV231"/>
      <c r="XEW231"/>
      <c r="XEX231"/>
      <c r="XEY231"/>
      <c r="XEZ231"/>
      <c r="XFA231"/>
      <c r="XFB231"/>
      <c r="XFC231"/>
    </row>
    <row r="232" spans="1:20 16329:16383" s="38" customFormat="1" ht="29.1" customHeight="1" outlineLevel="3" x14ac:dyDescent="0.25">
      <c r="A232" s="55" t="s">
        <v>502</v>
      </c>
      <c r="B232" s="56" t="s">
        <v>503</v>
      </c>
      <c r="C232" s="56" t="s">
        <v>504</v>
      </c>
      <c r="D232" s="2" t="s">
        <v>505</v>
      </c>
      <c r="E232" s="2"/>
      <c r="F232" s="57"/>
      <c r="G232" s="56" t="s">
        <v>117</v>
      </c>
      <c r="H232" s="58"/>
      <c r="I232" s="36"/>
      <c r="J232" s="58"/>
      <c r="K232" s="59"/>
      <c r="L232" s="59"/>
      <c r="M232" s="59"/>
      <c r="N232" s="59"/>
      <c r="O232" s="59">
        <f>O233+O246</f>
        <v>0</v>
      </c>
      <c r="P232" s="59">
        <f>P233+P246</f>
        <v>0</v>
      </c>
      <c r="Q232" s="59">
        <f>Q233+Q246</f>
        <v>0</v>
      </c>
      <c r="R232" s="59">
        <f>R233+R246</f>
        <v>0</v>
      </c>
      <c r="S232" s="59"/>
      <c r="T232" s="36"/>
      <c r="XDA232"/>
      <c r="XDB232"/>
      <c r="XDC232"/>
      <c r="XDD232"/>
      <c r="XDE232"/>
      <c r="XDF232"/>
      <c r="XDG232"/>
      <c r="XDH232"/>
      <c r="XDI232"/>
      <c r="XDJ232"/>
      <c r="XDK232"/>
      <c r="XDL232"/>
      <c r="XDM232"/>
      <c r="XDN232"/>
      <c r="XDO232"/>
      <c r="XDP232"/>
      <c r="XDQ232"/>
      <c r="XDR232"/>
      <c r="XDS232"/>
      <c r="XDT232"/>
      <c r="XDU232"/>
      <c r="XDV232"/>
      <c r="XDW232"/>
      <c r="XDX232"/>
      <c r="XDY232"/>
      <c r="XDZ232"/>
      <c r="XEA232"/>
      <c r="XEB232"/>
      <c r="XEC232"/>
      <c r="XED232"/>
      <c r="XEE232"/>
      <c r="XEF232"/>
      <c r="XEG232"/>
      <c r="XEH232"/>
      <c r="XEI232"/>
      <c r="XEJ232"/>
      <c r="XEK232"/>
      <c r="XEL232"/>
      <c r="XEM232"/>
      <c r="XEN232"/>
      <c r="XEO232"/>
      <c r="XEP232"/>
      <c r="XEQ232"/>
      <c r="XER232"/>
      <c r="XES232"/>
      <c r="XET232"/>
      <c r="XEU232"/>
      <c r="XEV232"/>
      <c r="XEW232"/>
      <c r="XEX232"/>
      <c r="XEY232"/>
      <c r="XEZ232"/>
      <c r="XFA232"/>
      <c r="XFB232"/>
      <c r="XFC232"/>
    </row>
    <row r="233" spans="1:20 16329:16383" s="38" customFormat="1" ht="29.1" customHeight="1" outlineLevel="4" x14ac:dyDescent="0.25">
      <c r="A233" s="60" t="s">
        <v>506</v>
      </c>
      <c r="B233" s="61" t="s">
        <v>507</v>
      </c>
      <c r="C233" s="61"/>
      <c r="D233" s="1" t="s">
        <v>288</v>
      </c>
      <c r="E233" s="1"/>
      <c r="F233" s="62"/>
      <c r="G233" s="61"/>
      <c r="H233" s="63"/>
      <c r="I233" s="36"/>
      <c r="J233" s="63"/>
      <c r="K233" s="64"/>
      <c r="L233" s="64"/>
      <c r="M233" s="64"/>
      <c r="N233" s="64"/>
      <c r="O233" s="64">
        <f>O234+O236+O238+O240+O242+O244</f>
        <v>0</v>
      </c>
      <c r="P233" s="64">
        <f>P234+P236+P238+P240+P242+P244</f>
        <v>0</v>
      </c>
      <c r="Q233" s="64">
        <f>Q234+Q236+Q238+Q240+Q242+Q244</f>
        <v>0</v>
      </c>
      <c r="R233" s="64">
        <f>R234+R236+R238+R240+R242+R244</f>
        <v>0</v>
      </c>
      <c r="S233" s="64"/>
      <c r="T233" s="36"/>
      <c r="XDA233"/>
      <c r="XDB233"/>
      <c r="XDC233"/>
      <c r="XDD233"/>
      <c r="XDE233"/>
      <c r="XDF233"/>
      <c r="XDG233"/>
      <c r="XDH233"/>
      <c r="XDI233"/>
      <c r="XDJ233"/>
      <c r="XDK233"/>
      <c r="XDL233"/>
      <c r="XDM233"/>
      <c r="XDN233"/>
      <c r="XDO233"/>
      <c r="XDP233"/>
      <c r="XDQ233"/>
      <c r="XDR233"/>
      <c r="XDS233"/>
      <c r="XDT233"/>
      <c r="XDU233"/>
      <c r="XDV233"/>
      <c r="XDW233"/>
      <c r="XDX233"/>
      <c r="XDY233"/>
      <c r="XDZ233"/>
      <c r="XEA233"/>
      <c r="XEB233"/>
      <c r="XEC233"/>
      <c r="XED233"/>
      <c r="XEE233"/>
      <c r="XEF233"/>
      <c r="XEG233"/>
      <c r="XEH233"/>
      <c r="XEI233"/>
      <c r="XEJ233"/>
      <c r="XEK233"/>
      <c r="XEL233"/>
      <c r="XEM233"/>
      <c r="XEN233"/>
      <c r="XEO233"/>
      <c r="XEP233"/>
      <c r="XEQ233"/>
      <c r="XER233"/>
      <c r="XES233"/>
      <c r="XET233"/>
      <c r="XEU233"/>
      <c r="XEV233"/>
      <c r="XEW233"/>
      <c r="XEX233"/>
      <c r="XEY233"/>
      <c r="XEZ233"/>
      <c r="XFA233"/>
      <c r="XFB233"/>
      <c r="XFC233"/>
    </row>
    <row r="234" spans="1:20 16329:16383" s="38" customFormat="1" ht="29.1" customHeight="1" outlineLevel="5" x14ac:dyDescent="0.25">
      <c r="A234" s="65" t="s">
        <v>508</v>
      </c>
      <c r="B234" s="66" t="s">
        <v>509</v>
      </c>
      <c r="C234" s="66"/>
      <c r="D234" s="98" t="s">
        <v>291</v>
      </c>
      <c r="E234" s="98"/>
      <c r="F234" s="67"/>
      <c r="G234" s="66"/>
      <c r="H234" s="68"/>
      <c r="I234" s="36"/>
      <c r="J234" s="68"/>
      <c r="K234" s="69"/>
      <c r="L234" s="69"/>
      <c r="M234" s="69"/>
      <c r="N234" s="69"/>
      <c r="O234" s="69">
        <f>O235</f>
        <v>0</v>
      </c>
      <c r="P234" s="69">
        <f>P235</f>
        <v>0</v>
      </c>
      <c r="Q234" s="69">
        <f>Q235</f>
        <v>0</v>
      </c>
      <c r="R234" s="69">
        <f>R235</f>
        <v>0</v>
      </c>
      <c r="S234" s="69"/>
      <c r="T234" s="36"/>
      <c r="XDA234"/>
      <c r="XDB234"/>
      <c r="XDC234"/>
      <c r="XDD234"/>
      <c r="XDE234"/>
      <c r="XDF234"/>
      <c r="XDG234"/>
      <c r="XDH234"/>
      <c r="XDI234"/>
      <c r="XDJ234"/>
      <c r="XDK234"/>
      <c r="XDL234"/>
      <c r="XDM234"/>
      <c r="XDN234"/>
      <c r="XDO234"/>
      <c r="XDP234"/>
      <c r="XDQ234"/>
      <c r="XDR234"/>
      <c r="XDS234"/>
      <c r="XDT234"/>
      <c r="XDU234"/>
      <c r="XDV234"/>
      <c r="XDW234"/>
      <c r="XDX234"/>
      <c r="XDY234"/>
      <c r="XDZ234"/>
      <c r="XEA234"/>
      <c r="XEB234"/>
      <c r="XEC234"/>
      <c r="XED234"/>
      <c r="XEE234"/>
      <c r="XEF234"/>
      <c r="XEG234"/>
      <c r="XEH234"/>
      <c r="XEI234"/>
      <c r="XEJ234"/>
      <c r="XEK234"/>
      <c r="XEL234"/>
      <c r="XEM234"/>
      <c r="XEN234"/>
      <c r="XEO234"/>
      <c r="XEP234"/>
      <c r="XEQ234"/>
      <c r="XER234"/>
      <c r="XES234"/>
      <c r="XET234"/>
      <c r="XEU234"/>
      <c r="XEV234"/>
      <c r="XEW234"/>
      <c r="XEX234"/>
      <c r="XEY234"/>
      <c r="XEZ234"/>
      <c r="XFA234"/>
      <c r="XFB234"/>
      <c r="XFC234"/>
    </row>
    <row r="235" spans="1:20 16329:16383" s="38" customFormat="1" ht="29.1" customHeight="1" outlineLevel="6" x14ac:dyDescent="0.25">
      <c r="A235" s="49" t="s">
        <v>510</v>
      </c>
      <c r="B235" s="50"/>
      <c r="C235" s="50"/>
      <c r="D235" s="3" t="s">
        <v>511</v>
      </c>
      <c r="E235" s="3"/>
      <c r="F235" s="51"/>
      <c r="G235" s="50" t="s">
        <v>117</v>
      </c>
      <c r="H235" s="52">
        <f>1</f>
        <v>1</v>
      </c>
      <c r="I235" s="36"/>
      <c r="J235" s="52">
        <v>1</v>
      </c>
      <c r="K235" s="53">
        <f>0</f>
        <v>0</v>
      </c>
      <c r="L235" s="53">
        <f>0</f>
        <v>0</v>
      </c>
      <c r="M235" s="53">
        <f>0</f>
        <v>0</v>
      </c>
      <c r="N235" s="54">
        <f>SUM(K235:M235)</f>
        <v>0</v>
      </c>
      <c r="O235" s="54">
        <f>ROUND((H235*K235),2)</f>
        <v>0</v>
      </c>
      <c r="P235" s="54">
        <f>ROUND((H235*L235),2)</f>
        <v>0</v>
      </c>
      <c r="Q235" s="54">
        <f>ROUND((H235*M235),2)</f>
        <v>0</v>
      </c>
      <c r="R235" s="54">
        <f>ROUND((H235*N235),2)</f>
        <v>0</v>
      </c>
      <c r="S235" s="54"/>
      <c r="T235" s="36"/>
      <c r="XDA235"/>
      <c r="XDB235"/>
      <c r="XDC235"/>
      <c r="XDD235"/>
      <c r="XDE235"/>
      <c r="XDF235"/>
      <c r="XDG235"/>
      <c r="XDH235"/>
      <c r="XDI235"/>
      <c r="XDJ235"/>
      <c r="XDK235"/>
      <c r="XDL235"/>
      <c r="XDM235"/>
      <c r="XDN235"/>
      <c r="XDO235"/>
      <c r="XDP235"/>
      <c r="XDQ235"/>
      <c r="XDR235"/>
      <c r="XDS235"/>
      <c r="XDT235"/>
      <c r="XDU235"/>
      <c r="XDV235"/>
      <c r="XDW235"/>
      <c r="XDX235"/>
      <c r="XDY235"/>
      <c r="XDZ235"/>
      <c r="XEA235"/>
      <c r="XEB235"/>
      <c r="XEC235"/>
      <c r="XED235"/>
      <c r="XEE235"/>
      <c r="XEF235"/>
      <c r="XEG235"/>
      <c r="XEH235"/>
      <c r="XEI235"/>
      <c r="XEJ235"/>
      <c r="XEK235"/>
      <c r="XEL235"/>
      <c r="XEM235"/>
      <c r="XEN235"/>
      <c r="XEO235"/>
      <c r="XEP235"/>
      <c r="XEQ235"/>
      <c r="XER235"/>
      <c r="XES235"/>
      <c r="XET235"/>
      <c r="XEU235"/>
      <c r="XEV235"/>
      <c r="XEW235"/>
      <c r="XEX235"/>
      <c r="XEY235"/>
      <c r="XEZ235"/>
      <c r="XFA235"/>
      <c r="XFB235"/>
      <c r="XFC235"/>
    </row>
    <row r="236" spans="1:20 16329:16383" s="38" customFormat="1" ht="29.1" customHeight="1" outlineLevel="5" x14ac:dyDescent="0.25">
      <c r="A236" s="65" t="s">
        <v>512</v>
      </c>
      <c r="B236" s="66" t="s">
        <v>513</v>
      </c>
      <c r="C236" s="66"/>
      <c r="D236" s="98" t="s">
        <v>514</v>
      </c>
      <c r="E236" s="98"/>
      <c r="F236" s="67"/>
      <c r="G236" s="66"/>
      <c r="H236" s="68"/>
      <c r="I236" s="36"/>
      <c r="J236" s="68"/>
      <c r="K236" s="69"/>
      <c r="L236" s="69"/>
      <c r="M236" s="69"/>
      <c r="N236" s="69"/>
      <c r="O236" s="69">
        <f>O237</f>
        <v>0</v>
      </c>
      <c r="P236" s="69">
        <f>P237</f>
        <v>0</v>
      </c>
      <c r="Q236" s="69">
        <f>Q237</f>
        <v>0</v>
      </c>
      <c r="R236" s="69">
        <f>R237</f>
        <v>0</v>
      </c>
      <c r="S236" s="69"/>
      <c r="T236" s="36"/>
      <c r="XDA236"/>
      <c r="XDB236"/>
      <c r="XDC236"/>
      <c r="XDD236"/>
      <c r="XDE236"/>
      <c r="XDF236"/>
      <c r="XDG236"/>
      <c r="XDH236"/>
      <c r="XDI236"/>
      <c r="XDJ236"/>
      <c r="XDK236"/>
      <c r="XDL236"/>
      <c r="XDM236"/>
      <c r="XDN236"/>
      <c r="XDO236"/>
      <c r="XDP236"/>
      <c r="XDQ236"/>
      <c r="XDR236"/>
      <c r="XDS236"/>
      <c r="XDT236"/>
      <c r="XDU236"/>
      <c r="XDV236"/>
      <c r="XDW236"/>
      <c r="XDX236"/>
      <c r="XDY236"/>
      <c r="XDZ236"/>
      <c r="XEA236"/>
      <c r="XEB236"/>
      <c r="XEC236"/>
      <c r="XED236"/>
      <c r="XEE236"/>
      <c r="XEF236"/>
      <c r="XEG236"/>
      <c r="XEH236"/>
      <c r="XEI236"/>
      <c r="XEJ236"/>
      <c r="XEK236"/>
      <c r="XEL236"/>
      <c r="XEM236"/>
      <c r="XEN236"/>
      <c r="XEO236"/>
      <c r="XEP236"/>
      <c r="XEQ236"/>
      <c r="XER236"/>
      <c r="XES236"/>
      <c r="XET236"/>
      <c r="XEU236"/>
      <c r="XEV236"/>
      <c r="XEW236"/>
      <c r="XEX236"/>
      <c r="XEY236"/>
      <c r="XEZ236"/>
      <c r="XFA236"/>
      <c r="XFB236"/>
      <c r="XFC236"/>
    </row>
    <row r="237" spans="1:20 16329:16383" s="38" customFormat="1" ht="29.1" customHeight="1" outlineLevel="6" x14ac:dyDescent="0.25">
      <c r="A237" s="49" t="s">
        <v>515</v>
      </c>
      <c r="B237" s="50"/>
      <c r="C237" s="50"/>
      <c r="D237" s="3" t="s">
        <v>511</v>
      </c>
      <c r="E237" s="3"/>
      <c r="F237" s="51"/>
      <c r="G237" s="50" t="s">
        <v>117</v>
      </c>
      <c r="H237" s="52">
        <f>1</f>
        <v>1</v>
      </c>
      <c r="I237" s="36"/>
      <c r="J237" s="52">
        <v>1</v>
      </c>
      <c r="K237" s="53">
        <f>0</f>
        <v>0</v>
      </c>
      <c r="L237" s="53">
        <f>0</f>
        <v>0</v>
      </c>
      <c r="M237" s="53">
        <f>0</f>
        <v>0</v>
      </c>
      <c r="N237" s="54">
        <f>SUM(K237:M237)</f>
        <v>0</v>
      </c>
      <c r="O237" s="54">
        <f>ROUND((H237*K237),2)</f>
        <v>0</v>
      </c>
      <c r="P237" s="54">
        <f>ROUND((H237*L237),2)</f>
        <v>0</v>
      </c>
      <c r="Q237" s="54">
        <f>ROUND((H237*M237),2)</f>
        <v>0</v>
      </c>
      <c r="R237" s="54">
        <f>ROUND((H237*N237),2)</f>
        <v>0</v>
      </c>
      <c r="S237" s="54"/>
      <c r="T237" s="36"/>
      <c r="XDA237"/>
      <c r="XDB237"/>
      <c r="XDC237"/>
      <c r="XDD237"/>
      <c r="XDE237"/>
      <c r="XDF237"/>
      <c r="XDG237"/>
      <c r="XDH237"/>
      <c r="XDI237"/>
      <c r="XDJ237"/>
      <c r="XDK237"/>
      <c r="XDL237"/>
      <c r="XDM237"/>
      <c r="XDN237"/>
      <c r="XDO237"/>
      <c r="XDP237"/>
      <c r="XDQ237"/>
      <c r="XDR237"/>
      <c r="XDS237"/>
      <c r="XDT237"/>
      <c r="XDU237"/>
      <c r="XDV237"/>
      <c r="XDW237"/>
      <c r="XDX237"/>
      <c r="XDY237"/>
      <c r="XDZ237"/>
      <c r="XEA237"/>
      <c r="XEB237"/>
      <c r="XEC237"/>
      <c r="XED237"/>
      <c r="XEE237"/>
      <c r="XEF237"/>
      <c r="XEG237"/>
      <c r="XEH237"/>
      <c r="XEI237"/>
      <c r="XEJ237"/>
      <c r="XEK237"/>
      <c r="XEL237"/>
      <c r="XEM237"/>
      <c r="XEN237"/>
      <c r="XEO237"/>
      <c r="XEP237"/>
      <c r="XEQ237"/>
      <c r="XER237"/>
      <c r="XES237"/>
      <c r="XET237"/>
      <c r="XEU237"/>
      <c r="XEV237"/>
      <c r="XEW237"/>
      <c r="XEX237"/>
      <c r="XEY237"/>
      <c r="XEZ237"/>
      <c r="XFA237"/>
      <c r="XFB237"/>
      <c r="XFC237"/>
    </row>
    <row r="238" spans="1:20 16329:16383" s="38" customFormat="1" ht="29.1" customHeight="1" outlineLevel="5" x14ac:dyDescent="0.25">
      <c r="A238" s="65" t="s">
        <v>516</v>
      </c>
      <c r="B238" s="66" t="s">
        <v>517</v>
      </c>
      <c r="C238" s="66"/>
      <c r="D238" s="98" t="s">
        <v>296</v>
      </c>
      <c r="E238" s="98"/>
      <c r="F238" s="67"/>
      <c r="G238" s="66"/>
      <c r="H238" s="68"/>
      <c r="I238" s="36"/>
      <c r="J238" s="68"/>
      <c r="K238" s="69"/>
      <c r="L238" s="69"/>
      <c r="M238" s="69"/>
      <c r="N238" s="69"/>
      <c r="O238" s="69">
        <f>O239</f>
        <v>0</v>
      </c>
      <c r="P238" s="69">
        <f>P239</f>
        <v>0</v>
      </c>
      <c r="Q238" s="69">
        <f>Q239</f>
        <v>0</v>
      </c>
      <c r="R238" s="69">
        <f>R239</f>
        <v>0</v>
      </c>
      <c r="S238" s="69"/>
      <c r="T238" s="36"/>
      <c r="XDA238"/>
      <c r="XDB238"/>
      <c r="XDC238"/>
      <c r="XDD238"/>
      <c r="XDE238"/>
      <c r="XDF238"/>
      <c r="XDG238"/>
      <c r="XDH238"/>
      <c r="XDI238"/>
      <c r="XDJ238"/>
      <c r="XDK238"/>
      <c r="XDL238"/>
      <c r="XDM238"/>
      <c r="XDN238"/>
      <c r="XDO238"/>
      <c r="XDP238"/>
      <c r="XDQ238"/>
      <c r="XDR238"/>
      <c r="XDS238"/>
      <c r="XDT238"/>
      <c r="XDU238"/>
      <c r="XDV238"/>
      <c r="XDW238"/>
      <c r="XDX238"/>
      <c r="XDY238"/>
      <c r="XDZ238"/>
      <c r="XEA238"/>
      <c r="XEB238"/>
      <c r="XEC238"/>
      <c r="XED238"/>
      <c r="XEE238"/>
      <c r="XEF238"/>
      <c r="XEG238"/>
      <c r="XEH238"/>
      <c r="XEI238"/>
      <c r="XEJ238"/>
      <c r="XEK238"/>
      <c r="XEL238"/>
      <c r="XEM238"/>
      <c r="XEN238"/>
      <c r="XEO238"/>
      <c r="XEP238"/>
      <c r="XEQ238"/>
      <c r="XER238"/>
      <c r="XES238"/>
      <c r="XET238"/>
      <c r="XEU238"/>
      <c r="XEV238"/>
      <c r="XEW238"/>
      <c r="XEX238"/>
      <c r="XEY238"/>
      <c r="XEZ238"/>
      <c r="XFA238"/>
      <c r="XFB238"/>
      <c r="XFC238"/>
    </row>
    <row r="239" spans="1:20 16329:16383" s="38" customFormat="1" ht="29.1" customHeight="1" outlineLevel="6" x14ac:dyDescent="0.25">
      <c r="A239" s="49" t="s">
        <v>518</v>
      </c>
      <c r="B239" s="50"/>
      <c r="C239" s="50"/>
      <c r="D239" s="3" t="s">
        <v>511</v>
      </c>
      <c r="E239" s="3"/>
      <c r="F239" s="51"/>
      <c r="G239" s="50" t="s">
        <v>117</v>
      </c>
      <c r="H239" s="52">
        <f>1</f>
        <v>1</v>
      </c>
      <c r="I239" s="36"/>
      <c r="J239" s="52">
        <v>1</v>
      </c>
      <c r="K239" s="53">
        <f>0</f>
        <v>0</v>
      </c>
      <c r="L239" s="53">
        <f>0</f>
        <v>0</v>
      </c>
      <c r="M239" s="53">
        <f>0</f>
        <v>0</v>
      </c>
      <c r="N239" s="54">
        <f>SUM(K239:M239)</f>
        <v>0</v>
      </c>
      <c r="O239" s="54">
        <f>ROUND((H239*K239),2)</f>
        <v>0</v>
      </c>
      <c r="P239" s="54">
        <f>ROUND((H239*L239),2)</f>
        <v>0</v>
      </c>
      <c r="Q239" s="54">
        <f>ROUND((H239*M239),2)</f>
        <v>0</v>
      </c>
      <c r="R239" s="54">
        <f>ROUND((H239*N239),2)</f>
        <v>0</v>
      </c>
      <c r="S239" s="54"/>
      <c r="T239" s="36"/>
      <c r="XDA239"/>
      <c r="XDB239"/>
      <c r="XDC239"/>
      <c r="XDD239"/>
      <c r="XDE239"/>
      <c r="XDF239"/>
      <c r="XDG239"/>
      <c r="XDH239"/>
      <c r="XDI239"/>
      <c r="XDJ239"/>
      <c r="XDK239"/>
      <c r="XDL239"/>
      <c r="XDM239"/>
      <c r="XDN239"/>
      <c r="XDO239"/>
      <c r="XDP239"/>
      <c r="XDQ239"/>
      <c r="XDR239"/>
      <c r="XDS239"/>
      <c r="XDT239"/>
      <c r="XDU239"/>
      <c r="XDV239"/>
      <c r="XDW239"/>
      <c r="XDX239"/>
      <c r="XDY239"/>
      <c r="XDZ239"/>
      <c r="XEA239"/>
      <c r="XEB239"/>
      <c r="XEC239"/>
      <c r="XED239"/>
      <c r="XEE239"/>
      <c r="XEF239"/>
      <c r="XEG239"/>
      <c r="XEH239"/>
      <c r="XEI239"/>
      <c r="XEJ239"/>
      <c r="XEK239"/>
      <c r="XEL239"/>
      <c r="XEM239"/>
      <c r="XEN239"/>
      <c r="XEO239"/>
      <c r="XEP239"/>
      <c r="XEQ239"/>
      <c r="XER239"/>
      <c r="XES239"/>
      <c r="XET239"/>
      <c r="XEU239"/>
      <c r="XEV239"/>
      <c r="XEW239"/>
      <c r="XEX239"/>
      <c r="XEY239"/>
      <c r="XEZ239"/>
      <c r="XFA239"/>
      <c r="XFB239"/>
      <c r="XFC239"/>
    </row>
    <row r="240" spans="1:20 16329:16383" s="38" customFormat="1" ht="29.1" customHeight="1" outlineLevel="5" x14ac:dyDescent="0.25">
      <c r="A240" s="65" t="s">
        <v>519</v>
      </c>
      <c r="B240" s="66" t="s">
        <v>520</v>
      </c>
      <c r="C240" s="66"/>
      <c r="D240" s="98" t="s">
        <v>300</v>
      </c>
      <c r="E240" s="98"/>
      <c r="F240" s="67"/>
      <c r="G240" s="66"/>
      <c r="H240" s="68"/>
      <c r="I240" s="36"/>
      <c r="J240" s="68"/>
      <c r="K240" s="69"/>
      <c r="L240" s="69"/>
      <c r="M240" s="69"/>
      <c r="N240" s="69"/>
      <c r="O240" s="69">
        <f>O241</f>
        <v>0</v>
      </c>
      <c r="P240" s="69">
        <f>P241</f>
        <v>0</v>
      </c>
      <c r="Q240" s="69">
        <f>Q241</f>
        <v>0</v>
      </c>
      <c r="R240" s="69">
        <f>R241</f>
        <v>0</v>
      </c>
      <c r="S240" s="69"/>
      <c r="T240" s="36"/>
      <c r="XDA240"/>
      <c r="XDB240"/>
      <c r="XDC240"/>
      <c r="XDD240"/>
      <c r="XDE240"/>
      <c r="XDF240"/>
      <c r="XDG240"/>
      <c r="XDH240"/>
      <c r="XDI240"/>
      <c r="XDJ240"/>
      <c r="XDK240"/>
      <c r="XDL240"/>
      <c r="XDM240"/>
      <c r="XDN240"/>
      <c r="XDO240"/>
      <c r="XDP240"/>
      <c r="XDQ240"/>
      <c r="XDR240"/>
      <c r="XDS240"/>
      <c r="XDT240"/>
      <c r="XDU240"/>
      <c r="XDV240"/>
      <c r="XDW240"/>
      <c r="XDX240"/>
      <c r="XDY240"/>
      <c r="XDZ240"/>
      <c r="XEA240"/>
      <c r="XEB240"/>
      <c r="XEC240"/>
      <c r="XED240"/>
      <c r="XEE240"/>
      <c r="XEF240"/>
      <c r="XEG240"/>
      <c r="XEH240"/>
      <c r="XEI240"/>
      <c r="XEJ240"/>
      <c r="XEK240"/>
      <c r="XEL240"/>
      <c r="XEM240"/>
      <c r="XEN240"/>
      <c r="XEO240"/>
      <c r="XEP240"/>
      <c r="XEQ240"/>
      <c r="XER240"/>
      <c r="XES240"/>
      <c r="XET240"/>
      <c r="XEU240"/>
      <c r="XEV240"/>
      <c r="XEW240"/>
      <c r="XEX240"/>
      <c r="XEY240"/>
      <c r="XEZ240"/>
      <c r="XFA240"/>
      <c r="XFB240"/>
      <c r="XFC240"/>
    </row>
    <row r="241" spans="1:20 16329:16383" s="38" customFormat="1" ht="29.1" customHeight="1" outlineLevel="6" x14ac:dyDescent="0.25">
      <c r="A241" s="49" t="s">
        <v>521</v>
      </c>
      <c r="B241" s="50"/>
      <c r="C241" s="50"/>
      <c r="D241" s="3" t="s">
        <v>511</v>
      </c>
      <c r="E241" s="3"/>
      <c r="F241" s="51"/>
      <c r="G241" s="50" t="s">
        <v>117</v>
      </c>
      <c r="H241" s="52">
        <f>1</f>
        <v>1</v>
      </c>
      <c r="I241" s="36"/>
      <c r="J241" s="52">
        <v>1</v>
      </c>
      <c r="K241" s="53">
        <f>0</f>
        <v>0</v>
      </c>
      <c r="L241" s="53">
        <f>0</f>
        <v>0</v>
      </c>
      <c r="M241" s="53">
        <f>0</f>
        <v>0</v>
      </c>
      <c r="N241" s="54">
        <f>SUM(K241:M241)</f>
        <v>0</v>
      </c>
      <c r="O241" s="54">
        <f>ROUND((H241*K241),2)</f>
        <v>0</v>
      </c>
      <c r="P241" s="54">
        <f>ROUND((H241*L241),2)</f>
        <v>0</v>
      </c>
      <c r="Q241" s="54">
        <f>ROUND((H241*M241),2)</f>
        <v>0</v>
      </c>
      <c r="R241" s="54">
        <f>ROUND((H241*N241),2)</f>
        <v>0</v>
      </c>
      <c r="S241" s="54"/>
      <c r="T241" s="36"/>
      <c r="XDA241"/>
      <c r="XDB241"/>
      <c r="XDC241"/>
      <c r="XDD241"/>
      <c r="XDE241"/>
      <c r="XDF241"/>
      <c r="XDG241"/>
      <c r="XDH241"/>
      <c r="XDI241"/>
      <c r="XDJ241"/>
      <c r="XDK241"/>
      <c r="XDL241"/>
      <c r="XDM241"/>
      <c r="XDN241"/>
      <c r="XDO241"/>
      <c r="XDP241"/>
      <c r="XDQ241"/>
      <c r="XDR241"/>
      <c r="XDS241"/>
      <c r="XDT241"/>
      <c r="XDU241"/>
      <c r="XDV241"/>
      <c r="XDW241"/>
      <c r="XDX241"/>
      <c r="XDY241"/>
      <c r="XDZ241"/>
      <c r="XEA241"/>
      <c r="XEB241"/>
      <c r="XEC241"/>
      <c r="XED241"/>
      <c r="XEE241"/>
      <c r="XEF241"/>
      <c r="XEG241"/>
      <c r="XEH241"/>
      <c r="XEI241"/>
      <c r="XEJ241"/>
      <c r="XEK241"/>
      <c r="XEL241"/>
      <c r="XEM241"/>
      <c r="XEN241"/>
      <c r="XEO241"/>
      <c r="XEP241"/>
      <c r="XEQ241"/>
      <c r="XER241"/>
      <c r="XES241"/>
      <c r="XET241"/>
      <c r="XEU241"/>
      <c r="XEV241"/>
      <c r="XEW241"/>
      <c r="XEX241"/>
      <c r="XEY241"/>
      <c r="XEZ241"/>
      <c r="XFA241"/>
      <c r="XFB241"/>
      <c r="XFC241"/>
    </row>
    <row r="242" spans="1:20 16329:16383" s="38" customFormat="1" ht="29.1" customHeight="1" outlineLevel="5" x14ac:dyDescent="0.25">
      <c r="A242" s="65" t="s">
        <v>522</v>
      </c>
      <c r="B242" s="66" t="s">
        <v>523</v>
      </c>
      <c r="C242" s="66"/>
      <c r="D242" s="98" t="s">
        <v>408</v>
      </c>
      <c r="E242" s="98"/>
      <c r="F242" s="67"/>
      <c r="G242" s="66"/>
      <c r="H242" s="68"/>
      <c r="I242" s="36"/>
      <c r="J242" s="68"/>
      <c r="K242" s="69"/>
      <c r="L242" s="69"/>
      <c r="M242" s="69"/>
      <c r="N242" s="69"/>
      <c r="O242" s="69">
        <f>O243</f>
        <v>0</v>
      </c>
      <c r="P242" s="69">
        <f>P243</f>
        <v>0</v>
      </c>
      <c r="Q242" s="69">
        <f>Q243</f>
        <v>0</v>
      </c>
      <c r="R242" s="69">
        <f>R243</f>
        <v>0</v>
      </c>
      <c r="S242" s="69"/>
      <c r="T242" s="36"/>
      <c r="XDA242"/>
      <c r="XDB242"/>
      <c r="XDC242"/>
      <c r="XDD242"/>
      <c r="XDE242"/>
      <c r="XDF242"/>
      <c r="XDG242"/>
      <c r="XDH242"/>
      <c r="XDI242"/>
      <c r="XDJ242"/>
      <c r="XDK242"/>
      <c r="XDL242"/>
      <c r="XDM242"/>
      <c r="XDN242"/>
      <c r="XDO242"/>
      <c r="XDP242"/>
      <c r="XDQ242"/>
      <c r="XDR242"/>
      <c r="XDS242"/>
      <c r="XDT242"/>
      <c r="XDU242"/>
      <c r="XDV242"/>
      <c r="XDW242"/>
      <c r="XDX242"/>
      <c r="XDY242"/>
      <c r="XDZ242"/>
      <c r="XEA242"/>
      <c r="XEB242"/>
      <c r="XEC242"/>
      <c r="XED242"/>
      <c r="XEE242"/>
      <c r="XEF242"/>
      <c r="XEG242"/>
      <c r="XEH242"/>
      <c r="XEI242"/>
      <c r="XEJ242"/>
      <c r="XEK242"/>
      <c r="XEL242"/>
      <c r="XEM242"/>
      <c r="XEN242"/>
      <c r="XEO242"/>
      <c r="XEP242"/>
      <c r="XEQ242"/>
      <c r="XER242"/>
      <c r="XES242"/>
      <c r="XET242"/>
      <c r="XEU242"/>
      <c r="XEV242"/>
      <c r="XEW242"/>
      <c r="XEX242"/>
      <c r="XEY242"/>
      <c r="XEZ242"/>
      <c r="XFA242"/>
      <c r="XFB242"/>
      <c r="XFC242"/>
    </row>
    <row r="243" spans="1:20 16329:16383" s="38" customFormat="1" ht="29.1" customHeight="1" outlineLevel="6" x14ac:dyDescent="0.25">
      <c r="A243" s="49" t="s">
        <v>524</v>
      </c>
      <c r="B243" s="50"/>
      <c r="C243" s="50"/>
      <c r="D243" s="3" t="s">
        <v>511</v>
      </c>
      <c r="E243" s="3"/>
      <c r="F243" s="51"/>
      <c r="G243" s="50" t="s">
        <v>117</v>
      </c>
      <c r="H243" s="52">
        <f>1</f>
        <v>1</v>
      </c>
      <c r="I243" s="36"/>
      <c r="J243" s="52">
        <v>1</v>
      </c>
      <c r="K243" s="53">
        <f>0</f>
        <v>0</v>
      </c>
      <c r="L243" s="53">
        <f>0</f>
        <v>0</v>
      </c>
      <c r="M243" s="53">
        <f>0</f>
        <v>0</v>
      </c>
      <c r="N243" s="54">
        <f>SUM(K243:M243)</f>
        <v>0</v>
      </c>
      <c r="O243" s="54">
        <f>ROUND((H243*K243),2)</f>
        <v>0</v>
      </c>
      <c r="P243" s="54">
        <f>ROUND((H243*L243),2)</f>
        <v>0</v>
      </c>
      <c r="Q243" s="54">
        <f>ROUND((H243*M243),2)</f>
        <v>0</v>
      </c>
      <c r="R243" s="54">
        <f>ROUND((H243*N243),2)</f>
        <v>0</v>
      </c>
      <c r="S243" s="54"/>
      <c r="T243" s="36"/>
      <c r="XDA243"/>
      <c r="XDB243"/>
      <c r="XDC243"/>
      <c r="XDD243"/>
      <c r="XDE243"/>
      <c r="XDF243"/>
      <c r="XDG243"/>
      <c r="XDH243"/>
      <c r="XDI243"/>
      <c r="XDJ243"/>
      <c r="XDK243"/>
      <c r="XDL243"/>
      <c r="XDM243"/>
      <c r="XDN243"/>
      <c r="XDO243"/>
      <c r="XDP243"/>
      <c r="XDQ243"/>
      <c r="XDR243"/>
      <c r="XDS243"/>
      <c r="XDT243"/>
      <c r="XDU243"/>
      <c r="XDV243"/>
      <c r="XDW243"/>
      <c r="XDX243"/>
      <c r="XDY243"/>
      <c r="XDZ243"/>
      <c r="XEA243"/>
      <c r="XEB243"/>
      <c r="XEC243"/>
      <c r="XED243"/>
      <c r="XEE243"/>
      <c r="XEF243"/>
      <c r="XEG243"/>
      <c r="XEH243"/>
      <c r="XEI243"/>
      <c r="XEJ243"/>
      <c r="XEK243"/>
      <c r="XEL243"/>
      <c r="XEM243"/>
      <c r="XEN243"/>
      <c r="XEO243"/>
      <c r="XEP243"/>
      <c r="XEQ243"/>
      <c r="XER243"/>
      <c r="XES243"/>
      <c r="XET243"/>
      <c r="XEU243"/>
      <c r="XEV243"/>
      <c r="XEW243"/>
      <c r="XEX243"/>
      <c r="XEY243"/>
      <c r="XEZ243"/>
      <c r="XFA243"/>
      <c r="XFB243"/>
      <c r="XFC243"/>
    </row>
    <row r="244" spans="1:20 16329:16383" s="38" customFormat="1" ht="29.1" customHeight="1" outlineLevel="5" x14ac:dyDescent="0.25">
      <c r="A244" s="65" t="s">
        <v>525</v>
      </c>
      <c r="B244" s="66" t="s">
        <v>526</v>
      </c>
      <c r="C244" s="66"/>
      <c r="D244" s="98" t="s">
        <v>412</v>
      </c>
      <c r="E244" s="98"/>
      <c r="F244" s="67"/>
      <c r="G244" s="66"/>
      <c r="H244" s="68"/>
      <c r="I244" s="36"/>
      <c r="J244" s="68"/>
      <c r="K244" s="69"/>
      <c r="L244" s="69"/>
      <c r="M244" s="69"/>
      <c r="N244" s="69"/>
      <c r="O244" s="69">
        <f>O245</f>
        <v>0</v>
      </c>
      <c r="P244" s="69">
        <f>P245</f>
        <v>0</v>
      </c>
      <c r="Q244" s="69">
        <f>Q245</f>
        <v>0</v>
      </c>
      <c r="R244" s="69">
        <f>R245</f>
        <v>0</v>
      </c>
      <c r="S244" s="69"/>
      <c r="T244" s="36"/>
      <c r="XDA244"/>
      <c r="XDB244"/>
      <c r="XDC244"/>
      <c r="XDD244"/>
      <c r="XDE244"/>
      <c r="XDF244"/>
      <c r="XDG244"/>
      <c r="XDH244"/>
      <c r="XDI244"/>
      <c r="XDJ244"/>
      <c r="XDK244"/>
      <c r="XDL244"/>
      <c r="XDM244"/>
      <c r="XDN244"/>
      <c r="XDO244"/>
      <c r="XDP244"/>
      <c r="XDQ244"/>
      <c r="XDR244"/>
      <c r="XDS244"/>
      <c r="XDT244"/>
      <c r="XDU244"/>
      <c r="XDV244"/>
      <c r="XDW244"/>
      <c r="XDX244"/>
      <c r="XDY244"/>
      <c r="XDZ244"/>
      <c r="XEA244"/>
      <c r="XEB244"/>
      <c r="XEC244"/>
      <c r="XED244"/>
      <c r="XEE244"/>
      <c r="XEF244"/>
      <c r="XEG244"/>
      <c r="XEH244"/>
      <c r="XEI244"/>
      <c r="XEJ244"/>
      <c r="XEK244"/>
      <c r="XEL244"/>
      <c r="XEM244"/>
      <c r="XEN244"/>
      <c r="XEO244"/>
      <c r="XEP244"/>
      <c r="XEQ244"/>
      <c r="XER244"/>
      <c r="XES244"/>
      <c r="XET244"/>
      <c r="XEU244"/>
      <c r="XEV244"/>
      <c r="XEW244"/>
      <c r="XEX244"/>
      <c r="XEY244"/>
      <c r="XEZ244"/>
      <c r="XFA244"/>
      <c r="XFB244"/>
      <c r="XFC244"/>
    </row>
    <row r="245" spans="1:20 16329:16383" s="38" customFormat="1" ht="29.1" customHeight="1" outlineLevel="6" x14ac:dyDescent="0.25">
      <c r="A245" s="49" t="s">
        <v>527</v>
      </c>
      <c r="B245" s="50"/>
      <c r="C245" s="50"/>
      <c r="D245" s="3" t="s">
        <v>511</v>
      </c>
      <c r="E245" s="3"/>
      <c r="F245" s="51"/>
      <c r="G245" s="50" t="s">
        <v>117</v>
      </c>
      <c r="H245" s="52">
        <f>1</f>
        <v>1</v>
      </c>
      <c r="I245" s="36"/>
      <c r="J245" s="52">
        <v>1</v>
      </c>
      <c r="K245" s="53">
        <f>0</f>
        <v>0</v>
      </c>
      <c r="L245" s="53">
        <f>0</f>
        <v>0</v>
      </c>
      <c r="M245" s="53">
        <f>0</f>
        <v>0</v>
      </c>
      <c r="N245" s="54">
        <f>SUM(K245:M245)</f>
        <v>0</v>
      </c>
      <c r="O245" s="54">
        <f>ROUND((H245*K245),2)</f>
        <v>0</v>
      </c>
      <c r="P245" s="54">
        <f>ROUND((H245*L245),2)</f>
        <v>0</v>
      </c>
      <c r="Q245" s="54">
        <f>ROUND((H245*M245),2)</f>
        <v>0</v>
      </c>
      <c r="R245" s="54">
        <f>ROUND((H245*N245),2)</f>
        <v>0</v>
      </c>
      <c r="S245" s="54"/>
      <c r="T245" s="36"/>
      <c r="XDA245"/>
      <c r="XDB245"/>
      <c r="XDC245"/>
      <c r="XDD245"/>
      <c r="XDE245"/>
      <c r="XDF245"/>
      <c r="XDG245"/>
      <c r="XDH245"/>
      <c r="XDI245"/>
      <c r="XDJ245"/>
      <c r="XDK245"/>
      <c r="XDL245"/>
      <c r="XDM245"/>
      <c r="XDN245"/>
      <c r="XDO245"/>
      <c r="XDP245"/>
      <c r="XDQ245"/>
      <c r="XDR245"/>
      <c r="XDS245"/>
      <c r="XDT245"/>
      <c r="XDU245"/>
      <c r="XDV245"/>
      <c r="XDW245"/>
      <c r="XDX245"/>
      <c r="XDY245"/>
      <c r="XDZ245"/>
      <c r="XEA245"/>
      <c r="XEB245"/>
      <c r="XEC245"/>
      <c r="XED245"/>
      <c r="XEE245"/>
      <c r="XEF245"/>
      <c r="XEG245"/>
      <c r="XEH245"/>
      <c r="XEI245"/>
      <c r="XEJ245"/>
      <c r="XEK245"/>
      <c r="XEL245"/>
      <c r="XEM245"/>
      <c r="XEN245"/>
      <c r="XEO245"/>
      <c r="XEP245"/>
      <c r="XEQ245"/>
      <c r="XER245"/>
      <c r="XES245"/>
      <c r="XET245"/>
      <c r="XEU245"/>
      <c r="XEV245"/>
      <c r="XEW245"/>
      <c r="XEX245"/>
      <c r="XEY245"/>
      <c r="XEZ245"/>
      <c r="XFA245"/>
      <c r="XFB245"/>
      <c r="XFC245"/>
    </row>
    <row r="246" spans="1:20 16329:16383" s="38" customFormat="1" ht="29.1" customHeight="1" outlineLevel="4" x14ac:dyDescent="0.25">
      <c r="A246" s="60" t="s">
        <v>528</v>
      </c>
      <c r="B246" s="61" t="s">
        <v>529</v>
      </c>
      <c r="C246" s="61"/>
      <c r="D246" s="1" t="s">
        <v>416</v>
      </c>
      <c r="E246" s="1"/>
      <c r="F246" s="62"/>
      <c r="G246" s="61"/>
      <c r="H246" s="63"/>
      <c r="I246" s="36"/>
      <c r="J246" s="63"/>
      <c r="K246" s="64"/>
      <c r="L246" s="64"/>
      <c r="M246" s="64"/>
      <c r="N246" s="64"/>
      <c r="O246" s="64">
        <f>O247+O251+O256+O260+O264+O266</f>
        <v>0</v>
      </c>
      <c r="P246" s="64">
        <f>P247+P251+P256+P260+P264+P266</f>
        <v>0</v>
      </c>
      <c r="Q246" s="64">
        <f>Q247+Q251+Q256+Q260+Q264+Q266</f>
        <v>0</v>
      </c>
      <c r="R246" s="64">
        <f>R247+R251+R256+R260+R264+R266</f>
        <v>0</v>
      </c>
      <c r="S246" s="64"/>
      <c r="T246" s="36"/>
      <c r="XDA246"/>
      <c r="XDB246"/>
      <c r="XDC246"/>
      <c r="XDD246"/>
      <c r="XDE246"/>
      <c r="XDF246"/>
      <c r="XDG246"/>
      <c r="XDH246"/>
      <c r="XDI246"/>
      <c r="XDJ246"/>
      <c r="XDK246"/>
      <c r="XDL246"/>
      <c r="XDM246"/>
      <c r="XDN246"/>
      <c r="XDO246"/>
      <c r="XDP246"/>
      <c r="XDQ246"/>
      <c r="XDR246"/>
      <c r="XDS246"/>
      <c r="XDT246"/>
      <c r="XDU246"/>
      <c r="XDV246"/>
      <c r="XDW246"/>
      <c r="XDX246"/>
      <c r="XDY246"/>
      <c r="XDZ246"/>
      <c r="XEA246"/>
      <c r="XEB246"/>
      <c r="XEC246"/>
      <c r="XED246"/>
      <c r="XEE246"/>
      <c r="XEF246"/>
      <c r="XEG246"/>
      <c r="XEH246"/>
      <c r="XEI246"/>
      <c r="XEJ246"/>
      <c r="XEK246"/>
      <c r="XEL246"/>
      <c r="XEM246"/>
      <c r="XEN246"/>
      <c r="XEO246"/>
      <c r="XEP246"/>
      <c r="XEQ246"/>
      <c r="XER246"/>
      <c r="XES246"/>
      <c r="XET246"/>
      <c r="XEU246"/>
      <c r="XEV246"/>
      <c r="XEW246"/>
      <c r="XEX246"/>
      <c r="XEY246"/>
      <c r="XEZ246"/>
      <c r="XFA246"/>
      <c r="XFB246"/>
      <c r="XFC246"/>
    </row>
    <row r="247" spans="1:20 16329:16383" s="38" customFormat="1" ht="29.1" customHeight="1" outlineLevel="5" x14ac:dyDescent="0.25">
      <c r="A247" s="65" t="s">
        <v>530</v>
      </c>
      <c r="B247" s="66" t="s">
        <v>531</v>
      </c>
      <c r="C247" s="66"/>
      <c r="D247" s="98" t="s">
        <v>311</v>
      </c>
      <c r="E247" s="98"/>
      <c r="F247" s="67"/>
      <c r="G247" s="66"/>
      <c r="H247" s="68"/>
      <c r="I247" s="36"/>
      <c r="J247" s="68"/>
      <c r="K247" s="69"/>
      <c r="L247" s="69"/>
      <c r="M247" s="69"/>
      <c r="N247" s="69"/>
      <c r="O247" s="69">
        <f>SUM(O248:O250)</f>
        <v>0</v>
      </c>
      <c r="P247" s="69">
        <f>SUM(P248:P250)</f>
        <v>0</v>
      </c>
      <c r="Q247" s="69">
        <f>SUM(Q248:Q250)</f>
        <v>0</v>
      </c>
      <c r="R247" s="69">
        <f>SUM(R248:R250)</f>
        <v>0</v>
      </c>
      <c r="S247" s="69"/>
      <c r="T247" s="36"/>
      <c r="XDA247"/>
      <c r="XDB247"/>
      <c r="XDC247"/>
      <c r="XDD247"/>
      <c r="XDE247"/>
      <c r="XDF247"/>
      <c r="XDG247"/>
      <c r="XDH247"/>
      <c r="XDI247"/>
      <c r="XDJ247"/>
      <c r="XDK247"/>
      <c r="XDL247"/>
      <c r="XDM247"/>
      <c r="XDN247"/>
      <c r="XDO247"/>
      <c r="XDP247"/>
      <c r="XDQ247"/>
      <c r="XDR247"/>
      <c r="XDS247"/>
      <c r="XDT247"/>
      <c r="XDU247"/>
      <c r="XDV247"/>
      <c r="XDW247"/>
      <c r="XDX247"/>
      <c r="XDY247"/>
      <c r="XDZ247"/>
      <c r="XEA247"/>
      <c r="XEB247"/>
      <c r="XEC247"/>
      <c r="XED247"/>
      <c r="XEE247"/>
      <c r="XEF247"/>
      <c r="XEG247"/>
      <c r="XEH247"/>
      <c r="XEI247"/>
      <c r="XEJ247"/>
      <c r="XEK247"/>
      <c r="XEL247"/>
      <c r="XEM247"/>
      <c r="XEN247"/>
      <c r="XEO247"/>
      <c r="XEP247"/>
      <c r="XEQ247"/>
      <c r="XER247"/>
      <c r="XES247"/>
      <c r="XET247"/>
      <c r="XEU247"/>
      <c r="XEV247"/>
      <c r="XEW247"/>
      <c r="XEX247"/>
      <c r="XEY247"/>
      <c r="XEZ247"/>
      <c r="XFA247"/>
      <c r="XFB247"/>
      <c r="XFC247"/>
    </row>
    <row r="248" spans="1:20 16329:16383" s="38" customFormat="1" ht="29.1" customHeight="1" outlineLevel="6" x14ac:dyDescent="0.25">
      <c r="A248" s="49" t="s">
        <v>532</v>
      </c>
      <c r="B248" s="50"/>
      <c r="C248" s="50"/>
      <c r="D248" s="3" t="s">
        <v>313</v>
      </c>
      <c r="E248" s="3"/>
      <c r="F248" s="51"/>
      <c r="G248" s="50" t="s">
        <v>117</v>
      </c>
      <c r="H248" s="52">
        <f>1</f>
        <v>1</v>
      </c>
      <c r="I248" s="36"/>
      <c r="J248" s="52">
        <v>1</v>
      </c>
      <c r="K248" s="53">
        <f>0</f>
        <v>0</v>
      </c>
      <c r="L248" s="53">
        <f>0</f>
        <v>0</v>
      </c>
      <c r="M248" s="53">
        <f>0</f>
        <v>0</v>
      </c>
      <c r="N248" s="54">
        <f>SUM(K248:M248)</f>
        <v>0</v>
      </c>
      <c r="O248" s="54">
        <f>ROUND((H248*K248),2)</f>
        <v>0</v>
      </c>
      <c r="P248" s="54">
        <f>ROUND((H248*L248),2)</f>
        <v>0</v>
      </c>
      <c r="Q248" s="54">
        <f>ROUND((H248*M248),2)</f>
        <v>0</v>
      </c>
      <c r="R248" s="54">
        <f>ROUND((H248*N248),2)</f>
        <v>0</v>
      </c>
      <c r="S248" s="54"/>
      <c r="T248" s="36"/>
      <c r="XDA248"/>
      <c r="XDB248"/>
      <c r="XDC248"/>
      <c r="XDD248"/>
      <c r="XDE248"/>
      <c r="XDF248"/>
      <c r="XDG248"/>
      <c r="XDH248"/>
      <c r="XDI248"/>
      <c r="XDJ248"/>
      <c r="XDK248"/>
      <c r="XDL248"/>
      <c r="XDM248"/>
      <c r="XDN248"/>
      <c r="XDO248"/>
      <c r="XDP248"/>
      <c r="XDQ248"/>
      <c r="XDR248"/>
      <c r="XDS248"/>
      <c r="XDT248"/>
      <c r="XDU248"/>
      <c r="XDV248"/>
      <c r="XDW248"/>
      <c r="XDX248"/>
      <c r="XDY248"/>
      <c r="XDZ248"/>
      <c r="XEA248"/>
      <c r="XEB248"/>
      <c r="XEC248"/>
      <c r="XED248"/>
      <c r="XEE248"/>
      <c r="XEF248"/>
      <c r="XEG248"/>
      <c r="XEH248"/>
      <c r="XEI248"/>
      <c r="XEJ248"/>
      <c r="XEK248"/>
      <c r="XEL248"/>
      <c r="XEM248"/>
      <c r="XEN248"/>
      <c r="XEO248"/>
      <c r="XEP248"/>
      <c r="XEQ248"/>
      <c r="XER248"/>
      <c r="XES248"/>
      <c r="XET248"/>
      <c r="XEU248"/>
      <c r="XEV248"/>
      <c r="XEW248"/>
      <c r="XEX248"/>
      <c r="XEY248"/>
      <c r="XEZ248"/>
      <c r="XFA248"/>
      <c r="XFB248"/>
      <c r="XFC248"/>
    </row>
    <row r="249" spans="1:20 16329:16383" s="38" customFormat="1" ht="29.1" customHeight="1" outlineLevel="6" x14ac:dyDescent="0.25">
      <c r="A249" s="49" t="s">
        <v>533</v>
      </c>
      <c r="B249" s="50"/>
      <c r="C249" s="50"/>
      <c r="D249" s="3" t="s">
        <v>315</v>
      </c>
      <c r="E249" s="3"/>
      <c r="F249" s="51"/>
      <c r="G249" s="50" t="s">
        <v>117</v>
      </c>
      <c r="H249" s="52">
        <f>1</f>
        <v>1</v>
      </c>
      <c r="I249" s="36"/>
      <c r="J249" s="52">
        <v>1</v>
      </c>
      <c r="K249" s="53">
        <f>0</f>
        <v>0</v>
      </c>
      <c r="L249" s="53">
        <f>0</f>
        <v>0</v>
      </c>
      <c r="M249" s="53">
        <f>0</f>
        <v>0</v>
      </c>
      <c r="N249" s="54">
        <f>SUM(K249:M249)</f>
        <v>0</v>
      </c>
      <c r="O249" s="54">
        <f>ROUND((H249*K249),2)</f>
        <v>0</v>
      </c>
      <c r="P249" s="54">
        <f>ROUND((H249*L249),2)</f>
        <v>0</v>
      </c>
      <c r="Q249" s="54">
        <f>ROUND((H249*M249),2)</f>
        <v>0</v>
      </c>
      <c r="R249" s="54">
        <f>ROUND((H249*N249),2)</f>
        <v>0</v>
      </c>
      <c r="S249" s="54"/>
      <c r="T249" s="36"/>
      <c r="XDA249"/>
      <c r="XDB249"/>
      <c r="XDC249"/>
      <c r="XDD249"/>
      <c r="XDE249"/>
      <c r="XDF249"/>
      <c r="XDG249"/>
      <c r="XDH249"/>
      <c r="XDI249"/>
      <c r="XDJ249"/>
      <c r="XDK249"/>
      <c r="XDL249"/>
      <c r="XDM249"/>
      <c r="XDN249"/>
      <c r="XDO249"/>
      <c r="XDP249"/>
      <c r="XDQ249"/>
      <c r="XDR249"/>
      <c r="XDS249"/>
      <c r="XDT249"/>
      <c r="XDU249"/>
      <c r="XDV249"/>
      <c r="XDW249"/>
      <c r="XDX249"/>
      <c r="XDY249"/>
      <c r="XDZ249"/>
      <c r="XEA249"/>
      <c r="XEB249"/>
      <c r="XEC249"/>
      <c r="XED249"/>
      <c r="XEE249"/>
      <c r="XEF249"/>
      <c r="XEG249"/>
      <c r="XEH249"/>
      <c r="XEI249"/>
      <c r="XEJ249"/>
      <c r="XEK249"/>
      <c r="XEL249"/>
      <c r="XEM249"/>
      <c r="XEN249"/>
      <c r="XEO249"/>
      <c r="XEP249"/>
      <c r="XEQ249"/>
      <c r="XER249"/>
      <c r="XES249"/>
      <c r="XET249"/>
      <c r="XEU249"/>
      <c r="XEV249"/>
      <c r="XEW249"/>
      <c r="XEX249"/>
      <c r="XEY249"/>
      <c r="XEZ249"/>
      <c r="XFA249"/>
      <c r="XFB249"/>
      <c r="XFC249"/>
    </row>
    <row r="250" spans="1:20 16329:16383" s="38" customFormat="1" ht="29.1" customHeight="1" outlineLevel="6" x14ac:dyDescent="0.25">
      <c r="A250" s="49" t="s">
        <v>534</v>
      </c>
      <c r="B250" s="50"/>
      <c r="C250" s="50"/>
      <c r="D250" s="3" t="s">
        <v>317</v>
      </c>
      <c r="E250" s="3"/>
      <c r="F250" s="51"/>
      <c r="G250" s="50" t="s">
        <v>117</v>
      </c>
      <c r="H250" s="52">
        <f>1</f>
        <v>1</v>
      </c>
      <c r="I250" s="36"/>
      <c r="J250" s="52">
        <v>1</v>
      </c>
      <c r="K250" s="53">
        <f>0</f>
        <v>0</v>
      </c>
      <c r="L250" s="53">
        <f>0</f>
        <v>0</v>
      </c>
      <c r="M250" s="53">
        <f>0</f>
        <v>0</v>
      </c>
      <c r="N250" s="54">
        <f>SUM(K250:M250)</f>
        <v>0</v>
      </c>
      <c r="O250" s="54">
        <f>ROUND((H250*K250),2)</f>
        <v>0</v>
      </c>
      <c r="P250" s="54">
        <f>ROUND((H250*L250),2)</f>
        <v>0</v>
      </c>
      <c r="Q250" s="54">
        <f>ROUND((H250*M250),2)</f>
        <v>0</v>
      </c>
      <c r="R250" s="54">
        <f>ROUND((H250*N250),2)</f>
        <v>0</v>
      </c>
      <c r="S250" s="54"/>
      <c r="T250" s="36"/>
      <c r="XDA250"/>
      <c r="XDB250"/>
      <c r="XDC250"/>
      <c r="XDD250"/>
      <c r="XDE250"/>
      <c r="XDF250"/>
      <c r="XDG250"/>
      <c r="XDH250"/>
      <c r="XDI250"/>
      <c r="XDJ250"/>
      <c r="XDK250"/>
      <c r="XDL250"/>
      <c r="XDM250"/>
      <c r="XDN250"/>
      <c r="XDO250"/>
      <c r="XDP250"/>
      <c r="XDQ250"/>
      <c r="XDR250"/>
      <c r="XDS250"/>
      <c r="XDT250"/>
      <c r="XDU250"/>
      <c r="XDV250"/>
      <c r="XDW250"/>
      <c r="XDX250"/>
      <c r="XDY250"/>
      <c r="XDZ250"/>
      <c r="XEA250"/>
      <c r="XEB250"/>
      <c r="XEC250"/>
      <c r="XED250"/>
      <c r="XEE250"/>
      <c r="XEF250"/>
      <c r="XEG250"/>
      <c r="XEH250"/>
      <c r="XEI250"/>
      <c r="XEJ250"/>
      <c r="XEK250"/>
      <c r="XEL250"/>
      <c r="XEM250"/>
      <c r="XEN250"/>
      <c r="XEO250"/>
      <c r="XEP250"/>
      <c r="XEQ250"/>
      <c r="XER250"/>
      <c r="XES250"/>
      <c r="XET250"/>
      <c r="XEU250"/>
      <c r="XEV250"/>
      <c r="XEW250"/>
      <c r="XEX250"/>
      <c r="XEY250"/>
      <c r="XEZ250"/>
      <c r="XFA250"/>
      <c r="XFB250"/>
      <c r="XFC250"/>
    </row>
    <row r="251" spans="1:20 16329:16383" s="38" customFormat="1" ht="29.1" customHeight="1" outlineLevel="5" x14ac:dyDescent="0.25">
      <c r="A251" s="65" t="s">
        <v>535</v>
      </c>
      <c r="B251" s="66" t="s">
        <v>536</v>
      </c>
      <c r="C251" s="66"/>
      <c r="D251" s="98" t="s">
        <v>537</v>
      </c>
      <c r="E251" s="98"/>
      <c r="F251" s="67"/>
      <c r="G251" s="66"/>
      <c r="H251" s="68"/>
      <c r="I251" s="36"/>
      <c r="J251" s="68"/>
      <c r="K251" s="69"/>
      <c r="L251" s="69"/>
      <c r="M251" s="69"/>
      <c r="N251" s="69"/>
      <c r="O251" s="69">
        <f>SUM(O252:O255)</f>
        <v>0</v>
      </c>
      <c r="P251" s="69">
        <f>SUM(P252:P255)</f>
        <v>0</v>
      </c>
      <c r="Q251" s="69">
        <f>SUM(Q252:Q255)</f>
        <v>0</v>
      </c>
      <c r="R251" s="69">
        <f>SUM(R252:R255)</f>
        <v>0</v>
      </c>
      <c r="S251" s="69"/>
      <c r="T251" s="36"/>
      <c r="XDA251"/>
      <c r="XDB251"/>
      <c r="XDC251"/>
      <c r="XDD251"/>
      <c r="XDE251"/>
      <c r="XDF251"/>
      <c r="XDG251"/>
      <c r="XDH251"/>
      <c r="XDI251"/>
      <c r="XDJ251"/>
      <c r="XDK251"/>
      <c r="XDL251"/>
      <c r="XDM251"/>
      <c r="XDN251"/>
      <c r="XDO251"/>
      <c r="XDP251"/>
      <c r="XDQ251"/>
      <c r="XDR251"/>
      <c r="XDS251"/>
      <c r="XDT251"/>
      <c r="XDU251"/>
      <c r="XDV251"/>
      <c r="XDW251"/>
      <c r="XDX251"/>
      <c r="XDY251"/>
      <c r="XDZ251"/>
      <c r="XEA251"/>
      <c r="XEB251"/>
      <c r="XEC251"/>
      <c r="XED251"/>
      <c r="XEE251"/>
      <c r="XEF251"/>
      <c r="XEG251"/>
      <c r="XEH251"/>
      <c r="XEI251"/>
      <c r="XEJ251"/>
      <c r="XEK251"/>
      <c r="XEL251"/>
      <c r="XEM251"/>
      <c r="XEN251"/>
      <c r="XEO251"/>
      <c r="XEP251"/>
      <c r="XEQ251"/>
      <c r="XER251"/>
      <c r="XES251"/>
      <c r="XET251"/>
      <c r="XEU251"/>
      <c r="XEV251"/>
      <c r="XEW251"/>
      <c r="XEX251"/>
      <c r="XEY251"/>
      <c r="XEZ251"/>
      <c r="XFA251"/>
      <c r="XFB251"/>
      <c r="XFC251"/>
    </row>
    <row r="252" spans="1:20 16329:16383" s="38" customFormat="1" ht="29.1" customHeight="1" outlineLevel="6" x14ac:dyDescent="0.25">
      <c r="A252" s="49" t="s">
        <v>538</v>
      </c>
      <c r="B252" s="50"/>
      <c r="C252" s="50"/>
      <c r="D252" s="3" t="s">
        <v>313</v>
      </c>
      <c r="E252" s="3"/>
      <c r="F252" s="51"/>
      <c r="G252" s="50" t="s">
        <v>117</v>
      </c>
      <c r="H252" s="52">
        <f>1</f>
        <v>1</v>
      </c>
      <c r="I252" s="36"/>
      <c r="J252" s="52">
        <v>1</v>
      </c>
      <c r="K252" s="53">
        <f>0</f>
        <v>0</v>
      </c>
      <c r="L252" s="53">
        <f>0</f>
        <v>0</v>
      </c>
      <c r="M252" s="53">
        <f>0</f>
        <v>0</v>
      </c>
      <c r="N252" s="54">
        <f>SUM(K252:M252)</f>
        <v>0</v>
      </c>
      <c r="O252" s="54">
        <f>ROUND((H252*K252),2)</f>
        <v>0</v>
      </c>
      <c r="P252" s="54">
        <f>ROUND((H252*L252),2)</f>
        <v>0</v>
      </c>
      <c r="Q252" s="54">
        <f>ROUND((H252*M252),2)</f>
        <v>0</v>
      </c>
      <c r="R252" s="54">
        <f>ROUND((H252*N252),2)</f>
        <v>0</v>
      </c>
      <c r="S252" s="54"/>
      <c r="T252" s="36"/>
      <c r="XDA252"/>
      <c r="XDB252"/>
      <c r="XDC252"/>
      <c r="XDD252"/>
      <c r="XDE252"/>
      <c r="XDF252"/>
      <c r="XDG252"/>
      <c r="XDH252"/>
      <c r="XDI252"/>
      <c r="XDJ252"/>
      <c r="XDK252"/>
      <c r="XDL252"/>
      <c r="XDM252"/>
      <c r="XDN252"/>
      <c r="XDO252"/>
      <c r="XDP252"/>
      <c r="XDQ252"/>
      <c r="XDR252"/>
      <c r="XDS252"/>
      <c r="XDT252"/>
      <c r="XDU252"/>
      <c r="XDV252"/>
      <c r="XDW252"/>
      <c r="XDX252"/>
      <c r="XDY252"/>
      <c r="XDZ252"/>
      <c r="XEA252"/>
      <c r="XEB252"/>
      <c r="XEC252"/>
      <c r="XED252"/>
      <c r="XEE252"/>
      <c r="XEF252"/>
      <c r="XEG252"/>
      <c r="XEH252"/>
      <c r="XEI252"/>
      <c r="XEJ252"/>
      <c r="XEK252"/>
      <c r="XEL252"/>
      <c r="XEM252"/>
      <c r="XEN252"/>
      <c r="XEO252"/>
      <c r="XEP252"/>
      <c r="XEQ252"/>
      <c r="XER252"/>
      <c r="XES252"/>
      <c r="XET252"/>
      <c r="XEU252"/>
      <c r="XEV252"/>
      <c r="XEW252"/>
      <c r="XEX252"/>
      <c r="XEY252"/>
      <c r="XEZ252"/>
      <c r="XFA252"/>
      <c r="XFB252"/>
      <c r="XFC252"/>
    </row>
    <row r="253" spans="1:20 16329:16383" s="38" customFormat="1" ht="29.1" customHeight="1" outlineLevel="6" x14ac:dyDescent="0.25">
      <c r="A253" s="49" t="s">
        <v>539</v>
      </c>
      <c r="B253" s="50"/>
      <c r="C253" s="50"/>
      <c r="D253" s="3" t="s">
        <v>315</v>
      </c>
      <c r="E253" s="3"/>
      <c r="F253" s="51"/>
      <c r="G253" s="50" t="s">
        <v>117</v>
      </c>
      <c r="H253" s="52">
        <f>1</f>
        <v>1</v>
      </c>
      <c r="I253" s="36"/>
      <c r="J253" s="52">
        <v>1</v>
      </c>
      <c r="K253" s="53">
        <f>0</f>
        <v>0</v>
      </c>
      <c r="L253" s="53">
        <f>0</f>
        <v>0</v>
      </c>
      <c r="M253" s="53">
        <f>0</f>
        <v>0</v>
      </c>
      <c r="N253" s="54">
        <f>SUM(K253:M253)</f>
        <v>0</v>
      </c>
      <c r="O253" s="54">
        <f>ROUND((H253*K253),2)</f>
        <v>0</v>
      </c>
      <c r="P253" s="54">
        <f>ROUND((H253*L253),2)</f>
        <v>0</v>
      </c>
      <c r="Q253" s="54">
        <f>ROUND((H253*M253),2)</f>
        <v>0</v>
      </c>
      <c r="R253" s="54">
        <f>ROUND((H253*N253),2)</f>
        <v>0</v>
      </c>
      <c r="S253" s="54"/>
      <c r="T253" s="36"/>
      <c r="XDA253"/>
      <c r="XDB253"/>
      <c r="XDC253"/>
      <c r="XDD253"/>
      <c r="XDE253"/>
      <c r="XDF253"/>
      <c r="XDG253"/>
      <c r="XDH253"/>
      <c r="XDI253"/>
      <c r="XDJ253"/>
      <c r="XDK253"/>
      <c r="XDL253"/>
      <c r="XDM253"/>
      <c r="XDN253"/>
      <c r="XDO253"/>
      <c r="XDP253"/>
      <c r="XDQ253"/>
      <c r="XDR253"/>
      <c r="XDS253"/>
      <c r="XDT253"/>
      <c r="XDU253"/>
      <c r="XDV253"/>
      <c r="XDW253"/>
      <c r="XDX253"/>
      <c r="XDY253"/>
      <c r="XDZ253"/>
      <c r="XEA253"/>
      <c r="XEB253"/>
      <c r="XEC253"/>
      <c r="XED253"/>
      <c r="XEE253"/>
      <c r="XEF253"/>
      <c r="XEG253"/>
      <c r="XEH253"/>
      <c r="XEI253"/>
      <c r="XEJ253"/>
      <c r="XEK253"/>
      <c r="XEL253"/>
      <c r="XEM253"/>
      <c r="XEN253"/>
      <c r="XEO253"/>
      <c r="XEP253"/>
      <c r="XEQ253"/>
      <c r="XER253"/>
      <c r="XES253"/>
      <c r="XET253"/>
      <c r="XEU253"/>
      <c r="XEV253"/>
      <c r="XEW253"/>
      <c r="XEX253"/>
      <c r="XEY253"/>
      <c r="XEZ253"/>
      <c r="XFA253"/>
      <c r="XFB253"/>
      <c r="XFC253"/>
    </row>
    <row r="254" spans="1:20 16329:16383" s="38" customFormat="1" ht="29.1" customHeight="1" outlineLevel="6" x14ac:dyDescent="0.25">
      <c r="A254" s="49" t="s">
        <v>540</v>
      </c>
      <c r="B254" s="50"/>
      <c r="C254" s="50"/>
      <c r="D254" s="3" t="s">
        <v>317</v>
      </c>
      <c r="E254" s="3"/>
      <c r="F254" s="51"/>
      <c r="G254" s="50" t="s">
        <v>117</v>
      </c>
      <c r="H254" s="52">
        <f>1</f>
        <v>1</v>
      </c>
      <c r="I254" s="36"/>
      <c r="J254" s="52">
        <v>1</v>
      </c>
      <c r="K254" s="53">
        <f>0</f>
        <v>0</v>
      </c>
      <c r="L254" s="53">
        <f>0</f>
        <v>0</v>
      </c>
      <c r="M254" s="53">
        <f>0</f>
        <v>0</v>
      </c>
      <c r="N254" s="54">
        <f>SUM(K254:M254)</f>
        <v>0</v>
      </c>
      <c r="O254" s="54">
        <f>ROUND((H254*K254),2)</f>
        <v>0</v>
      </c>
      <c r="P254" s="54">
        <f>ROUND((H254*L254),2)</f>
        <v>0</v>
      </c>
      <c r="Q254" s="54">
        <f>ROUND((H254*M254),2)</f>
        <v>0</v>
      </c>
      <c r="R254" s="54">
        <f>ROUND((H254*N254),2)</f>
        <v>0</v>
      </c>
      <c r="S254" s="54"/>
      <c r="T254" s="36"/>
      <c r="XDA254"/>
      <c r="XDB254"/>
      <c r="XDC254"/>
      <c r="XDD254"/>
      <c r="XDE254"/>
      <c r="XDF254"/>
      <c r="XDG254"/>
      <c r="XDH254"/>
      <c r="XDI254"/>
      <c r="XDJ254"/>
      <c r="XDK254"/>
      <c r="XDL254"/>
      <c r="XDM254"/>
      <c r="XDN254"/>
      <c r="XDO254"/>
      <c r="XDP254"/>
      <c r="XDQ254"/>
      <c r="XDR254"/>
      <c r="XDS254"/>
      <c r="XDT254"/>
      <c r="XDU254"/>
      <c r="XDV254"/>
      <c r="XDW254"/>
      <c r="XDX254"/>
      <c r="XDY254"/>
      <c r="XDZ254"/>
      <c r="XEA254"/>
      <c r="XEB254"/>
      <c r="XEC254"/>
      <c r="XED254"/>
      <c r="XEE254"/>
      <c r="XEF254"/>
      <c r="XEG254"/>
      <c r="XEH254"/>
      <c r="XEI254"/>
      <c r="XEJ254"/>
      <c r="XEK254"/>
      <c r="XEL254"/>
      <c r="XEM254"/>
      <c r="XEN254"/>
      <c r="XEO254"/>
      <c r="XEP254"/>
      <c r="XEQ254"/>
      <c r="XER254"/>
      <c r="XES254"/>
      <c r="XET254"/>
      <c r="XEU254"/>
      <c r="XEV254"/>
      <c r="XEW254"/>
      <c r="XEX254"/>
      <c r="XEY254"/>
      <c r="XEZ254"/>
      <c r="XFA254"/>
      <c r="XFB254"/>
      <c r="XFC254"/>
    </row>
    <row r="255" spans="1:20 16329:16383" s="38" customFormat="1" ht="29.1" customHeight="1" outlineLevel="6" x14ac:dyDescent="0.25">
      <c r="A255" s="49" t="s">
        <v>541</v>
      </c>
      <c r="B255" s="50"/>
      <c r="C255" s="50"/>
      <c r="D255" s="3" t="s">
        <v>542</v>
      </c>
      <c r="E255" s="3"/>
      <c r="F255" s="51"/>
      <c r="G255" s="50" t="s">
        <v>117</v>
      </c>
      <c r="H255" s="52">
        <f>1</f>
        <v>1</v>
      </c>
      <c r="I255" s="36"/>
      <c r="J255" s="52">
        <v>1</v>
      </c>
      <c r="K255" s="53">
        <f>0</f>
        <v>0</v>
      </c>
      <c r="L255" s="53">
        <f>0</f>
        <v>0</v>
      </c>
      <c r="M255" s="53">
        <f>0</f>
        <v>0</v>
      </c>
      <c r="N255" s="54">
        <f>SUM(K255:M255)</f>
        <v>0</v>
      </c>
      <c r="O255" s="54">
        <f>ROUND((H255*K255),2)</f>
        <v>0</v>
      </c>
      <c r="P255" s="54">
        <f>ROUND((H255*L255),2)</f>
        <v>0</v>
      </c>
      <c r="Q255" s="54">
        <f>ROUND((H255*M255),2)</f>
        <v>0</v>
      </c>
      <c r="R255" s="54">
        <f>ROUND((H255*N255),2)</f>
        <v>0</v>
      </c>
      <c r="S255" s="54"/>
      <c r="T255" s="36"/>
      <c r="XDA255"/>
      <c r="XDB255"/>
      <c r="XDC255"/>
      <c r="XDD255"/>
      <c r="XDE255"/>
      <c r="XDF255"/>
      <c r="XDG255"/>
      <c r="XDH255"/>
      <c r="XDI255"/>
      <c r="XDJ255"/>
      <c r="XDK255"/>
      <c r="XDL255"/>
      <c r="XDM255"/>
      <c r="XDN255"/>
      <c r="XDO255"/>
      <c r="XDP255"/>
      <c r="XDQ255"/>
      <c r="XDR255"/>
      <c r="XDS255"/>
      <c r="XDT255"/>
      <c r="XDU255"/>
      <c r="XDV255"/>
      <c r="XDW255"/>
      <c r="XDX255"/>
      <c r="XDY255"/>
      <c r="XDZ255"/>
      <c r="XEA255"/>
      <c r="XEB255"/>
      <c r="XEC255"/>
      <c r="XED255"/>
      <c r="XEE255"/>
      <c r="XEF255"/>
      <c r="XEG255"/>
      <c r="XEH255"/>
      <c r="XEI255"/>
      <c r="XEJ255"/>
      <c r="XEK255"/>
      <c r="XEL255"/>
      <c r="XEM255"/>
      <c r="XEN255"/>
      <c r="XEO255"/>
      <c r="XEP255"/>
      <c r="XEQ255"/>
      <c r="XER255"/>
      <c r="XES255"/>
      <c r="XET255"/>
      <c r="XEU255"/>
      <c r="XEV255"/>
      <c r="XEW255"/>
      <c r="XEX255"/>
      <c r="XEY255"/>
      <c r="XEZ255"/>
      <c r="XFA255"/>
      <c r="XFB255"/>
      <c r="XFC255"/>
    </row>
    <row r="256" spans="1:20 16329:16383" s="38" customFormat="1" ht="29.1" customHeight="1" outlineLevel="5" x14ac:dyDescent="0.25">
      <c r="A256" s="65" t="s">
        <v>543</v>
      </c>
      <c r="B256" s="66" t="s">
        <v>544</v>
      </c>
      <c r="C256" s="66"/>
      <c r="D256" s="98" t="s">
        <v>320</v>
      </c>
      <c r="E256" s="98"/>
      <c r="F256" s="67"/>
      <c r="G256" s="66"/>
      <c r="H256" s="68"/>
      <c r="I256" s="36"/>
      <c r="J256" s="68"/>
      <c r="K256" s="69"/>
      <c r="L256" s="69"/>
      <c r="M256" s="69"/>
      <c r="N256" s="69"/>
      <c r="O256" s="69">
        <f>SUM(O257:O259)</f>
        <v>0</v>
      </c>
      <c r="P256" s="69">
        <f>SUM(P257:P259)</f>
        <v>0</v>
      </c>
      <c r="Q256" s="69">
        <f>SUM(Q257:Q259)</f>
        <v>0</v>
      </c>
      <c r="R256" s="69">
        <f>SUM(R257:R259)</f>
        <v>0</v>
      </c>
      <c r="S256" s="69"/>
      <c r="T256" s="36"/>
      <c r="XDA256"/>
      <c r="XDB256"/>
      <c r="XDC256"/>
      <c r="XDD256"/>
      <c r="XDE256"/>
      <c r="XDF256"/>
      <c r="XDG256"/>
      <c r="XDH256"/>
      <c r="XDI256"/>
      <c r="XDJ256"/>
      <c r="XDK256"/>
      <c r="XDL256"/>
      <c r="XDM256"/>
      <c r="XDN256"/>
      <c r="XDO256"/>
      <c r="XDP256"/>
      <c r="XDQ256"/>
      <c r="XDR256"/>
      <c r="XDS256"/>
      <c r="XDT256"/>
      <c r="XDU256"/>
      <c r="XDV256"/>
      <c r="XDW256"/>
      <c r="XDX256"/>
      <c r="XDY256"/>
      <c r="XDZ256"/>
      <c r="XEA256"/>
      <c r="XEB256"/>
      <c r="XEC256"/>
      <c r="XED256"/>
      <c r="XEE256"/>
      <c r="XEF256"/>
      <c r="XEG256"/>
      <c r="XEH256"/>
      <c r="XEI256"/>
      <c r="XEJ256"/>
      <c r="XEK256"/>
      <c r="XEL256"/>
      <c r="XEM256"/>
      <c r="XEN256"/>
      <c r="XEO256"/>
      <c r="XEP256"/>
      <c r="XEQ256"/>
      <c r="XER256"/>
      <c r="XES256"/>
      <c r="XET256"/>
      <c r="XEU256"/>
      <c r="XEV256"/>
      <c r="XEW256"/>
      <c r="XEX256"/>
      <c r="XEY256"/>
      <c r="XEZ256"/>
      <c r="XFA256"/>
      <c r="XFB256"/>
      <c r="XFC256"/>
    </row>
    <row r="257" spans="1:20 16329:16383" s="38" customFormat="1" ht="29.1" customHeight="1" outlineLevel="6" x14ac:dyDescent="0.25">
      <c r="A257" s="49" t="s">
        <v>545</v>
      </c>
      <c r="B257" s="50"/>
      <c r="C257" s="50"/>
      <c r="D257" s="3" t="s">
        <v>313</v>
      </c>
      <c r="E257" s="3"/>
      <c r="F257" s="51"/>
      <c r="G257" s="50" t="s">
        <v>117</v>
      </c>
      <c r="H257" s="52">
        <f>1</f>
        <v>1</v>
      </c>
      <c r="I257" s="36"/>
      <c r="J257" s="52">
        <v>1</v>
      </c>
      <c r="K257" s="53">
        <f>0</f>
        <v>0</v>
      </c>
      <c r="L257" s="53">
        <f>0</f>
        <v>0</v>
      </c>
      <c r="M257" s="53">
        <f>0</f>
        <v>0</v>
      </c>
      <c r="N257" s="54">
        <f>SUM(K257:M257)</f>
        <v>0</v>
      </c>
      <c r="O257" s="54">
        <f>ROUND((H257*K257),2)</f>
        <v>0</v>
      </c>
      <c r="P257" s="54">
        <f>ROUND((H257*L257),2)</f>
        <v>0</v>
      </c>
      <c r="Q257" s="54">
        <f>ROUND((H257*M257),2)</f>
        <v>0</v>
      </c>
      <c r="R257" s="54">
        <f>ROUND((H257*N257),2)</f>
        <v>0</v>
      </c>
      <c r="S257" s="54"/>
      <c r="T257" s="36"/>
      <c r="XDA257"/>
      <c r="XDB257"/>
      <c r="XDC257"/>
      <c r="XDD257"/>
      <c r="XDE257"/>
      <c r="XDF257"/>
      <c r="XDG257"/>
      <c r="XDH257"/>
      <c r="XDI257"/>
      <c r="XDJ257"/>
      <c r="XDK257"/>
      <c r="XDL257"/>
      <c r="XDM257"/>
      <c r="XDN257"/>
      <c r="XDO257"/>
      <c r="XDP257"/>
      <c r="XDQ257"/>
      <c r="XDR257"/>
      <c r="XDS257"/>
      <c r="XDT257"/>
      <c r="XDU257"/>
      <c r="XDV257"/>
      <c r="XDW257"/>
      <c r="XDX257"/>
      <c r="XDY257"/>
      <c r="XDZ257"/>
      <c r="XEA257"/>
      <c r="XEB257"/>
      <c r="XEC257"/>
      <c r="XED257"/>
      <c r="XEE257"/>
      <c r="XEF257"/>
      <c r="XEG257"/>
      <c r="XEH257"/>
      <c r="XEI257"/>
      <c r="XEJ257"/>
      <c r="XEK257"/>
      <c r="XEL257"/>
      <c r="XEM257"/>
      <c r="XEN257"/>
      <c r="XEO257"/>
      <c r="XEP257"/>
      <c r="XEQ257"/>
      <c r="XER257"/>
      <c r="XES257"/>
      <c r="XET257"/>
      <c r="XEU257"/>
      <c r="XEV257"/>
      <c r="XEW257"/>
      <c r="XEX257"/>
      <c r="XEY257"/>
      <c r="XEZ257"/>
      <c r="XFA257"/>
      <c r="XFB257"/>
      <c r="XFC257"/>
    </row>
    <row r="258" spans="1:20 16329:16383" s="38" customFormat="1" ht="29.1" customHeight="1" outlineLevel="6" x14ac:dyDescent="0.25">
      <c r="A258" s="49" t="s">
        <v>546</v>
      </c>
      <c r="B258" s="50"/>
      <c r="C258" s="50"/>
      <c r="D258" s="3" t="s">
        <v>315</v>
      </c>
      <c r="E258" s="3"/>
      <c r="F258" s="51"/>
      <c r="G258" s="50" t="s">
        <v>117</v>
      </c>
      <c r="H258" s="52">
        <f>1</f>
        <v>1</v>
      </c>
      <c r="I258" s="36"/>
      <c r="J258" s="52">
        <v>1</v>
      </c>
      <c r="K258" s="53">
        <f>0</f>
        <v>0</v>
      </c>
      <c r="L258" s="53">
        <f>0</f>
        <v>0</v>
      </c>
      <c r="M258" s="53">
        <f>0</f>
        <v>0</v>
      </c>
      <c r="N258" s="54">
        <f>SUM(K258:M258)</f>
        <v>0</v>
      </c>
      <c r="O258" s="54">
        <f>ROUND((H258*K258),2)</f>
        <v>0</v>
      </c>
      <c r="P258" s="54">
        <f>ROUND((H258*L258),2)</f>
        <v>0</v>
      </c>
      <c r="Q258" s="54">
        <f>ROUND((H258*M258),2)</f>
        <v>0</v>
      </c>
      <c r="R258" s="54">
        <f>ROUND((H258*N258),2)</f>
        <v>0</v>
      </c>
      <c r="S258" s="54"/>
      <c r="T258" s="36"/>
      <c r="XDA258"/>
      <c r="XDB258"/>
      <c r="XDC258"/>
      <c r="XDD258"/>
      <c r="XDE258"/>
      <c r="XDF258"/>
      <c r="XDG258"/>
      <c r="XDH258"/>
      <c r="XDI258"/>
      <c r="XDJ258"/>
      <c r="XDK258"/>
      <c r="XDL258"/>
      <c r="XDM258"/>
      <c r="XDN258"/>
      <c r="XDO258"/>
      <c r="XDP258"/>
      <c r="XDQ258"/>
      <c r="XDR258"/>
      <c r="XDS258"/>
      <c r="XDT258"/>
      <c r="XDU258"/>
      <c r="XDV258"/>
      <c r="XDW258"/>
      <c r="XDX258"/>
      <c r="XDY258"/>
      <c r="XDZ258"/>
      <c r="XEA258"/>
      <c r="XEB258"/>
      <c r="XEC258"/>
      <c r="XED258"/>
      <c r="XEE258"/>
      <c r="XEF258"/>
      <c r="XEG258"/>
      <c r="XEH258"/>
      <c r="XEI258"/>
      <c r="XEJ258"/>
      <c r="XEK258"/>
      <c r="XEL258"/>
      <c r="XEM258"/>
      <c r="XEN258"/>
      <c r="XEO258"/>
      <c r="XEP258"/>
      <c r="XEQ258"/>
      <c r="XER258"/>
      <c r="XES258"/>
      <c r="XET258"/>
      <c r="XEU258"/>
      <c r="XEV258"/>
      <c r="XEW258"/>
      <c r="XEX258"/>
      <c r="XEY258"/>
      <c r="XEZ258"/>
      <c r="XFA258"/>
      <c r="XFB258"/>
      <c r="XFC258"/>
    </row>
    <row r="259" spans="1:20 16329:16383" s="38" customFormat="1" ht="29.1" customHeight="1" outlineLevel="6" x14ac:dyDescent="0.25">
      <c r="A259" s="49" t="s">
        <v>547</v>
      </c>
      <c r="B259" s="50"/>
      <c r="C259" s="50"/>
      <c r="D259" s="3" t="s">
        <v>317</v>
      </c>
      <c r="E259" s="3"/>
      <c r="F259" s="51"/>
      <c r="G259" s="50" t="s">
        <v>117</v>
      </c>
      <c r="H259" s="52">
        <f>1</f>
        <v>1</v>
      </c>
      <c r="I259" s="36"/>
      <c r="J259" s="52">
        <v>1</v>
      </c>
      <c r="K259" s="53">
        <f>0</f>
        <v>0</v>
      </c>
      <c r="L259" s="53">
        <f>0</f>
        <v>0</v>
      </c>
      <c r="M259" s="53">
        <f>0</f>
        <v>0</v>
      </c>
      <c r="N259" s="54">
        <f>SUM(K259:M259)</f>
        <v>0</v>
      </c>
      <c r="O259" s="54">
        <f>ROUND((H259*K259),2)</f>
        <v>0</v>
      </c>
      <c r="P259" s="54">
        <f>ROUND((H259*L259),2)</f>
        <v>0</v>
      </c>
      <c r="Q259" s="54">
        <f>ROUND((H259*M259),2)</f>
        <v>0</v>
      </c>
      <c r="R259" s="54">
        <f>ROUND((H259*N259),2)</f>
        <v>0</v>
      </c>
      <c r="S259" s="54"/>
      <c r="T259" s="36"/>
      <c r="XDA259"/>
      <c r="XDB259"/>
      <c r="XDC259"/>
      <c r="XDD259"/>
      <c r="XDE259"/>
      <c r="XDF259"/>
      <c r="XDG259"/>
      <c r="XDH259"/>
      <c r="XDI259"/>
      <c r="XDJ259"/>
      <c r="XDK259"/>
      <c r="XDL259"/>
      <c r="XDM259"/>
      <c r="XDN259"/>
      <c r="XDO259"/>
      <c r="XDP259"/>
      <c r="XDQ259"/>
      <c r="XDR259"/>
      <c r="XDS259"/>
      <c r="XDT259"/>
      <c r="XDU259"/>
      <c r="XDV259"/>
      <c r="XDW259"/>
      <c r="XDX259"/>
      <c r="XDY259"/>
      <c r="XDZ259"/>
      <c r="XEA259"/>
      <c r="XEB259"/>
      <c r="XEC259"/>
      <c r="XED259"/>
      <c r="XEE259"/>
      <c r="XEF259"/>
      <c r="XEG259"/>
      <c r="XEH259"/>
      <c r="XEI259"/>
      <c r="XEJ259"/>
      <c r="XEK259"/>
      <c r="XEL259"/>
      <c r="XEM259"/>
      <c r="XEN259"/>
      <c r="XEO259"/>
      <c r="XEP259"/>
      <c r="XEQ259"/>
      <c r="XER259"/>
      <c r="XES259"/>
      <c r="XET259"/>
      <c r="XEU259"/>
      <c r="XEV259"/>
      <c r="XEW259"/>
      <c r="XEX259"/>
      <c r="XEY259"/>
      <c r="XEZ259"/>
      <c r="XFA259"/>
      <c r="XFB259"/>
      <c r="XFC259"/>
    </row>
    <row r="260" spans="1:20 16329:16383" s="38" customFormat="1" ht="29.1" customHeight="1" outlineLevel="5" x14ac:dyDescent="0.25">
      <c r="A260" s="65" t="s">
        <v>548</v>
      </c>
      <c r="B260" s="66" t="s">
        <v>549</v>
      </c>
      <c r="C260" s="66"/>
      <c r="D260" s="98" t="s">
        <v>326</v>
      </c>
      <c r="E260" s="98"/>
      <c r="F260" s="67"/>
      <c r="G260" s="66"/>
      <c r="H260" s="68"/>
      <c r="I260" s="36"/>
      <c r="J260" s="68"/>
      <c r="K260" s="69"/>
      <c r="L260" s="69"/>
      <c r="M260" s="69"/>
      <c r="N260" s="69"/>
      <c r="O260" s="69">
        <f>SUM(O261:O263)</f>
        <v>0</v>
      </c>
      <c r="P260" s="69">
        <f>SUM(P261:P263)</f>
        <v>0</v>
      </c>
      <c r="Q260" s="69">
        <f>SUM(Q261:Q263)</f>
        <v>0</v>
      </c>
      <c r="R260" s="69">
        <f>SUM(R261:R263)</f>
        <v>0</v>
      </c>
      <c r="S260" s="69"/>
      <c r="T260" s="36"/>
      <c r="XDA260"/>
      <c r="XDB260"/>
      <c r="XDC260"/>
      <c r="XDD260"/>
      <c r="XDE260"/>
      <c r="XDF260"/>
      <c r="XDG260"/>
      <c r="XDH260"/>
      <c r="XDI260"/>
      <c r="XDJ260"/>
      <c r="XDK260"/>
      <c r="XDL260"/>
      <c r="XDM260"/>
      <c r="XDN260"/>
      <c r="XDO260"/>
      <c r="XDP260"/>
      <c r="XDQ260"/>
      <c r="XDR260"/>
      <c r="XDS260"/>
      <c r="XDT260"/>
      <c r="XDU260"/>
      <c r="XDV260"/>
      <c r="XDW260"/>
      <c r="XDX260"/>
      <c r="XDY260"/>
      <c r="XDZ260"/>
      <c r="XEA260"/>
      <c r="XEB260"/>
      <c r="XEC260"/>
      <c r="XED260"/>
      <c r="XEE260"/>
      <c r="XEF260"/>
      <c r="XEG260"/>
      <c r="XEH260"/>
      <c r="XEI260"/>
      <c r="XEJ260"/>
      <c r="XEK260"/>
      <c r="XEL260"/>
      <c r="XEM260"/>
      <c r="XEN260"/>
      <c r="XEO260"/>
      <c r="XEP260"/>
      <c r="XEQ260"/>
      <c r="XER260"/>
      <c r="XES260"/>
      <c r="XET260"/>
      <c r="XEU260"/>
      <c r="XEV260"/>
      <c r="XEW260"/>
      <c r="XEX260"/>
      <c r="XEY260"/>
      <c r="XEZ260"/>
      <c r="XFA260"/>
      <c r="XFB260"/>
      <c r="XFC260"/>
    </row>
    <row r="261" spans="1:20 16329:16383" s="38" customFormat="1" ht="29.1" customHeight="1" outlineLevel="6" x14ac:dyDescent="0.25">
      <c r="A261" s="49" t="s">
        <v>550</v>
      </c>
      <c r="B261" s="50"/>
      <c r="C261" s="50"/>
      <c r="D261" s="3" t="s">
        <v>313</v>
      </c>
      <c r="E261" s="3"/>
      <c r="F261" s="51"/>
      <c r="G261" s="50" t="s">
        <v>117</v>
      </c>
      <c r="H261" s="52">
        <f>1</f>
        <v>1</v>
      </c>
      <c r="I261" s="36"/>
      <c r="J261" s="52">
        <v>1</v>
      </c>
      <c r="K261" s="53">
        <f>0</f>
        <v>0</v>
      </c>
      <c r="L261" s="53">
        <f>0</f>
        <v>0</v>
      </c>
      <c r="M261" s="53">
        <f>0</f>
        <v>0</v>
      </c>
      <c r="N261" s="54">
        <f>SUM(K261:M261)</f>
        <v>0</v>
      </c>
      <c r="O261" s="54">
        <f>ROUND((H261*K261),2)</f>
        <v>0</v>
      </c>
      <c r="P261" s="54">
        <f>ROUND((H261*L261),2)</f>
        <v>0</v>
      </c>
      <c r="Q261" s="54">
        <f>ROUND((H261*M261),2)</f>
        <v>0</v>
      </c>
      <c r="R261" s="54">
        <f>ROUND((H261*N261),2)</f>
        <v>0</v>
      </c>
      <c r="S261" s="54"/>
      <c r="T261" s="36"/>
      <c r="XDA261"/>
      <c r="XDB261"/>
      <c r="XDC261"/>
      <c r="XDD261"/>
      <c r="XDE261"/>
      <c r="XDF261"/>
      <c r="XDG261"/>
      <c r="XDH261"/>
      <c r="XDI261"/>
      <c r="XDJ261"/>
      <c r="XDK261"/>
      <c r="XDL261"/>
      <c r="XDM261"/>
      <c r="XDN261"/>
      <c r="XDO261"/>
      <c r="XDP261"/>
      <c r="XDQ261"/>
      <c r="XDR261"/>
      <c r="XDS261"/>
      <c r="XDT261"/>
      <c r="XDU261"/>
      <c r="XDV261"/>
      <c r="XDW261"/>
      <c r="XDX261"/>
      <c r="XDY261"/>
      <c r="XDZ261"/>
      <c r="XEA261"/>
      <c r="XEB261"/>
      <c r="XEC261"/>
      <c r="XED261"/>
      <c r="XEE261"/>
      <c r="XEF261"/>
      <c r="XEG261"/>
      <c r="XEH261"/>
      <c r="XEI261"/>
      <c r="XEJ261"/>
      <c r="XEK261"/>
      <c r="XEL261"/>
      <c r="XEM261"/>
      <c r="XEN261"/>
      <c r="XEO261"/>
      <c r="XEP261"/>
      <c r="XEQ261"/>
      <c r="XER261"/>
      <c r="XES261"/>
      <c r="XET261"/>
      <c r="XEU261"/>
      <c r="XEV261"/>
      <c r="XEW261"/>
      <c r="XEX261"/>
      <c r="XEY261"/>
      <c r="XEZ261"/>
      <c r="XFA261"/>
      <c r="XFB261"/>
      <c r="XFC261"/>
    </row>
    <row r="262" spans="1:20 16329:16383" s="38" customFormat="1" ht="29.1" customHeight="1" outlineLevel="6" x14ac:dyDescent="0.25">
      <c r="A262" s="49" t="s">
        <v>551</v>
      </c>
      <c r="B262" s="50"/>
      <c r="C262" s="50"/>
      <c r="D262" s="3" t="s">
        <v>315</v>
      </c>
      <c r="E262" s="3"/>
      <c r="F262" s="51"/>
      <c r="G262" s="50" t="s">
        <v>117</v>
      </c>
      <c r="H262" s="52">
        <f>1</f>
        <v>1</v>
      </c>
      <c r="I262" s="36"/>
      <c r="J262" s="52">
        <v>1</v>
      </c>
      <c r="K262" s="53">
        <f>0</f>
        <v>0</v>
      </c>
      <c r="L262" s="53">
        <f>0</f>
        <v>0</v>
      </c>
      <c r="M262" s="53">
        <f>0</f>
        <v>0</v>
      </c>
      <c r="N262" s="54">
        <f>SUM(K262:M262)</f>
        <v>0</v>
      </c>
      <c r="O262" s="54">
        <f>ROUND((H262*K262),2)</f>
        <v>0</v>
      </c>
      <c r="P262" s="54">
        <f>ROUND((H262*L262),2)</f>
        <v>0</v>
      </c>
      <c r="Q262" s="54">
        <f>ROUND((H262*M262),2)</f>
        <v>0</v>
      </c>
      <c r="R262" s="54">
        <f>ROUND((H262*N262),2)</f>
        <v>0</v>
      </c>
      <c r="S262" s="54"/>
      <c r="T262" s="36"/>
      <c r="XDA262"/>
      <c r="XDB262"/>
      <c r="XDC262"/>
      <c r="XDD262"/>
      <c r="XDE262"/>
      <c r="XDF262"/>
      <c r="XDG262"/>
      <c r="XDH262"/>
      <c r="XDI262"/>
      <c r="XDJ262"/>
      <c r="XDK262"/>
      <c r="XDL262"/>
      <c r="XDM262"/>
      <c r="XDN262"/>
      <c r="XDO262"/>
      <c r="XDP262"/>
      <c r="XDQ262"/>
      <c r="XDR262"/>
      <c r="XDS262"/>
      <c r="XDT262"/>
      <c r="XDU262"/>
      <c r="XDV262"/>
      <c r="XDW262"/>
      <c r="XDX262"/>
      <c r="XDY262"/>
      <c r="XDZ262"/>
      <c r="XEA262"/>
      <c r="XEB262"/>
      <c r="XEC262"/>
      <c r="XED262"/>
      <c r="XEE262"/>
      <c r="XEF262"/>
      <c r="XEG262"/>
      <c r="XEH262"/>
      <c r="XEI262"/>
      <c r="XEJ262"/>
      <c r="XEK262"/>
      <c r="XEL262"/>
      <c r="XEM262"/>
      <c r="XEN262"/>
      <c r="XEO262"/>
      <c r="XEP262"/>
      <c r="XEQ262"/>
      <c r="XER262"/>
      <c r="XES262"/>
      <c r="XET262"/>
      <c r="XEU262"/>
      <c r="XEV262"/>
      <c r="XEW262"/>
      <c r="XEX262"/>
      <c r="XEY262"/>
      <c r="XEZ262"/>
      <c r="XFA262"/>
      <c r="XFB262"/>
      <c r="XFC262"/>
    </row>
    <row r="263" spans="1:20 16329:16383" s="38" customFormat="1" ht="29.1" customHeight="1" outlineLevel="6" x14ac:dyDescent="0.25">
      <c r="A263" s="49" t="s">
        <v>552</v>
      </c>
      <c r="B263" s="50"/>
      <c r="C263" s="50"/>
      <c r="D263" s="3" t="s">
        <v>317</v>
      </c>
      <c r="E263" s="3"/>
      <c r="F263" s="51"/>
      <c r="G263" s="50" t="s">
        <v>117</v>
      </c>
      <c r="H263" s="52">
        <f>1</f>
        <v>1</v>
      </c>
      <c r="I263" s="36"/>
      <c r="J263" s="52">
        <v>1</v>
      </c>
      <c r="K263" s="53">
        <f>0</f>
        <v>0</v>
      </c>
      <c r="L263" s="53">
        <f>0</f>
        <v>0</v>
      </c>
      <c r="M263" s="53">
        <f>0</f>
        <v>0</v>
      </c>
      <c r="N263" s="54">
        <f>SUM(K263:M263)</f>
        <v>0</v>
      </c>
      <c r="O263" s="54">
        <f>ROUND((H263*K263),2)</f>
        <v>0</v>
      </c>
      <c r="P263" s="54">
        <f>ROUND((H263*L263),2)</f>
        <v>0</v>
      </c>
      <c r="Q263" s="54">
        <f>ROUND((H263*M263),2)</f>
        <v>0</v>
      </c>
      <c r="R263" s="54">
        <f>ROUND((H263*N263),2)</f>
        <v>0</v>
      </c>
      <c r="S263" s="54"/>
      <c r="T263" s="36"/>
      <c r="XDA263"/>
      <c r="XDB263"/>
      <c r="XDC263"/>
      <c r="XDD263"/>
      <c r="XDE263"/>
      <c r="XDF263"/>
      <c r="XDG263"/>
      <c r="XDH263"/>
      <c r="XDI263"/>
      <c r="XDJ263"/>
      <c r="XDK263"/>
      <c r="XDL263"/>
      <c r="XDM263"/>
      <c r="XDN263"/>
      <c r="XDO263"/>
      <c r="XDP263"/>
      <c r="XDQ263"/>
      <c r="XDR263"/>
      <c r="XDS263"/>
      <c r="XDT263"/>
      <c r="XDU263"/>
      <c r="XDV263"/>
      <c r="XDW263"/>
      <c r="XDX263"/>
      <c r="XDY263"/>
      <c r="XDZ263"/>
      <c r="XEA263"/>
      <c r="XEB263"/>
      <c r="XEC263"/>
      <c r="XED263"/>
      <c r="XEE263"/>
      <c r="XEF263"/>
      <c r="XEG263"/>
      <c r="XEH263"/>
      <c r="XEI263"/>
      <c r="XEJ263"/>
      <c r="XEK263"/>
      <c r="XEL263"/>
      <c r="XEM263"/>
      <c r="XEN263"/>
      <c r="XEO263"/>
      <c r="XEP263"/>
      <c r="XEQ263"/>
      <c r="XER263"/>
      <c r="XES263"/>
      <c r="XET263"/>
      <c r="XEU263"/>
      <c r="XEV263"/>
      <c r="XEW263"/>
      <c r="XEX263"/>
      <c r="XEY263"/>
      <c r="XEZ263"/>
      <c r="XFA263"/>
      <c r="XFB263"/>
      <c r="XFC263"/>
    </row>
    <row r="264" spans="1:20 16329:16383" s="38" customFormat="1" ht="29.1" customHeight="1" outlineLevel="5" x14ac:dyDescent="0.25">
      <c r="A264" s="65" t="s">
        <v>553</v>
      </c>
      <c r="B264" s="66" t="s">
        <v>554</v>
      </c>
      <c r="C264" s="66"/>
      <c r="D264" s="98" t="s">
        <v>555</v>
      </c>
      <c r="E264" s="98"/>
      <c r="F264" s="67"/>
      <c r="G264" s="66"/>
      <c r="H264" s="68"/>
      <c r="I264" s="36"/>
      <c r="J264" s="68"/>
      <c r="K264" s="69"/>
      <c r="L264" s="69"/>
      <c r="M264" s="69"/>
      <c r="N264" s="69"/>
      <c r="O264" s="69">
        <f>O265</f>
        <v>0</v>
      </c>
      <c r="P264" s="69">
        <f>P265</f>
        <v>0</v>
      </c>
      <c r="Q264" s="69">
        <f>Q265</f>
        <v>0</v>
      </c>
      <c r="R264" s="69">
        <f>R265</f>
        <v>0</v>
      </c>
      <c r="S264" s="69"/>
      <c r="T264" s="36"/>
      <c r="XDA264"/>
      <c r="XDB264"/>
      <c r="XDC264"/>
      <c r="XDD264"/>
      <c r="XDE264"/>
      <c r="XDF264"/>
      <c r="XDG264"/>
      <c r="XDH264"/>
      <c r="XDI264"/>
      <c r="XDJ264"/>
      <c r="XDK264"/>
      <c r="XDL264"/>
      <c r="XDM264"/>
      <c r="XDN264"/>
      <c r="XDO264"/>
      <c r="XDP264"/>
      <c r="XDQ264"/>
      <c r="XDR264"/>
      <c r="XDS264"/>
      <c r="XDT264"/>
      <c r="XDU264"/>
      <c r="XDV264"/>
      <c r="XDW264"/>
      <c r="XDX264"/>
      <c r="XDY264"/>
      <c r="XDZ264"/>
      <c r="XEA264"/>
      <c r="XEB264"/>
      <c r="XEC264"/>
      <c r="XED264"/>
      <c r="XEE264"/>
      <c r="XEF264"/>
      <c r="XEG264"/>
      <c r="XEH264"/>
      <c r="XEI264"/>
      <c r="XEJ264"/>
      <c r="XEK264"/>
      <c r="XEL264"/>
      <c r="XEM264"/>
      <c r="XEN264"/>
      <c r="XEO264"/>
      <c r="XEP264"/>
      <c r="XEQ264"/>
      <c r="XER264"/>
      <c r="XES264"/>
      <c r="XET264"/>
      <c r="XEU264"/>
      <c r="XEV264"/>
      <c r="XEW264"/>
      <c r="XEX264"/>
      <c r="XEY264"/>
      <c r="XEZ264"/>
      <c r="XFA264"/>
      <c r="XFB264"/>
      <c r="XFC264"/>
    </row>
    <row r="265" spans="1:20 16329:16383" s="38" customFormat="1" ht="29.1" customHeight="1" outlineLevel="6" x14ac:dyDescent="0.25">
      <c r="A265" s="49" t="s">
        <v>556</v>
      </c>
      <c r="B265" s="50"/>
      <c r="C265" s="50"/>
      <c r="D265" s="3" t="s">
        <v>313</v>
      </c>
      <c r="E265" s="3"/>
      <c r="F265" s="51"/>
      <c r="G265" s="50" t="s">
        <v>117</v>
      </c>
      <c r="H265" s="52">
        <f>1</f>
        <v>1</v>
      </c>
      <c r="I265" s="36"/>
      <c r="J265" s="52">
        <v>1</v>
      </c>
      <c r="K265" s="53">
        <f>0</f>
        <v>0</v>
      </c>
      <c r="L265" s="53">
        <f>0</f>
        <v>0</v>
      </c>
      <c r="M265" s="53">
        <f>0</f>
        <v>0</v>
      </c>
      <c r="N265" s="54">
        <f>SUM(K265:M265)</f>
        <v>0</v>
      </c>
      <c r="O265" s="54">
        <f>ROUND((H265*K265),2)</f>
        <v>0</v>
      </c>
      <c r="P265" s="54">
        <f>ROUND((H265*L265),2)</f>
        <v>0</v>
      </c>
      <c r="Q265" s="54">
        <f>ROUND((H265*M265),2)</f>
        <v>0</v>
      </c>
      <c r="R265" s="54">
        <f>ROUND((H265*N265),2)</f>
        <v>0</v>
      </c>
      <c r="S265" s="54"/>
      <c r="T265" s="36"/>
      <c r="XDA265"/>
      <c r="XDB265"/>
      <c r="XDC265"/>
      <c r="XDD265"/>
      <c r="XDE265"/>
      <c r="XDF265"/>
      <c r="XDG265"/>
      <c r="XDH265"/>
      <c r="XDI265"/>
      <c r="XDJ265"/>
      <c r="XDK265"/>
      <c r="XDL265"/>
      <c r="XDM265"/>
      <c r="XDN265"/>
      <c r="XDO265"/>
      <c r="XDP265"/>
      <c r="XDQ265"/>
      <c r="XDR265"/>
      <c r="XDS265"/>
      <c r="XDT265"/>
      <c r="XDU265"/>
      <c r="XDV265"/>
      <c r="XDW265"/>
      <c r="XDX265"/>
      <c r="XDY265"/>
      <c r="XDZ265"/>
      <c r="XEA265"/>
      <c r="XEB265"/>
      <c r="XEC265"/>
      <c r="XED265"/>
      <c r="XEE265"/>
      <c r="XEF265"/>
      <c r="XEG265"/>
      <c r="XEH265"/>
      <c r="XEI265"/>
      <c r="XEJ265"/>
      <c r="XEK265"/>
      <c r="XEL265"/>
      <c r="XEM265"/>
      <c r="XEN265"/>
      <c r="XEO265"/>
      <c r="XEP265"/>
      <c r="XEQ265"/>
      <c r="XER265"/>
      <c r="XES265"/>
      <c r="XET265"/>
      <c r="XEU265"/>
      <c r="XEV265"/>
      <c r="XEW265"/>
      <c r="XEX265"/>
      <c r="XEY265"/>
      <c r="XEZ265"/>
      <c r="XFA265"/>
      <c r="XFB265"/>
      <c r="XFC265"/>
    </row>
    <row r="266" spans="1:20 16329:16383" s="38" customFormat="1" ht="29.1" customHeight="1" outlineLevel="5" x14ac:dyDescent="0.25">
      <c r="A266" s="65" t="s">
        <v>557</v>
      </c>
      <c r="B266" s="66" t="s">
        <v>558</v>
      </c>
      <c r="C266" s="66"/>
      <c r="D266" s="98" t="s">
        <v>559</v>
      </c>
      <c r="E266" s="98"/>
      <c r="F266" s="67"/>
      <c r="G266" s="66"/>
      <c r="H266" s="68"/>
      <c r="I266" s="36"/>
      <c r="J266" s="68"/>
      <c r="K266" s="69"/>
      <c r="L266" s="69"/>
      <c r="M266" s="69"/>
      <c r="N266" s="69"/>
      <c r="O266" s="69">
        <f>O267</f>
        <v>0</v>
      </c>
      <c r="P266" s="69">
        <f>P267</f>
        <v>0</v>
      </c>
      <c r="Q266" s="69">
        <f>Q267</f>
        <v>0</v>
      </c>
      <c r="R266" s="69">
        <f>R267</f>
        <v>0</v>
      </c>
      <c r="S266" s="69"/>
      <c r="T266" s="36"/>
      <c r="XDA266"/>
      <c r="XDB266"/>
      <c r="XDC266"/>
      <c r="XDD266"/>
      <c r="XDE266"/>
      <c r="XDF266"/>
      <c r="XDG266"/>
      <c r="XDH266"/>
      <c r="XDI266"/>
      <c r="XDJ266"/>
      <c r="XDK266"/>
      <c r="XDL266"/>
      <c r="XDM266"/>
      <c r="XDN266"/>
      <c r="XDO266"/>
      <c r="XDP266"/>
      <c r="XDQ266"/>
      <c r="XDR266"/>
      <c r="XDS266"/>
      <c r="XDT266"/>
      <c r="XDU266"/>
      <c r="XDV266"/>
      <c r="XDW266"/>
      <c r="XDX266"/>
      <c r="XDY266"/>
      <c r="XDZ266"/>
      <c r="XEA266"/>
      <c r="XEB266"/>
      <c r="XEC266"/>
      <c r="XED266"/>
      <c r="XEE266"/>
      <c r="XEF266"/>
      <c r="XEG266"/>
      <c r="XEH266"/>
      <c r="XEI266"/>
      <c r="XEJ266"/>
      <c r="XEK266"/>
      <c r="XEL266"/>
      <c r="XEM266"/>
      <c r="XEN266"/>
      <c r="XEO266"/>
      <c r="XEP266"/>
      <c r="XEQ266"/>
      <c r="XER266"/>
      <c r="XES266"/>
      <c r="XET266"/>
      <c r="XEU266"/>
      <c r="XEV266"/>
      <c r="XEW266"/>
      <c r="XEX266"/>
      <c r="XEY266"/>
      <c r="XEZ266"/>
      <c r="XFA266"/>
      <c r="XFB266"/>
      <c r="XFC266"/>
    </row>
    <row r="267" spans="1:20 16329:16383" s="38" customFormat="1" ht="29.1" customHeight="1" outlineLevel="6" x14ac:dyDescent="0.25">
      <c r="A267" s="49" t="s">
        <v>560</v>
      </c>
      <c r="B267" s="50"/>
      <c r="C267" s="50"/>
      <c r="D267" s="3" t="s">
        <v>313</v>
      </c>
      <c r="E267" s="3"/>
      <c r="F267" s="51"/>
      <c r="G267" s="50" t="s">
        <v>117</v>
      </c>
      <c r="H267" s="52">
        <f>1</f>
        <v>1</v>
      </c>
      <c r="I267" s="36"/>
      <c r="J267" s="52">
        <v>1</v>
      </c>
      <c r="K267" s="53">
        <f>0</f>
        <v>0</v>
      </c>
      <c r="L267" s="53">
        <f>0</f>
        <v>0</v>
      </c>
      <c r="M267" s="53">
        <f>0</f>
        <v>0</v>
      </c>
      <c r="N267" s="54">
        <f>SUM(K267:M267)</f>
        <v>0</v>
      </c>
      <c r="O267" s="54">
        <f>ROUND((H267*K267),2)</f>
        <v>0</v>
      </c>
      <c r="P267" s="54">
        <f>ROUND((H267*L267),2)</f>
        <v>0</v>
      </c>
      <c r="Q267" s="54">
        <f>ROUND((H267*M267),2)</f>
        <v>0</v>
      </c>
      <c r="R267" s="54">
        <f>ROUND((H267*N267),2)</f>
        <v>0</v>
      </c>
      <c r="S267" s="54"/>
      <c r="T267" s="36"/>
      <c r="XDA267"/>
      <c r="XDB267"/>
      <c r="XDC267"/>
      <c r="XDD267"/>
      <c r="XDE267"/>
      <c r="XDF267"/>
      <c r="XDG267"/>
      <c r="XDH267"/>
      <c r="XDI267"/>
      <c r="XDJ267"/>
      <c r="XDK267"/>
      <c r="XDL267"/>
      <c r="XDM267"/>
      <c r="XDN267"/>
      <c r="XDO267"/>
      <c r="XDP267"/>
      <c r="XDQ267"/>
      <c r="XDR267"/>
      <c r="XDS267"/>
      <c r="XDT267"/>
      <c r="XDU267"/>
      <c r="XDV267"/>
      <c r="XDW267"/>
      <c r="XDX267"/>
      <c r="XDY267"/>
      <c r="XDZ267"/>
      <c r="XEA267"/>
      <c r="XEB267"/>
      <c r="XEC267"/>
      <c r="XED267"/>
      <c r="XEE267"/>
      <c r="XEF267"/>
      <c r="XEG267"/>
      <c r="XEH267"/>
      <c r="XEI267"/>
      <c r="XEJ267"/>
      <c r="XEK267"/>
      <c r="XEL267"/>
      <c r="XEM267"/>
      <c r="XEN267"/>
      <c r="XEO267"/>
      <c r="XEP267"/>
      <c r="XEQ267"/>
      <c r="XER267"/>
      <c r="XES267"/>
      <c r="XET267"/>
      <c r="XEU267"/>
      <c r="XEV267"/>
      <c r="XEW267"/>
      <c r="XEX267"/>
      <c r="XEY267"/>
      <c r="XEZ267"/>
      <c r="XFA267"/>
      <c r="XFB267"/>
      <c r="XFC267"/>
    </row>
    <row r="268" spans="1:20 16329:16383" s="38" customFormat="1" ht="29.1" customHeight="1" outlineLevel="3" x14ac:dyDescent="0.25">
      <c r="A268" s="55" t="s">
        <v>561</v>
      </c>
      <c r="B268" s="56" t="s">
        <v>562</v>
      </c>
      <c r="C268" s="56" t="s">
        <v>563</v>
      </c>
      <c r="D268" s="2" t="s">
        <v>564</v>
      </c>
      <c r="E268" s="2"/>
      <c r="F268" s="57"/>
      <c r="G268" s="56" t="s">
        <v>117</v>
      </c>
      <c r="H268" s="58"/>
      <c r="I268" s="36"/>
      <c r="J268" s="58"/>
      <c r="K268" s="59"/>
      <c r="L268" s="59"/>
      <c r="M268" s="59"/>
      <c r="N268" s="59"/>
      <c r="O268" s="59">
        <f>O269+O290</f>
        <v>0</v>
      </c>
      <c r="P268" s="59">
        <f>P269+P290</f>
        <v>0</v>
      </c>
      <c r="Q268" s="59">
        <f>Q269+Q290</f>
        <v>0</v>
      </c>
      <c r="R268" s="59">
        <f>R269+R290</f>
        <v>0</v>
      </c>
      <c r="S268" s="59"/>
      <c r="T268" s="36"/>
      <c r="XDA268"/>
      <c r="XDB268"/>
      <c r="XDC268"/>
      <c r="XDD268"/>
      <c r="XDE268"/>
      <c r="XDF268"/>
      <c r="XDG268"/>
      <c r="XDH268"/>
      <c r="XDI268"/>
      <c r="XDJ268"/>
      <c r="XDK268"/>
      <c r="XDL268"/>
      <c r="XDM268"/>
      <c r="XDN268"/>
      <c r="XDO268"/>
      <c r="XDP268"/>
      <c r="XDQ268"/>
      <c r="XDR268"/>
      <c r="XDS268"/>
      <c r="XDT268"/>
      <c r="XDU268"/>
      <c r="XDV268"/>
      <c r="XDW268"/>
      <c r="XDX268"/>
      <c r="XDY268"/>
      <c r="XDZ268"/>
      <c r="XEA268"/>
      <c r="XEB268"/>
      <c r="XEC268"/>
      <c r="XED268"/>
      <c r="XEE268"/>
      <c r="XEF268"/>
      <c r="XEG268"/>
      <c r="XEH268"/>
      <c r="XEI268"/>
      <c r="XEJ268"/>
      <c r="XEK268"/>
      <c r="XEL268"/>
      <c r="XEM268"/>
      <c r="XEN268"/>
      <c r="XEO268"/>
      <c r="XEP268"/>
      <c r="XEQ268"/>
      <c r="XER268"/>
      <c r="XES268"/>
      <c r="XET268"/>
      <c r="XEU268"/>
      <c r="XEV268"/>
      <c r="XEW268"/>
      <c r="XEX268"/>
      <c r="XEY268"/>
      <c r="XEZ268"/>
      <c r="XFA268"/>
      <c r="XFB268"/>
      <c r="XFC268"/>
    </row>
    <row r="269" spans="1:20 16329:16383" s="38" customFormat="1" ht="29.1" customHeight="1" outlineLevel="4" x14ac:dyDescent="0.25">
      <c r="A269" s="60" t="s">
        <v>565</v>
      </c>
      <c r="B269" s="61" t="s">
        <v>566</v>
      </c>
      <c r="C269" s="61"/>
      <c r="D269" s="1" t="s">
        <v>344</v>
      </c>
      <c r="E269" s="1"/>
      <c r="F269" s="62"/>
      <c r="G269" s="61"/>
      <c r="H269" s="63"/>
      <c r="I269" s="36"/>
      <c r="J269" s="63"/>
      <c r="K269" s="64"/>
      <c r="L269" s="64"/>
      <c r="M269" s="64"/>
      <c r="N269" s="64"/>
      <c r="O269" s="64">
        <f>O270+O273+O276+O281+O284+O287</f>
        <v>0</v>
      </c>
      <c r="P269" s="64">
        <f>P270+P273+P276+P281+P284+P287</f>
        <v>0</v>
      </c>
      <c r="Q269" s="64">
        <f>Q270+Q273+Q276+Q281+Q284+Q287</f>
        <v>0</v>
      </c>
      <c r="R269" s="64">
        <f>R270+R273+R276+R281+R284+R287</f>
        <v>0</v>
      </c>
      <c r="S269" s="64"/>
      <c r="T269" s="36"/>
      <c r="XDA269"/>
      <c r="XDB269"/>
      <c r="XDC269"/>
      <c r="XDD269"/>
      <c r="XDE269"/>
      <c r="XDF269"/>
      <c r="XDG269"/>
      <c r="XDH269"/>
      <c r="XDI269"/>
      <c r="XDJ269"/>
      <c r="XDK269"/>
      <c r="XDL269"/>
      <c r="XDM269"/>
      <c r="XDN269"/>
      <c r="XDO269"/>
      <c r="XDP269"/>
      <c r="XDQ269"/>
      <c r="XDR269"/>
      <c r="XDS269"/>
      <c r="XDT269"/>
      <c r="XDU269"/>
      <c r="XDV269"/>
      <c r="XDW269"/>
      <c r="XDX269"/>
      <c r="XDY269"/>
      <c r="XDZ269"/>
      <c r="XEA269"/>
      <c r="XEB269"/>
      <c r="XEC269"/>
      <c r="XED269"/>
      <c r="XEE269"/>
      <c r="XEF269"/>
      <c r="XEG269"/>
      <c r="XEH269"/>
      <c r="XEI269"/>
      <c r="XEJ269"/>
      <c r="XEK269"/>
      <c r="XEL269"/>
      <c r="XEM269"/>
      <c r="XEN269"/>
      <c r="XEO269"/>
      <c r="XEP269"/>
      <c r="XEQ269"/>
      <c r="XER269"/>
      <c r="XES269"/>
      <c r="XET269"/>
      <c r="XEU269"/>
      <c r="XEV269"/>
      <c r="XEW269"/>
      <c r="XEX269"/>
      <c r="XEY269"/>
      <c r="XEZ269"/>
      <c r="XFA269"/>
      <c r="XFB269"/>
      <c r="XFC269"/>
    </row>
    <row r="270" spans="1:20 16329:16383" s="38" customFormat="1" ht="29.1" customHeight="1" outlineLevel="5" x14ac:dyDescent="0.25">
      <c r="A270" s="65" t="s">
        <v>567</v>
      </c>
      <c r="B270" s="66" t="s">
        <v>568</v>
      </c>
      <c r="C270" s="66"/>
      <c r="D270" s="98" t="s">
        <v>347</v>
      </c>
      <c r="E270" s="98"/>
      <c r="F270" s="67"/>
      <c r="G270" s="66"/>
      <c r="H270" s="68"/>
      <c r="I270" s="36"/>
      <c r="J270" s="68"/>
      <c r="K270" s="69"/>
      <c r="L270" s="69"/>
      <c r="M270" s="69"/>
      <c r="N270" s="69"/>
      <c r="O270" s="69">
        <f>O271+O272</f>
        <v>0</v>
      </c>
      <c r="P270" s="69">
        <f>P271+P272</f>
        <v>0</v>
      </c>
      <c r="Q270" s="69">
        <f>Q271+Q272</f>
        <v>0</v>
      </c>
      <c r="R270" s="69">
        <f>R271+R272</f>
        <v>0</v>
      </c>
      <c r="S270" s="69"/>
      <c r="T270" s="36"/>
      <c r="XDA270"/>
      <c r="XDB270"/>
      <c r="XDC270"/>
      <c r="XDD270"/>
      <c r="XDE270"/>
      <c r="XDF270"/>
      <c r="XDG270"/>
      <c r="XDH270"/>
      <c r="XDI270"/>
      <c r="XDJ270"/>
      <c r="XDK270"/>
      <c r="XDL270"/>
      <c r="XDM270"/>
      <c r="XDN270"/>
      <c r="XDO270"/>
      <c r="XDP270"/>
      <c r="XDQ270"/>
      <c r="XDR270"/>
      <c r="XDS270"/>
      <c r="XDT270"/>
      <c r="XDU270"/>
      <c r="XDV270"/>
      <c r="XDW270"/>
      <c r="XDX270"/>
      <c r="XDY270"/>
      <c r="XDZ270"/>
      <c r="XEA270"/>
      <c r="XEB270"/>
      <c r="XEC270"/>
      <c r="XED270"/>
      <c r="XEE270"/>
      <c r="XEF270"/>
      <c r="XEG270"/>
      <c r="XEH270"/>
      <c r="XEI270"/>
      <c r="XEJ270"/>
      <c r="XEK270"/>
      <c r="XEL270"/>
      <c r="XEM270"/>
      <c r="XEN270"/>
      <c r="XEO270"/>
      <c r="XEP270"/>
      <c r="XEQ270"/>
      <c r="XER270"/>
      <c r="XES270"/>
      <c r="XET270"/>
      <c r="XEU270"/>
      <c r="XEV270"/>
      <c r="XEW270"/>
      <c r="XEX270"/>
      <c r="XEY270"/>
      <c r="XEZ270"/>
      <c r="XFA270"/>
      <c r="XFB270"/>
      <c r="XFC270"/>
    </row>
    <row r="271" spans="1:20 16329:16383" s="38" customFormat="1" ht="29.1" customHeight="1" outlineLevel="6" x14ac:dyDescent="0.25">
      <c r="A271" s="49" t="s">
        <v>569</v>
      </c>
      <c r="B271" s="50"/>
      <c r="C271" s="50"/>
      <c r="D271" s="3" t="s">
        <v>349</v>
      </c>
      <c r="E271" s="3"/>
      <c r="F271" s="51"/>
      <c r="G271" s="50" t="s">
        <v>117</v>
      </c>
      <c r="H271" s="52">
        <f>1</f>
        <v>1</v>
      </c>
      <c r="I271" s="36"/>
      <c r="J271" s="52">
        <v>1</v>
      </c>
      <c r="K271" s="53">
        <f>0</f>
        <v>0</v>
      </c>
      <c r="L271" s="53">
        <f>0</f>
        <v>0</v>
      </c>
      <c r="M271" s="53">
        <f>0</f>
        <v>0</v>
      </c>
      <c r="N271" s="54">
        <f>SUM(K271:M271)</f>
        <v>0</v>
      </c>
      <c r="O271" s="54">
        <f>ROUND((H271*K271),2)</f>
        <v>0</v>
      </c>
      <c r="P271" s="54">
        <f>ROUND((H271*L271),2)</f>
        <v>0</v>
      </c>
      <c r="Q271" s="54">
        <f>ROUND((H271*M271),2)</f>
        <v>0</v>
      </c>
      <c r="R271" s="54">
        <f>ROUND((H271*N271),2)</f>
        <v>0</v>
      </c>
      <c r="S271" s="54"/>
      <c r="T271" s="36"/>
      <c r="XDA271"/>
      <c r="XDB271"/>
      <c r="XDC271"/>
      <c r="XDD271"/>
      <c r="XDE271"/>
      <c r="XDF271"/>
      <c r="XDG271"/>
      <c r="XDH271"/>
      <c r="XDI271"/>
      <c r="XDJ271"/>
      <c r="XDK271"/>
      <c r="XDL271"/>
      <c r="XDM271"/>
      <c r="XDN271"/>
      <c r="XDO271"/>
      <c r="XDP271"/>
      <c r="XDQ271"/>
      <c r="XDR271"/>
      <c r="XDS271"/>
      <c r="XDT271"/>
      <c r="XDU271"/>
      <c r="XDV271"/>
      <c r="XDW271"/>
      <c r="XDX271"/>
      <c r="XDY271"/>
      <c r="XDZ271"/>
      <c r="XEA271"/>
      <c r="XEB271"/>
      <c r="XEC271"/>
      <c r="XED271"/>
      <c r="XEE271"/>
      <c r="XEF271"/>
      <c r="XEG271"/>
      <c r="XEH271"/>
      <c r="XEI271"/>
      <c r="XEJ271"/>
      <c r="XEK271"/>
      <c r="XEL271"/>
      <c r="XEM271"/>
      <c r="XEN271"/>
      <c r="XEO271"/>
      <c r="XEP271"/>
      <c r="XEQ271"/>
      <c r="XER271"/>
      <c r="XES271"/>
      <c r="XET271"/>
      <c r="XEU271"/>
      <c r="XEV271"/>
      <c r="XEW271"/>
      <c r="XEX271"/>
      <c r="XEY271"/>
      <c r="XEZ271"/>
      <c r="XFA271"/>
      <c r="XFB271"/>
      <c r="XFC271"/>
    </row>
    <row r="272" spans="1:20 16329:16383" s="38" customFormat="1" ht="29.1" customHeight="1" outlineLevel="6" x14ac:dyDescent="0.25">
      <c r="A272" s="49" t="s">
        <v>570</v>
      </c>
      <c r="B272" s="50"/>
      <c r="C272" s="50"/>
      <c r="D272" s="3" t="s">
        <v>571</v>
      </c>
      <c r="E272" s="3"/>
      <c r="F272" s="51"/>
      <c r="G272" s="50" t="s">
        <v>117</v>
      </c>
      <c r="H272" s="52">
        <f>1</f>
        <v>1</v>
      </c>
      <c r="I272" s="36"/>
      <c r="J272" s="52">
        <v>1</v>
      </c>
      <c r="K272" s="53">
        <f>0</f>
        <v>0</v>
      </c>
      <c r="L272" s="53">
        <f>0</f>
        <v>0</v>
      </c>
      <c r="M272" s="53">
        <f>0</f>
        <v>0</v>
      </c>
      <c r="N272" s="54">
        <f>SUM(K272:M272)</f>
        <v>0</v>
      </c>
      <c r="O272" s="54">
        <f>ROUND((H272*K272),2)</f>
        <v>0</v>
      </c>
      <c r="P272" s="54">
        <f>ROUND((H272*L272),2)</f>
        <v>0</v>
      </c>
      <c r="Q272" s="54">
        <f>ROUND((H272*M272),2)</f>
        <v>0</v>
      </c>
      <c r="R272" s="54">
        <f>ROUND((H272*N272),2)</f>
        <v>0</v>
      </c>
      <c r="S272" s="54"/>
      <c r="T272" s="36"/>
      <c r="XDA272"/>
      <c r="XDB272"/>
      <c r="XDC272"/>
      <c r="XDD272"/>
      <c r="XDE272"/>
      <c r="XDF272"/>
      <c r="XDG272"/>
      <c r="XDH272"/>
      <c r="XDI272"/>
      <c r="XDJ272"/>
      <c r="XDK272"/>
      <c r="XDL272"/>
      <c r="XDM272"/>
      <c r="XDN272"/>
      <c r="XDO272"/>
      <c r="XDP272"/>
      <c r="XDQ272"/>
      <c r="XDR272"/>
      <c r="XDS272"/>
      <c r="XDT272"/>
      <c r="XDU272"/>
      <c r="XDV272"/>
      <c r="XDW272"/>
      <c r="XDX272"/>
      <c r="XDY272"/>
      <c r="XDZ272"/>
      <c r="XEA272"/>
      <c r="XEB272"/>
      <c r="XEC272"/>
      <c r="XED272"/>
      <c r="XEE272"/>
      <c r="XEF272"/>
      <c r="XEG272"/>
      <c r="XEH272"/>
      <c r="XEI272"/>
      <c r="XEJ272"/>
      <c r="XEK272"/>
      <c r="XEL272"/>
      <c r="XEM272"/>
      <c r="XEN272"/>
      <c r="XEO272"/>
      <c r="XEP272"/>
      <c r="XEQ272"/>
      <c r="XER272"/>
      <c r="XES272"/>
      <c r="XET272"/>
      <c r="XEU272"/>
      <c r="XEV272"/>
      <c r="XEW272"/>
      <c r="XEX272"/>
      <c r="XEY272"/>
      <c r="XEZ272"/>
      <c r="XFA272"/>
      <c r="XFB272"/>
      <c r="XFC272"/>
    </row>
    <row r="273" spans="1:20 16329:16383" s="38" customFormat="1" ht="29.1" customHeight="1" outlineLevel="5" x14ac:dyDescent="0.25">
      <c r="A273" s="65" t="s">
        <v>572</v>
      </c>
      <c r="B273" s="66" t="s">
        <v>573</v>
      </c>
      <c r="C273" s="66"/>
      <c r="D273" s="98" t="s">
        <v>574</v>
      </c>
      <c r="E273" s="98"/>
      <c r="F273" s="67"/>
      <c r="G273" s="66"/>
      <c r="H273" s="68"/>
      <c r="I273" s="36"/>
      <c r="J273" s="68"/>
      <c r="K273" s="69"/>
      <c r="L273" s="69"/>
      <c r="M273" s="69"/>
      <c r="N273" s="69"/>
      <c r="O273" s="69">
        <f>O274+O275</f>
        <v>0</v>
      </c>
      <c r="P273" s="69">
        <f>P274+P275</f>
        <v>0</v>
      </c>
      <c r="Q273" s="69">
        <f>Q274+Q275</f>
        <v>0</v>
      </c>
      <c r="R273" s="69">
        <f>R274+R275</f>
        <v>0</v>
      </c>
      <c r="S273" s="69"/>
      <c r="T273" s="36"/>
      <c r="XDA273"/>
      <c r="XDB273"/>
      <c r="XDC273"/>
      <c r="XDD273"/>
      <c r="XDE273"/>
      <c r="XDF273"/>
      <c r="XDG273"/>
      <c r="XDH273"/>
      <c r="XDI273"/>
      <c r="XDJ273"/>
      <c r="XDK273"/>
      <c r="XDL273"/>
      <c r="XDM273"/>
      <c r="XDN273"/>
      <c r="XDO273"/>
      <c r="XDP273"/>
      <c r="XDQ273"/>
      <c r="XDR273"/>
      <c r="XDS273"/>
      <c r="XDT273"/>
      <c r="XDU273"/>
      <c r="XDV273"/>
      <c r="XDW273"/>
      <c r="XDX273"/>
      <c r="XDY273"/>
      <c r="XDZ273"/>
      <c r="XEA273"/>
      <c r="XEB273"/>
      <c r="XEC273"/>
      <c r="XED273"/>
      <c r="XEE273"/>
      <c r="XEF273"/>
      <c r="XEG273"/>
      <c r="XEH273"/>
      <c r="XEI273"/>
      <c r="XEJ273"/>
      <c r="XEK273"/>
      <c r="XEL273"/>
      <c r="XEM273"/>
      <c r="XEN273"/>
      <c r="XEO273"/>
      <c r="XEP273"/>
      <c r="XEQ273"/>
      <c r="XER273"/>
      <c r="XES273"/>
      <c r="XET273"/>
      <c r="XEU273"/>
      <c r="XEV273"/>
      <c r="XEW273"/>
      <c r="XEX273"/>
      <c r="XEY273"/>
      <c r="XEZ273"/>
      <c r="XFA273"/>
      <c r="XFB273"/>
      <c r="XFC273"/>
    </row>
    <row r="274" spans="1:20 16329:16383" s="38" customFormat="1" ht="29.1" customHeight="1" outlineLevel="6" x14ac:dyDescent="0.25">
      <c r="A274" s="49" t="s">
        <v>575</v>
      </c>
      <c r="B274" s="50"/>
      <c r="C274" s="50"/>
      <c r="D274" s="3" t="s">
        <v>349</v>
      </c>
      <c r="E274" s="3"/>
      <c r="F274" s="51"/>
      <c r="G274" s="50" t="s">
        <v>117</v>
      </c>
      <c r="H274" s="52">
        <f>1</f>
        <v>1</v>
      </c>
      <c r="I274" s="36"/>
      <c r="J274" s="52">
        <v>1</v>
      </c>
      <c r="K274" s="53">
        <f>0</f>
        <v>0</v>
      </c>
      <c r="L274" s="53">
        <f>0</f>
        <v>0</v>
      </c>
      <c r="M274" s="53">
        <f>0</f>
        <v>0</v>
      </c>
      <c r="N274" s="54">
        <f>SUM(K274:M274)</f>
        <v>0</v>
      </c>
      <c r="O274" s="54">
        <f>ROUND((H274*K274),2)</f>
        <v>0</v>
      </c>
      <c r="P274" s="54">
        <f>ROUND((H274*L274),2)</f>
        <v>0</v>
      </c>
      <c r="Q274" s="54">
        <f>ROUND((H274*M274),2)</f>
        <v>0</v>
      </c>
      <c r="R274" s="54">
        <f>ROUND((H274*N274),2)</f>
        <v>0</v>
      </c>
      <c r="S274" s="54"/>
      <c r="T274" s="36"/>
      <c r="XDA274"/>
      <c r="XDB274"/>
      <c r="XDC274"/>
      <c r="XDD274"/>
      <c r="XDE274"/>
      <c r="XDF274"/>
      <c r="XDG274"/>
      <c r="XDH274"/>
      <c r="XDI274"/>
      <c r="XDJ274"/>
      <c r="XDK274"/>
      <c r="XDL274"/>
      <c r="XDM274"/>
      <c r="XDN274"/>
      <c r="XDO274"/>
      <c r="XDP274"/>
      <c r="XDQ274"/>
      <c r="XDR274"/>
      <c r="XDS274"/>
      <c r="XDT274"/>
      <c r="XDU274"/>
      <c r="XDV274"/>
      <c r="XDW274"/>
      <c r="XDX274"/>
      <c r="XDY274"/>
      <c r="XDZ274"/>
      <c r="XEA274"/>
      <c r="XEB274"/>
      <c r="XEC274"/>
      <c r="XED274"/>
      <c r="XEE274"/>
      <c r="XEF274"/>
      <c r="XEG274"/>
      <c r="XEH274"/>
      <c r="XEI274"/>
      <c r="XEJ274"/>
      <c r="XEK274"/>
      <c r="XEL274"/>
      <c r="XEM274"/>
      <c r="XEN274"/>
      <c r="XEO274"/>
      <c r="XEP274"/>
      <c r="XEQ274"/>
      <c r="XER274"/>
      <c r="XES274"/>
      <c r="XET274"/>
      <c r="XEU274"/>
      <c r="XEV274"/>
      <c r="XEW274"/>
      <c r="XEX274"/>
      <c r="XEY274"/>
      <c r="XEZ274"/>
      <c r="XFA274"/>
      <c r="XFB274"/>
      <c r="XFC274"/>
    </row>
    <row r="275" spans="1:20 16329:16383" s="38" customFormat="1" ht="29.1" customHeight="1" outlineLevel="6" x14ac:dyDescent="0.25">
      <c r="A275" s="49" t="s">
        <v>576</v>
      </c>
      <c r="B275" s="50"/>
      <c r="C275" s="50"/>
      <c r="D275" s="3" t="s">
        <v>571</v>
      </c>
      <c r="E275" s="3"/>
      <c r="F275" s="51"/>
      <c r="G275" s="50" t="s">
        <v>117</v>
      </c>
      <c r="H275" s="52">
        <f>1</f>
        <v>1</v>
      </c>
      <c r="I275" s="36"/>
      <c r="J275" s="52">
        <v>1</v>
      </c>
      <c r="K275" s="53">
        <f>0</f>
        <v>0</v>
      </c>
      <c r="L275" s="53">
        <f>0</f>
        <v>0</v>
      </c>
      <c r="M275" s="53">
        <f>0</f>
        <v>0</v>
      </c>
      <c r="N275" s="54">
        <f>SUM(K275:M275)</f>
        <v>0</v>
      </c>
      <c r="O275" s="54">
        <f>ROUND((H275*K275),2)</f>
        <v>0</v>
      </c>
      <c r="P275" s="54">
        <f>ROUND((H275*L275),2)</f>
        <v>0</v>
      </c>
      <c r="Q275" s="54">
        <f>ROUND((H275*M275),2)</f>
        <v>0</v>
      </c>
      <c r="R275" s="54">
        <f>ROUND((H275*N275),2)</f>
        <v>0</v>
      </c>
      <c r="S275" s="54"/>
      <c r="T275" s="36"/>
      <c r="XDA275"/>
      <c r="XDB275"/>
      <c r="XDC275"/>
      <c r="XDD275"/>
      <c r="XDE275"/>
      <c r="XDF275"/>
      <c r="XDG275"/>
      <c r="XDH275"/>
      <c r="XDI275"/>
      <c r="XDJ275"/>
      <c r="XDK275"/>
      <c r="XDL275"/>
      <c r="XDM275"/>
      <c r="XDN275"/>
      <c r="XDO275"/>
      <c r="XDP275"/>
      <c r="XDQ275"/>
      <c r="XDR275"/>
      <c r="XDS275"/>
      <c r="XDT275"/>
      <c r="XDU275"/>
      <c r="XDV275"/>
      <c r="XDW275"/>
      <c r="XDX275"/>
      <c r="XDY275"/>
      <c r="XDZ275"/>
      <c r="XEA275"/>
      <c r="XEB275"/>
      <c r="XEC275"/>
      <c r="XED275"/>
      <c r="XEE275"/>
      <c r="XEF275"/>
      <c r="XEG275"/>
      <c r="XEH275"/>
      <c r="XEI275"/>
      <c r="XEJ275"/>
      <c r="XEK275"/>
      <c r="XEL275"/>
      <c r="XEM275"/>
      <c r="XEN275"/>
      <c r="XEO275"/>
      <c r="XEP275"/>
      <c r="XEQ275"/>
      <c r="XER275"/>
      <c r="XES275"/>
      <c r="XET275"/>
      <c r="XEU275"/>
      <c r="XEV275"/>
      <c r="XEW275"/>
      <c r="XEX275"/>
      <c r="XEY275"/>
      <c r="XEZ275"/>
      <c r="XFA275"/>
      <c r="XFB275"/>
      <c r="XFC275"/>
    </row>
    <row r="276" spans="1:20 16329:16383" s="38" customFormat="1" ht="29.1" customHeight="1" outlineLevel="5" x14ac:dyDescent="0.25">
      <c r="A276" s="65" t="s">
        <v>577</v>
      </c>
      <c r="B276" s="66" t="s">
        <v>578</v>
      </c>
      <c r="C276" s="66"/>
      <c r="D276" s="98" t="s">
        <v>352</v>
      </c>
      <c r="E276" s="98"/>
      <c r="F276" s="67"/>
      <c r="G276" s="66"/>
      <c r="H276" s="68"/>
      <c r="I276" s="36"/>
      <c r="J276" s="68"/>
      <c r="K276" s="69"/>
      <c r="L276" s="69"/>
      <c r="M276" s="69"/>
      <c r="N276" s="69"/>
      <c r="O276" s="69">
        <f>SUM(O277:O280)</f>
        <v>0</v>
      </c>
      <c r="P276" s="69">
        <f>SUM(P277:P280)</f>
        <v>0</v>
      </c>
      <c r="Q276" s="69">
        <f>SUM(Q277:Q280)</f>
        <v>0</v>
      </c>
      <c r="R276" s="69">
        <f>SUM(R277:R280)</f>
        <v>0</v>
      </c>
      <c r="S276" s="69"/>
      <c r="T276" s="36"/>
      <c r="XDA276"/>
      <c r="XDB276"/>
      <c r="XDC276"/>
      <c r="XDD276"/>
      <c r="XDE276"/>
      <c r="XDF276"/>
      <c r="XDG276"/>
      <c r="XDH276"/>
      <c r="XDI276"/>
      <c r="XDJ276"/>
      <c r="XDK276"/>
      <c r="XDL276"/>
      <c r="XDM276"/>
      <c r="XDN276"/>
      <c r="XDO276"/>
      <c r="XDP276"/>
      <c r="XDQ276"/>
      <c r="XDR276"/>
      <c r="XDS276"/>
      <c r="XDT276"/>
      <c r="XDU276"/>
      <c r="XDV276"/>
      <c r="XDW276"/>
      <c r="XDX276"/>
      <c r="XDY276"/>
      <c r="XDZ276"/>
      <c r="XEA276"/>
      <c r="XEB276"/>
      <c r="XEC276"/>
      <c r="XED276"/>
      <c r="XEE276"/>
      <c r="XEF276"/>
      <c r="XEG276"/>
      <c r="XEH276"/>
      <c r="XEI276"/>
      <c r="XEJ276"/>
      <c r="XEK276"/>
      <c r="XEL276"/>
      <c r="XEM276"/>
      <c r="XEN276"/>
      <c r="XEO276"/>
      <c r="XEP276"/>
      <c r="XEQ276"/>
      <c r="XER276"/>
      <c r="XES276"/>
      <c r="XET276"/>
      <c r="XEU276"/>
      <c r="XEV276"/>
      <c r="XEW276"/>
      <c r="XEX276"/>
      <c r="XEY276"/>
      <c r="XEZ276"/>
      <c r="XFA276"/>
      <c r="XFB276"/>
      <c r="XFC276"/>
    </row>
    <row r="277" spans="1:20 16329:16383" s="38" customFormat="1" ht="29.1" customHeight="1" outlineLevel="6" x14ac:dyDescent="0.25">
      <c r="A277" s="49" t="s">
        <v>579</v>
      </c>
      <c r="B277" s="50"/>
      <c r="C277" s="50"/>
      <c r="D277" s="3" t="s">
        <v>349</v>
      </c>
      <c r="E277" s="3"/>
      <c r="F277" s="51"/>
      <c r="G277" s="50" t="s">
        <v>117</v>
      </c>
      <c r="H277" s="52">
        <f>1</f>
        <v>1</v>
      </c>
      <c r="I277" s="36"/>
      <c r="J277" s="52">
        <v>1</v>
      </c>
      <c r="K277" s="53">
        <f>0</f>
        <v>0</v>
      </c>
      <c r="L277" s="53">
        <f>0</f>
        <v>0</v>
      </c>
      <c r="M277" s="53">
        <f>0</f>
        <v>0</v>
      </c>
      <c r="N277" s="54">
        <f>SUM(K277:M277)</f>
        <v>0</v>
      </c>
      <c r="O277" s="54">
        <f>ROUND((H277*K277),2)</f>
        <v>0</v>
      </c>
      <c r="P277" s="54">
        <f>ROUND((H277*L277),2)</f>
        <v>0</v>
      </c>
      <c r="Q277" s="54">
        <f>ROUND((H277*M277),2)</f>
        <v>0</v>
      </c>
      <c r="R277" s="54">
        <f>ROUND((H277*N277),2)</f>
        <v>0</v>
      </c>
      <c r="S277" s="54"/>
      <c r="T277" s="36"/>
      <c r="XDA277"/>
      <c r="XDB277"/>
      <c r="XDC277"/>
      <c r="XDD277"/>
      <c r="XDE277"/>
      <c r="XDF277"/>
      <c r="XDG277"/>
      <c r="XDH277"/>
      <c r="XDI277"/>
      <c r="XDJ277"/>
      <c r="XDK277"/>
      <c r="XDL277"/>
      <c r="XDM277"/>
      <c r="XDN277"/>
      <c r="XDO277"/>
      <c r="XDP277"/>
      <c r="XDQ277"/>
      <c r="XDR277"/>
      <c r="XDS277"/>
      <c r="XDT277"/>
      <c r="XDU277"/>
      <c r="XDV277"/>
      <c r="XDW277"/>
      <c r="XDX277"/>
      <c r="XDY277"/>
      <c r="XDZ277"/>
      <c r="XEA277"/>
      <c r="XEB277"/>
      <c r="XEC277"/>
      <c r="XED277"/>
      <c r="XEE277"/>
      <c r="XEF277"/>
      <c r="XEG277"/>
      <c r="XEH277"/>
      <c r="XEI277"/>
      <c r="XEJ277"/>
      <c r="XEK277"/>
      <c r="XEL277"/>
      <c r="XEM277"/>
      <c r="XEN277"/>
      <c r="XEO277"/>
      <c r="XEP277"/>
      <c r="XEQ277"/>
      <c r="XER277"/>
      <c r="XES277"/>
      <c r="XET277"/>
      <c r="XEU277"/>
      <c r="XEV277"/>
      <c r="XEW277"/>
      <c r="XEX277"/>
      <c r="XEY277"/>
      <c r="XEZ277"/>
      <c r="XFA277"/>
      <c r="XFB277"/>
      <c r="XFC277"/>
    </row>
    <row r="278" spans="1:20 16329:16383" s="38" customFormat="1" ht="29.1" customHeight="1" outlineLevel="6" x14ac:dyDescent="0.25">
      <c r="A278" s="49" t="s">
        <v>580</v>
      </c>
      <c r="B278" s="50"/>
      <c r="C278" s="50"/>
      <c r="D278" s="3" t="s">
        <v>360</v>
      </c>
      <c r="E278" s="3"/>
      <c r="F278" s="51"/>
      <c r="G278" s="50" t="s">
        <v>117</v>
      </c>
      <c r="H278" s="52">
        <f>1</f>
        <v>1</v>
      </c>
      <c r="I278" s="36"/>
      <c r="J278" s="52">
        <v>1</v>
      </c>
      <c r="K278" s="53">
        <f>0</f>
        <v>0</v>
      </c>
      <c r="L278" s="53">
        <f>0</f>
        <v>0</v>
      </c>
      <c r="M278" s="53">
        <f>0</f>
        <v>0</v>
      </c>
      <c r="N278" s="54">
        <f>SUM(K278:M278)</f>
        <v>0</v>
      </c>
      <c r="O278" s="54">
        <f>ROUND((H278*K278),2)</f>
        <v>0</v>
      </c>
      <c r="P278" s="54">
        <f>ROUND((H278*L278),2)</f>
        <v>0</v>
      </c>
      <c r="Q278" s="54">
        <f>ROUND((H278*M278),2)</f>
        <v>0</v>
      </c>
      <c r="R278" s="54">
        <f>ROUND((H278*N278),2)</f>
        <v>0</v>
      </c>
      <c r="S278" s="54"/>
      <c r="T278" s="36"/>
      <c r="XDA278"/>
      <c r="XDB278"/>
      <c r="XDC278"/>
      <c r="XDD278"/>
      <c r="XDE278"/>
      <c r="XDF278"/>
      <c r="XDG278"/>
      <c r="XDH278"/>
      <c r="XDI278"/>
      <c r="XDJ278"/>
      <c r="XDK278"/>
      <c r="XDL278"/>
      <c r="XDM278"/>
      <c r="XDN278"/>
      <c r="XDO278"/>
      <c r="XDP278"/>
      <c r="XDQ278"/>
      <c r="XDR278"/>
      <c r="XDS278"/>
      <c r="XDT278"/>
      <c r="XDU278"/>
      <c r="XDV278"/>
      <c r="XDW278"/>
      <c r="XDX278"/>
      <c r="XDY278"/>
      <c r="XDZ278"/>
      <c r="XEA278"/>
      <c r="XEB278"/>
      <c r="XEC278"/>
      <c r="XED278"/>
      <c r="XEE278"/>
      <c r="XEF278"/>
      <c r="XEG278"/>
      <c r="XEH278"/>
      <c r="XEI278"/>
      <c r="XEJ278"/>
      <c r="XEK278"/>
      <c r="XEL278"/>
      <c r="XEM278"/>
      <c r="XEN278"/>
      <c r="XEO278"/>
      <c r="XEP278"/>
      <c r="XEQ278"/>
      <c r="XER278"/>
      <c r="XES278"/>
      <c r="XET278"/>
      <c r="XEU278"/>
      <c r="XEV278"/>
      <c r="XEW278"/>
      <c r="XEX278"/>
      <c r="XEY278"/>
      <c r="XEZ278"/>
      <c r="XFA278"/>
      <c r="XFB278"/>
      <c r="XFC278"/>
    </row>
    <row r="279" spans="1:20 16329:16383" s="38" customFormat="1" ht="29.1" customHeight="1" outlineLevel="6" x14ac:dyDescent="0.25">
      <c r="A279" s="49" t="s">
        <v>581</v>
      </c>
      <c r="B279" s="50"/>
      <c r="C279" s="50"/>
      <c r="D279" s="3" t="s">
        <v>355</v>
      </c>
      <c r="E279" s="3"/>
      <c r="F279" s="51"/>
      <c r="G279" s="50" t="s">
        <v>117</v>
      </c>
      <c r="H279" s="52">
        <f>1</f>
        <v>1</v>
      </c>
      <c r="I279" s="36"/>
      <c r="J279" s="52">
        <v>1</v>
      </c>
      <c r="K279" s="53">
        <f>0</f>
        <v>0</v>
      </c>
      <c r="L279" s="53">
        <f>0</f>
        <v>0</v>
      </c>
      <c r="M279" s="53">
        <f>0</f>
        <v>0</v>
      </c>
      <c r="N279" s="54">
        <f>SUM(K279:M279)</f>
        <v>0</v>
      </c>
      <c r="O279" s="54">
        <f>ROUND((H279*K279),2)</f>
        <v>0</v>
      </c>
      <c r="P279" s="54">
        <f>ROUND((H279*L279),2)</f>
        <v>0</v>
      </c>
      <c r="Q279" s="54">
        <f>ROUND((H279*M279),2)</f>
        <v>0</v>
      </c>
      <c r="R279" s="54">
        <f>ROUND((H279*N279),2)</f>
        <v>0</v>
      </c>
      <c r="S279" s="54"/>
      <c r="T279" s="36"/>
      <c r="XDA279"/>
      <c r="XDB279"/>
      <c r="XDC279"/>
      <c r="XDD279"/>
      <c r="XDE279"/>
      <c r="XDF279"/>
      <c r="XDG279"/>
      <c r="XDH279"/>
      <c r="XDI279"/>
      <c r="XDJ279"/>
      <c r="XDK279"/>
      <c r="XDL279"/>
      <c r="XDM279"/>
      <c r="XDN279"/>
      <c r="XDO279"/>
      <c r="XDP279"/>
      <c r="XDQ279"/>
      <c r="XDR279"/>
      <c r="XDS279"/>
      <c r="XDT279"/>
      <c r="XDU279"/>
      <c r="XDV279"/>
      <c r="XDW279"/>
      <c r="XDX279"/>
      <c r="XDY279"/>
      <c r="XDZ279"/>
      <c r="XEA279"/>
      <c r="XEB279"/>
      <c r="XEC279"/>
      <c r="XED279"/>
      <c r="XEE279"/>
      <c r="XEF279"/>
      <c r="XEG279"/>
      <c r="XEH279"/>
      <c r="XEI279"/>
      <c r="XEJ279"/>
      <c r="XEK279"/>
      <c r="XEL279"/>
      <c r="XEM279"/>
      <c r="XEN279"/>
      <c r="XEO279"/>
      <c r="XEP279"/>
      <c r="XEQ279"/>
      <c r="XER279"/>
      <c r="XES279"/>
      <c r="XET279"/>
      <c r="XEU279"/>
      <c r="XEV279"/>
      <c r="XEW279"/>
      <c r="XEX279"/>
      <c r="XEY279"/>
      <c r="XEZ279"/>
      <c r="XFA279"/>
      <c r="XFB279"/>
      <c r="XFC279"/>
    </row>
    <row r="280" spans="1:20 16329:16383" s="38" customFormat="1" ht="29.1" customHeight="1" outlineLevel="6" x14ac:dyDescent="0.25">
      <c r="A280" s="49" t="s">
        <v>582</v>
      </c>
      <c r="B280" s="50"/>
      <c r="C280" s="50"/>
      <c r="D280" s="3" t="s">
        <v>571</v>
      </c>
      <c r="E280" s="3"/>
      <c r="F280" s="51"/>
      <c r="G280" s="50" t="s">
        <v>117</v>
      </c>
      <c r="H280" s="52">
        <f>1</f>
        <v>1</v>
      </c>
      <c r="I280" s="36"/>
      <c r="J280" s="52">
        <v>1</v>
      </c>
      <c r="K280" s="53">
        <f>0</f>
        <v>0</v>
      </c>
      <c r="L280" s="53">
        <f>0</f>
        <v>0</v>
      </c>
      <c r="M280" s="53">
        <f>0</f>
        <v>0</v>
      </c>
      <c r="N280" s="54">
        <f>SUM(K280:M280)</f>
        <v>0</v>
      </c>
      <c r="O280" s="54">
        <f>ROUND((H280*K280),2)</f>
        <v>0</v>
      </c>
      <c r="P280" s="54">
        <f>ROUND((H280*L280),2)</f>
        <v>0</v>
      </c>
      <c r="Q280" s="54">
        <f>ROUND((H280*M280),2)</f>
        <v>0</v>
      </c>
      <c r="R280" s="54">
        <f>ROUND((H280*N280),2)</f>
        <v>0</v>
      </c>
      <c r="S280" s="54"/>
      <c r="T280" s="36"/>
      <c r="XDA280"/>
      <c r="XDB280"/>
      <c r="XDC280"/>
      <c r="XDD280"/>
      <c r="XDE280"/>
      <c r="XDF280"/>
      <c r="XDG280"/>
      <c r="XDH280"/>
      <c r="XDI280"/>
      <c r="XDJ280"/>
      <c r="XDK280"/>
      <c r="XDL280"/>
      <c r="XDM280"/>
      <c r="XDN280"/>
      <c r="XDO280"/>
      <c r="XDP280"/>
      <c r="XDQ280"/>
      <c r="XDR280"/>
      <c r="XDS280"/>
      <c r="XDT280"/>
      <c r="XDU280"/>
      <c r="XDV280"/>
      <c r="XDW280"/>
      <c r="XDX280"/>
      <c r="XDY280"/>
      <c r="XDZ280"/>
      <c r="XEA280"/>
      <c r="XEB280"/>
      <c r="XEC280"/>
      <c r="XED280"/>
      <c r="XEE280"/>
      <c r="XEF280"/>
      <c r="XEG280"/>
      <c r="XEH280"/>
      <c r="XEI280"/>
      <c r="XEJ280"/>
      <c r="XEK280"/>
      <c r="XEL280"/>
      <c r="XEM280"/>
      <c r="XEN280"/>
      <c r="XEO280"/>
      <c r="XEP280"/>
      <c r="XEQ280"/>
      <c r="XER280"/>
      <c r="XES280"/>
      <c r="XET280"/>
      <c r="XEU280"/>
      <c r="XEV280"/>
      <c r="XEW280"/>
      <c r="XEX280"/>
      <c r="XEY280"/>
      <c r="XEZ280"/>
      <c r="XFA280"/>
      <c r="XFB280"/>
      <c r="XFC280"/>
    </row>
    <row r="281" spans="1:20 16329:16383" s="38" customFormat="1" ht="29.1" customHeight="1" outlineLevel="5" x14ac:dyDescent="0.25">
      <c r="A281" s="65" t="s">
        <v>583</v>
      </c>
      <c r="B281" s="66" t="s">
        <v>584</v>
      </c>
      <c r="C281" s="66"/>
      <c r="D281" s="98" t="s">
        <v>358</v>
      </c>
      <c r="E281" s="98"/>
      <c r="F281" s="67"/>
      <c r="G281" s="66"/>
      <c r="H281" s="68"/>
      <c r="I281" s="36"/>
      <c r="J281" s="68"/>
      <c r="K281" s="69"/>
      <c r="L281" s="69"/>
      <c r="M281" s="69"/>
      <c r="N281" s="69"/>
      <c r="O281" s="69">
        <f>O282+O283</f>
        <v>0</v>
      </c>
      <c r="P281" s="69">
        <f>P282+P283</f>
        <v>0</v>
      </c>
      <c r="Q281" s="69">
        <f>Q282+Q283</f>
        <v>0</v>
      </c>
      <c r="R281" s="69">
        <f>R282+R283</f>
        <v>0</v>
      </c>
      <c r="S281" s="69"/>
      <c r="T281" s="36"/>
      <c r="XDA281"/>
      <c r="XDB281"/>
      <c r="XDC281"/>
      <c r="XDD281"/>
      <c r="XDE281"/>
      <c r="XDF281"/>
      <c r="XDG281"/>
      <c r="XDH281"/>
      <c r="XDI281"/>
      <c r="XDJ281"/>
      <c r="XDK281"/>
      <c r="XDL281"/>
      <c r="XDM281"/>
      <c r="XDN281"/>
      <c r="XDO281"/>
      <c r="XDP281"/>
      <c r="XDQ281"/>
      <c r="XDR281"/>
      <c r="XDS281"/>
      <c r="XDT281"/>
      <c r="XDU281"/>
      <c r="XDV281"/>
      <c r="XDW281"/>
      <c r="XDX281"/>
      <c r="XDY281"/>
      <c r="XDZ281"/>
      <c r="XEA281"/>
      <c r="XEB281"/>
      <c r="XEC281"/>
      <c r="XED281"/>
      <c r="XEE281"/>
      <c r="XEF281"/>
      <c r="XEG281"/>
      <c r="XEH281"/>
      <c r="XEI281"/>
      <c r="XEJ281"/>
      <c r="XEK281"/>
      <c r="XEL281"/>
      <c r="XEM281"/>
      <c r="XEN281"/>
      <c r="XEO281"/>
      <c r="XEP281"/>
      <c r="XEQ281"/>
      <c r="XER281"/>
      <c r="XES281"/>
      <c r="XET281"/>
      <c r="XEU281"/>
      <c r="XEV281"/>
      <c r="XEW281"/>
      <c r="XEX281"/>
      <c r="XEY281"/>
      <c r="XEZ281"/>
      <c r="XFA281"/>
      <c r="XFB281"/>
      <c r="XFC281"/>
    </row>
    <row r="282" spans="1:20 16329:16383" s="38" customFormat="1" ht="29.1" customHeight="1" outlineLevel="6" x14ac:dyDescent="0.25">
      <c r="A282" s="49" t="s">
        <v>585</v>
      </c>
      <c r="B282" s="50"/>
      <c r="C282" s="50"/>
      <c r="D282" s="3" t="s">
        <v>349</v>
      </c>
      <c r="E282" s="3"/>
      <c r="F282" s="51"/>
      <c r="G282" s="50" t="s">
        <v>117</v>
      </c>
      <c r="H282" s="52">
        <f>1</f>
        <v>1</v>
      </c>
      <c r="I282" s="36"/>
      <c r="J282" s="52">
        <v>1</v>
      </c>
      <c r="K282" s="53">
        <f>0</f>
        <v>0</v>
      </c>
      <c r="L282" s="53">
        <f>0</f>
        <v>0</v>
      </c>
      <c r="M282" s="53">
        <f>0</f>
        <v>0</v>
      </c>
      <c r="N282" s="54">
        <f>SUM(K282:M282)</f>
        <v>0</v>
      </c>
      <c r="O282" s="54">
        <f>ROUND((H282*K282),2)</f>
        <v>0</v>
      </c>
      <c r="P282" s="54">
        <f>ROUND((H282*L282),2)</f>
        <v>0</v>
      </c>
      <c r="Q282" s="54">
        <f>ROUND((H282*M282),2)</f>
        <v>0</v>
      </c>
      <c r="R282" s="54">
        <f>ROUND((H282*N282),2)</f>
        <v>0</v>
      </c>
      <c r="S282" s="54"/>
      <c r="T282" s="36"/>
      <c r="XDA282"/>
      <c r="XDB282"/>
      <c r="XDC282"/>
      <c r="XDD282"/>
      <c r="XDE282"/>
      <c r="XDF282"/>
      <c r="XDG282"/>
      <c r="XDH282"/>
      <c r="XDI282"/>
      <c r="XDJ282"/>
      <c r="XDK282"/>
      <c r="XDL282"/>
      <c r="XDM282"/>
      <c r="XDN282"/>
      <c r="XDO282"/>
      <c r="XDP282"/>
      <c r="XDQ282"/>
      <c r="XDR282"/>
      <c r="XDS282"/>
      <c r="XDT282"/>
      <c r="XDU282"/>
      <c r="XDV282"/>
      <c r="XDW282"/>
      <c r="XDX282"/>
      <c r="XDY282"/>
      <c r="XDZ282"/>
      <c r="XEA282"/>
      <c r="XEB282"/>
      <c r="XEC282"/>
      <c r="XED282"/>
      <c r="XEE282"/>
      <c r="XEF282"/>
      <c r="XEG282"/>
      <c r="XEH282"/>
      <c r="XEI282"/>
      <c r="XEJ282"/>
      <c r="XEK282"/>
      <c r="XEL282"/>
      <c r="XEM282"/>
      <c r="XEN282"/>
      <c r="XEO282"/>
      <c r="XEP282"/>
      <c r="XEQ282"/>
      <c r="XER282"/>
      <c r="XES282"/>
      <c r="XET282"/>
      <c r="XEU282"/>
      <c r="XEV282"/>
      <c r="XEW282"/>
      <c r="XEX282"/>
      <c r="XEY282"/>
      <c r="XEZ282"/>
      <c r="XFA282"/>
      <c r="XFB282"/>
      <c r="XFC282"/>
    </row>
    <row r="283" spans="1:20 16329:16383" s="38" customFormat="1" ht="29.1" customHeight="1" outlineLevel="6" x14ac:dyDescent="0.25">
      <c r="A283" s="49" t="s">
        <v>586</v>
      </c>
      <c r="B283" s="50"/>
      <c r="C283" s="50"/>
      <c r="D283" s="3" t="s">
        <v>571</v>
      </c>
      <c r="E283" s="3"/>
      <c r="F283" s="51"/>
      <c r="G283" s="50" t="s">
        <v>117</v>
      </c>
      <c r="H283" s="52">
        <f>1</f>
        <v>1</v>
      </c>
      <c r="I283" s="36"/>
      <c r="J283" s="52">
        <v>1</v>
      </c>
      <c r="K283" s="53">
        <f>0</f>
        <v>0</v>
      </c>
      <c r="L283" s="53">
        <f>0</f>
        <v>0</v>
      </c>
      <c r="M283" s="53">
        <f>0</f>
        <v>0</v>
      </c>
      <c r="N283" s="54">
        <f>SUM(K283:M283)</f>
        <v>0</v>
      </c>
      <c r="O283" s="54">
        <f>ROUND((H283*K283),2)</f>
        <v>0</v>
      </c>
      <c r="P283" s="54">
        <f>ROUND((H283*L283),2)</f>
        <v>0</v>
      </c>
      <c r="Q283" s="54">
        <f>ROUND((H283*M283),2)</f>
        <v>0</v>
      </c>
      <c r="R283" s="54">
        <f>ROUND((H283*N283),2)</f>
        <v>0</v>
      </c>
      <c r="S283" s="54"/>
      <c r="T283" s="36"/>
      <c r="XDA283"/>
      <c r="XDB283"/>
      <c r="XDC283"/>
      <c r="XDD283"/>
      <c r="XDE283"/>
      <c r="XDF283"/>
      <c r="XDG283"/>
      <c r="XDH283"/>
      <c r="XDI283"/>
      <c r="XDJ283"/>
      <c r="XDK283"/>
      <c r="XDL283"/>
      <c r="XDM283"/>
      <c r="XDN283"/>
      <c r="XDO283"/>
      <c r="XDP283"/>
      <c r="XDQ283"/>
      <c r="XDR283"/>
      <c r="XDS283"/>
      <c r="XDT283"/>
      <c r="XDU283"/>
      <c r="XDV283"/>
      <c r="XDW283"/>
      <c r="XDX283"/>
      <c r="XDY283"/>
      <c r="XDZ283"/>
      <c r="XEA283"/>
      <c r="XEB283"/>
      <c r="XEC283"/>
      <c r="XED283"/>
      <c r="XEE283"/>
      <c r="XEF283"/>
      <c r="XEG283"/>
      <c r="XEH283"/>
      <c r="XEI283"/>
      <c r="XEJ283"/>
      <c r="XEK283"/>
      <c r="XEL283"/>
      <c r="XEM283"/>
      <c r="XEN283"/>
      <c r="XEO283"/>
      <c r="XEP283"/>
      <c r="XEQ283"/>
      <c r="XER283"/>
      <c r="XES283"/>
      <c r="XET283"/>
      <c r="XEU283"/>
      <c r="XEV283"/>
      <c r="XEW283"/>
      <c r="XEX283"/>
      <c r="XEY283"/>
      <c r="XEZ283"/>
      <c r="XFA283"/>
      <c r="XFB283"/>
      <c r="XFC283"/>
    </row>
    <row r="284" spans="1:20 16329:16383" s="38" customFormat="1" ht="29.1" customHeight="1" outlineLevel="5" x14ac:dyDescent="0.25">
      <c r="A284" s="65" t="s">
        <v>587</v>
      </c>
      <c r="B284" s="66" t="s">
        <v>588</v>
      </c>
      <c r="C284" s="66"/>
      <c r="D284" s="98" t="s">
        <v>473</v>
      </c>
      <c r="E284" s="98"/>
      <c r="F284" s="67"/>
      <c r="G284" s="66"/>
      <c r="H284" s="68"/>
      <c r="I284" s="36"/>
      <c r="J284" s="68"/>
      <c r="K284" s="69"/>
      <c r="L284" s="69"/>
      <c r="M284" s="69"/>
      <c r="N284" s="69"/>
      <c r="O284" s="69">
        <f>O285+O286</f>
        <v>0</v>
      </c>
      <c r="P284" s="69">
        <f>P285+P286</f>
        <v>0</v>
      </c>
      <c r="Q284" s="69">
        <f>Q285+Q286</f>
        <v>0</v>
      </c>
      <c r="R284" s="69">
        <f>R285+R286</f>
        <v>0</v>
      </c>
      <c r="S284" s="69"/>
      <c r="T284" s="36"/>
      <c r="XDA284"/>
      <c r="XDB284"/>
      <c r="XDC284"/>
      <c r="XDD284"/>
      <c r="XDE284"/>
      <c r="XDF284"/>
      <c r="XDG284"/>
      <c r="XDH284"/>
      <c r="XDI284"/>
      <c r="XDJ284"/>
      <c r="XDK284"/>
      <c r="XDL284"/>
      <c r="XDM284"/>
      <c r="XDN284"/>
      <c r="XDO284"/>
      <c r="XDP284"/>
      <c r="XDQ284"/>
      <c r="XDR284"/>
      <c r="XDS284"/>
      <c r="XDT284"/>
      <c r="XDU284"/>
      <c r="XDV284"/>
      <c r="XDW284"/>
      <c r="XDX284"/>
      <c r="XDY284"/>
      <c r="XDZ284"/>
      <c r="XEA284"/>
      <c r="XEB284"/>
      <c r="XEC284"/>
      <c r="XED284"/>
      <c r="XEE284"/>
      <c r="XEF284"/>
      <c r="XEG284"/>
      <c r="XEH284"/>
      <c r="XEI284"/>
      <c r="XEJ284"/>
      <c r="XEK284"/>
      <c r="XEL284"/>
      <c r="XEM284"/>
      <c r="XEN284"/>
      <c r="XEO284"/>
      <c r="XEP284"/>
      <c r="XEQ284"/>
      <c r="XER284"/>
      <c r="XES284"/>
      <c r="XET284"/>
      <c r="XEU284"/>
      <c r="XEV284"/>
      <c r="XEW284"/>
      <c r="XEX284"/>
      <c r="XEY284"/>
      <c r="XEZ284"/>
      <c r="XFA284"/>
      <c r="XFB284"/>
      <c r="XFC284"/>
    </row>
    <row r="285" spans="1:20 16329:16383" s="38" customFormat="1" ht="29.1" customHeight="1" outlineLevel="6" x14ac:dyDescent="0.25">
      <c r="A285" s="49" t="s">
        <v>589</v>
      </c>
      <c r="B285" s="50"/>
      <c r="C285" s="50"/>
      <c r="D285" s="3" t="s">
        <v>349</v>
      </c>
      <c r="E285" s="3"/>
      <c r="F285" s="51"/>
      <c r="G285" s="50" t="s">
        <v>117</v>
      </c>
      <c r="H285" s="52">
        <f>1</f>
        <v>1</v>
      </c>
      <c r="I285" s="36"/>
      <c r="J285" s="52">
        <v>1</v>
      </c>
      <c r="K285" s="53">
        <f>0</f>
        <v>0</v>
      </c>
      <c r="L285" s="53">
        <f>0</f>
        <v>0</v>
      </c>
      <c r="M285" s="53">
        <f>0</f>
        <v>0</v>
      </c>
      <c r="N285" s="54">
        <f>SUM(K285:M285)</f>
        <v>0</v>
      </c>
      <c r="O285" s="54">
        <f>ROUND((H285*K285),2)</f>
        <v>0</v>
      </c>
      <c r="P285" s="54">
        <f>ROUND((H285*L285),2)</f>
        <v>0</v>
      </c>
      <c r="Q285" s="54">
        <f>ROUND((H285*M285),2)</f>
        <v>0</v>
      </c>
      <c r="R285" s="54">
        <f>ROUND((H285*N285),2)</f>
        <v>0</v>
      </c>
      <c r="S285" s="54"/>
      <c r="T285" s="36"/>
      <c r="XDA285"/>
      <c r="XDB285"/>
      <c r="XDC285"/>
      <c r="XDD285"/>
      <c r="XDE285"/>
      <c r="XDF285"/>
      <c r="XDG285"/>
      <c r="XDH285"/>
      <c r="XDI285"/>
      <c r="XDJ285"/>
      <c r="XDK285"/>
      <c r="XDL285"/>
      <c r="XDM285"/>
      <c r="XDN285"/>
      <c r="XDO285"/>
      <c r="XDP285"/>
      <c r="XDQ285"/>
      <c r="XDR285"/>
      <c r="XDS285"/>
      <c r="XDT285"/>
      <c r="XDU285"/>
      <c r="XDV285"/>
      <c r="XDW285"/>
      <c r="XDX285"/>
      <c r="XDY285"/>
      <c r="XDZ285"/>
      <c r="XEA285"/>
      <c r="XEB285"/>
      <c r="XEC285"/>
      <c r="XED285"/>
      <c r="XEE285"/>
      <c r="XEF285"/>
      <c r="XEG285"/>
      <c r="XEH285"/>
      <c r="XEI285"/>
      <c r="XEJ285"/>
      <c r="XEK285"/>
      <c r="XEL285"/>
      <c r="XEM285"/>
      <c r="XEN285"/>
      <c r="XEO285"/>
      <c r="XEP285"/>
      <c r="XEQ285"/>
      <c r="XER285"/>
      <c r="XES285"/>
      <c r="XET285"/>
      <c r="XEU285"/>
      <c r="XEV285"/>
      <c r="XEW285"/>
      <c r="XEX285"/>
      <c r="XEY285"/>
      <c r="XEZ285"/>
      <c r="XFA285"/>
      <c r="XFB285"/>
      <c r="XFC285"/>
    </row>
    <row r="286" spans="1:20 16329:16383" s="38" customFormat="1" ht="29.1" customHeight="1" outlineLevel="6" x14ac:dyDescent="0.25">
      <c r="A286" s="49" t="s">
        <v>590</v>
      </c>
      <c r="B286" s="50"/>
      <c r="C286" s="50"/>
      <c r="D286" s="3" t="s">
        <v>571</v>
      </c>
      <c r="E286" s="3"/>
      <c r="F286" s="51"/>
      <c r="G286" s="50" t="s">
        <v>117</v>
      </c>
      <c r="H286" s="52">
        <f>1</f>
        <v>1</v>
      </c>
      <c r="I286" s="36"/>
      <c r="J286" s="52">
        <v>1</v>
      </c>
      <c r="K286" s="53">
        <f>0</f>
        <v>0</v>
      </c>
      <c r="L286" s="53">
        <f>0</f>
        <v>0</v>
      </c>
      <c r="M286" s="53">
        <f>0</f>
        <v>0</v>
      </c>
      <c r="N286" s="54">
        <f>SUM(K286:M286)</f>
        <v>0</v>
      </c>
      <c r="O286" s="54">
        <f>ROUND((H286*K286),2)</f>
        <v>0</v>
      </c>
      <c r="P286" s="54">
        <f>ROUND((H286*L286),2)</f>
        <v>0</v>
      </c>
      <c r="Q286" s="54">
        <f>ROUND((H286*M286),2)</f>
        <v>0</v>
      </c>
      <c r="R286" s="54">
        <f>ROUND((H286*N286),2)</f>
        <v>0</v>
      </c>
      <c r="S286" s="54"/>
      <c r="T286" s="36"/>
      <c r="XDA286"/>
      <c r="XDB286"/>
      <c r="XDC286"/>
      <c r="XDD286"/>
      <c r="XDE286"/>
      <c r="XDF286"/>
      <c r="XDG286"/>
      <c r="XDH286"/>
      <c r="XDI286"/>
      <c r="XDJ286"/>
      <c r="XDK286"/>
      <c r="XDL286"/>
      <c r="XDM286"/>
      <c r="XDN286"/>
      <c r="XDO286"/>
      <c r="XDP286"/>
      <c r="XDQ286"/>
      <c r="XDR286"/>
      <c r="XDS286"/>
      <c r="XDT286"/>
      <c r="XDU286"/>
      <c r="XDV286"/>
      <c r="XDW286"/>
      <c r="XDX286"/>
      <c r="XDY286"/>
      <c r="XDZ286"/>
      <c r="XEA286"/>
      <c r="XEB286"/>
      <c r="XEC286"/>
      <c r="XED286"/>
      <c r="XEE286"/>
      <c r="XEF286"/>
      <c r="XEG286"/>
      <c r="XEH286"/>
      <c r="XEI286"/>
      <c r="XEJ286"/>
      <c r="XEK286"/>
      <c r="XEL286"/>
      <c r="XEM286"/>
      <c r="XEN286"/>
      <c r="XEO286"/>
      <c r="XEP286"/>
      <c r="XEQ286"/>
      <c r="XER286"/>
      <c r="XES286"/>
      <c r="XET286"/>
      <c r="XEU286"/>
      <c r="XEV286"/>
      <c r="XEW286"/>
      <c r="XEX286"/>
      <c r="XEY286"/>
      <c r="XEZ286"/>
      <c r="XFA286"/>
      <c r="XFB286"/>
      <c r="XFC286"/>
    </row>
    <row r="287" spans="1:20 16329:16383" s="38" customFormat="1" ht="29.1" customHeight="1" outlineLevel="5" x14ac:dyDescent="0.25">
      <c r="A287" s="65" t="s">
        <v>591</v>
      </c>
      <c r="B287" s="66" t="s">
        <v>592</v>
      </c>
      <c r="C287" s="66"/>
      <c r="D287" s="98" t="s">
        <v>477</v>
      </c>
      <c r="E287" s="98"/>
      <c r="F287" s="67"/>
      <c r="G287" s="66"/>
      <c r="H287" s="68"/>
      <c r="I287" s="36"/>
      <c r="J287" s="68"/>
      <c r="K287" s="69"/>
      <c r="L287" s="69"/>
      <c r="M287" s="69"/>
      <c r="N287" s="69"/>
      <c r="O287" s="69">
        <f>O288+O289</f>
        <v>0</v>
      </c>
      <c r="P287" s="69">
        <f>P288+P289</f>
        <v>0</v>
      </c>
      <c r="Q287" s="69">
        <f>Q288+Q289</f>
        <v>0</v>
      </c>
      <c r="R287" s="69">
        <f>R288+R289</f>
        <v>0</v>
      </c>
      <c r="S287" s="69"/>
      <c r="T287" s="36"/>
      <c r="XDA287"/>
      <c r="XDB287"/>
      <c r="XDC287"/>
      <c r="XDD287"/>
      <c r="XDE287"/>
      <c r="XDF287"/>
      <c r="XDG287"/>
      <c r="XDH287"/>
      <c r="XDI287"/>
      <c r="XDJ287"/>
      <c r="XDK287"/>
      <c r="XDL287"/>
      <c r="XDM287"/>
      <c r="XDN287"/>
      <c r="XDO287"/>
      <c r="XDP287"/>
      <c r="XDQ287"/>
      <c r="XDR287"/>
      <c r="XDS287"/>
      <c r="XDT287"/>
      <c r="XDU287"/>
      <c r="XDV287"/>
      <c r="XDW287"/>
      <c r="XDX287"/>
      <c r="XDY287"/>
      <c r="XDZ287"/>
      <c r="XEA287"/>
      <c r="XEB287"/>
      <c r="XEC287"/>
      <c r="XED287"/>
      <c r="XEE287"/>
      <c r="XEF287"/>
      <c r="XEG287"/>
      <c r="XEH287"/>
      <c r="XEI287"/>
      <c r="XEJ287"/>
      <c r="XEK287"/>
      <c r="XEL287"/>
      <c r="XEM287"/>
      <c r="XEN287"/>
      <c r="XEO287"/>
      <c r="XEP287"/>
      <c r="XEQ287"/>
      <c r="XER287"/>
      <c r="XES287"/>
      <c r="XET287"/>
      <c r="XEU287"/>
      <c r="XEV287"/>
      <c r="XEW287"/>
      <c r="XEX287"/>
      <c r="XEY287"/>
      <c r="XEZ287"/>
      <c r="XFA287"/>
      <c r="XFB287"/>
      <c r="XFC287"/>
    </row>
    <row r="288" spans="1:20 16329:16383" s="38" customFormat="1" ht="29.1" customHeight="1" outlineLevel="6" x14ac:dyDescent="0.25">
      <c r="A288" s="49" t="s">
        <v>593</v>
      </c>
      <c r="B288" s="50"/>
      <c r="C288" s="50"/>
      <c r="D288" s="3" t="s">
        <v>349</v>
      </c>
      <c r="E288" s="3"/>
      <c r="F288" s="51"/>
      <c r="G288" s="50" t="s">
        <v>117</v>
      </c>
      <c r="H288" s="52">
        <f>1</f>
        <v>1</v>
      </c>
      <c r="I288" s="36"/>
      <c r="J288" s="52">
        <v>1</v>
      </c>
      <c r="K288" s="53">
        <f>0</f>
        <v>0</v>
      </c>
      <c r="L288" s="53">
        <f>0</f>
        <v>0</v>
      </c>
      <c r="M288" s="53">
        <f>0</f>
        <v>0</v>
      </c>
      <c r="N288" s="54">
        <f>SUM(K288:M288)</f>
        <v>0</v>
      </c>
      <c r="O288" s="54">
        <f>ROUND((H288*K288),2)</f>
        <v>0</v>
      </c>
      <c r="P288" s="54">
        <f>ROUND((H288*L288),2)</f>
        <v>0</v>
      </c>
      <c r="Q288" s="54">
        <f>ROUND((H288*M288),2)</f>
        <v>0</v>
      </c>
      <c r="R288" s="54">
        <f>ROUND((H288*N288),2)</f>
        <v>0</v>
      </c>
      <c r="S288" s="54"/>
      <c r="T288" s="36"/>
      <c r="XDA288"/>
      <c r="XDB288"/>
      <c r="XDC288"/>
      <c r="XDD288"/>
      <c r="XDE288"/>
      <c r="XDF288"/>
      <c r="XDG288"/>
      <c r="XDH288"/>
      <c r="XDI288"/>
      <c r="XDJ288"/>
      <c r="XDK288"/>
      <c r="XDL288"/>
      <c r="XDM288"/>
      <c r="XDN288"/>
      <c r="XDO288"/>
      <c r="XDP288"/>
      <c r="XDQ288"/>
      <c r="XDR288"/>
      <c r="XDS288"/>
      <c r="XDT288"/>
      <c r="XDU288"/>
      <c r="XDV288"/>
      <c r="XDW288"/>
      <c r="XDX288"/>
      <c r="XDY288"/>
      <c r="XDZ288"/>
      <c r="XEA288"/>
      <c r="XEB288"/>
      <c r="XEC288"/>
      <c r="XED288"/>
      <c r="XEE288"/>
      <c r="XEF288"/>
      <c r="XEG288"/>
      <c r="XEH288"/>
      <c r="XEI288"/>
      <c r="XEJ288"/>
      <c r="XEK288"/>
      <c r="XEL288"/>
      <c r="XEM288"/>
      <c r="XEN288"/>
      <c r="XEO288"/>
      <c r="XEP288"/>
      <c r="XEQ288"/>
      <c r="XER288"/>
      <c r="XES288"/>
      <c r="XET288"/>
      <c r="XEU288"/>
      <c r="XEV288"/>
      <c r="XEW288"/>
      <c r="XEX288"/>
      <c r="XEY288"/>
      <c r="XEZ288"/>
      <c r="XFA288"/>
      <c r="XFB288"/>
      <c r="XFC288"/>
    </row>
    <row r="289" spans="1:20 16329:16383" s="38" customFormat="1" ht="29.1" customHeight="1" outlineLevel="6" x14ac:dyDescent="0.25">
      <c r="A289" s="49" t="s">
        <v>594</v>
      </c>
      <c r="B289" s="50"/>
      <c r="C289" s="50"/>
      <c r="D289" s="3" t="s">
        <v>571</v>
      </c>
      <c r="E289" s="3"/>
      <c r="F289" s="51"/>
      <c r="G289" s="50" t="s">
        <v>117</v>
      </c>
      <c r="H289" s="52">
        <f>1</f>
        <v>1</v>
      </c>
      <c r="I289" s="36"/>
      <c r="J289" s="52">
        <v>1</v>
      </c>
      <c r="K289" s="53">
        <f>0</f>
        <v>0</v>
      </c>
      <c r="L289" s="53">
        <f>0</f>
        <v>0</v>
      </c>
      <c r="M289" s="53">
        <f>0</f>
        <v>0</v>
      </c>
      <c r="N289" s="54">
        <f>SUM(K289:M289)</f>
        <v>0</v>
      </c>
      <c r="O289" s="54">
        <f>ROUND((H289*K289),2)</f>
        <v>0</v>
      </c>
      <c r="P289" s="54">
        <f>ROUND((H289*L289),2)</f>
        <v>0</v>
      </c>
      <c r="Q289" s="54">
        <f>ROUND((H289*M289),2)</f>
        <v>0</v>
      </c>
      <c r="R289" s="54">
        <f>ROUND((H289*N289),2)</f>
        <v>0</v>
      </c>
      <c r="S289" s="54"/>
      <c r="T289" s="36"/>
      <c r="XDA289"/>
      <c r="XDB289"/>
      <c r="XDC289"/>
      <c r="XDD289"/>
      <c r="XDE289"/>
      <c r="XDF289"/>
      <c r="XDG289"/>
      <c r="XDH289"/>
      <c r="XDI289"/>
      <c r="XDJ289"/>
      <c r="XDK289"/>
      <c r="XDL289"/>
      <c r="XDM289"/>
      <c r="XDN289"/>
      <c r="XDO289"/>
      <c r="XDP289"/>
      <c r="XDQ289"/>
      <c r="XDR289"/>
      <c r="XDS289"/>
      <c r="XDT289"/>
      <c r="XDU289"/>
      <c r="XDV289"/>
      <c r="XDW289"/>
      <c r="XDX289"/>
      <c r="XDY289"/>
      <c r="XDZ289"/>
      <c r="XEA289"/>
      <c r="XEB289"/>
      <c r="XEC289"/>
      <c r="XED289"/>
      <c r="XEE289"/>
      <c r="XEF289"/>
      <c r="XEG289"/>
      <c r="XEH289"/>
      <c r="XEI289"/>
      <c r="XEJ289"/>
      <c r="XEK289"/>
      <c r="XEL289"/>
      <c r="XEM289"/>
      <c r="XEN289"/>
      <c r="XEO289"/>
      <c r="XEP289"/>
      <c r="XEQ289"/>
      <c r="XER289"/>
      <c r="XES289"/>
      <c r="XET289"/>
      <c r="XEU289"/>
      <c r="XEV289"/>
      <c r="XEW289"/>
      <c r="XEX289"/>
      <c r="XEY289"/>
      <c r="XEZ289"/>
      <c r="XFA289"/>
      <c r="XFB289"/>
      <c r="XFC289"/>
    </row>
    <row r="290" spans="1:20 16329:16383" s="38" customFormat="1" ht="29.1" customHeight="1" outlineLevel="4" x14ac:dyDescent="0.25">
      <c r="A290" s="60" t="s">
        <v>595</v>
      </c>
      <c r="B290" s="61" t="s">
        <v>596</v>
      </c>
      <c r="C290" s="61"/>
      <c r="D290" s="1" t="s">
        <v>367</v>
      </c>
      <c r="E290" s="1"/>
      <c r="F290" s="62"/>
      <c r="G290" s="61"/>
      <c r="H290" s="63"/>
      <c r="I290" s="36"/>
      <c r="J290" s="63"/>
      <c r="K290" s="64"/>
      <c r="L290" s="64"/>
      <c r="M290" s="64"/>
      <c r="N290" s="64"/>
      <c r="O290" s="64">
        <f>O291+O294+O296+O303+O306+O308</f>
        <v>0</v>
      </c>
      <c r="P290" s="64">
        <f>P291+P294+P296+P303+P306+P308</f>
        <v>0</v>
      </c>
      <c r="Q290" s="64">
        <f>Q291+Q294+Q296+Q303+Q306+Q308</f>
        <v>0</v>
      </c>
      <c r="R290" s="64">
        <f>R291+R294+R296+R303+R306+R308</f>
        <v>0</v>
      </c>
      <c r="S290" s="64"/>
      <c r="T290" s="36"/>
      <c r="XDA290"/>
      <c r="XDB290"/>
      <c r="XDC290"/>
      <c r="XDD290"/>
      <c r="XDE290"/>
      <c r="XDF290"/>
      <c r="XDG290"/>
      <c r="XDH290"/>
      <c r="XDI290"/>
      <c r="XDJ290"/>
      <c r="XDK290"/>
      <c r="XDL290"/>
      <c r="XDM290"/>
      <c r="XDN290"/>
      <c r="XDO290"/>
      <c r="XDP290"/>
      <c r="XDQ290"/>
      <c r="XDR290"/>
      <c r="XDS290"/>
      <c r="XDT290"/>
      <c r="XDU290"/>
      <c r="XDV290"/>
      <c r="XDW290"/>
      <c r="XDX290"/>
      <c r="XDY290"/>
      <c r="XDZ290"/>
      <c r="XEA290"/>
      <c r="XEB290"/>
      <c r="XEC290"/>
      <c r="XED290"/>
      <c r="XEE290"/>
      <c r="XEF290"/>
      <c r="XEG290"/>
      <c r="XEH290"/>
      <c r="XEI290"/>
      <c r="XEJ290"/>
      <c r="XEK290"/>
      <c r="XEL290"/>
      <c r="XEM290"/>
      <c r="XEN290"/>
      <c r="XEO290"/>
      <c r="XEP290"/>
      <c r="XEQ290"/>
      <c r="XER290"/>
      <c r="XES290"/>
      <c r="XET290"/>
      <c r="XEU290"/>
      <c r="XEV290"/>
      <c r="XEW290"/>
      <c r="XEX290"/>
      <c r="XEY290"/>
      <c r="XEZ290"/>
      <c r="XFA290"/>
      <c r="XFB290"/>
      <c r="XFC290"/>
    </row>
    <row r="291" spans="1:20 16329:16383" s="38" customFormat="1" ht="29.1" customHeight="1" outlineLevel="5" x14ac:dyDescent="0.25">
      <c r="A291" s="65" t="s">
        <v>597</v>
      </c>
      <c r="B291" s="66" t="s">
        <v>598</v>
      </c>
      <c r="C291" s="66"/>
      <c r="D291" s="98" t="s">
        <v>370</v>
      </c>
      <c r="E291" s="98"/>
      <c r="F291" s="67"/>
      <c r="G291" s="66"/>
      <c r="H291" s="68"/>
      <c r="I291" s="36"/>
      <c r="J291" s="68"/>
      <c r="K291" s="69"/>
      <c r="L291" s="69"/>
      <c r="M291" s="69"/>
      <c r="N291" s="69"/>
      <c r="O291" s="69">
        <f>O292+O293</f>
        <v>0</v>
      </c>
      <c r="P291" s="69">
        <f>P292+P293</f>
        <v>0</v>
      </c>
      <c r="Q291" s="69">
        <f>Q292+Q293</f>
        <v>0</v>
      </c>
      <c r="R291" s="69">
        <f>R292+R293</f>
        <v>0</v>
      </c>
      <c r="S291" s="69"/>
      <c r="T291" s="36"/>
      <c r="XDA291"/>
      <c r="XDB291"/>
      <c r="XDC291"/>
      <c r="XDD291"/>
      <c r="XDE291"/>
      <c r="XDF291"/>
      <c r="XDG291"/>
      <c r="XDH291"/>
      <c r="XDI291"/>
      <c r="XDJ291"/>
      <c r="XDK291"/>
      <c r="XDL291"/>
      <c r="XDM291"/>
      <c r="XDN291"/>
      <c r="XDO291"/>
      <c r="XDP291"/>
      <c r="XDQ291"/>
      <c r="XDR291"/>
      <c r="XDS291"/>
      <c r="XDT291"/>
      <c r="XDU291"/>
      <c r="XDV291"/>
      <c r="XDW291"/>
      <c r="XDX291"/>
      <c r="XDY291"/>
      <c r="XDZ291"/>
      <c r="XEA291"/>
      <c r="XEB291"/>
      <c r="XEC291"/>
      <c r="XED291"/>
      <c r="XEE291"/>
      <c r="XEF291"/>
      <c r="XEG291"/>
      <c r="XEH291"/>
      <c r="XEI291"/>
      <c r="XEJ291"/>
      <c r="XEK291"/>
      <c r="XEL291"/>
      <c r="XEM291"/>
      <c r="XEN291"/>
      <c r="XEO291"/>
      <c r="XEP291"/>
      <c r="XEQ291"/>
      <c r="XER291"/>
      <c r="XES291"/>
      <c r="XET291"/>
      <c r="XEU291"/>
      <c r="XEV291"/>
      <c r="XEW291"/>
      <c r="XEX291"/>
      <c r="XEY291"/>
      <c r="XEZ291"/>
      <c r="XFA291"/>
      <c r="XFB291"/>
      <c r="XFC291"/>
    </row>
    <row r="292" spans="1:20 16329:16383" s="38" customFormat="1" ht="29.1" customHeight="1" outlineLevel="6" x14ac:dyDescent="0.25">
      <c r="A292" s="49" t="s">
        <v>599</v>
      </c>
      <c r="B292" s="50"/>
      <c r="C292" s="50"/>
      <c r="D292" s="3" t="s">
        <v>372</v>
      </c>
      <c r="E292" s="3"/>
      <c r="F292" s="51"/>
      <c r="G292" s="50" t="s">
        <v>117</v>
      </c>
      <c r="H292" s="52">
        <f>1</f>
        <v>1</v>
      </c>
      <c r="I292" s="36"/>
      <c r="J292" s="52">
        <v>1</v>
      </c>
      <c r="K292" s="53">
        <f>0</f>
        <v>0</v>
      </c>
      <c r="L292" s="53">
        <f>0</f>
        <v>0</v>
      </c>
      <c r="M292" s="53">
        <f>0</f>
        <v>0</v>
      </c>
      <c r="N292" s="54">
        <f>SUM(K292:M292)</f>
        <v>0</v>
      </c>
      <c r="O292" s="54">
        <f>ROUND((H292*K292),2)</f>
        <v>0</v>
      </c>
      <c r="P292" s="54">
        <f>ROUND((H292*L292),2)</f>
        <v>0</v>
      </c>
      <c r="Q292" s="54">
        <f>ROUND((H292*M292),2)</f>
        <v>0</v>
      </c>
      <c r="R292" s="54">
        <f>ROUND((H292*N292),2)</f>
        <v>0</v>
      </c>
      <c r="S292" s="54"/>
      <c r="T292" s="36"/>
      <c r="XDA292"/>
      <c r="XDB292"/>
      <c r="XDC292"/>
      <c r="XDD292"/>
      <c r="XDE292"/>
      <c r="XDF292"/>
      <c r="XDG292"/>
      <c r="XDH292"/>
      <c r="XDI292"/>
      <c r="XDJ292"/>
      <c r="XDK292"/>
      <c r="XDL292"/>
      <c r="XDM292"/>
      <c r="XDN292"/>
      <c r="XDO292"/>
      <c r="XDP292"/>
      <c r="XDQ292"/>
      <c r="XDR292"/>
      <c r="XDS292"/>
      <c r="XDT292"/>
      <c r="XDU292"/>
      <c r="XDV292"/>
      <c r="XDW292"/>
      <c r="XDX292"/>
      <c r="XDY292"/>
      <c r="XDZ292"/>
      <c r="XEA292"/>
      <c r="XEB292"/>
      <c r="XEC292"/>
      <c r="XED292"/>
      <c r="XEE292"/>
      <c r="XEF292"/>
      <c r="XEG292"/>
      <c r="XEH292"/>
      <c r="XEI292"/>
      <c r="XEJ292"/>
      <c r="XEK292"/>
      <c r="XEL292"/>
      <c r="XEM292"/>
      <c r="XEN292"/>
      <c r="XEO292"/>
      <c r="XEP292"/>
      <c r="XEQ292"/>
      <c r="XER292"/>
      <c r="XES292"/>
      <c r="XET292"/>
      <c r="XEU292"/>
      <c r="XEV292"/>
      <c r="XEW292"/>
      <c r="XEX292"/>
      <c r="XEY292"/>
      <c r="XEZ292"/>
      <c r="XFA292"/>
      <c r="XFB292"/>
      <c r="XFC292"/>
    </row>
    <row r="293" spans="1:20 16329:16383" s="38" customFormat="1" ht="29.1" customHeight="1" outlineLevel="6" x14ac:dyDescent="0.25">
      <c r="A293" s="49" t="s">
        <v>600</v>
      </c>
      <c r="B293" s="50"/>
      <c r="C293" s="50"/>
      <c r="D293" s="3" t="s">
        <v>601</v>
      </c>
      <c r="E293" s="3"/>
      <c r="F293" s="51"/>
      <c r="G293" s="50" t="s">
        <v>117</v>
      </c>
      <c r="H293" s="52">
        <f>1</f>
        <v>1</v>
      </c>
      <c r="I293" s="36"/>
      <c r="J293" s="52">
        <v>1</v>
      </c>
      <c r="K293" s="53">
        <f>0</f>
        <v>0</v>
      </c>
      <c r="L293" s="53">
        <f>0</f>
        <v>0</v>
      </c>
      <c r="M293" s="53">
        <f>0</f>
        <v>0</v>
      </c>
      <c r="N293" s="54">
        <f>SUM(K293:M293)</f>
        <v>0</v>
      </c>
      <c r="O293" s="54">
        <f>ROUND((H293*K293),2)</f>
        <v>0</v>
      </c>
      <c r="P293" s="54">
        <f>ROUND((H293*L293),2)</f>
        <v>0</v>
      </c>
      <c r="Q293" s="54">
        <f>ROUND((H293*M293),2)</f>
        <v>0</v>
      </c>
      <c r="R293" s="54">
        <f>ROUND((H293*N293),2)</f>
        <v>0</v>
      </c>
      <c r="S293" s="54"/>
      <c r="T293" s="36"/>
      <c r="XDA293"/>
      <c r="XDB293"/>
      <c r="XDC293"/>
      <c r="XDD293"/>
      <c r="XDE293"/>
      <c r="XDF293"/>
      <c r="XDG293"/>
      <c r="XDH293"/>
      <c r="XDI293"/>
      <c r="XDJ293"/>
      <c r="XDK293"/>
      <c r="XDL293"/>
      <c r="XDM293"/>
      <c r="XDN293"/>
      <c r="XDO293"/>
      <c r="XDP293"/>
      <c r="XDQ293"/>
      <c r="XDR293"/>
      <c r="XDS293"/>
      <c r="XDT293"/>
      <c r="XDU293"/>
      <c r="XDV293"/>
      <c r="XDW293"/>
      <c r="XDX293"/>
      <c r="XDY293"/>
      <c r="XDZ293"/>
      <c r="XEA293"/>
      <c r="XEB293"/>
      <c r="XEC293"/>
      <c r="XED293"/>
      <c r="XEE293"/>
      <c r="XEF293"/>
      <c r="XEG293"/>
      <c r="XEH293"/>
      <c r="XEI293"/>
      <c r="XEJ293"/>
      <c r="XEK293"/>
      <c r="XEL293"/>
      <c r="XEM293"/>
      <c r="XEN293"/>
      <c r="XEO293"/>
      <c r="XEP293"/>
      <c r="XEQ293"/>
      <c r="XER293"/>
      <c r="XES293"/>
      <c r="XET293"/>
      <c r="XEU293"/>
      <c r="XEV293"/>
      <c r="XEW293"/>
      <c r="XEX293"/>
      <c r="XEY293"/>
      <c r="XEZ293"/>
      <c r="XFA293"/>
      <c r="XFB293"/>
      <c r="XFC293"/>
    </row>
    <row r="294" spans="1:20 16329:16383" s="38" customFormat="1" ht="29.1" customHeight="1" outlineLevel="5" x14ac:dyDescent="0.25">
      <c r="A294" s="65" t="s">
        <v>602</v>
      </c>
      <c r="B294" s="66" t="s">
        <v>603</v>
      </c>
      <c r="C294" s="66"/>
      <c r="D294" s="98" t="s">
        <v>604</v>
      </c>
      <c r="E294" s="98"/>
      <c r="F294" s="67"/>
      <c r="G294" s="66"/>
      <c r="H294" s="68"/>
      <c r="I294" s="36"/>
      <c r="J294" s="68"/>
      <c r="K294" s="69"/>
      <c r="L294" s="69"/>
      <c r="M294" s="69"/>
      <c r="N294" s="69"/>
      <c r="O294" s="69">
        <f>O295</f>
        <v>0</v>
      </c>
      <c r="P294" s="69">
        <f>P295</f>
        <v>0</v>
      </c>
      <c r="Q294" s="69">
        <f>Q295</f>
        <v>0</v>
      </c>
      <c r="R294" s="69">
        <f>R295</f>
        <v>0</v>
      </c>
      <c r="S294" s="69"/>
      <c r="T294" s="36"/>
      <c r="XDA294"/>
      <c r="XDB294"/>
      <c r="XDC294"/>
      <c r="XDD294"/>
      <c r="XDE294"/>
      <c r="XDF294"/>
      <c r="XDG294"/>
      <c r="XDH294"/>
      <c r="XDI294"/>
      <c r="XDJ294"/>
      <c r="XDK294"/>
      <c r="XDL294"/>
      <c r="XDM294"/>
      <c r="XDN294"/>
      <c r="XDO294"/>
      <c r="XDP294"/>
      <c r="XDQ294"/>
      <c r="XDR294"/>
      <c r="XDS294"/>
      <c r="XDT294"/>
      <c r="XDU294"/>
      <c r="XDV294"/>
      <c r="XDW294"/>
      <c r="XDX294"/>
      <c r="XDY294"/>
      <c r="XDZ294"/>
      <c r="XEA294"/>
      <c r="XEB294"/>
      <c r="XEC294"/>
      <c r="XED294"/>
      <c r="XEE294"/>
      <c r="XEF294"/>
      <c r="XEG294"/>
      <c r="XEH294"/>
      <c r="XEI294"/>
      <c r="XEJ294"/>
      <c r="XEK294"/>
      <c r="XEL294"/>
      <c r="XEM294"/>
      <c r="XEN294"/>
      <c r="XEO294"/>
      <c r="XEP294"/>
      <c r="XEQ294"/>
      <c r="XER294"/>
      <c r="XES294"/>
      <c r="XET294"/>
      <c r="XEU294"/>
      <c r="XEV294"/>
      <c r="XEW294"/>
      <c r="XEX294"/>
      <c r="XEY294"/>
      <c r="XEZ294"/>
      <c r="XFA294"/>
      <c r="XFB294"/>
      <c r="XFC294"/>
    </row>
    <row r="295" spans="1:20 16329:16383" s="38" customFormat="1" ht="29.1" customHeight="1" outlineLevel="6" x14ac:dyDescent="0.25">
      <c r="A295" s="49" t="s">
        <v>605</v>
      </c>
      <c r="B295" s="50"/>
      <c r="C295" s="50"/>
      <c r="D295" s="3" t="s">
        <v>372</v>
      </c>
      <c r="E295" s="3"/>
      <c r="F295" s="51"/>
      <c r="G295" s="50" t="s">
        <v>117</v>
      </c>
      <c r="H295" s="52">
        <f>1</f>
        <v>1</v>
      </c>
      <c r="I295" s="36"/>
      <c r="J295" s="52">
        <v>1</v>
      </c>
      <c r="K295" s="53">
        <f>0</f>
        <v>0</v>
      </c>
      <c r="L295" s="53">
        <f>0</f>
        <v>0</v>
      </c>
      <c r="M295" s="53">
        <f>0</f>
        <v>0</v>
      </c>
      <c r="N295" s="54">
        <f>SUM(K295:M295)</f>
        <v>0</v>
      </c>
      <c r="O295" s="54">
        <f>ROUND((H295*K295),2)</f>
        <v>0</v>
      </c>
      <c r="P295" s="54">
        <f>ROUND((H295*L295),2)</f>
        <v>0</v>
      </c>
      <c r="Q295" s="54">
        <f>ROUND((H295*M295),2)</f>
        <v>0</v>
      </c>
      <c r="R295" s="54">
        <f>ROUND((H295*N295),2)</f>
        <v>0</v>
      </c>
      <c r="S295" s="54"/>
      <c r="T295" s="36"/>
      <c r="XDA295"/>
      <c r="XDB295"/>
      <c r="XDC295"/>
      <c r="XDD295"/>
      <c r="XDE295"/>
      <c r="XDF295"/>
      <c r="XDG295"/>
      <c r="XDH295"/>
      <c r="XDI295"/>
      <c r="XDJ295"/>
      <c r="XDK295"/>
      <c r="XDL295"/>
      <c r="XDM295"/>
      <c r="XDN295"/>
      <c r="XDO295"/>
      <c r="XDP295"/>
      <c r="XDQ295"/>
      <c r="XDR295"/>
      <c r="XDS295"/>
      <c r="XDT295"/>
      <c r="XDU295"/>
      <c r="XDV295"/>
      <c r="XDW295"/>
      <c r="XDX295"/>
      <c r="XDY295"/>
      <c r="XDZ295"/>
      <c r="XEA295"/>
      <c r="XEB295"/>
      <c r="XEC295"/>
      <c r="XED295"/>
      <c r="XEE295"/>
      <c r="XEF295"/>
      <c r="XEG295"/>
      <c r="XEH295"/>
      <c r="XEI295"/>
      <c r="XEJ295"/>
      <c r="XEK295"/>
      <c r="XEL295"/>
      <c r="XEM295"/>
      <c r="XEN295"/>
      <c r="XEO295"/>
      <c r="XEP295"/>
      <c r="XEQ295"/>
      <c r="XER295"/>
      <c r="XES295"/>
      <c r="XET295"/>
      <c r="XEU295"/>
      <c r="XEV295"/>
      <c r="XEW295"/>
      <c r="XEX295"/>
      <c r="XEY295"/>
      <c r="XEZ295"/>
      <c r="XFA295"/>
      <c r="XFB295"/>
      <c r="XFC295"/>
    </row>
    <row r="296" spans="1:20 16329:16383" s="38" customFormat="1" ht="29.1" customHeight="1" outlineLevel="5" x14ac:dyDescent="0.25">
      <c r="A296" s="65" t="s">
        <v>606</v>
      </c>
      <c r="B296" s="66" t="s">
        <v>607</v>
      </c>
      <c r="C296" s="66"/>
      <c r="D296" s="98" t="s">
        <v>375</v>
      </c>
      <c r="E296" s="98"/>
      <c r="F296" s="67"/>
      <c r="G296" s="66"/>
      <c r="H296" s="68"/>
      <c r="I296" s="36"/>
      <c r="J296" s="68"/>
      <c r="K296" s="69"/>
      <c r="L296" s="69"/>
      <c r="M296" s="69"/>
      <c r="N296" s="69"/>
      <c r="O296" s="69">
        <f>SUM(O297:O302)</f>
        <v>0</v>
      </c>
      <c r="P296" s="69">
        <f>SUM(P297:P302)</f>
        <v>0</v>
      </c>
      <c r="Q296" s="69">
        <f>SUM(Q297:Q302)</f>
        <v>0</v>
      </c>
      <c r="R296" s="69">
        <f>SUM(R297:R302)</f>
        <v>0</v>
      </c>
      <c r="S296" s="69"/>
      <c r="T296" s="36"/>
      <c r="XDA296"/>
      <c r="XDB296"/>
      <c r="XDC296"/>
      <c r="XDD296"/>
      <c r="XDE296"/>
      <c r="XDF296"/>
      <c r="XDG296"/>
      <c r="XDH296"/>
      <c r="XDI296"/>
      <c r="XDJ296"/>
      <c r="XDK296"/>
      <c r="XDL296"/>
      <c r="XDM296"/>
      <c r="XDN296"/>
      <c r="XDO296"/>
      <c r="XDP296"/>
      <c r="XDQ296"/>
      <c r="XDR296"/>
      <c r="XDS296"/>
      <c r="XDT296"/>
      <c r="XDU296"/>
      <c r="XDV296"/>
      <c r="XDW296"/>
      <c r="XDX296"/>
      <c r="XDY296"/>
      <c r="XDZ296"/>
      <c r="XEA296"/>
      <c r="XEB296"/>
      <c r="XEC296"/>
      <c r="XED296"/>
      <c r="XEE296"/>
      <c r="XEF296"/>
      <c r="XEG296"/>
      <c r="XEH296"/>
      <c r="XEI296"/>
      <c r="XEJ296"/>
      <c r="XEK296"/>
      <c r="XEL296"/>
      <c r="XEM296"/>
      <c r="XEN296"/>
      <c r="XEO296"/>
      <c r="XEP296"/>
      <c r="XEQ296"/>
      <c r="XER296"/>
      <c r="XES296"/>
      <c r="XET296"/>
      <c r="XEU296"/>
      <c r="XEV296"/>
      <c r="XEW296"/>
      <c r="XEX296"/>
      <c r="XEY296"/>
      <c r="XEZ296"/>
      <c r="XFA296"/>
      <c r="XFB296"/>
      <c r="XFC296"/>
    </row>
    <row r="297" spans="1:20 16329:16383" s="38" customFormat="1" ht="29.1" customHeight="1" outlineLevel="6" x14ac:dyDescent="0.25">
      <c r="A297" s="49" t="s">
        <v>608</v>
      </c>
      <c r="B297" s="50"/>
      <c r="C297" s="50"/>
      <c r="D297" s="3" t="s">
        <v>372</v>
      </c>
      <c r="E297" s="3"/>
      <c r="F297" s="51"/>
      <c r="G297" s="50" t="s">
        <v>117</v>
      </c>
      <c r="H297" s="52">
        <f>1</f>
        <v>1</v>
      </c>
      <c r="I297" s="36"/>
      <c r="J297" s="52">
        <v>1</v>
      </c>
      <c r="K297" s="53">
        <f>0</f>
        <v>0</v>
      </c>
      <c r="L297" s="53">
        <f>0</f>
        <v>0</v>
      </c>
      <c r="M297" s="53">
        <f>0</f>
        <v>0</v>
      </c>
      <c r="N297" s="54">
        <f t="shared" ref="N297:N302" si="20">SUM(K297:M297)</f>
        <v>0</v>
      </c>
      <c r="O297" s="54">
        <f t="shared" ref="O297:O302" si="21">ROUND((H297*K297),2)</f>
        <v>0</v>
      </c>
      <c r="P297" s="54">
        <f t="shared" ref="P297:P302" si="22">ROUND((H297*L297),2)</f>
        <v>0</v>
      </c>
      <c r="Q297" s="54">
        <f t="shared" ref="Q297:Q302" si="23">ROUND((H297*M297),2)</f>
        <v>0</v>
      </c>
      <c r="R297" s="54">
        <f t="shared" ref="R297:R302" si="24">ROUND((H297*N297),2)</f>
        <v>0</v>
      </c>
      <c r="S297" s="54"/>
      <c r="T297" s="36"/>
      <c r="XDA297"/>
      <c r="XDB297"/>
      <c r="XDC297"/>
      <c r="XDD297"/>
      <c r="XDE297"/>
      <c r="XDF297"/>
      <c r="XDG297"/>
      <c r="XDH297"/>
      <c r="XDI297"/>
      <c r="XDJ297"/>
      <c r="XDK297"/>
      <c r="XDL297"/>
      <c r="XDM297"/>
      <c r="XDN297"/>
      <c r="XDO297"/>
      <c r="XDP297"/>
      <c r="XDQ297"/>
      <c r="XDR297"/>
      <c r="XDS297"/>
      <c r="XDT297"/>
      <c r="XDU297"/>
      <c r="XDV297"/>
      <c r="XDW297"/>
      <c r="XDX297"/>
      <c r="XDY297"/>
      <c r="XDZ297"/>
      <c r="XEA297"/>
      <c r="XEB297"/>
      <c r="XEC297"/>
      <c r="XED297"/>
      <c r="XEE297"/>
      <c r="XEF297"/>
      <c r="XEG297"/>
      <c r="XEH297"/>
      <c r="XEI297"/>
      <c r="XEJ297"/>
      <c r="XEK297"/>
      <c r="XEL297"/>
      <c r="XEM297"/>
      <c r="XEN297"/>
      <c r="XEO297"/>
      <c r="XEP297"/>
      <c r="XEQ297"/>
      <c r="XER297"/>
      <c r="XES297"/>
      <c r="XET297"/>
      <c r="XEU297"/>
      <c r="XEV297"/>
      <c r="XEW297"/>
      <c r="XEX297"/>
      <c r="XEY297"/>
      <c r="XEZ297"/>
      <c r="XFA297"/>
      <c r="XFB297"/>
      <c r="XFC297"/>
    </row>
    <row r="298" spans="1:20 16329:16383" s="38" customFormat="1" ht="29.1" customHeight="1" outlineLevel="6" x14ac:dyDescent="0.25">
      <c r="A298" s="49" t="s">
        <v>609</v>
      </c>
      <c r="B298" s="50"/>
      <c r="C298" s="50"/>
      <c r="D298" s="3" t="s">
        <v>382</v>
      </c>
      <c r="E298" s="3"/>
      <c r="F298" s="51"/>
      <c r="G298" s="50" t="s">
        <v>117</v>
      </c>
      <c r="H298" s="52">
        <f>1</f>
        <v>1</v>
      </c>
      <c r="I298" s="36"/>
      <c r="J298" s="52">
        <v>1</v>
      </c>
      <c r="K298" s="53">
        <f>0</f>
        <v>0</v>
      </c>
      <c r="L298" s="53">
        <f>0</f>
        <v>0</v>
      </c>
      <c r="M298" s="53">
        <f>0</f>
        <v>0</v>
      </c>
      <c r="N298" s="54">
        <f t="shared" si="20"/>
        <v>0</v>
      </c>
      <c r="O298" s="54">
        <f t="shared" si="21"/>
        <v>0</v>
      </c>
      <c r="P298" s="54">
        <f t="shared" si="22"/>
        <v>0</v>
      </c>
      <c r="Q298" s="54">
        <f t="shared" si="23"/>
        <v>0</v>
      </c>
      <c r="R298" s="54">
        <f t="shared" si="24"/>
        <v>0</v>
      </c>
      <c r="S298" s="54"/>
      <c r="T298" s="36"/>
      <c r="XDA298"/>
      <c r="XDB298"/>
      <c r="XDC298"/>
      <c r="XDD298"/>
      <c r="XDE298"/>
      <c r="XDF298"/>
      <c r="XDG298"/>
      <c r="XDH298"/>
      <c r="XDI298"/>
      <c r="XDJ298"/>
      <c r="XDK298"/>
      <c r="XDL298"/>
      <c r="XDM298"/>
      <c r="XDN298"/>
      <c r="XDO298"/>
      <c r="XDP298"/>
      <c r="XDQ298"/>
      <c r="XDR298"/>
      <c r="XDS298"/>
      <c r="XDT298"/>
      <c r="XDU298"/>
      <c r="XDV298"/>
      <c r="XDW298"/>
      <c r="XDX298"/>
      <c r="XDY298"/>
      <c r="XDZ298"/>
      <c r="XEA298"/>
      <c r="XEB298"/>
      <c r="XEC298"/>
      <c r="XED298"/>
      <c r="XEE298"/>
      <c r="XEF298"/>
      <c r="XEG298"/>
      <c r="XEH298"/>
      <c r="XEI298"/>
      <c r="XEJ298"/>
      <c r="XEK298"/>
      <c r="XEL298"/>
      <c r="XEM298"/>
      <c r="XEN298"/>
      <c r="XEO298"/>
      <c r="XEP298"/>
      <c r="XEQ298"/>
      <c r="XER298"/>
      <c r="XES298"/>
      <c r="XET298"/>
      <c r="XEU298"/>
      <c r="XEV298"/>
      <c r="XEW298"/>
      <c r="XEX298"/>
      <c r="XEY298"/>
      <c r="XEZ298"/>
      <c r="XFA298"/>
      <c r="XFB298"/>
      <c r="XFC298"/>
    </row>
    <row r="299" spans="1:20 16329:16383" s="38" customFormat="1" ht="29.1" customHeight="1" outlineLevel="6" x14ac:dyDescent="0.25">
      <c r="A299" s="49" t="s">
        <v>610</v>
      </c>
      <c r="B299" s="50"/>
      <c r="C299" s="50"/>
      <c r="D299" s="3" t="s">
        <v>377</v>
      </c>
      <c r="E299" s="3"/>
      <c r="F299" s="51"/>
      <c r="G299" s="50" t="s">
        <v>117</v>
      </c>
      <c r="H299" s="52">
        <f>1</f>
        <v>1</v>
      </c>
      <c r="I299" s="36"/>
      <c r="J299" s="52">
        <v>1</v>
      </c>
      <c r="K299" s="53">
        <f>0</f>
        <v>0</v>
      </c>
      <c r="L299" s="53">
        <f>0</f>
        <v>0</v>
      </c>
      <c r="M299" s="53">
        <f>0</f>
        <v>0</v>
      </c>
      <c r="N299" s="54">
        <f t="shared" si="20"/>
        <v>0</v>
      </c>
      <c r="O299" s="54">
        <f t="shared" si="21"/>
        <v>0</v>
      </c>
      <c r="P299" s="54">
        <f t="shared" si="22"/>
        <v>0</v>
      </c>
      <c r="Q299" s="54">
        <f t="shared" si="23"/>
        <v>0</v>
      </c>
      <c r="R299" s="54">
        <f t="shared" si="24"/>
        <v>0</v>
      </c>
      <c r="S299" s="54"/>
      <c r="T299" s="36"/>
      <c r="XDA299"/>
      <c r="XDB299"/>
      <c r="XDC299"/>
      <c r="XDD299"/>
      <c r="XDE299"/>
      <c r="XDF299"/>
      <c r="XDG299"/>
      <c r="XDH299"/>
      <c r="XDI299"/>
      <c r="XDJ299"/>
      <c r="XDK299"/>
      <c r="XDL299"/>
      <c r="XDM299"/>
      <c r="XDN299"/>
      <c r="XDO299"/>
      <c r="XDP299"/>
      <c r="XDQ299"/>
      <c r="XDR299"/>
      <c r="XDS299"/>
      <c r="XDT299"/>
      <c r="XDU299"/>
      <c r="XDV299"/>
      <c r="XDW299"/>
      <c r="XDX299"/>
      <c r="XDY299"/>
      <c r="XDZ299"/>
      <c r="XEA299"/>
      <c r="XEB299"/>
      <c r="XEC299"/>
      <c r="XED299"/>
      <c r="XEE299"/>
      <c r="XEF299"/>
      <c r="XEG299"/>
      <c r="XEH299"/>
      <c r="XEI299"/>
      <c r="XEJ299"/>
      <c r="XEK299"/>
      <c r="XEL299"/>
      <c r="XEM299"/>
      <c r="XEN299"/>
      <c r="XEO299"/>
      <c r="XEP299"/>
      <c r="XEQ299"/>
      <c r="XER299"/>
      <c r="XES299"/>
      <c r="XET299"/>
      <c r="XEU299"/>
      <c r="XEV299"/>
      <c r="XEW299"/>
      <c r="XEX299"/>
      <c r="XEY299"/>
      <c r="XEZ299"/>
      <c r="XFA299"/>
      <c r="XFB299"/>
      <c r="XFC299"/>
    </row>
    <row r="300" spans="1:20 16329:16383" s="38" customFormat="1" ht="29.1" customHeight="1" outlineLevel="6" x14ac:dyDescent="0.25">
      <c r="A300" s="49" t="s">
        <v>611</v>
      </c>
      <c r="B300" s="50"/>
      <c r="C300" s="50"/>
      <c r="D300" s="3" t="s">
        <v>601</v>
      </c>
      <c r="E300" s="3"/>
      <c r="F300" s="51"/>
      <c r="G300" s="50" t="s">
        <v>117</v>
      </c>
      <c r="H300" s="52">
        <f>1</f>
        <v>1</v>
      </c>
      <c r="I300" s="36"/>
      <c r="J300" s="52">
        <v>1</v>
      </c>
      <c r="K300" s="53">
        <f>0</f>
        <v>0</v>
      </c>
      <c r="L300" s="53">
        <f>0</f>
        <v>0</v>
      </c>
      <c r="M300" s="53">
        <f>0</f>
        <v>0</v>
      </c>
      <c r="N300" s="54">
        <f t="shared" si="20"/>
        <v>0</v>
      </c>
      <c r="O300" s="54">
        <f t="shared" si="21"/>
        <v>0</v>
      </c>
      <c r="P300" s="54">
        <f t="shared" si="22"/>
        <v>0</v>
      </c>
      <c r="Q300" s="54">
        <f t="shared" si="23"/>
        <v>0</v>
      </c>
      <c r="R300" s="54">
        <f t="shared" si="24"/>
        <v>0</v>
      </c>
      <c r="S300" s="54"/>
      <c r="T300" s="36"/>
      <c r="XDA300"/>
      <c r="XDB300"/>
      <c r="XDC300"/>
      <c r="XDD300"/>
      <c r="XDE300"/>
      <c r="XDF300"/>
      <c r="XDG300"/>
      <c r="XDH300"/>
      <c r="XDI300"/>
      <c r="XDJ300"/>
      <c r="XDK300"/>
      <c r="XDL300"/>
      <c r="XDM300"/>
      <c r="XDN300"/>
      <c r="XDO300"/>
      <c r="XDP300"/>
      <c r="XDQ300"/>
      <c r="XDR300"/>
      <c r="XDS300"/>
      <c r="XDT300"/>
      <c r="XDU300"/>
      <c r="XDV300"/>
      <c r="XDW300"/>
      <c r="XDX300"/>
      <c r="XDY300"/>
      <c r="XDZ300"/>
      <c r="XEA300"/>
      <c r="XEB300"/>
      <c r="XEC300"/>
      <c r="XED300"/>
      <c r="XEE300"/>
      <c r="XEF300"/>
      <c r="XEG300"/>
      <c r="XEH300"/>
      <c r="XEI300"/>
      <c r="XEJ300"/>
      <c r="XEK300"/>
      <c r="XEL300"/>
      <c r="XEM300"/>
      <c r="XEN300"/>
      <c r="XEO300"/>
      <c r="XEP300"/>
      <c r="XEQ300"/>
      <c r="XER300"/>
      <c r="XES300"/>
      <c r="XET300"/>
      <c r="XEU300"/>
      <c r="XEV300"/>
      <c r="XEW300"/>
      <c r="XEX300"/>
      <c r="XEY300"/>
      <c r="XEZ300"/>
      <c r="XFA300"/>
      <c r="XFB300"/>
      <c r="XFC300"/>
    </row>
    <row r="301" spans="1:20 16329:16383" s="38" customFormat="1" ht="29.1" customHeight="1" outlineLevel="6" x14ac:dyDescent="0.25">
      <c r="A301" s="49" t="s">
        <v>612</v>
      </c>
      <c r="B301" s="50"/>
      <c r="C301" s="50"/>
      <c r="D301" s="3" t="s">
        <v>613</v>
      </c>
      <c r="E301" s="3"/>
      <c r="F301" s="51"/>
      <c r="G301" s="50" t="s">
        <v>117</v>
      </c>
      <c r="H301" s="52">
        <f>1</f>
        <v>1</v>
      </c>
      <c r="I301" s="36"/>
      <c r="J301" s="52">
        <v>1</v>
      </c>
      <c r="K301" s="53">
        <f>0</f>
        <v>0</v>
      </c>
      <c r="L301" s="53">
        <f>0</f>
        <v>0</v>
      </c>
      <c r="M301" s="53">
        <f>0</f>
        <v>0</v>
      </c>
      <c r="N301" s="54">
        <f t="shared" si="20"/>
        <v>0</v>
      </c>
      <c r="O301" s="54">
        <f t="shared" si="21"/>
        <v>0</v>
      </c>
      <c r="P301" s="54">
        <f t="shared" si="22"/>
        <v>0</v>
      </c>
      <c r="Q301" s="54">
        <f t="shared" si="23"/>
        <v>0</v>
      </c>
      <c r="R301" s="54">
        <f t="shared" si="24"/>
        <v>0</v>
      </c>
      <c r="S301" s="54"/>
      <c r="T301" s="36"/>
      <c r="XDA301"/>
      <c r="XDB301"/>
      <c r="XDC301"/>
      <c r="XDD301"/>
      <c r="XDE301"/>
      <c r="XDF301"/>
      <c r="XDG301"/>
      <c r="XDH301"/>
      <c r="XDI301"/>
      <c r="XDJ301"/>
      <c r="XDK301"/>
      <c r="XDL301"/>
      <c r="XDM301"/>
      <c r="XDN301"/>
      <c r="XDO301"/>
      <c r="XDP301"/>
      <c r="XDQ301"/>
      <c r="XDR301"/>
      <c r="XDS301"/>
      <c r="XDT301"/>
      <c r="XDU301"/>
      <c r="XDV301"/>
      <c r="XDW301"/>
      <c r="XDX301"/>
      <c r="XDY301"/>
      <c r="XDZ301"/>
      <c r="XEA301"/>
      <c r="XEB301"/>
      <c r="XEC301"/>
      <c r="XED301"/>
      <c r="XEE301"/>
      <c r="XEF301"/>
      <c r="XEG301"/>
      <c r="XEH301"/>
      <c r="XEI301"/>
      <c r="XEJ301"/>
      <c r="XEK301"/>
      <c r="XEL301"/>
      <c r="XEM301"/>
      <c r="XEN301"/>
      <c r="XEO301"/>
      <c r="XEP301"/>
      <c r="XEQ301"/>
      <c r="XER301"/>
      <c r="XES301"/>
      <c r="XET301"/>
      <c r="XEU301"/>
      <c r="XEV301"/>
      <c r="XEW301"/>
      <c r="XEX301"/>
      <c r="XEY301"/>
      <c r="XEZ301"/>
      <c r="XFA301"/>
      <c r="XFB301"/>
      <c r="XFC301"/>
    </row>
    <row r="302" spans="1:20 16329:16383" s="38" customFormat="1" ht="29.1" customHeight="1" outlineLevel="6" x14ac:dyDescent="0.25">
      <c r="A302" s="49" t="s">
        <v>614</v>
      </c>
      <c r="B302" s="50"/>
      <c r="C302" s="50"/>
      <c r="D302" s="3" t="s">
        <v>615</v>
      </c>
      <c r="E302" s="3"/>
      <c r="F302" s="51"/>
      <c r="G302" s="50" t="s">
        <v>117</v>
      </c>
      <c r="H302" s="52">
        <f>1</f>
        <v>1</v>
      </c>
      <c r="I302" s="36"/>
      <c r="J302" s="52">
        <v>1</v>
      </c>
      <c r="K302" s="53">
        <f>0</f>
        <v>0</v>
      </c>
      <c r="L302" s="53">
        <f>0</f>
        <v>0</v>
      </c>
      <c r="M302" s="53">
        <f>0</f>
        <v>0</v>
      </c>
      <c r="N302" s="54">
        <f t="shared" si="20"/>
        <v>0</v>
      </c>
      <c r="O302" s="54">
        <f t="shared" si="21"/>
        <v>0</v>
      </c>
      <c r="P302" s="54">
        <f t="shared" si="22"/>
        <v>0</v>
      </c>
      <c r="Q302" s="54">
        <f t="shared" si="23"/>
        <v>0</v>
      </c>
      <c r="R302" s="54">
        <f t="shared" si="24"/>
        <v>0</v>
      </c>
      <c r="S302" s="54"/>
      <c r="T302" s="36"/>
      <c r="XDA302"/>
      <c r="XDB302"/>
      <c r="XDC302"/>
      <c r="XDD302"/>
      <c r="XDE302"/>
      <c r="XDF302"/>
      <c r="XDG302"/>
      <c r="XDH302"/>
      <c r="XDI302"/>
      <c r="XDJ302"/>
      <c r="XDK302"/>
      <c r="XDL302"/>
      <c r="XDM302"/>
      <c r="XDN302"/>
      <c r="XDO302"/>
      <c r="XDP302"/>
      <c r="XDQ302"/>
      <c r="XDR302"/>
      <c r="XDS302"/>
      <c r="XDT302"/>
      <c r="XDU302"/>
      <c r="XDV302"/>
      <c r="XDW302"/>
      <c r="XDX302"/>
      <c r="XDY302"/>
      <c r="XDZ302"/>
      <c r="XEA302"/>
      <c r="XEB302"/>
      <c r="XEC302"/>
      <c r="XED302"/>
      <c r="XEE302"/>
      <c r="XEF302"/>
      <c r="XEG302"/>
      <c r="XEH302"/>
      <c r="XEI302"/>
      <c r="XEJ302"/>
      <c r="XEK302"/>
      <c r="XEL302"/>
      <c r="XEM302"/>
      <c r="XEN302"/>
      <c r="XEO302"/>
      <c r="XEP302"/>
      <c r="XEQ302"/>
      <c r="XER302"/>
      <c r="XES302"/>
      <c r="XET302"/>
      <c r="XEU302"/>
      <c r="XEV302"/>
      <c r="XEW302"/>
      <c r="XEX302"/>
      <c r="XEY302"/>
      <c r="XEZ302"/>
      <c r="XFA302"/>
      <c r="XFB302"/>
      <c r="XFC302"/>
    </row>
    <row r="303" spans="1:20 16329:16383" s="38" customFormat="1" ht="29.1" customHeight="1" outlineLevel="5" x14ac:dyDescent="0.25">
      <c r="A303" s="65" t="s">
        <v>616</v>
      </c>
      <c r="B303" s="66" t="s">
        <v>617</v>
      </c>
      <c r="C303" s="66"/>
      <c r="D303" s="98" t="s">
        <v>380</v>
      </c>
      <c r="E303" s="98"/>
      <c r="F303" s="67"/>
      <c r="G303" s="66"/>
      <c r="H303" s="68"/>
      <c r="I303" s="36"/>
      <c r="J303" s="68"/>
      <c r="K303" s="69"/>
      <c r="L303" s="69"/>
      <c r="M303" s="69"/>
      <c r="N303" s="69"/>
      <c r="O303" s="69">
        <f>O304+O305</f>
        <v>0</v>
      </c>
      <c r="P303" s="69">
        <f>P304+P305</f>
        <v>0</v>
      </c>
      <c r="Q303" s="69">
        <f>Q304+Q305</f>
        <v>0</v>
      </c>
      <c r="R303" s="69">
        <f>R304+R305</f>
        <v>0</v>
      </c>
      <c r="S303" s="69"/>
      <c r="T303" s="36"/>
      <c r="XDA303"/>
      <c r="XDB303"/>
      <c r="XDC303"/>
      <c r="XDD303"/>
      <c r="XDE303"/>
      <c r="XDF303"/>
      <c r="XDG303"/>
      <c r="XDH303"/>
      <c r="XDI303"/>
      <c r="XDJ303"/>
      <c r="XDK303"/>
      <c r="XDL303"/>
      <c r="XDM303"/>
      <c r="XDN303"/>
      <c r="XDO303"/>
      <c r="XDP303"/>
      <c r="XDQ303"/>
      <c r="XDR303"/>
      <c r="XDS303"/>
      <c r="XDT303"/>
      <c r="XDU303"/>
      <c r="XDV303"/>
      <c r="XDW303"/>
      <c r="XDX303"/>
      <c r="XDY303"/>
      <c r="XDZ303"/>
      <c r="XEA303"/>
      <c r="XEB303"/>
      <c r="XEC303"/>
      <c r="XED303"/>
      <c r="XEE303"/>
      <c r="XEF303"/>
      <c r="XEG303"/>
      <c r="XEH303"/>
      <c r="XEI303"/>
      <c r="XEJ303"/>
      <c r="XEK303"/>
      <c r="XEL303"/>
      <c r="XEM303"/>
      <c r="XEN303"/>
      <c r="XEO303"/>
      <c r="XEP303"/>
      <c r="XEQ303"/>
      <c r="XER303"/>
      <c r="XES303"/>
      <c r="XET303"/>
      <c r="XEU303"/>
      <c r="XEV303"/>
      <c r="XEW303"/>
      <c r="XEX303"/>
      <c r="XEY303"/>
      <c r="XEZ303"/>
      <c r="XFA303"/>
      <c r="XFB303"/>
      <c r="XFC303"/>
    </row>
    <row r="304" spans="1:20 16329:16383" s="38" customFormat="1" ht="29.1" customHeight="1" outlineLevel="6" x14ac:dyDescent="0.25">
      <c r="A304" s="49" t="s">
        <v>618</v>
      </c>
      <c r="B304" s="50"/>
      <c r="C304" s="50"/>
      <c r="D304" s="3" t="s">
        <v>372</v>
      </c>
      <c r="E304" s="3"/>
      <c r="F304" s="51"/>
      <c r="G304" s="50" t="s">
        <v>117</v>
      </c>
      <c r="H304" s="52">
        <f>1</f>
        <v>1</v>
      </c>
      <c r="I304" s="36"/>
      <c r="J304" s="52">
        <v>1</v>
      </c>
      <c r="K304" s="53">
        <f>0</f>
        <v>0</v>
      </c>
      <c r="L304" s="53">
        <f>0</f>
        <v>0</v>
      </c>
      <c r="M304" s="53">
        <f>0</f>
        <v>0</v>
      </c>
      <c r="N304" s="54">
        <f>SUM(K304:M304)</f>
        <v>0</v>
      </c>
      <c r="O304" s="54">
        <f>ROUND((H304*K304),2)</f>
        <v>0</v>
      </c>
      <c r="P304" s="54">
        <f>ROUND((H304*L304),2)</f>
        <v>0</v>
      </c>
      <c r="Q304" s="54">
        <f>ROUND((H304*M304),2)</f>
        <v>0</v>
      </c>
      <c r="R304" s="54">
        <f>ROUND((H304*N304),2)</f>
        <v>0</v>
      </c>
      <c r="S304" s="54"/>
      <c r="T304" s="36"/>
      <c r="XDA304"/>
      <c r="XDB304"/>
      <c r="XDC304"/>
      <c r="XDD304"/>
      <c r="XDE304"/>
      <c r="XDF304"/>
      <c r="XDG304"/>
      <c r="XDH304"/>
      <c r="XDI304"/>
      <c r="XDJ304"/>
      <c r="XDK304"/>
      <c r="XDL304"/>
      <c r="XDM304"/>
      <c r="XDN304"/>
      <c r="XDO304"/>
      <c r="XDP304"/>
      <c r="XDQ304"/>
      <c r="XDR304"/>
      <c r="XDS304"/>
      <c r="XDT304"/>
      <c r="XDU304"/>
      <c r="XDV304"/>
      <c r="XDW304"/>
      <c r="XDX304"/>
      <c r="XDY304"/>
      <c r="XDZ304"/>
      <c r="XEA304"/>
      <c r="XEB304"/>
      <c r="XEC304"/>
      <c r="XED304"/>
      <c r="XEE304"/>
      <c r="XEF304"/>
      <c r="XEG304"/>
      <c r="XEH304"/>
      <c r="XEI304"/>
      <c r="XEJ304"/>
      <c r="XEK304"/>
      <c r="XEL304"/>
      <c r="XEM304"/>
      <c r="XEN304"/>
      <c r="XEO304"/>
      <c r="XEP304"/>
      <c r="XEQ304"/>
      <c r="XER304"/>
      <c r="XES304"/>
      <c r="XET304"/>
      <c r="XEU304"/>
      <c r="XEV304"/>
      <c r="XEW304"/>
      <c r="XEX304"/>
      <c r="XEY304"/>
      <c r="XEZ304"/>
      <c r="XFA304"/>
      <c r="XFB304"/>
      <c r="XFC304"/>
    </row>
    <row r="305" spans="1:20 16329:16383" s="38" customFormat="1" ht="29.1" customHeight="1" outlineLevel="6" x14ac:dyDescent="0.25">
      <c r="A305" s="49" t="s">
        <v>619</v>
      </c>
      <c r="B305" s="50"/>
      <c r="C305" s="50"/>
      <c r="D305" s="3" t="s">
        <v>601</v>
      </c>
      <c r="E305" s="3"/>
      <c r="F305" s="51"/>
      <c r="G305" s="50" t="s">
        <v>117</v>
      </c>
      <c r="H305" s="52">
        <f>1</f>
        <v>1</v>
      </c>
      <c r="I305" s="36"/>
      <c r="J305" s="52">
        <v>1</v>
      </c>
      <c r="K305" s="53">
        <f>0</f>
        <v>0</v>
      </c>
      <c r="L305" s="53">
        <f>0</f>
        <v>0</v>
      </c>
      <c r="M305" s="53">
        <f>0</f>
        <v>0</v>
      </c>
      <c r="N305" s="54">
        <f>SUM(K305:M305)</f>
        <v>0</v>
      </c>
      <c r="O305" s="54">
        <f>ROUND((H305*K305),2)</f>
        <v>0</v>
      </c>
      <c r="P305" s="54">
        <f>ROUND((H305*L305),2)</f>
        <v>0</v>
      </c>
      <c r="Q305" s="54">
        <f>ROUND((H305*M305),2)</f>
        <v>0</v>
      </c>
      <c r="R305" s="54">
        <f>ROUND((H305*N305),2)</f>
        <v>0</v>
      </c>
      <c r="S305" s="54"/>
      <c r="T305" s="36"/>
      <c r="XDA305"/>
      <c r="XDB305"/>
      <c r="XDC305"/>
      <c r="XDD305"/>
      <c r="XDE305"/>
      <c r="XDF305"/>
      <c r="XDG305"/>
      <c r="XDH305"/>
      <c r="XDI305"/>
      <c r="XDJ305"/>
      <c r="XDK305"/>
      <c r="XDL305"/>
      <c r="XDM305"/>
      <c r="XDN305"/>
      <c r="XDO305"/>
      <c r="XDP305"/>
      <c r="XDQ305"/>
      <c r="XDR305"/>
      <c r="XDS305"/>
      <c r="XDT305"/>
      <c r="XDU305"/>
      <c r="XDV305"/>
      <c r="XDW305"/>
      <c r="XDX305"/>
      <c r="XDY305"/>
      <c r="XDZ305"/>
      <c r="XEA305"/>
      <c r="XEB305"/>
      <c r="XEC305"/>
      <c r="XED305"/>
      <c r="XEE305"/>
      <c r="XEF305"/>
      <c r="XEG305"/>
      <c r="XEH305"/>
      <c r="XEI305"/>
      <c r="XEJ305"/>
      <c r="XEK305"/>
      <c r="XEL305"/>
      <c r="XEM305"/>
      <c r="XEN305"/>
      <c r="XEO305"/>
      <c r="XEP305"/>
      <c r="XEQ305"/>
      <c r="XER305"/>
      <c r="XES305"/>
      <c r="XET305"/>
      <c r="XEU305"/>
      <c r="XEV305"/>
      <c r="XEW305"/>
      <c r="XEX305"/>
      <c r="XEY305"/>
      <c r="XEZ305"/>
      <c r="XFA305"/>
      <c r="XFB305"/>
      <c r="XFC305"/>
    </row>
    <row r="306" spans="1:20 16329:16383" s="38" customFormat="1" ht="29.1" customHeight="1" outlineLevel="5" x14ac:dyDescent="0.25">
      <c r="A306" s="65" t="s">
        <v>620</v>
      </c>
      <c r="B306" s="66" t="s">
        <v>621</v>
      </c>
      <c r="C306" s="66"/>
      <c r="D306" s="98" t="s">
        <v>496</v>
      </c>
      <c r="E306" s="98"/>
      <c r="F306" s="67"/>
      <c r="G306" s="66"/>
      <c r="H306" s="68"/>
      <c r="I306" s="36"/>
      <c r="J306" s="68"/>
      <c r="K306" s="69"/>
      <c r="L306" s="69"/>
      <c r="M306" s="69"/>
      <c r="N306" s="69"/>
      <c r="O306" s="69">
        <f>O307</f>
        <v>0</v>
      </c>
      <c r="P306" s="69">
        <f>P307</f>
        <v>0</v>
      </c>
      <c r="Q306" s="69">
        <f>Q307</f>
        <v>0</v>
      </c>
      <c r="R306" s="69">
        <f>R307</f>
        <v>0</v>
      </c>
      <c r="S306" s="69"/>
      <c r="T306" s="36"/>
      <c r="XDA306"/>
      <c r="XDB306"/>
      <c r="XDC306"/>
      <c r="XDD306"/>
      <c r="XDE306"/>
      <c r="XDF306"/>
      <c r="XDG306"/>
      <c r="XDH306"/>
      <c r="XDI306"/>
      <c r="XDJ306"/>
      <c r="XDK306"/>
      <c r="XDL306"/>
      <c r="XDM306"/>
      <c r="XDN306"/>
      <c r="XDO306"/>
      <c r="XDP306"/>
      <c r="XDQ306"/>
      <c r="XDR306"/>
      <c r="XDS306"/>
      <c r="XDT306"/>
      <c r="XDU306"/>
      <c r="XDV306"/>
      <c r="XDW306"/>
      <c r="XDX306"/>
      <c r="XDY306"/>
      <c r="XDZ306"/>
      <c r="XEA306"/>
      <c r="XEB306"/>
      <c r="XEC306"/>
      <c r="XED306"/>
      <c r="XEE306"/>
      <c r="XEF306"/>
      <c r="XEG306"/>
      <c r="XEH306"/>
      <c r="XEI306"/>
      <c r="XEJ306"/>
      <c r="XEK306"/>
      <c r="XEL306"/>
      <c r="XEM306"/>
      <c r="XEN306"/>
      <c r="XEO306"/>
      <c r="XEP306"/>
      <c r="XEQ306"/>
      <c r="XER306"/>
      <c r="XES306"/>
      <c r="XET306"/>
      <c r="XEU306"/>
      <c r="XEV306"/>
      <c r="XEW306"/>
      <c r="XEX306"/>
      <c r="XEY306"/>
      <c r="XEZ306"/>
      <c r="XFA306"/>
      <c r="XFB306"/>
      <c r="XFC306"/>
    </row>
    <row r="307" spans="1:20 16329:16383" s="38" customFormat="1" ht="29.1" customHeight="1" outlineLevel="6" x14ac:dyDescent="0.25">
      <c r="A307" s="49" t="s">
        <v>622</v>
      </c>
      <c r="B307" s="50"/>
      <c r="C307" s="50"/>
      <c r="D307" s="3" t="s">
        <v>372</v>
      </c>
      <c r="E307" s="3"/>
      <c r="F307" s="51"/>
      <c r="G307" s="50" t="s">
        <v>117</v>
      </c>
      <c r="H307" s="52">
        <f>1</f>
        <v>1</v>
      </c>
      <c r="I307" s="36"/>
      <c r="J307" s="52">
        <v>1</v>
      </c>
      <c r="K307" s="53">
        <f>0</f>
        <v>0</v>
      </c>
      <c r="L307" s="53">
        <f>0</f>
        <v>0</v>
      </c>
      <c r="M307" s="53">
        <f>0</f>
        <v>0</v>
      </c>
      <c r="N307" s="54">
        <f>SUM(K307:M307)</f>
        <v>0</v>
      </c>
      <c r="O307" s="54">
        <f>ROUND((H307*K307),2)</f>
        <v>0</v>
      </c>
      <c r="P307" s="54">
        <f>ROUND((H307*L307),2)</f>
        <v>0</v>
      </c>
      <c r="Q307" s="54">
        <f>ROUND((H307*M307),2)</f>
        <v>0</v>
      </c>
      <c r="R307" s="54">
        <f>ROUND((H307*N307),2)</f>
        <v>0</v>
      </c>
      <c r="S307" s="54"/>
      <c r="T307" s="36"/>
      <c r="XDA307"/>
      <c r="XDB307"/>
      <c r="XDC307"/>
      <c r="XDD307"/>
      <c r="XDE307"/>
      <c r="XDF307"/>
      <c r="XDG307"/>
      <c r="XDH307"/>
      <c r="XDI307"/>
      <c r="XDJ307"/>
      <c r="XDK307"/>
      <c r="XDL307"/>
      <c r="XDM307"/>
      <c r="XDN307"/>
      <c r="XDO307"/>
      <c r="XDP307"/>
      <c r="XDQ307"/>
      <c r="XDR307"/>
      <c r="XDS307"/>
      <c r="XDT307"/>
      <c r="XDU307"/>
      <c r="XDV307"/>
      <c r="XDW307"/>
      <c r="XDX307"/>
      <c r="XDY307"/>
      <c r="XDZ307"/>
      <c r="XEA307"/>
      <c r="XEB307"/>
      <c r="XEC307"/>
      <c r="XED307"/>
      <c r="XEE307"/>
      <c r="XEF307"/>
      <c r="XEG307"/>
      <c r="XEH307"/>
      <c r="XEI307"/>
      <c r="XEJ307"/>
      <c r="XEK307"/>
      <c r="XEL307"/>
      <c r="XEM307"/>
      <c r="XEN307"/>
      <c r="XEO307"/>
      <c r="XEP307"/>
      <c r="XEQ307"/>
      <c r="XER307"/>
      <c r="XES307"/>
      <c r="XET307"/>
      <c r="XEU307"/>
      <c r="XEV307"/>
      <c r="XEW307"/>
      <c r="XEX307"/>
      <c r="XEY307"/>
      <c r="XEZ307"/>
      <c r="XFA307"/>
      <c r="XFB307"/>
      <c r="XFC307"/>
    </row>
    <row r="308" spans="1:20 16329:16383" s="38" customFormat="1" ht="29.1" customHeight="1" outlineLevel="5" x14ac:dyDescent="0.25">
      <c r="A308" s="65" t="s">
        <v>623</v>
      </c>
      <c r="B308" s="66" t="s">
        <v>624</v>
      </c>
      <c r="C308" s="66"/>
      <c r="D308" s="98" t="s">
        <v>500</v>
      </c>
      <c r="E308" s="98"/>
      <c r="F308" s="67"/>
      <c r="G308" s="66"/>
      <c r="H308" s="68"/>
      <c r="I308" s="36"/>
      <c r="J308" s="68"/>
      <c r="K308" s="69"/>
      <c r="L308" s="69"/>
      <c r="M308" s="69"/>
      <c r="N308" s="69"/>
      <c r="O308" s="69">
        <f>O309</f>
        <v>0</v>
      </c>
      <c r="P308" s="69">
        <f>P309</f>
        <v>0</v>
      </c>
      <c r="Q308" s="69">
        <f>Q309</f>
        <v>0</v>
      </c>
      <c r="R308" s="69">
        <f>R309</f>
        <v>0</v>
      </c>
      <c r="S308" s="69"/>
      <c r="T308" s="36"/>
      <c r="XDA308"/>
      <c r="XDB308"/>
      <c r="XDC308"/>
      <c r="XDD308"/>
      <c r="XDE308"/>
      <c r="XDF308"/>
      <c r="XDG308"/>
      <c r="XDH308"/>
      <c r="XDI308"/>
      <c r="XDJ308"/>
      <c r="XDK308"/>
      <c r="XDL308"/>
      <c r="XDM308"/>
      <c r="XDN308"/>
      <c r="XDO308"/>
      <c r="XDP308"/>
      <c r="XDQ308"/>
      <c r="XDR308"/>
      <c r="XDS308"/>
      <c r="XDT308"/>
      <c r="XDU308"/>
      <c r="XDV308"/>
      <c r="XDW308"/>
      <c r="XDX308"/>
      <c r="XDY308"/>
      <c r="XDZ308"/>
      <c r="XEA308"/>
      <c r="XEB308"/>
      <c r="XEC308"/>
      <c r="XED308"/>
      <c r="XEE308"/>
      <c r="XEF308"/>
      <c r="XEG308"/>
      <c r="XEH308"/>
      <c r="XEI308"/>
      <c r="XEJ308"/>
      <c r="XEK308"/>
      <c r="XEL308"/>
      <c r="XEM308"/>
      <c r="XEN308"/>
      <c r="XEO308"/>
      <c r="XEP308"/>
      <c r="XEQ308"/>
      <c r="XER308"/>
      <c r="XES308"/>
      <c r="XET308"/>
      <c r="XEU308"/>
      <c r="XEV308"/>
      <c r="XEW308"/>
      <c r="XEX308"/>
      <c r="XEY308"/>
      <c r="XEZ308"/>
      <c r="XFA308"/>
      <c r="XFB308"/>
      <c r="XFC308"/>
    </row>
    <row r="309" spans="1:20 16329:16383" s="38" customFormat="1" ht="29.1" customHeight="1" outlineLevel="6" x14ac:dyDescent="0.25">
      <c r="A309" s="49" t="s">
        <v>625</v>
      </c>
      <c r="B309" s="50"/>
      <c r="C309" s="50"/>
      <c r="D309" s="3" t="s">
        <v>372</v>
      </c>
      <c r="E309" s="3"/>
      <c r="F309" s="51"/>
      <c r="G309" s="50" t="s">
        <v>117</v>
      </c>
      <c r="H309" s="52">
        <f>1</f>
        <v>1</v>
      </c>
      <c r="I309" s="36"/>
      <c r="J309" s="52">
        <v>1</v>
      </c>
      <c r="K309" s="53">
        <f>0</f>
        <v>0</v>
      </c>
      <c r="L309" s="53">
        <f>0</f>
        <v>0</v>
      </c>
      <c r="M309" s="53">
        <f>0</f>
        <v>0</v>
      </c>
      <c r="N309" s="54">
        <f>SUM(K309:M309)</f>
        <v>0</v>
      </c>
      <c r="O309" s="54">
        <f>ROUND((H309*K309),2)</f>
        <v>0</v>
      </c>
      <c r="P309" s="54">
        <f>ROUND((H309*L309),2)</f>
        <v>0</v>
      </c>
      <c r="Q309" s="54">
        <f>ROUND((H309*M309),2)</f>
        <v>0</v>
      </c>
      <c r="R309" s="54">
        <f>ROUND((H309*N309),2)</f>
        <v>0</v>
      </c>
      <c r="S309" s="54"/>
      <c r="T309" s="36"/>
      <c r="XDA309"/>
      <c r="XDB309"/>
      <c r="XDC309"/>
      <c r="XDD309"/>
      <c r="XDE309"/>
      <c r="XDF309"/>
      <c r="XDG309"/>
      <c r="XDH309"/>
      <c r="XDI309"/>
      <c r="XDJ309"/>
      <c r="XDK309"/>
      <c r="XDL309"/>
      <c r="XDM309"/>
      <c r="XDN309"/>
      <c r="XDO309"/>
      <c r="XDP309"/>
      <c r="XDQ309"/>
      <c r="XDR309"/>
      <c r="XDS309"/>
      <c r="XDT309"/>
      <c r="XDU309"/>
      <c r="XDV309"/>
      <c r="XDW309"/>
      <c r="XDX309"/>
      <c r="XDY309"/>
      <c r="XDZ309"/>
      <c r="XEA309"/>
      <c r="XEB309"/>
      <c r="XEC309"/>
      <c r="XED309"/>
      <c r="XEE309"/>
      <c r="XEF309"/>
      <c r="XEG309"/>
      <c r="XEH309"/>
      <c r="XEI309"/>
      <c r="XEJ309"/>
      <c r="XEK309"/>
      <c r="XEL309"/>
      <c r="XEM309"/>
      <c r="XEN309"/>
      <c r="XEO309"/>
      <c r="XEP309"/>
      <c r="XEQ309"/>
      <c r="XER309"/>
      <c r="XES309"/>
      <c r="XET309"/>
      <c r="XEU309"/>
      <c r="XEV309"/>
      <c r="XEW309"/>
      <c r="XEX309"/>
      <c r="XEY309"/>
      <c r="XEZ309"/>
      <c r="XFA309"/>
      <c r="XFB309"/>
      <c r="XFC309"/>
    </row>
    <row r="310" spans="1:20 16329:16383" s="38" customFormat="1" ht="29.1" customHeight="1" outlineLevel="2" x14ac:dyDescent="0.25">
      <c r="A310" s="44" t="s">
        <v>626</v>
      </c>
      <c r="B310" s="45" t="s">
        <v>627</v>
      </c>
      <c r="C310" s="45" t="s">
        <v>628</v>
      </c>
      <c r="D310" s="4" t="s">
        <v>629</v>
      </c>
      <c r="E310" s="4"/>
      <c r="F310" s="46"/>
      <c r="G310" s="45" t="s">
        <v>630</v>
      </c>
      <c r="H310" s="47"/>
      <c r="I310" s="36"/>
      <c r="J310" s="47"/>
      <c r="K310" s="48"/>
      <c r="L310" s="48"/>
      <c r="M310" s="48"/>
      <c r="N310" s="48"/>
      <c r="O310" s="48">
        <f>O311+O315+O318+O323+O327</f>
        <v>0</v>
      </c>
      <c r="P310" s="48">
        <f>P311+P315+P318+P323+P327</f>
        <v>0</v>
      </c>
      <c r="Q310" s="48">
        <f>Q311+Q315+Q318+Q323+Q327</f>
        <v>0</v>
      </c>
      <c r="R310" s="48">
        <f>R311+R315+R318+R323+R327</f>
        <v>0</v>
      </c>
      <c r="S310" s="48"/>
      <c r="T310" s="36"/>
      <c r="XDA310"/>
      <c r="XDB310"/>
      <c r="XDC310"/>
      <c r="XDD310"/>
      <c r="XDE310"/>
      <c r="XDF310"/>
      <c r="XDG310"/>
      <c r="XDH310"/>
      <c r="XDI310"/>
      <c r="XDJ310"/>
      <c r="XDK310"/>
      <c r="XDL310"/>
      <c r="XDM310"/>
      <c r="XDN310"/>
      <c r="XDO310"/>
      <c r="XDP310"/>
      <c r="XDQ310"/>
      <c r="XDR310"/>
      <c r="XDS310"/>
      <c r="XDT310"/>
      <c r="XDU310"/>
      <c r="XDV310"/>
      <c r="XDW310"/>
      <c r="XDX310"/>
      <c r="XDY310"/>
      <c r="XDZ310"/>
      <c r="XEA310"/>
      <c r="XEB310"/>
      <c r="XEC310"/>
      <c r="XED310"/>
      <c r="XEE310"/>
      <c r="XEF310"/>
      <c r="XEG310"/>
      <c r="XEH310"/>
      <c r="XEI310"/>
      <c r="XEJ310"/>
      <c r="XEK310"/>
      <c r="XEL310"/>
      <c r="XEM310"/>
      <c r="XEN310"/>
      <c r="XEO310"/>
      <c r="XEP310"/>
      <c r="XEQ310"/>
      <c r="XER310"/>
      <c r="XES310"/>
      <c r="XET310"/>
      <c r="XEU310"/>
      <c r="XEV310"/>
      <c r="XEW310"/>
      <c r="XEX310"/>
      <c r="XEY310"/>
      <c r="XEZ310"/>
      <c r="XFA310"/>
      <c r="XFB310"/>
      <c r="XFC310"/>
    </row>
    <row r="311" spans="1:20 16329:16383" s="38" customFormat="1" ht="29.1" customHeight="1" outlineLevel="3" x14ac:dyDescent="0.25">
      <c r="A311" s="55" t="s">
        <v>631</v>
      </c>
      <c r="B311" s="56" t="s">
        <v>632</v>
      </c>
      <c r="C311" s="56"/>
      <c r="D311" s="2" t="s">
        <v>633</v>
      </c>
      <c r="E311" s="2"/>
      <c r="F311" s="57"/>
      <c r="G311" s="56"/>
      <c r="H311" s="58"/>
      <c r="I311" s="36"/>
      <c r="J311" s="58"/>
      <c r="K311" s="59"/>
      <c r="L311" s="59"/>
      <c r="M311" s="59"/>
      <c r="N311" s="59"/>
      <c r="O311" s="59">
        <f>SUM(O312:O314)</f>
        <v>0</v>
      </c>
      <c r="P311" s="59">
        <f>SUM(P312:P314)</f>
        <v>0</v>
      </c>
      <c r="Q311" s="59">
        <f>SUM(Q312:Q314)</f>
        <v>0</v>
      </c>
      <c r="R311" s="59">
        <f>SUM(R312:R314)</f>
        <v>0</v>
      </c>
      <c r="S311" s="59"/>
      <c r="T311" s="36"/>
      <c r="XDA311"/>
      <c r="XDB311"/>
      <c r="XDC311"/>
      <c r="XDD311"/>
      <c r="XDE311"/>
      <c r="XDF311"/>
      <c r="XDG311"/>
      <c r="XDH311"/>
      <c r="XDI311"/>
      <c r="XDJ311"/>
      <c r="XDK311"/>
      <c r="XDL311"/>
      <c r="XDM311"/>
      <c r="XDN311"/>
      <c r="XDO311"/>
      <c r="XDP311"/>
      <c r="XDQ311"/>
      <c r="XDR311"/>
      <c r="XDS311"/>
      <c r="XDT311"/>
      <c r="XDU311"/>
      <c r="XDV311"/>
      <c r="XDW311"/>
      <c r="XDX311"/>
      <c r="XDY311"/>
      <c r="XDZ311"/>
      <c r="XEA311"/>
      <c r="XEB311"/>
      <c r="XEC311"/>
      <c r="XED311"/>
      <c r="XEE311"/>
      <c r="XEF311"/>
      <c r="XEG311"/>
      <c r="XEH311"/>
      <c r="XEI311"/>
      <c r="XEJ311"/>
      <c r="XEK311"/>
      <c r="XEL311"/>
      <c r="XEM311"/>
      <c r="XEN311"/>
      <c r="XEO311"/>
      <c r="XEP311"/>
      <c r="XEQ311"/>
      <c r="XER311"/>
      <c r="XES311"/>
      <c r="XET311"/>
      <c r="XEU311"/>
      <c r="XEV311"/>
      <c r="XEW311"/>
      <c r="XEX311"/>
      <c r="XEY311"/>
      <c r="XEZ311"/>
      <c r="XFA311"/>
      <c r="XFB311"/>
      <c r="XFC311"/>
    </row>
    <row r="312" spans="1:20 16329:16383" s="38" customFormat="1" ht="29.1" customHeight="1" outlineLevel="4" x14ac:dyDescent="0.25">
      <c r="A312" s="49" t="s">
        <v>634</v>
      </c>
      <c r="B312" s="50"/>
      <c r="C312" s="50"/>
      <c r="D312" s="3" t="s">
        <v>635</v>
      </c>
      <c r="E312" s="3"/>
      <c r="F312" s="51"/>
      <c r="G312" s="50" t="s">
        <v>630</v>
      </c>
      <c r="H312" s="52">
        <f>1</f>
        <v>1</v>
      </c>
      <c r="I312" s="36"/>
      <c r="J312" s="52">
        <v>1</v>
      </c>
      <c r="K312" s="53">
        <f>0</f>
        <v>0</v>
      </c>
      <c r="L312" s="53">
        <f>0</f>
        <v>0</v>
      </c>
      <c r="M312" s="53">
        <f>0</f>
        <v>0</v>
      </c>
      <c r="N312" s="54">
        <f>SUM(K312:M312)</f>
        <v>0</v>
      </c>
      <c r="O312" s="54">
        <f>ROUND((H312*K312),2)</f>
        <v>0</v>
      </c>
      <c r="P312" s="54">
        <f>ROUND((H312*L312),2)</f>
        <v>0</v>
      </c>
      <c r="Q312" s="54">
        <f>ROUND((H312*M312),2)</f>
        <v>0</v>
      </c>
      <c r="R312" s="54">
        <f>ROUND((H312*N312),2)</f>
        <v>0</v>
      </c>
      <c r="S312" s="54"/>
      <c r="T312" s="36"/>
      <c r="XDA312"/>
      <c r="XDB312"/>
      <c r="XDC312"/>
      <c r="XDD312"/>
      <c r="XDE312"/>
      <c r="XDF312"/>
      <c r="XDG312"/>
      <c r="XDH312"/>
      <c r="XDI312"/>
      <c r="XDJ312"/>
      <c r="XDK312"/>
      <c r="XDL312"/>
      <c r="XDM312"/>
      <c r="XDN312"/>
      <c r="XDO312"/>
      <c r="XDP312"/>
      <c r="XDQ312"/>
      <c r="XDR312"/>
      <c r="XDS312"/>
      <c r="XDT312"/>
      <c r="XDU312"/>
      <c r="XDV312"/>
      <c r="XDW312"/>
      <c r="XDX312"/>
      <c r="XDY312"/>
      <c r="XDZ312"/>
      <c r="XEA312"/>
      <c r="XEB312"/>
      <c r="XEC312"/>
      <c r="XED312"/>
      <c r="XEE312"/>
      <c r="XEF312"/>
      <c r="XEG312"/>
      <c r="XEH312"/>
      <c r="XEI312"/>
      <c r="XEJ312"/>
      <c r="XEK312"/>
      <c r="XEL312"/>
      <c r="XEM312"/>
      <c r="XEN312"/>
      <c r="XEO312"/>
      <c r="XEP312"/>
      <c r="XEQ312"/>
      <c r="XER312"/>
      <c r="XES312"/>
      <c r="XET312"/>
      <c r="XEU312"/>
      <c r="XEV312"/>
      <c r="XEW312"/>
      <c r="XEX312"/>
      <c r="XEY312"/>
      <c r="XEZ312"/>
      <c r="XFA312"/>
      <c r="XFB312"/>
      <c r="XFC312"/>
    </row>
    <row r="313" spans="1:20 16329:16383" s="38" customFormat="1" ht="29.1" customHeight="1" outlineLevel="4" x14ac:dyDescent="0.25">
      <c r="A313" s="49" t="s">
        <v>636</v>
      </c>
      <c r="B313" s="50"/>
      <c r="C313" s="50"/>
      <c r="D313" s="3" t="s">
        <v>637</v>
      </c>
      <c r="E313" s="3"/>
      <c r="F313" s="51"/>
      <c r="G313" s="50" t="s">
        <v>630</v>
      </c>
      <c r="H313" s="52">
        <f>1</f>
        <v>1</v>
      </c>
      <c r="I313" s="36"/>
      <c r="J313" s="52">
        <v>1</v>
      </c>
      <c r="K313" s="53">
        <f>0</f>
        <v>0</v>
      </c>
      <c r="L313" s="53">
        <f>0</f>
        <v>0</v>
      </c>
      <c r="M313" s="53">
        <f>0</f>
        <v>0</v>
      </c>
      <c r="N313" s="54">
        <f>SUM(K313:M313)</f>
        <v>0</v>
      </c>
      <c r="O313" s="54">
        <f>ROUND((H313*K313),2)</f>
        <v>0</v>
      </c>
      <c r="P313" s="54">
        <f>ROUND((H313*L313),2)</f>
        <v>0</v>
      </c>
      <c r="Q313" s="54">
        <f>ROUND((H313*M313),2)</f>
        <v>0</v>
      </c>
      <c r="R313" s="54">
        <f>ROUND((H313*N313),2)</f>
        <v>0</v>
      </c>
      <c r="S313" s="54"/>
      <c r="T313" s="36"/>
      <c r="XDA313"/>
      <c r="XDB313"/>
      <c r="XDC313"/>
      <c r="XDD313"/>
      <c r="XDE313"/>
      <c r="XDF313"/>
      <c r="XDG313"/>
      <c r="XDH313"/>
      <c r="XDI313"/>
      <c r="XDJ313"/>
      <c r="XDK313"/>
      <c r="XDL313"/>
      <c r="XDM313"/>
      <c r="XDN313"/>
      <c r="XDO313"/>
      <c r="XDP313"/>
      <c r="XDQ313"/>
      <c r="XDR313"/>
      <c r="XDS313"/>
      <c r="XDT313"/>
      <c r="XDU313"/>
      <c r="XDV313"/>
      <c r="XDW313"/>
      <c r="XDX313"/>
      <c r="XDY313"/>
      <c r="XDZ313"/>
      <c r="XEA313"/>
      <c r="XEB313"/>
      <c r="XEC313"/>
      <c r="XED313"/>
      <c r="XEE313"/>
      <c r="XEF313"/>
      <c r="XEG313"/>
      <c r="XEH313"/>
      <c r="XEI313"/>
      <c r="XEJ313"/>
      <c r="XEK313"/>
      <c r="XEL313"/>
      <c r="XEM313"/>
      <c r="XEN313"/>
      <c r="XEO313"/>
      <c r="XEP313"/>
      <c r="XEQ313"/>
      <c r="XER313"/>
      <c r="XES313"/>
      <c r="XET313"/>
      <c r="XEU313"/>
      <c r="XEV313"/>
      <c r="XEW313"/>
      <c r="XEX313"/>
      <c r="XEY313"/>
      <c r="XEZ313"/>
      <c r="XFA313"/>
      <c r="XFB313"/>
      <c r="XFC313"/>
    </row>
    <row r="314" spans="1:20 16329:16383" s="38" customFormat="1" ht="29.1" customHeight="1" outlineLevel="4" x14ac:dyDescent="0.25">
      <c r="A314" s="49" t="s">
        <v>638</v>
      </c>
      <c r="B314" s="50"/>
      <c r="C314" s="50"/>
      <c r="D314" s="3" t="s">
        <v>639</v>
      </c>
      <c r="E314" s="3"/>
      <c r="F314" s="51"/>
      <c r="G314" s="50" t="s">
        <v>630</v>
      </c>
      <c r="H314" s="52">
        <f>1</f>
        <v>1</v>
      </c>
      <c r="I314" s="36"/>
      <c r="J314" s="52">
        <v>1</v>
      </c>
      <c r="K314" s="53">
        <f>0</f>
        <v>0</v>
      </c>
      <c r="L314" s="53">
        <f>0</f>
        <v>0</v>
      </c>
      <c r="M314" s="53">
        <f>0</f>
        <v>0</v>
      </c>
      <c r="N314" s="54">
        <f>SUM(K314:M314)</f>
        <v>0</v>
      </c>
      <c r="O314" s="54">
        <f>ROUND((H314*K314),2)</f>
        <v>0</v>
      </c>
      <c r="P314" s="54">
        <f>ROUND((H314*L314),2)</f>
        <v>0</v>
      </c>
      <c r="Q314" s="54">
        <f>ROUND((H314*M314),2)</f>
        <v>0</v>
      </c>
      <c r="R314" s="54">
        <f>ROUND((H314*N314),2)</f>
        <v>0</v>
      </c>
      <c r="S314" s="54"/>
      <c r="T314" s="36"/>
      <c r="XDA314"/>
      <c r="XDB314"/>
      <c r="XDC314"/>
      <c r="XDD314"/>
      <c r="XDE314"/>
      <c r="XDF314"/>
      <c r="XDG314"/>
      <c r="XDH314"/>
      <c r="XDI314"/>
      <c r="XDJ314"/>
      <c r="XDK314"/>
      <c r="XDL314"/>
      <c r="XDM314"/>
      <c r="XDN314"/>
      <c r="XDO314"/>
      <c r="XDP314"/>
      <c r="XDQ314"/>
      <c r="XDR314"/>
      <c r="XDS314"/>
      <c r="XDT314"/>
      <c r="XDU314"/>
      <c r="XDV314"/>
      <c r="XDW314"/>
      <c r="XDX314"/>
      <c r="XDY314"/>
      <c r="XDZ314"/>
      <c r="XEA314"/>
      <c r="XEB314"/>
      <c r="XEC314"/>
      <c r="XED314"/>
      <c r="XEE314"/>
      <c r="XEF314"/>
      <c r="XEG314"/>
      <c r="XEH314"/>
      <c r="XEI314"/>
      <c r="XEJ314"/>
      <c r="XEK314"/>
      <c r="XEL314"/>
      <c r="XEM314"/>
      <c r="XEN314"/>
      <c r="XEO314"/>
      <c r="XEP314"/>
      <c r="XEQ314"/>
      <c r="XER314"/>
      <c r="XES314"/>
      <c r="XET314"/>
      <c r="XEU314"/>
      <c r="XEV314"/>
      <c r="XEW314"/>
      <c r="XEX314"/>
      <c r="XEY314"/>
      <c r="XEZ314"/>
      <c r="XFA314"/>
      <c r="XFB314"/>
      <c r="XFC314"/>
    </row>
    <row r="315" spans="1:20 16329:16383" s="38" customFormat="1" ht="29.1" customHeight="1" outlineLevel="3" x14ac:dyDescent="0.25">
      <c r="A315" s="55" t="s">
        <v>640</v>
      </c>
      <c r="B315" s="56" t="s">
        <v>641</v>
      </c>
      <c r="C315" s="56"/>
      <c r="D315" s="2" t="s">
        <v>642</v>
      </c>
      <c r="E315" s="2"/>
      <c r="F315" s="57"/>
      <c r="G315" s="56"/>
      <c r="H315" s="58"/>
      <c r="I315" s="36"/>
      <c r="J315" s="58"/>
      <c r="K315" s="59"/>
      <c r="L315" s="59"/>
      <c r="M315" s="59"/>
      <c r="N315" s="59"/>
      <c r="O315" s="59">
        <f>O316+O317</f>
        <v>0</v>
      </c>
      <c r="P315" s="59">
        <f>P316+P317</f>
        <v>0</v>
      </c>
      <c r="Q315" s="59">
        <f>Q316+Q317</f>
        <v>0</v>
      </c>
      <c r="R315" s="59">
        <f>R316+R317</f>
        <v>0</v>
      </c>
      <c r="S315" s="59"/>
      <c r="T315" s="36"/>
      <c r="XDA315"/>
      <c r="XDB315"/>
      <c r="XDC315"/>
      <c r="XDD315"/>
      <c r="XDE315"/>
      <c r="XDF315"/>
      <c r="XDG315"/>
      <c r="XDH315"/>
      <c r="XDI315"/>
      <c r="XDJ315"/>
      <c r="XDK315"/>
      <c r="XDL315"/>
      <c r="XDM315"/>
      <c r="XDN315"/>
      <c r="XDO315"/>
      <c r="XDP315"/>
      <c r="XDQ315"/>
      <c r="XDR315"/>
      <c r="XDS315"/>
      <c r="XDT315"/>
      <c r="XDU315"/>
      <c r="XDV315"/>
      <c r="XDW315"/>
      <c r="XDX315"/>
      <c r="XDY315"/>
      <c r="XDZ315"/>
      <c r="XEA315"/>
      <c r="XEB315"/>
      <c r="XEC315"/>
      <c r="XED315"/>
      <c r="XEE315"/>
      <c r="XEF315"/>
      <c r="XEG315"/>
      <c r="XEH315"/>
      <c r="XEI315"/>
      <c r="XEJ315"/>
      <c r="XEK315"/>
      <c r="XEL315"/>
      <c r="XEM315"/>
      <c r="XEN315"/>
      <c r="XEO315"/>
      <c r="XEP315"/>
      <c r="XEQ315"/>
      <c r="XER315"/>
      <c r="XES315"/>
      <c r="XET315"/>
      <c r="XEU315"/>
      <c r="XEV315"/>
      <c r="XEW315"/>
      <c r="XEX315"/>
      <c r="XEY315"/>
      <c r="XEZ315"/>
      <c r="XFA315"/>
      <c r="XFB315"/>
      <c r="XFC315"/>
    </row>
    <row r="316" spans="1:20 16329:16383" s="38" customFormat="1" ht="29.1" customHeight="1" outlineLevel="4" x14ac:dyDescent="0.25">
      <c r="A316" s="49" t="s">
        <v>643</v>
      </c>
      <c r="B316" s="50"/>
      <c r="C316" s="50"/>
      <c r="D316" s="3" t="s">
        <v>635</v>
      </c>
      <c r="E316" s="3"/>
      <c r="F316" s="51"/>
      <c r="G316" s="50" t="s">
        <v>630</v>
      </c>
      <c r="H316" s="52">
        <f>1</f>
        <v>1</v>
      </c>
      <c r="I316" s="36"/>
      <c r="J316" s="52">
        <v>1</v>
      </c>
      <c r="K316" s="53">
        <f>0</f>
        <v>0</v>
      </c>
      <c r="L316" s="53">
        <f>0</f>
        <v>0</v>
      </c>
      <c r="M316" s="53">
        <f>0</f>
        <v>0</v>
      </c>
      <c r="N316" s="54">
        <f>SUM(K316:M316)</f>
        <v>0</v>
      </c>
      <c r="O316" s="54">
        <f>ROUND((H316*K316),2)</f>
        <v>0</v>
      </c>
      <c r="P316" s="54">
        <f>ROUND((H316*L316),2)</f>
        <v>0</v>
      </c>
      <c r="Q316" s="54">
        <f>ROUND((H316*M316),2)</f>
        <v>0</v>
      </c>
      <c r="R316" s="54">
        <f>ROUND((H316*N316),2)</f>
        <v>0</v>
      </c>
      <c r="S316" s="54"/>
      <c r="T316" s="36"/>
      <c r="XDA316"/>
      <c r="XDB316"/>
      <c r="XDC316"/>
      <c r="XDD316"/>
      <c r="XDE316"/>
      <c r="XDF316"/>
      <c r="XDG316"/>
      <c r="XDH316"/>
      <c r="XDI316"/>
      <c r="XDJ316"/>
      <c r="XDK316"/>
      <c r="XDL316"/>
      <c r="XDM316"/>
      <c r="XDN316"/>
      <c r="XDO316"/>
      <c r="XDP316"/>
      <c r="XDQ316"/>
      <c r="XDR316"/>
      <c r="XDS316"/>
      <c r="XDT316"/>
      <c r="XDU316"/>
      <c r="XDV316"/>
      <c r="XDW316"/>
      <c r="XDX316"/>
      <c r="XDY316"/>
      <c r="XDZ316"/>
      <c r="XEA316"/>
      <c r="XEB316"/>
      <c r="XEC316"/>
      <c r="XED316"/>
      <c r="XEE316"/>
      <c r="XEF316"/>
      <c r="XEG316"/>
      <c r="XEH316"/>
      <c r="XEI316"/>
      <c r="XEJ316"/>
      <c r="XEK316"/>
      <c r="XEL316"/>
      <c r="XEM316"/>
      <c r="XEN316"/>
      <c r="XEO316"/>
      <c r="XEP316"/>
      <c r="XEQ316"/>
      <c r="XER316"/>
      <c r="XES316"/>
      <c r="XET316"/>
      <c r="XEU316"/>
      <c r="XEV316"/>
      <c r="XEW316"/>
      <c r="XEX316"/>
      <c r="XEY316"/>
      <c r="XEZ316"/>
      <c r="XFA316"/>
      <c r="XFB316"/>
      <c r="XFC316"/>
    </row>
    <row r="317" spans="1:20 16329:16383" s="38" customFormat="1" ht="29.1" customHeight="1" outlineLevel="4" x14ac:dyDescent="0.25">
      <c r="A317" s="49" t="s">
        <v>644</v>
      </c>
      <c r="B317" s="50"/>
      <c r="C317" s="50"/>
      <c r="D317" s="3" t="s">
        <v>637</v>
      </c>
      <c r="E317" s="3"/>
      <c r="F317" s="51"/>
      <c r="G317" s="50" t="s">
        <v>630</v>
      </c>
      <c r="H317" s="52">
        <f>1</f>
        <v>1</v>
      </c>
      <c r="I317" s="36"/>
      <c r="J317" s="52">
        <v>1</v>
      </c>
      <c r="K317" s="53">
        <f>0</f>
        <v>0</v>
      </c>
      <c r="L317" s="53">
        <f>0</f>
        <v>0</v>
      </c>
      <c r="M317" s="53">
        <f>0</f>
        <v>0</v>
      </c>
      <c r="N317" s="54">
        <f>SUM(K317:M317)</f>
        <v>0</v>
      </c>
      <c r="O317" s="54">
        <f>ROUND((H317*K317),2)</f>
        <v>0</v>
      </c>
      <c r="P317" s="54">
        <f>ROUND((H317*L317),2)</f>
        <v>0</v>
      </c>
      <c r="Q317" s="54">
        <f>ROUND((H317*M317),2)</f>
        <v>0</v>
      </c>
      <c r="R317" s="54">
        <f>ROUND((H317*N317),2)</f>
        <v>0</v>
      </c>
      <c r="S317" s="54"/>
      <c r="T317" s="36"/>
      <c r="XDA317"/>
      <c r="XDB317"/>
      <c r="XDC317"/>
      <c r="XDD317"/>
      <c r="XDE317"/>
      <c r="XDF317"/>
      <c r="XDG317"/>
      <c r="XDH317"/>
      <c r="XDI317"/>
      <c r="XDJ317"/>
      <c r="XDK317"/>
      <c r="XDL317"/>
      <c r="XDM317"/>
      <c r="XDN317"/>
      <c r="XDO317"/>
      <c r="XDP317"/>
      <c r="XDQ317"/>
      <c r="XDR317"/>
      <c r="XDS317"/>
      <c r="XDT317"/>
      <c r="XDU317"/>
      <c r="XDV317"/>
      <c r="XDW317"/>
      <c r="XDX317"/>
      <c r="XDY317"/>
      <c r="XDZ317"/>
      <c r="XEA317"/>
      <c r="XEB317"/>
      <c r="XEC317"/>
      <c r="XED317"/>
      <c r="XEE317"/>
      <c r="XEF317"/>
      <c r="XEG317"/>
      <c r="XEH317"/>
      <c r="XEI317"/>
      <c r="XEJ317"/>
      <c r="XEK317"/>
      <c r="XEL317"/>
      <c r="XEM317"/>
      <c r="XEN317"/>
      <c r="XEO317"/>
      <c r="XEP317"/>
      <c r="XEQ317"/>
      <c r="XER317"/>
      <c r="XES317"/>
      <c r="XET317"/>
      <c r="XEU317"/>
      <c r="XEV317"/>
      <c r="XEW317"/>
      <c r="XEX317"/>
      <c r="XEY317"/>
      <c r="XEZ317"/>
      <c r="XFA317"/>
      <c r="XFB317"/>
      <c r="XFC317"/>
    </row>
    <row r="318" spans="1:20 16329:16383" s="38" customFormat="1" ht="29.1" customHeight="1" outlineLevel="3" x14ac:dyDescent="0.25">
      <c r="A318" s="55" t="s">
        <v>645</v>
      </c>
      <c r="B318" s="56" t="s">
        <v>646</v>
      </c>
      <c r="C318" s="56"/>
      <c r="D318" s="2" t="s">
        <v>647</v>
      </c>
      <c r="E318" s="2"/>
      <c r="F318" s="57"/>
      <c r="G318" s="56"/>
      <c r="H318" s="58"/>
      <c r="I318" s="36"/>
      <c r="J318" s="58"/>
      <c r="K318" s="59"/>
      <c r="L318" s="59"/>
      <c r="M318" s="59"/>
      <c r="N318" s="59"/>
      <c r="O318" s="59">
        <f>SUM(O319:O322)</f>
        <v>0</v>
      </c>
      <c r="P318" s="59">
        <f>SUM(P319:P322)</f>
        <v>0</v>
      </c>
      <c r="Q318" s="59">
        <f>SUM(Q319:Q322)</f>
        <v>0</v>
      </c>
      <c r="R318" s="59">
        <f>SUM(R319:R322)</f>
        <v>0</v>
      </c>
      <c r="S318" s="59"/>
      <c r="T318" s="36"/>
      <c r="XDA318"/>
      <c r="XDB318"/>
      <c r="XDC318"/>
      <c r="XDD318"/>
      <c r="XDE318"/>
      <c r="XDF318"/>
      <c r="XDG318"/>
      <c r="XDH318"/>
      <c r="XDI318"/>
      <c r="XDJ318"/>
      <c r="XDK318"/>
      <c r="XDL318"/>
      <c r="XDM318"/>
      <c r="XDN318"/>
      <c r="XDO318"/>
      <c r="XDP318"/>
      <c r="XDQ318"/>
      <c r="XDR318"/>
      <c r="XDS318"/>
      <c r="XDT318"/>
      <c r="XDU318"/>
      <c r="XDV318"/>
      <c r="XDW318"/>
      <c r="XDX318"/>
      <c r="XDY318"/>
      <c r="XDZ318"/>
      <c r="XEA318"/>
      <c r="XEB318"/>
      <c r="XEC318"/>
      <c r="XED318"/>
      <c r="XEE318"/>
      <c r="XEF318"/>
      <c r="XEG318"/>
      <c r="XEH318"/>
      <c r="XEI318"/>
      <c r="XEJ318"/>
      <c r="XEK318"/>
      <c r="XEL318"/>
      <c r="XEM318"/>
      <c r="XEN318"/>
      <c r="XEO318"/>
      <c r="XEP318"/>
      <c r="XEQ318"/>
      <c r="XER318"/>
      <c r="XES318"/>
      <c r="XET318"/>
      <c r="XEU318"/>
      <c r="XEV318"/>
      <c r="XEW318"/>
      <c r="XEX318"/>
      <c r="XEY318"/>
      <c r="XEZ318"/>
      <c r="XFA318"/>
      <c r="XFB318"/>
      <c r="XFC318"/>
    </row>
    <row r="319" spans="1:20 16329:16383" s="38" customFormat="1" ht="29.1" customHeight="1" outlineLevel="4" x14ac:dyDescent="0.25">
      <c r="A319" s="49" t="s">
        <v>648</v>
      </c>
      <c r="B319" s="50"/>
      <c r="C319" s="50"/>
      <c r="D319" s="3" t="s">
        <v>635</v>
      </c>
      <c r="E319" s="3"/>
      <c r="F319" s="51"/>
      <c r="G319" s="50" t="s">
        <v>630</v>
      </c>
      <c r="H319" s="52">
        <f>1</f>
        <v>1</v>
      </c>
      <c r="I319" s="36"/>
      <c r="J319" s="52">
        <v>1</v>
      </c>
      <c r="K319" s="53">
        <f>0</f>
        <v>0</v>
      </c>
      <c r="L319" s="53">
        <f>0</f>
        <v>0</v>
      </c>
      <c r="M319" s="53">
        <f>0</f>
        <v>0</v>
      </c>
      <c r="N319" s="54">
        <f>SUM(K319:M319)</f>
        <v>0</v>
      </c>
      <c r="O319" s="54">
        <f>ROUND((H319*K319),2)</f>
        <v>0</v>
      </c>
      <c r="P319" s="54">
        <f>ROUND((H319*L319),2)</f>
        <v>0</v>
      </c>
      <c r="Q319" s="54">
        <f>ROUND((H319*M319),2)</f>
        <v>0</v>
      </c>
      <c r="R319" s="54">
        <f>ROUND((H319*N319),2)</f>
        <v>0</v>
      </c>
      <c r="S319" s="54"/>
      <c r="T319" s="36"/>
      <c r="XDA319"/>
      <c r="XDB319"/>
      <c r="XDC319"/>
      <c r="XDD319"/>
      <c r="XDE319"/>
      <c r="XDF319"/>
      <c r="XDG319"/>
      <c r="XDH319"/>
      <c r="XDI319"/>
      <c r="XDJ319"/>
      <c r="XDK319"/>
      <c r="XDL319"/>
      <c r="XDM319"/>
      <c r="XDN319"/>
      <c r="XDO319"/>
      <c r="XDP319"/>
      <c r="XDQ319"/>
      <c r="XDR319"/>
      <c r="XDS319"/>
      <c r="XDT319"/>
      <c r="XDU319"/>
      <c r="XDV319"/>
      <c r="XDW319"/>
      <c r="XDX319"/>
      <c r="XDY319"/>
      <c r="XDZ319"/>
      <c r="XEA319"/>
      <c r="XEB319"/>
      <c r="XEC319"/>
      <c r="XED319"/>
      <c r="XEE319"/>
      <c r="XEF319"/>
      <c r="XEG319"/>
      <c r="XEH319"/>
      <c r="XEI319"/>
      <c r="XEJ319"/>
      <c r="XEK319"/>
      <c r="XEL319"/>
      <c r="XEM319"/>
      <c r="XEN319"/>
      <c r="XEO319"/>
      <c r="XEP319"/>
      <c r="XEQ319"/>
      <c r="XER319"/>
      <c r="XES319"/>
      <c r="XET319"/>
      <c r="XEU319"/>
      <c r="XEV319"/>
      <c r="XEW319"/>
      <c r="XEX319"/>
      <c r="XEY319"/>
      <c r="XEZ319"/>
      <c r="XFA319"/>
      <c r="XFB319"/>
      <c r="XFC319"/>
    </row>
    <row r="320" spans="1:20 16329:16383" s="38" customFormat="1" ht="29.1" customHeight="1" outlineLevel="4" x14ac:dyDescent="0.25">
      <c r="A320" s="49" t="s">
        <v>649</v>
      </c>
      <c r="B320" s="50"/>
      <c r="C320" s="50"/>
      <c r="D320" s="3" t="s">
        <v>637</v>
      </c>
      <c r="E320" s="3"/>
      <c r="F320" s="51"/>
      <c r="G320" s="50" t="s">
        <v>630</v>
      </c>
      <c r="H320" s="52">
        <f>1</f>
        <v>1</v>
      </c>
      <c r="I320" s="36"/>
      <c r="J320" s="52">
        <v>1</v>
      </c>
      <c r="K320" s="53">
        <f>0</f>
        <v>0</v>
      </c>
      <c r="L320" s="53">
        <f>0</f>
        <v>0</v>
      </c>
      <c r="M320" s="53">
        <f>0</f>
        <v>0</v>
      </c>
      <c r="N320" s="54">
        <f>SUM(K320:M320)</f>
        <v>0</v>
      </c>
      <c r="O320" s="54">
        <f>ROUND((H320*K320),2)</f>
        <v>0</v>
      </c>
      <c r="P320" s="54">
        <f>ROUND((H320*L320),2)</f>
        <v>0</v>
      </c>
      <c r="Q320" s="54">
        <f>ROUND((H320*M320),2)</f>
        <v>0</v>
      </c>
      <c r="R320" s="54">
        <f>ROUND((H320*N320),2)</f>
        <v>0</v>
      </c>
      <c r="S320" s="54"/>
      <c r="T320" s="36"/>
      <c r="XDA320"/>
      <c r="XDB320"/>
      <c r="XDC320"/>
      <c r="XDD320"/>
      <c r="XDE320"/>
      <c r="XDF320"/>
      <c r="XDG320"/>
      <c r="XDH320"/>
      <c r="XDI320"/>
      <c r="XDJ320"/>
      <c r="XDK320"/>
      <c r="XDL320"/>
      <c r="XDM320"/>
      <c r="XDN320"/>
      <c r="XDO320"/>
      <c r="XDP320"/>
      <c r="XDQ320"/>
      <c r="XDR320"/>
      <c r="XDS320"/>
      <c r="XDT320"/>
      <c r="XDU320"/>
      <c r="XDV320"/>
      <c r="XDW320"/>
      <c r="XDX320"/>
      <c r="XDY320"/>
      <c r="XDZ320"/>
      <c r="XEA320"/>
      <c r="XEB320"/>
      <c r="XEC320"/>
      <c r="XED320"/>
      <c r="XEE320"/>
      <c r="XEF320"/>
      <c r="XEG320"/>
      <c r="XEH320"/>
      <c r="XEI320"/>
      <c r="XEJ320"/>
      <c r="XEK320"/>
      <c r="XEL320"/>
      <c r="XEM320"/>
      <c r="XEN320"/>
      <c r="XEO320"/>
      <c r="XEP320"/>
      <c r="XEQ320"/>
      <c r="XER320"/>
      <c r="XES320"/>
      <c r="XET320"/>
      <c r="XEU320"/>
      <c r="XEV320"/>
      <c r="XEW320"/>
      <c r="XEX320"/>
      <c r="XEY320"/>
      <c r="XEZ320"/>
      <c r="XFA320"/>
      <c r="XFB320"/>
      <c r="XFC320"/>
    </row>
    <row r="321" spans="1:20 16329:16383" s="38" customFormat="1" ht="29.1" customHeight="1" outlineLevel="4" x14ac:dyDescent="0.25">
      <c r="A321" s="49" t="s">
        <v>650</v>
      </c>
      <c r="B321" s="50"/>
      <c r="C321" s="50"/>
      <c r="D321" s="3" t="s">
        <v>639</v>
      </c>
      <c r="E321" s="3"/>
      <c r="F321" s="51"/>
      <c r="G321" s="50" t="s">
        <v>630</v>
      </c>
      <c r="H321" s="52">
        <f>1</f>
        <v>1</v>
      </c>
      <c r="I321" s="36"/>
      <c r="J321" s="52">
        <v>1</v>
      </c>
      <c r="K321" s="53">
        <f>0</f>
        <v>0</v>
      </c>
      <c r="L321" s="53">
        <f>0</f>
        <v>0</v>
      </c>
      <c r="M321" s="53">
        <f>0</f>
        <v>0</v>
      </c>
      <c r="N321" s="54">
        <f>SUM(K321:M321)</f>
        <v>0</v>
      </c>
      <c r="O321" s="54">
        <f>ROUND((H321*K321),2)</f>
        <v>0</v>
      </c>
      <c r="P321" s="54">
        <f>ROUND((H321*L321),2)</f>
        <v>0</v>
      </c>
      <c r="Q321" s="54">
        <f>ROUND((H321*M321),2)</f>
        <v>0</v>
      </c>
      <c r="R321" s="54">
        <f>ROUND((H321*N321),2)</f>
        <v>0</v>
      </c>
      <c r="S321" s="54"/>
      <c r="T321" s="36"/>
      <c r="XDA321"/>
      <c r="XDB321"/>
      <c r="XDC321"/>
      <c r="XDD321"/>
      <c r="XDE321"/>
      <c r="XDF321"/>
      <c r="XDG321"/>
      <c r="XDH321"/>
      <c r="XDI321"/>
      <c r="XDJ321"/>
      <c r="XDK321"/>
      <c r="XDL321"/>
      <c r="XDM321"/>
      <c r="XDN321"/>
      <c r="XDO321"/>
      <c r="XDP321"/>
      <c r="XDQ321"/>
      <c r="XDR321"/>
      <c r="XDS321"/>
      <c r="XDT321"/>
      <c r="XDU321"/>
      <c r="XDV321"/>
      <c r="XDW321"/>
      <c r="XDX321"/>
      <c r="XDY321"/>
      <c r="XDZ321"/>
      <c r="XEA321"/>
      <c r="XEB321"/>
      <c r="XEC321"/>
      <c r="XED321"/>
      <c r="XEE321"/>
      <c r="XEF321"/>
      <c r="XEG321"/>
      <c r="XEH321"/>
      <c r="XEI321"/>
      <c r="XEJ321"/>
      <c r="XEK321"/>
      <c r="XEL321"/>
      <c r="XEM321"/>
      <c r="XEN321"/>
      <c r="XEO321"/>
      <c r="XEP321"/>
      <c r="XEQ321"/>
      <c r="XER321"/>
      <c r="XES321"/>
      <c r="XET321"/>
      <c r="XEU321"/>
      <c r="XEV321"/>
      <c r="XEW321"/>
      <c r="XEX321"/>
      <c r="XEY321"/>
      <c r="XEZ321"/>
      <c r="XFA321"/>
      <c r="XFB321"/>
      <c r="XFC321"/>
    </row>
    <row r="322" spans="1:20 16329:16383" s="38" customFormat="1" ht="29.1" customHeight="1" outlineLevel="4" x14ac:dyDescent="0.25">
      <c r="A322" s="49" t="s">
        <v>651</v>
      </c>
      <c r="B322" s="50"/>
      <c r="C322" s="50"/>
      <c r="D322" s="3" t="s">
        <v>652</v>
      </c>
      <c r="E322" s="3"/>
      <c r="F322" s="51"/>
      <c r="G322" s="50" t="s">
        <v>134</v>
      </c>
      <c r="H322" s="52">
        <f>1</f>
        <v>1</v>
      </c>
      <c r="I322" s="36"/>
      <c r="J322" s="52">
        <v>1</v>
      </c>
      <c r="K322" s="53">
        <f>0</f>
        <v>0</v>
      </c>
      <c r="L322" s="53">
        <f>0</f>
        <v>0</v>
      </c>
      <c r="M322" s="53">
        <f>0</f>
        <v>0</v>
      </c>
      <c r="N322" s="54">
        <f>SUM(K322:M322)</f>
        <v>0</v>
      </c>
      <c r="O322" s="54">
        <f>ROUND((H322*K322),2)</f>
        <v>0</v>
      </c>
      <c r="P322" s="54">
        <f>ROUND((H322*L322),2)</f>
        <v>0</v>
      </c>
      <c r="Q322" s="54">
        <f>ROUND((H322*M322),2)</f>
        <v>0</v>
      </c>
      <c r="R322" s="54">
        <f>ROUND((H322*N322),2)</f>
        <v>0</v>
      </c>
      <c r="S322" s="54"/>
      <c r="T322" s="36"/>
      <c r="XDA322"/>
      <c r="XDB322"/>
      <c r="XDC322"/>
      <c r="XDD322"/>
      <c r="XDE322"/>
      <c r="XDF322"/>
      <c r="XDG322"/>
      <c r="XDH322"/>
      <c r="XDI322"/>
      <c r="XDJ322"/>
      <c r="XDK322"/>
      <c r="XDL322"/>
      <c r="XDM322"/>
      <c r="XDN322"/>
      <c r="XDO322"/>
      <c r="XDP322"/>
      <c r="XDQ322"/>
      <c r="XDR322"/>
      <c r="XDS322"/>
      <c r="XDT322"/>
      <c r="XDU322"/>
      <c r="XDV322"/>
      <c r="XDW322"/>
      <c r="XDX322"/>
      <c r="XDY322"/>
      <c r="XDZ322"/>
      <c r="XEA322"/>
      <c r="XEB322"/>
      <c r="XEC322"/>
      <c r="XED322"/>
      <c r="XEE322"/>
      <c r="XEF322"/>
      <c r="XEG322"/>
      <c r="XEH322"/>
      <c r="XEI322"/>
      <c r="XEJ322"/>
      <c r="XEK322"/>
      <c r="XEL322"/>
      <c r="XEM322"/>
      <c r="XEN322"/>
      <c r="XEO322"/>
      <c r="XEP322"/>
      <c r="XEQ322"/>
      <c r="XER322"/>
      <c r="XES322"/>
      <c r="XET322"/>
      <c r="XEU322"/>
      <c r="XEV322"/>
      <c r="XEW322"/>
      <c r="XEX322"/>
      <c r="XEY322"/>
      <c r="XEZ322"/>
      <c r="XFA322"/>
      <c r="XFB322"/>
      <c r="XFC322"/>
    </row>
    <row r="323" spans="1:20 16329:16383" s="38" customFormat="1" ht="29.1" customHeight="1" outlineLevel="3" x14ac:dyDescent="0.25">
      <c r="A323" s="55" t="s">
        <v>653</v>
      </c>
      <c r="B323" s="56" t="s">
        <v>654</v>
      </c>
      <c r="C323" s="56"/>
      <c r="D323" s="2" t="s">
        <v>655</v>
      </c>
      <c r="E323" s="2"/>
      <c r="F323" s="57"/>
      <c r="G323" s="56"/>
      <c r="H323" s="58"/>
      <c r="I323" s="36"/>
      <c r="J323" s="58"/>
      <c r="K323" s="59"/>
      <c r="L323" s="59"/>
      <c r="M323" s="59"/>
      <c r="N323" s="59"/>
      <c r="O323" s="59">
        <f>SUM(O324:O326)</f>
        <v>0</v>
      </c>
      <c r="P323" s="59">
        <f>SUM(P324:P326)</f>
        <v>0</v>
      </c>
      <c r="Q323" s="59">
        <f>SUM(Q324:Q326)</f>
        <v>0</v>
      </c>
      <c r="R323" s="59">
        <f>SUM(R324:R326)</f>
        <v>0</v>
      </c>
      <c r="S323" s="59"/>
      <c r="T323" s="36"/>
      <c r="XDA323"/>
      <c r="XDB323"/>
      <c r="XDC323"/>
      <c r="XDD323"/>
      <c r="XDE323"/>
      <c r="XDF323"/>
      <c r="XDG323"/>
      <c r="XDH323"/>
      <c r="XDI323"/>
      <c r="XDJ323"/>
      <c r="XDK323"/>
      <c r="XDL323"/>
      <c r="XDM323"/>
      <c r="XDN323"/>
      <c r="XDO323"/>
      <c r="XDP323"/>
      <c r="XDQ323"/>
      <c r="XDR323"/>
      <c r="XDS323"/>
      <c r="XDT323"/>
      <c r="XDU323"/>
      <c r="XDV323"/>
      <c r="XDW323"/>
      <c r="XDX323"/>
      <c r="XDY323"/>
      <c r="XDZ323"/>
      <c r="XEA323"/>
      <c r="XEB323"/>
      <c r="XEC323"/>
      <c r="XED323"/>
      <c r="XEE323"/>
      <c r="XEF323"/>
      <c r="XEG323"/>
      <c r="XEH323"/>
      <c r="XEI323"/>
      <c r="XEJ323"/>
      <c r="XEK323"/>
      <c r="XEL323"/>
      <c r="XEM323"/>
      <c r="XEN323"/>
      <c r="XEO323"/>
      <c r="XEP323"/>
      <c r="XEQ323"/>
      <c r="XER323"/>
      <c r="XES323"/>
      <c r="XET323"/>
      <c r="XEU323"/>
      <c r="XEV323"/>
      <c r="XEW323"/>
      <c r="XEX323"/>
      <c r="XEY323"/>
      <c r="XEZ323"/>
      <c r="XFA323"/>
      <c r="XFB323"/>
      <c r="XFC323"/>
    </row>
    <row r="324" spans="1:20 16329:16383" s="38" customFormat="1" ht="29.1" customHeight="1" outlineLevel="4" x14ac:dyDescent="0.25">
      <c r="A324" s="49" t="s">
        <v>656</v>
      </c>
      <c r="B324" s="50"/>
      <c r="C324" s="50"/>
      <c r="D324" s="3" t="s">
        <v>635</v>
      </c>
      <c r="E324" s="3"/>
      <c r="F324" s="51"/>
      <c r="G324" s="50" t="s">
        <v>630</v>
      </c>
      <c r="H324" s="52">
        <f>1</f>
        <v>1</v>
      </c>
      <c r="I324" s="36"/>
      <c r="J324" s="52">
        <v>1</v>
      </c>
      <c r="K324" s="53">
        <f>0</f>
        <v>0</v>
      </c>
      <c r="L324" s="53">
        <f>0</f>
        <v>0</v>
      </c>
      <c r="M324" s="53">
        <f>0</f>
        <v>0</v>
      </c>
      <c r="N324" s="54">
        <f>SUM(K324:M324)</f>
        <v>0</v>
      </c>
      <c r="O324" s="54">
        <f>ROUND((H324*K324),2)</f>
        <v>0</v>
      </c>
      <c r="P324" s="54">
        <f>ROUND((H324*L324),2)</f>
        <v>0</v>
      </c>
      <c r="Q324" s="54">
        <f>ROUND((H324*M324),2)</f>
        <v>0</v>
      </c>
      <c r="R324" s="54">
        <f>ROUND((H324*N324),2)</f>
        <v>0</v>
      </c>
      <c r="S324" s="54"/>
      <c r="T324" s="36"/>
      <c r="XDA324"/>
      <c r="XDB324"/>
      <c r="XDC324"/>
      <c r="XDD324"/>
      <c r="XDE324"/>
      <c r="XDF324"/>
      <c r="XDG324"/>
      <c r="XDH324"/>
      <c r="XDI324"/>
      <c r="XDJ324"/>
      <c r="XDK324"/>
      <c r="XDL324"/>
      <c r="XDM324"/>
      <c r="XDN324"/>
      <c r="XDO324"/>
      <c r="XDP324"/>
      <c r="XDQ324"/>
      <c r="XDR324"/>
      <c r="XDS324"/>
      <c r="XDT324"/>
      <c r="XDU324"/>
      <c r="XDV324"/>
      <c r="XDW324"/>
      <c r="XDX324"/>
      <c r="XDY324"/>
      <c r="XDZ324"/>
      <c r="XEA324"/>
      <c r="XEB324"/>
      <c r="XEC324"/>
      <c r="XED324"/>
      <c r="XEE324"/>
      <c r="XEF324"/>
      <c r="XEG324"/>
      <c r="XEH324"/>
      <c r="XEI324"/>
      <c r="XEJ324"/>
      <c r="XEK324"/>
      <c r="XEL324"/>
      <c r="XEM324"/>
      <c r="XEN324"/>
      <c r="XEO324"/>
      <c r="XEP324"/>
      <c r="XEQ324"/>
      <c r="XER324"/>
      <c r="XES324"/>
      <c r="XET324"/>
      <c r="XEU324"/>
      <c r="XEV324"/>
      <c r="XEW324"/>
      <c r="XEX324"/>
      <c r="XEY324"/>
      <c r="XEZ324"/>
      <c r="XFA324"/>
      <c r="XFB324"/>
      <c r="XFC324"/>
    </row>
    <row r="325" spans="1:20 16329:16383" s="38" customFormat="1" ht="29.1" customHeight="1" outlineLevel="4" x14ac:dyDescent="0.25">
      <c r="A325" s="49" t="s">
        <v>657</v>
      </c>
      <c r="B325" s="50"/>
      <c r="C325" s="50"/>
      <c r="D325" s="3" t="s">
        <v>637</v>
      </c>
      <c r="E325" s="3"/>
      <c r="F325" s="51"/>
      <c r="G325" s="50" t="s">
        <v>630</v>
      </c>
      <c r="H325" s="52">
        <f>1</f>
        <v>1</v>
      </c>
      <c r="I325" s="36"/>
      <c r="J325" s="52">
        <v>1</v>
      </c>
      <c r="K325" s="53">
        <f>0</f>
        <v>0</v>
      </c>
      <c r="L325" s="53">
        <f>0</f>
        <v>0</v>
      </c>
      <c r="M325" s="53">
        <f>0</f>
        <v>0</v>
      </c>
      <c r="N325" s="54">
        <f>SUM(K325:M325)</f>
        <v>0</v>
      </c>
      <c r="O325" s="54">
        <f>ROUND((H325*K325),2)</f>
        <v>0</v>
      </c>
      <c r="P325" s="54">
        <f>ROUND((H325*L325),2)</f>
        <v>0</v>
      </c>
      <c r="Q325" s="54">
        <f>ROUND((H325*M325),2)</f>
        <v>0</v>
      </c>
      <c r="R325" s="54">
        <f>ROUND((H325*N325),2)</f>
        <v>0</v>
      </c>
      <c r="S325" s="54"/>
      <c r="T325" s="36"/>
      <c r="XDA325"/>
      <c r="XDB325"/>
      <c r="XDC325"/>
      <c r="XDD325"/>
      <c r="XDE325"/>
      <c r="XDF325"/>
      <c r="XDG325"/>
      <c r="XDH325"/>
      <c r="XDI325"/>
      <c r="XDJ325"/>
      <c r="XDK325"/>
      <c r="XDL325"/>
      <c r="XDM325"/>
      <c r="XDN325"/>
      <c r="XDO325"/>
      <c r="XDP325"/>
      <c r="XDQ325"/>
      <c r="XDR325"/>
      <c r="XDS325"/>
      <c r="XDT325"/>
      <c r="XDU325"/>
      <c r="XDV325"/>
      <c r="XDW325"/>
      <c r="XDX325"/>
      <c r="XDY325"/>
      <c r="XDZ325"/>
      <c r="XEA325"/>
      <c r="XEB325"/>
      <c r="XEC325"/>
      <c r="XED325"/>
      <c r="XEE325"/>
      <c r="XEF325"/>
      <c r="XEG325"/>
      <c r="XEH325"/>
      <c r="XEI325"/>
      <c r="XEJ325"/>
      <c r="XEK325"/>
      <c r="XEL325"/>
      <c r="XEM325"/>
      <c r="XEN325"/>
      <c r="XEO325"/>
      <c r="XEP325"/>
      <c r="XEQ325"/>
      <c r="XER325"/>
      <c r="XES325"/>
      <c r="XET325"/>
      <c r="XEU325"/>
      <c r="XEV325"/>
      <c r="XEW325"/>
      <c r="XEX325"/>
      <c r="XEY325"/>
      <c r="XEZ325"/>
      <c r="XFA325"/>
      <c r="XFB325"/>
      <c r="XFC325"/>
    </row>
    <row r="326" spans="1:20 16329:16383" s="38" customFormat="1" ht="29.1" customHeight="1" outlineLevel="4" x14ac:dyDescent="0.25">
      <c r="A326" s="49" t="s">
        <v>658</v>
      </c>
      <c r="B326" s="50"/>
      <c r="C326" s="50"/>
      <c r="D326" s="3" t="s">
        <v>639</v>
      </c>
      <c r="E326" s="3"/>
      <c r="F326" s="51"/>
      <c r="G326" s="50" t="s">
        <v>630</v>
      </c>
      <c r="H326" s="52">
        <f>1</f>
        <v>1</v>
      </c>
      <c r="I326" s="36"/>
      <c r="J326" s="52">
        <v>1</v>
      </c>
      <c r="K326" s="53">
        <f>0</f>
        <v>0</v>
      </c>
      <c r="L326" s="53">
        <f>0</f>
        <v>0</v>
      </c>
      <c r="M326" s="53">
        <f>0</f>
        <v>0</v>
      </c>
      <c r="N326" s="54">
        <f>SUM(K326:M326)</f>
        <v>0</v>
      </c>
      <c r="O326" s="54">
        <f>ROUND((H326*K326),2)</f>
        <v>0</v>
      </c>
      <c r="P326" s="54">
        <f>ROUND((H326*L326),2)</f>
        <v>0</v>
      </c>
      <c r="Q326" s="54">
        <f>ROUND((H326*M326),2)</f>
        <v>0</v>
      </c>
      <c r="R326" s="54">
        <f>ROUND((H326*N326),2)</f>
        <v>0</v>
      </c>
      <c r="S326" s="54"/>
      <c r="T326" s="36"/>
      <c r="XDA326"/>
      <c r="XDB326"/>
      <c r="XDC326"/>
      <c r="XDD326"/>
      <c r="XDE326"/>
      <c r="XDF326"/>
      <c r="XDG326"/>
      <c r="XDH326"/>
      <c r="XDI326"/>
      <c r="XDJ326"/>
      <c r="XDK326"/>
      <c r="XDL326"/>
      <c r="XDM326"/>
      <c r="XDN326"/>
      <c r="XDO326"/>
      <c r="XDP326"/>
      <c r="XDQ326"/>
      <c r="XDR326"/>
      <c r="XDS326"/>
      <c r="XDT326"/>
      <c r="XDU326"/>
      <c r="XDV326"/>
      <c r="XDW326"/>
      <c r="XDX326"/>
      <c r="XDY326"/>
      <c r="XDZ326"/>
      <c r="XEA326"/>
      <c r="XEB326"/>
      <c r="XEC326"/>
      <c r="XED326"/>
      <c r="XEE326"/>
      <c r="XEF326"/>
      <c r="XEG326"/>
      <c r="XEH326"/>
      <c r="XEI326"/>
      <c r="XEJ326"/>
      <c r="XEK326"/>
      <c r="XEL326"/>
      <c r="XEM326"/>
      <c r="XEN326"/>
      <c r="XEO326"/>
      <c r="XEP326"/>
      <c r="XEQ326"/>
      <c r="XER326"/>
      <c r="XES326"/>
      <c r="XET326"/>
      <c r="XEU326"/>
      <c r="XEV326"/>
      <c r="XEW326"/>
      <c r="XEX326"/>
      <c r="XEY326"/>
      <c r="XEZ326"/>
      <c r="XFA326"/>
      <c r="XFB326"/>
      <c r="XFC326"/>
    </row>
    <row r="327" spans="1:20 16329:16383" s="38" customFormat="1" ht="29.1" customHeight="1" outlineLevel="3" x14ac:dyDescent="0.25">
      <c r="A327" s="55" t="s">
        <v>659</v>
      </c>
      <c r="B327" s="56" t="s">
        <v>660</v>
      </c>
      <c r="C327" s="56"/>
      <c r="D327" s="2" t="s">
        <v>661</v>
      </c>
      <c r="E327" s="2"/>
      <c r="F327" s="57"/>
      <c r="G327" s="56"/>
      <c r="H327" s="58"/>
      <c r="I327" s="36"/>
      <c r="J327" s="58"/>
      <c r="K327" s="59"/>
      <c r="L327" s="59"/>
      <c r="M327" s="59"/>
      <c r="N327" s="59"/>
      <c r="O327" s="59">
        <f>O328+O329</f>
        <v>0</v>
      </c>
      <c r="P327" s="59">
        <f>P328+P329</f>
        <v>0</v>
      </c>
      <c r="Q327" s="59">
        <f>Q328+Q329</f>
        <v>0</v>
      </c>
      <c r="R327" s="59">
        <f>R328+R329</f>
        <v>0</v>
      </c>
      <c r="S327" s="59"/>
      <c r="T327" s="36"/>
      <c r="XDA327"/>
      <c r="XDB327"/>
      <c r="XDC327"/>
      <c r="XDD327"/>
      <c r="XDE327"/>
      <c r="XDF327"/>
      <c r="XDG327"/>
      <c r="XDH327"/>
      <c r="XDI327"/>
      <c r="XDJ327"/>
      <c r="XDK327"/>
      <c r="XDL327"/>
      <c r="XDM327"/>
      <c r="XDN327"/>
      <c r="XDO327"/>
      <c r="XDP327"/>
      <c r="XDQ327"/>
      <c r="XDR327"/>
      <c r="XDS327"/>
      <c r="XDT327"/>
      <c r="XDU327"/>
      <c r="XDV327"/>
      <c r="XDW327"/>
      <c r="XDX327"/>
      <c r="XDY327"/>
      <c r="XDZ327"/>
      <c r="XEA327"/>
      <c r="XEB327"/>
      <c r="XEC327"/>
      <c r="XED327"/>
      <c r="XEE327"/>
      <c r="XEF327"/>
      <c r="XEG327"/>
      <c r="XEH327"/>
      <c r="XEI327"/>
      <c r="XEJ327"/>
      <c r="XEK327"/>
      <c r="XEL327"/>
      <c r="XEM327"/>
      <c r="XEN327"/>
      <c r="XEO327"/>
      <c r="XEP327"/>
      <c r="XEQ327"/>
      <c r="XER327"/>
      <c r="XES327"/>
      <c r="XET327"/>
      <c r="XEU327"/>
      <c r="XEV327"/>
      <c r="XEW327"/>
      <c r="XEX327"/>
      <c r="XEY327"/>
      <c r="XEZ327"/>
      <c r="XFA327"/>
      <c r="XFB327"/>
      <c r="XFC327"/>
    </row>
    <row r="328" spans="1:20 16329:16383" s="38" customFormat="1" ht="29.1" customHeight="1" outlineLevel="4" x14ac:dyDescent="0.25">
      <c r="A328" s="49" t="s">
        <v>662</v>
      </c>
      <c r="B328" s="50"/>
      <c r="C328" s="50"/>
      <c r="D328" s="3" t="s">
        <v>635</v>
      </c>
      <c r="E328" s="3"/>
      <c r="F328" s="51"/>
      <c r="G328" s="50" t="s">
        <v>630</v>
      </c>
      <c r="H328" s="52">
        <f>1</f>
        <v>1</v>
      </c>
      <c r="I328" s="36"/>
      <c r="J328" s="52">
        <v>1</v>
      </c>
      <c r="K328" s="53">
        <f>0</f>
        <v>0</v>
      </c>
      <c r="L328" s="53">
        <f>0</f>
        <v>0</v>
      </c>
      <c r="M328" s="53">
        <f>0</f>
        <v>0</v>
      </c>
      <c r="N328" s="54">
        <f>SUM(K328:M328)</f>
        <v>0</v>
      </c>
      <c r="O328" s="54">
        <f>ROUND((H328*K328),2)</f>
        <v>0</v>
      </c>
      <c r="P328" s="54">
        <f>ROUND((H328*L328),2)</f>
        <v>0</v>
      </c>
      <c r="Q328" s="54">
        <f>ROUND((H328*M328),2)</f>
        <v>0</v>
      </c>
      <c r="R328" s="54">
        <f>ROUND((H328*N328),2)</f>
        <v>0</v>
      </c>
      <c r="S328" s="54"/>
      <c r="T328" s="36"/>
      <c r="XDA328"/>
      <c r="XDB328"/>
      <c r="XDC328"/>
      <c r="XDD328"/>
      <c r="XDE328"/>
      <c r="XDF328"/>
      <c r="XDG328"/>
      <c r="XDH328"/>
      <c r="XDI328"/>
      <c r="XDJ328"/>
      <c r="XDK328"/>
      <c r="XDL328"/>
      <c r="XDM328"/>
      <c r="XDN328"/>
      <c r="XDO328"/>
      <c r="XDP328"/>
      <c r="XDQ328"/>
      <c r="XDR328"/>
      <c r="XDS328"/>
      <c r="XDT328"/>
      <c r="XDU328"/>
      <c r="XDV328"/>
      <c r="XDW328"/>
      <c r="XDX328"/>
      <c r="XDY328"/>
      <c r="XDZ328"/>
      <c r="XEA328"/>
      <c r="XEB328"/>
      <c r="XEC328"/>
      <c r="XED328"/>
      <c r="XEE328"/>
      <c r="XEF328"/>
      <c r="XEG328"/>
      <c r="XEH328"/>
      <c r="XEI328"/>
      <c r="XEJ328"/>
      <c r="XEK328"/>
      <c r="XEL328"/>
      <c r="XEM328"/>
      <c r="XEN328"/>
      <c r="XEO328"/>
      <c r="XEP328"/>
      <c r="XEQ328"/>
      <c r="XER328"/>
      <c r="XES328"/>
      <c r="XET328"/>
      <c r="XEU328"/>
      <c r="XEV328"/>
      <c r="XEW328"/>
      <c r="XEX328"/>
      <c r="XEY328"/>
      <c r="XEZ328"/>
      <c r="XFA328"/>
      <c r="XFB328"/>
      <c r="XFC328"/>
    </row>
    <row r="329" spans="1:20 16329:16383" s="38" customFormat="1" ht="29.1" customHeight="1" outlineLevel="4" x14ac:dyDescent="0.25">
      <c r="A329" s="49" t="s">
        <v>663</v>
      </c>
      <c r="B329" s="50"/>
      <c r="C329" s="50"/>
      <c r="D329" s="3" t="s">
        <v>639</v>
      </c>
      <c r="E329" s="3"/>
      <c r="F329" s="51"/>
      <c r="G329" s="50" t="s">
        <v>630</v>
      </c>
      <c r="H329" s="52">
        <f>1</f>
        <v>1</v>
      </c>
      <c r="I329" s="36"/>
      <c r="J329" s="52">
        <v>1</v>
      </c>
      <c r="K329" s="53">
        <f>0</f>
        <v>0</v>
      </c>
      <c r="L329" s="53">
        <f>0</f>
        <v>0</v>
      </c>
      <c r="M329" s="53">
        <f>0</f>
        <v>0</v>
      </c>
      <c r="N329" s="54">
        <f>SUM(K329:M329)</f>
        <v>0</v>
      </c>
      <c r="O329" s="54">
        <f>ROUND((H329*K329),2)</f>
        <v>0</v>
      </c>
      <c r="P329" s="54">
        <f>ROUND((H329*L329),2)</f>
        <v>0</v>
      </c>
      <c r="Q329" s="54">
        <f>ROUND((H329*M329),2)</f>
        <v>0</v>
      </c>
      <c r="R329" s="54">
        <f>ROUND((H329*N329),2)</f>
        <v>0</v>
      </c>
      <c r="S329" s="54"/>
      <c r="T329" s="36"/>
      <c r="XDA329"/>
      <c r="XDB329"/>
      <c r="XDC329"/>
      <c r="XDD329"/>
      <c r="XDE329"/>
      <c r="XDF329"/>
      <c r="XDG329"/>
      <c r="XDH329"/>
      <c r="XDI329"/>
      <c r="XDJ329"/>
      <c r="XDK329"/>
      <c r="XDL329"/>
      <c r="XDM329"/>
      <c r="XDN329"/>
      <c r="XDO329"/>
      <c r="XDP329"/>
      <c r="XDQ329"/>
      <c r="XDR329"/>
      <c r="XDS329"/>
      <c r="XDT329"/>
      <c r="XDU329"/>
      <c r="XDV329"/>
      <c r="XDW329"/>
      <c r="XDX329"/>
      <c r="XDY329"/>
      <c r="XDZ329"/>
      <c r="XEA329"/>
      <c r="XEB329"/>
      <c r="XEC329"/>
      <c r="XED329"/>
      <c r="XEE329"/>
      <c r="XEF329"/>
      <c r="XEG329"/>
      <c r="XEH329"/>
      <c r="XEI329"/>
      <c r="XEJ329"/>
      <c r="XEK329"/>
      <c r="XEL329"/>
      <c r="XEM329"/>
      <c r="XEN329"/>
      <c r="XEO329"/>
      <c r="XEP329"/>
      <c r="XEQ329"/>
      <c r="XER329"/>
      <c r="XES329"/>
      <c r="XET329"/>
      <c r="XEU329"/>
      <c r="XEV329"/>
      <c r="XEW329"/>
      <c r="XEX329"/>
      <c r="XEY329"/>
      <c r="XEZ329"/>
      <c r="XFA329"/>
      <c r="XFB329"/>
      <c r="XFC329"/>
    </row>
    <row r="330" spans="1:20 16329:16383" s="38" customFormat="1" ht="29.1" customHeight="1" outlineLevel="1" x14ac:dyDescent="0.25">
      <c r="A330" s="39" t="s">
        <v>664</v>
      </c>
      <c r="B330" s="40" t="s">
        <v>38</v>
      </c>
      <c r="C330" s="40" t="s">
        <v>665</v>
      </c>
      <c r="D330" s="5" t="s">
        <v>666</v>
      </c>
      <c r="E330" s="5"/>
      <c r="F330" s="41"/>
      <c r="G330" s="40" t="s">
        <v>102</v>
      </c>
      <c r="H330" s="42"/>
      <c r="I330" s="36"/>
      <c r="J330" s="42"/>
      <c r="K330" s="43"/>
      <c r="L330" s="43"/>
      <c r="M330" s="43"/>
      <c r="N330" s="43"/>
      <c r="O330" s="43">
        <f>O331+O336+O364</f>
        <v>0</v>
      </c>
      <c r="P330" s="43">
        <f>P331+P336+P364</f>
        <v>0</v>
      </c>
      <c r="Q330" s="43">
        <f>Q331+Q336+Q364</f>
        <v>0</v>
      </c>
      <c r="R330" s="43">
        <f>R331+R336+R364</f>
        <v>0</v>
      </c>
      <c r="S330" s="43"/>
      <c r="T330" s="36"/>
      <c r="XDA330"/>
      <c r="XDB330"/>
      <c r="XDC330"/>
      <c r="XDD330"/>
      <c r="XDE330"/>
      <c r="XDF330"/>
      <c r="XDG330"/>
      <c r="XDH330"/>
      <c r="XDI330"/>
      <c r="XDJ330"/>
      <c r="XDK330"/>
      <c r="XDL330"/>
      <c r="XDM330"/>
      <c r="XDN330"/>
      <c r="XDO330"/>
      <c r="XDP330"/>
      <c r="XDQ330"/>
      <c r="XDR330"/>
      <c r="XDS330"/>
      <c r="XDT330"/>
      <c r="XDU330"/>
      <c r="XDV330"/>
      <c r="XDW330"/>
      <c r="XDX330"/>
      <c r="XDY330"/>
      <c r="XDZ330"/>
      <c r="XEA330"/>
      <c r="XEB330"/>
      <c r="XEC330"/>
      <c r="XED330"/>
      <c r="XEE330"/>
      <c r="XEF330"/>
      <c r="XEG330"/>
      <c r="XEH330"/>
      <c r="XEI330"/>
      <c r="XEJ330"/>
      <c r="XEK330"/>
      <c r="XEL330"/>
      <c r="XEM330"/>
      <c r="XEN330"/>
      <c r="XEO330"/>
      <c r="XEP330"/>
      <c r="XEQ330"/>
      <c r="XER330"/>
      <c r="XES330"/>
      <c r="XET330"/>
      <c r="XEU330"/>
      <c r="XEV330"/>
      <c r="XEW330"/>
      <c r="XEX330"/>
      <c r="XEY330"/>
      <c r="XEZ330"/>
      <c r="XFA330"/>
      <c r="XFB330"/>
      <c r="XFC330"/>
    </row>
    <row r="331" spans="1:20 16329:16383" s="38" customFormat="1" ht="29.1" customHeight="1" outlineLevel="2" x14ac:dyDescent="0.25">
      <c r="A331" s="44" t="s">
        <v>667</v>
      </c>
      <c r="B331" s="45" t="s">
        <v>668</v>
      </c>
      <c r="C331" s="45" t="s">
        <v>669</v>
      </c>
      <c r="D331" s="4" t="s">
        <v>670</v>
      </c>
      <c r="E331" s="4"/>
      <c r="F331" s="46"/>
      <c r="G331" s="45" t="s">
        <v>102</v>
      </c>
      <c r="H331" s="47"/>
      <c r="I331" s="36"/>
      <c r="J331" s="47"/>
      <c r="K331" s="48"/>
      <c r="L331" s="48"/>
      <c r="M331" s="48"/>
      <c r="N331" s="48"/>
      <c r="O331" s="48">
        <f>SUM(O332:O335)</f>
        <v>0</v>
      </c>
      <c r="P331" s="48">
        <f>SUM(P332:P335)</f>
        <v>0</v>
      </c>
      <c r="Q331" s="48">
        <f>SUM(Q332:Q335)</f>
        <v>0</v>
      </c>
      <c r="R331" s="48">
        <f>SUM(R332:R335)</f>
        <v>0</v>
      </c>
      <c r="S331" s="48"/>
      <c r="T331" s="36"/>
      <c r="XDA331"/>
      <c r="XDB331"/>
      <c r="XDC331"/>
      <c r="XDD331"/>
      <c r="XDE331"/>
      <c r="XDF331"/>
      <c r="XDG331"/>
      <c r="XDH331"/>
      <c r="XDI331"/>
      <c r="XDJ331"/>
      <c r="XDK331"/>
      <c r="XDL331"/>
      <c r="XDM331"/>
      <c r="XDN331"/>
      <c r="XDO331"/>
      <c r="XDP331"/>
      <c r="XDQ331"/>
      <c r="XDR331"/>
      <c r="XDS331"/>
      <c r="XDT331"/>
      <c r="XDU331"/>
      <c r="XDV331"/>
      <c r="XDW331"/>
      <c r="XDX331"/>
      <c r="XDY331"/>
      <c r="XDZ331"/>
      <c r="XEA331"/>
      <c r="XEB331"/>
      <c r="XEC331"/>
      <c r="XED331"/>
      <c r="XEE331"/>
      <c r="XEF331"/>
      <c r="XEG331"/>
      <c r="XEH331"/>
      <c r="XEI331"/>
      <c r="XEJ331"/>
      <c r="XEK331"/>
      <c r="XEL331"/>
      <c r="XEM331"/>
      <c r="XEN331"/>
      <c r="XEO331"/>
      <c r="XEP331"/>
      <c r="XEQ331"/>
      <c r="XER331"/>
      <c r="XES331"/>
      <c r="XET331"/>
      <c r="XEU331"/>
      <c r="XEV331"/>
      <c r="XEW331"/>
      <c r="XEX331"/>
      <c r="XEY331"/>
      <c r="XEZ331"/>
      <c r="XFA331"/>
      <c r="XFB331"/>
      <c r="XFC331"/>
    </row>
    <row r="332" spans="1:20 16329:16383" s="38" customFormat="1" ht="29.1" customHeight="1" outlineLevel="3" x14ac:dyDescent="0.25">
      <c r="A332" s="49" t="s">
        <v>671</v>
      </c>
      <c r="B332" s="50"/>
      <c r="C332" s="50"/>
      <c r="D332" s="3" t="s">
        <v>672</v>
      </c>
      <c r="E332" s="3"/>
      <c r="F332" s="51"/>
      <c r="G332" s="50" t="s">
        <v>102</v>
      </c>
      <c r="H332" s="52">
        <f>1</f>
        <v>1</v>
      </c>
      <c r="I332" s="36"/>
      <c r="J332" s="52">
        <v>1</v>
      </c>
      <c r="K332" s="53">
        <f>0</f>
        <v>0</v>
      </c>
      <c r="L332" s="53">
        <f>0</f>
        <v>0</v>
      </c>
      <c r="M332" s="53">
        <f>0</f>
        <v>0</v>
      </c>
      <c r="N332" s="54">
        <f>SUM(K332:M332)</f>
        <v>0</v>
      </c>
      <c r="O332" s="54">
        <f>ROUND((H332*K332),2)</f>
        <v>0</v>
      </c>
      <c r="P332" s="54">
        <f>ROUND((H332*L332),2)</f>
        <v>0</v>
      </c>
      <c r="Q332" s="54">
        <f>ROUND((H332*M332),2)</f>
        <v>0</v>
      </c>
      <c r="R332" s="54">
        <f>ROUND((H332*N332),2)</f>
        <v>0</v>
      </c>
      <c r="S332" s="54"/>
      <c r="T332" s="36"/>
      <c r="XDA332"/>
      <c r="XDB332"/>
      <c r="XDC332"/>
      <c r="XDD332"/>
      <c r="XDE332"/>
      <c r="XDF332"/>
      <c r="XDG332"/>
      <c r="XDH332"/>
      <c r="XDI332"/>
      <c r="XDJ332"/>
      <c r="XDK332"/>
      <c r="XDL332"/>
      <c r="XDM332"/>
      <c r="XDN332"/>
      <c r="XDO332"/>
      <c r="XDP332"/>
      <c r="XDQ332"/>
      <c r="XDR332"/>
      <c r="XDS332"/>
      <c r="XDT332"/>
      <c r="XDU332"/>
      <c r="XDV332"/>
      <c r="XDW332"/>
      <c r="XDX332"/>
      <c r="XDY332"/>
      <c r="XDZ332"/>
      <c r="XEA332"/>
      <c r="XEB332"/>
      <c r="XEC332"/>
      <c r="XED332"/>
      <c r="XEE332"/>
      <c r="XEF332"/>
      <c r="XEG332"/>
      <c r="XEH332"/>
      <c r="XEI332"/>
      <c r="XEJ332"/>
      <c r="XEK332"/>
      <c r="XEL332"/>
      <c r="XEM332"/>
      <c r="XEN332"/>
      <c r="XEO332"/>
      <c r="XEP332"/>
      <c r="XEQ332"/>
      <c r="XER332"/>
      <c r="XES332"/>
      <c r="XET332"/>
      <c r="XEU332"/>
      <c r="XEV332"/>
      <c r="XEW332"/>
      <c r="XEX332"/>
      <c r="XEY332"/>
      <c r="XEZ332"/>
      <c r="XFA332"/>
      <c r="XFB332"/>
      <c r="XFC332"/>
    </row>
    <row r="333" spans="1:20 16329:16383" s="38" customFormat="1" ht="29.1" customHeight="1" outlineLevel="3" x14ac:dyDescent="0.25">
      <c r="A333" s="49" t="s">
        <v>673</v>
      </c>
      <c r="B333" s="50"/>
      <c r="C333" s="50"/>
      <c r="D333" s="3" t="s">
        <v>674</v>
      </c>
      <c r="E333" s="3"/>
      <c r="F333" s="51"/>
      <c r="G333" s="50" t="s">
        <v>102</v>
      </c>
      <c r="H333" s="52">
        <f>1</f>
        <v>1</v>
      </c>
      <c r="I333" s="36"/>
      <c r="J333" s="52">
        <v>1</v>
      </c>
      <c r="K333" s="53">
        <f>0</f>
        <v>0</v>
      </c>
      <c r="L333" s="53">
        <f>0</f>
        <v>0</v>
      </c>
      <c r="M333" s="53">
        <f>0</f>
        <v>0</v>
      </c>
      <c r="N333" s="54">
        <f>SUM(K333:M333)</f>
        <v>0</v>
      </c>
      <c r="O333" s="54">
        <f>ROUND((H333*K333),2)</f>
        <v>0</v>
      </c>
      <c r="P333" s="54">
        <f>ROUND((H333*L333),2)</f>
        <v>0</v>
      </c>
      <c r="Q333" s="54">
        <f>ROUND((H333*M333),2)</f>
        <v>0</v>
      </c>
      <c r="R333" s="54">
        <f>ROUND((H333*N333),2)</f>
        <v>0</v>
      </c>
      <c r="S333" s="54"/>
      <c r="T333" s="36"/>
      <c r="XDA333"/>
      <c r="XDB333"/>
      <c r="XDC333"/>
      <c r="XDD333"/>
      <c r="XDE333"/>
      <c r="XDF333"/>
      <c r="XDG333"/>
      <c r="XDH333"/>
      <c r="XDI333"/>
      <c r="XDJ333"/>
      <c r="XDK333"/>
      <c r="XDL333"/>
      <c r="XDM333"/>
      <c r="XDN333"/>
      <c r="XDO333"/>
      <c r="XDP333"/>
      <c r="XDQ333"/>
      <c r="XDR333"/>
      <c r="XDS333"/>
      <c r="XDT333"/>
      <c r="XDU333"/>
      <c r="XDV333"/>
      <c r="XDW333"/>
      <c r="XDX333"/>
      <c r="XDY333"/>
      <c r="XDZ333"/>
      <c r="XEA333"/>
      <c r="XEB333"/>
      <c r="XEC333"/>
      <c r="XED333"/>
      <c r="XEE333"/>
      <c r="XEF333"/>
      <c r="XEG333"/>
      <c r="XEH333"/>
      <c r="XEI333"/>
      <c r="XEJ333"/>
      <c r="XEK333"/>
      <c r="XEL333"/>
      <c r="XEM333"/>
      <c r="XEN333"/>
      <c r="XEO333"/>
      <c r="XEP333"/>
      <c r="XEQ333"/>
      <c r="XER333"/>
      <c r="XES333"/>
      <c r="XET333"/>
      <c r="XEU333"/>
      <c r="XEV333"/>
      <c r="XEW333"/>
      <c r="XEX333"/>
      <c r="XEY333"/>
      <c r="XEZ333"/>
      <c r="XFA333"/>
      <c r="XFB333"/>
      <c r="XFC333"/>
    </row>
    <row r="334" spans="1:20 16329:16383" s="38" customFormat="1" ht="29.1" customHeight="1" outlineLevel="3" x14ac:dyDescent="0.25">
      <c r="A334" s="49" t="s">
        <v>675</v>
      </c>
      <c r="B334" s="50"/>
      <c r="C334" s="50"/>
      <c r="D334" s="3" t="s">
        <v>676</v>
      </c>
      <c r="E334" s="3"/>
      <c r="F334" s="51"/>
      <c r="G334" s="50" t="s">
        <v>102</v>
      </c>
      <c r="H334" s="52">
        <f>1</f>
        <v>1</v>
      </c>
      <c r="I334" s="36"/>
      <c r="J334" s="52">
        <v>1</v>
      </c>
      <c r="K334" s="53">
        <f>0</f>
        <v>0</v>
      </c>
      <c r="L334" s="53">
        <f>0</f>
        <v>0</v>
      </c>
      <c r="M334" s="53">
        <f>0</f>
        <v>0</v>
      </c>
      <c r="N334" s="54">
        <f>SUM(K334:M334)</f>
        <v>0</v>
      </c>
      <c r="O334" s="54">
        <f>ROUND((H334*K334),2)</f>
        <v>0</v>
      </c>
      <c r="P334" s="54">
        <f>ROUND((H334*L334),2)</f>
        <v>0</v>
      </c>
      <c r="Q334" s="54">
        <f>ROUND((H334*M334),2)</f>
        <v>0</v>
      </c>
      <c r="R334" s="54">
        <f>ROUND((H334*N334),2)</f>
        <v>0</v>
      </c>
      <c r="S334" s="54"/>
      <c r="T334" s="36"/>
      <c r="XDA334"/>
      <c r="XDB334"/>
      <c r="XDC334"/>
      <c r="XDD334"/>
      <c r="XDE334"/>
      <c r="XDF334"/>
      <c r="XDG334"/>
      <c r="XDH334"/>
      <c r="XDI334"/>
      <c r="XDJ334"/>
      <c r="XDK334"/>
      <c r="XDL334"/>
      <c r="XDM334"/>
      <c r="XDN334"/>
      <c r="XDO334"/>
      <c r="XDP334"/>
      <c r="XDQ334"/>
      <c r="XDR334"/>
      <c r="XDS334"/>
      <c r="XDT334"/>
      <c r="XDU334"/>
      <c r="XDV334"/>
      <c r="XDW334"/>
      <c r="XDX334"/>
      <c r="XDY334"/>
      <c r="XDZ334"/>
      <c r="XEA334"/>
      <c r="XEB334"/>
      <c r="XEC334"/>
      <c r="XED334"/>
      <c r="XEE334"/>
      <c r="XEF334"/>
      <c r="XEG334"/>
      <c r="XEH334"/>
      <c r="XEI334"/>
      <c r="XEJ334"/>
      <c r="XEK334"/>
      <c r="XEL334"/>
      <c r="XEM334"/>
      <c r="XEN334"/>
      <c r="XEO334"/>
      <c r="XEP334"/>
      <c r="XEQ334"/>
      <c r="XER334"/>
      <c r="XES334"/>
      <c r="XET334"/>
      <c r="XEU334"/>
      <c r="XEV334"/>
      <c r="XEW334"/>
      <c r="XEX334"/>
      <c r="XEY334"/>
      <c r="XEZ334"/>
      <c r="XFA334"/>
      <c r="XFB334"/>
      <c r="XFC334"/>
    </row>
    <row r="335" spans="1:20 16329:16383" s="38" customFormat="1" ht="29.1" customHeight="1" outlineLevel="3" x14ac:dyDescent="0.25">
      <c r="A335" s="49" t="s">
        <v>677</v>
      </c>
      <c r="B335" s="50"/>
      <c r="C335" s="50"/>
      <c r="D335" s="3" t="s">
        <v>678</v>
      </c>
      <c r="E335" s="3"/>
      <c r="F335" s="51"/>
      <c r="G335" s="50" t="s">
        <v>102</v>
      </c>
      <c r="H335" s="52">
        <f>1</f>
        <v>1</v>
      </c>
      <c r="I335" s="36"/>
      <c r="J335" s="52">
        <v>1</v>
      </c>
      <c r="K335" s="53">
        <f>0</f>
        <v>0</v>
      </c>
      <c r="L335" s="53">
        <f>0</f>
        <v>0</v>
      </c>
      <c r="M335" s="53">
        <f>0</f>
        <v>0</v>
      </c>
      <c r="N335" s="54">
        <f>SUM(K335:M335)</f>
        <v>0</v>
      </c>
      <c r="O335" s="54">
        <f>ROUND((H335*K335),2)</f>
        <v>0</v>
      </c>
      <c r="P335" s="54">
        <f>ROUND((H335*L335),2)</f>
        <v>0</v>
      </c>
      <c r="Q335" s="54">
        <f>ROUND((H335*M335),2)</f>
        <v>0</v>
      </c>
      <c r="R335" s="54">
        <f>ROUND((H335*N335),2)</f>
        <v>0</v>
      </c>
      <c r="S335" s="54"/>
      <c r="T335" s="36"/>
      <c r="XDA335"/>
      <c r="XDB335"/>
      <c r="XDC335"/>
      <c r="XDD335"/>
      <c r="XDE335"/>
      <c r="XDF335"/>
      <c r="XDG335"/>
      <c r="XDH335"/>
      <c r="XDI335"/>
      <c r="XDJ335"/>
      <c r="XDK335"/>
      <c r="XDL335"/>
      <c r="XDM335"/>
      <c r="XDN335"/>
      <c r="XDO335"/>
      <c r="XDP335"/>
      <c r="XDQ335"/>
      <c r="XDR335"/>
      <c r="XDS335"/>
      <c r="XDT335"/>
      <c r="XDU335"/>
      <c r="XDV335"/>
      <c r="XDW335"/>
      <c r="XDX335"/>
      <c r="XDY335"/>
      <c r="XDZ335"/>
      <c r="XEA335"/>
      <c r="XEB335"/>
      <c r="XEC335"/>
      <c r="XED335"/>
      <c r="XEE335"/>
      <c r="XEF335"/>
      <c r="XEG335"/>
      <c r="XEH335"/>
      <c r="XEI335"/>
      <c r="XEJ335"/>
      <c r="XEK335"/>
      <c r="XEL335"/>
      <c r="XEM335"/>
      <c r="XEN335"/>
      <c r="XEO335"/>
      <c r="XEP335"/>
      <c r="XEQ335"/>
      <c r="XER335"/>
      <c r="XES335"/>
      <c r="XET335"/>
      <c r="XEU335"/>
      <c r="XEV335"/>
      <c r="XEW335"/>
      <c r="XEX335"/>
      <c r="XEY335"/>
      <c r="XEZ335"/>
      <c r="XFA335"/>
      <c r="XFB335"/>
      <c r="XFC335"/>
    </row>
    <row r="336" spans="1:20 16329:16383" s="38" customFormat="1" ht="29.1" customHeight="1" outlineLevel="2" x14ac:dyDescent="0.25">
      <c r="A336" s="44" t="s">
        <v>679</v>
      </c>
      <c r="B336" s="45" t="s">
        <v>680</v>
      </c>
      <c r="C336" s="45" t="s">
        <v>681</v>
      </c>
      <c r="D336" s="4" t="s">
        <v>682</v>
      </c>
      <c r="E336" s="4"/>
      <c r="F336" s="46"/>
      <c r="G336" s="45" t="s">
        <v>102</v>
      </c>
      <c r="H336" s="47"/>
      <c r="I336" s="36"/>
      <c r="J336" s="47"/>
      <c r="K336" s="48"/>
      <c r="L336" s="48"/>
      <c r="M336" s="48"/>
      <c r="N336" s="48"/>
      <c r="O336" s="48">
        <f>O337+O343+O347+O351+O358</f>
        <v>0</v>
      </c>
      <c r="P336" s="48">
        <f>P337+P343+P347+P351+P358</f>
        <v>0</v>
      </c>
      <c r="Q336" s="48">
        <f>Q337+Q343+Q347+Q351+Q358</f>
        <v>0</v>
      </c>
      <c r="R336" s="48">
        <f>R337+R343+R347+R351+R358</f>
        <v>0</v>
      </c>
      <c r="S336" s="48"/>
      <c r="T336" s="36"/>
      <c r="XDA336"/>
      <c r="XDB336"/>
      <c r="XDC336"/>
      <c r="XDD336"/>
      <c r="XDE336"/>
      <c r="XDF336"/>
      <c r="XDG336"/>
      <c r="XDH336"/>
      <c r="XDI336"/>
      <c r="XDJ336"/>
      <c r="XDK336"/>
      <c r="XDL336"/>
      <c r="XDM336"/>
      <c r="XDN336"/>
      <c r="XDO336"/>
      <c r="XDP336"/>
      <c r="XDQ336"/>
      <c r="XDR336"/>
      <c r="XDS336"/>
      <c r="XDT336"/>
      <c r="XDU336"/>
      <c r="XDV336"/>
      <c r="XDW336"/>
      <c r="XDX336"/>
      <c r="XDY336"/>
      <c r="XDZ336"/>
      <c r="XEA336"/>
      <c r="XEB336"/>
      <c r="XEC336"/>
      <c r="XED336"/>
      <c r="XEE336"/>
      <c r="XEF336"/>
      <c r="XEG336"/>
      <c r="XEH336"/>
      <c r="XEI336"/>
      <c r="XEJ336"/>
      <c r="XEK336"/>
      <c r="XEL336"/>
      <c r="XEM336"/>
      <c r="XEN336"/>
      <c r="XEO336"/>
      <c r="XEP336"/>
      <c r="XEQ336"/>
      <c r="XER336"/>
      <c r="XES336"/>
      <c r="XET336"/>
      <c r="XEU336"/>
      <c r="XEV336"/>
      <c r="XEW336"/>
      <c r="XEX336"/>
      <c r="XEY336"/>
      <c r="XEZ336"/>
      <c r="XFA336"/>
      <c r="XFB336"/>
      <c r="XFC336"/>
    </row>
    <row r="337" spans="1:20 16329:16383" s="38" customFormat="1" ht="29.1" customHeight="1" outlineLevel="3" x14ac:dyDescent="0.25">
      <c r="A337" s="55" t="s">
        <v>683</v>
      </c>
      <c r="B337" s="56" t="s">
        <v>684</v>
      </c>
      <c r="C337" s="56"/>
      <c r="D337" s="2" t="s">
        <v>685</v>
      </c>
      <c r="E337" s="2"/>
      <c r="F337" s="57"/>
      <c r="G337" s="56"/>
      <c r="H337" s="58"/>
      <c r="I337" s="36"/>
      <c r="J337" s="58"/>
      <c r="K337" s="59"/>
      <c r="L337" s="59"/>
      <c r="M337" s="59"/>
      <c r="N337" s="59"/>
      <c r="O337" s="59">
        <f>SUM(O338:O342)</f>
        <v>0</v>
      </c>
      <c r="P337" s="59">
        <f>SUM(P338:P342)</f>
        <v>0</v>
      </c>
      <c r="Q337" s="59">
        <f>SUM(Q338:Q342)</f>
        <v>0</v>
      </c>
      <c r="R337" s="59">
        <f>SUM(R338:R342)</f>
        <v>0</v>
      </c>
      <c r="S337" s="59"/>
      <c r="T337" s="36"/>
      <c r="XDA337"/>
      <c r="XDB337"/>
      <c r="XDC337"/>
      <c r="XDD337"/>
      <c r="XDE337"/>
      <c r="XDF337"/>
      <c r="XDG337"/>
      <c r="XDH337"/>
      <c r="XDI337"/>
      <c r="XDJ337"/>
      <c r="XDK337"/>
      <c r="XDL337"/>
      <c r="XDM337"/>
      <c r="XDN337"/>
      <c r="XDO337"/>
      <c r="XDP337"/>
      <c r="XDQ337"/>
      <c r="XDR337"/>
      <c r="XDS337"/>
      <c r="XDT337"/>
      <c r="XDU337"/>
      <c r="XDV337"/>
      <c r="XDW337"/>
      <c r="XDX337"/>
      <c r="XDY337"/>
      <c r="XDZ337"/>
      <c r="XEA337"/>
      <c r="XEB337"/>
      <c r="XEC337"/>
      <c r="XED337"/>
      <c r="XEE337"/>
      <c r="XEF337"/>
      <c r="XEG337"/>
      <c r="XEH337"/>
      <c r="XEI337"/>
      <c r="XEJ337"/>
      <c r="XEK337"/>
      <c r="XEL337"/>
      <c r="XEM337"/>
      <c r="XEN337"/>
      <c r="XEO337"/>
      <c r="XEP337"/>
      <c r="XEQ337"/>
      <c r="XER337"/>
      <c r="XES337"/>
      <c r="XET337"/>
      <c r="XEU337"/>
      <c r="XEV337"/>
      <c r="XEW337"/>
      <c r="XEX337"/>
      <c r="XEY337"/>
      <c r="XEZ337"/>
      <c r="XFA337"/>
      <c r="XFB337"/>
      <c r="XFC337"/>
    </row>
    <row r="338" spans="1:20 16329:16383" s="38" customFormat="1" ht="29.1" customHeight="1" outlineLevel="4" x14ac:dyDescent="0.25">
      <c r="A338" s="49" t="s">
        <v>686</v>
      </c>
      <c r="B338" s="50"/>
      <c r="C338" s="50"/>
      <c r="D338" s="3" t="s">
        <v>672</v>
      </c>
      <c r="E338" s="3"/>
      <c r="F338" s="51"/>
      <c r="G338" s="50" t="s">
        <v>102</v>
      </c>
      <c r="H338" s="52">
        <f>1</f>
        <v>1</v>
      </c>
      <c r="I338" s="36"/>
      <c r="J338" s="52">
        <v>1</v>
      </c>
      <c r="K338" s="53">
        <f>0</f>
        <v>0</v>
      </c>
      <c r="L338" s="53">
        <f>0</f>
        <v>0</v>
      </c>
      <c r="M338" s="53">
        <f>0</f>
        <v>0</v>
      </c>
      <c r="N338" s="54">
        <f>SUM(K338:M338)</f>
        <v>0</v>
      </c>
      <c r="O338" s="54">
        <f>ROUND((H338*K338),2)</f>
        <v>0</v>
      </c>
      <c r="P338" s="54">
        <f>ROUND((H338*L338),2)</f>
        <v>0</v>
      </c>
      <c r="Q338" s="54">
        <f>ROUND((H338*M338),2)</f>
        <v>0</v>
      </c>
      <c r="R338" s="54">
        <f>ROUND((H338*N338),2)</f>
        <v>0</v>
      </c>
      <c r="S338" s="54"/>
      <c r="T338" s="36"/>
      <c r="XDA338"/>
      <c r="XDB338"/>
      <c r="XDC338"/>
      <c r="XDD338"/>
      <c r="XDE338"/>
      <c r="XDF338"/>
      <c r="XDG338"/>
      <c r="XDH338"/>
      <c r="XDI338"/>
      <c r="XDJ338"/>
      <c r="XDK338"/>
      <c r="XDL338"/>
      <c r="XDM338"/>
      <c r="XDN338"/>
      <c r="XDO338"/>
      <c r="XDP338"/>
      <c r="XDQ338"/>
      <c r="XDR338"/>
      <c r="XDS338"/>
      <c r="XDT338"/>
      <c r="XDU338"/>
      <c r="XDV338"/>
      <c r="XDW338"/>
      <c r="XDX338"/>
      <c r="XDY338"/>
      <c r="XDZ338"/>
      <c r="XEA338"/>
      <c r="XEB338"/>
      <c r="XEC338"/>
      <c r="XED338"/>
      <c r="XEE338"/>
      <c r="XEF338"/>
      <c r="XEG338"/>
      <c r="XEH338"/>
      <c r="XEI338"/>
      <c r="XEJ338"/>
      <c r="XEK338"/>
      <c r="XEL338"/>
      <c r="XEM338"/>
      <c r="XEN338"/>
      <c r="XEO338"/>
      <c r="XEP338"/>
      <c r="XEQ338"/>
      <c r="XER338"/>
      <c r="XES338"/>
      <c r="XET338"/>
      <c r="XEU338"/>
      <c r="XEV338"/>
      <c r="XEW338"/>
      <c r="XEX338"/>
      <c r="XEY338"/>
      <c r="XEZ338"/>
      <c r="XFA338"/>
      <c r="XFB338"/>
      <c r="XFC338"/>
    </row>
    <row r="339" spans="1:20 16329:16383" s="38" customFormat="1" ht="29.1" customHeight="1" outlineLevel="4" x14ac:dyDescent="0.25">
      <c r="A339" s="49" t="s">
        <v>687</v>
      </c>
      <c r="B339" s="50"/>
      <c r="C339" s="50"/>
      <c r="D339" s="3" t="s">
        <v>674</v>
      </c>
      <c r="E339" s="3"/>
      <c r="F339" s="51"/>
      <c r="G339" s="50" t="s">
        <v>102</v>
      </c>
      <c r="H339" s="52">
        <f>1</f>
        <v>1</v>
      </c>
      <c r="I339" s="36"/>
      <c r="J339" s="52">
        <v>1</v>
      </c>
      <c r="K339" s="53">
        <f>0</f>
        <v>0</v>
      </c>
      <c r="L339" s="53">
        <f>0</f>
        <v>0</v>
      </c>
      <c r="M339" s="53">
        <f>0</f>
        <v>0</v>
      </c>
      <c r="N339" s="54">
        <f>SUM(K339:M339)</f>
        <v>0</v>
      </c>
      <c r="O339" s="54">
        <f>ROUND((H339*K339),2)</f>
        <v>0</v>
      </c>
      <c r="P339" s="54">
        <f>ROUND((H339*L339),2)</f>
        <v>0</v>
      </c>
      <c r="Q339" s="54">
        <f>ROUND((H339*M339),2)</f>
        <v>0</v>
      </c>
      <c r="R339" s="54">
        <f>ROUND((H339*N339),2)</f>
        <v>0</v>
      </c>
      <c r="S339" s="54"/>
      <c r="T339" s="36"/>
      <c r="XDA339"/>
      <c r="XDB339"/>
      <c r="XDC339"/>
      <c r="XDD339"/>
      <c r="XDE339"/>
      <c r="XDF339"/>
      <c r="XDG339"/>
      <c r="XDH339"/>
      <c r="XDI339"/>
      <c r="XDJ339"/>
      <c r="XDK339"/>
      <c r="XDL339"/>
      <c r="XDM339"/>
      <c r="XDN339"/>
      <c r="XDO339"/>
      <c r="XDP339"/>
      <c r="XDQ339"/>
      <c r="XDR339"/>
      <c r="XDS339"/>
      <c r="XDT339"/>
      <c r="XDU339"/>
      <c r="XDV339"/>
      <c r="XDW339"/>
      <c r="XDX339"/>
      <c r="XDY339"/>
      <c r="XDZ339"/>
      <c r="XEA339"/>
      <c r="XEB339"/>
      <c r="XEC339"/>
      <c r="XED339"/>
      <c r="XEE339"/>
      <c r="XEF339"/>
      <c r="XEG339"/>
      <c r="XEH339"/>
      <c r="XEI339"/>
      <c r="XEJ339"/>
      <c r="XEK339"/>
      <c r="XEL339"/>
      <c r="XEM339"/>
      <c r="XEN339"/>
      <c r="XEO339"/>
      <c r="XEP339"/>
      <c r="XEQ339"/>
      <c r="XER339"/>
      <c r="XES339"/>
      <c r="XET339"/>
      <c r="XEU339"/>
      <c r="XEV339"/>
      <c r="XEW339"/>
      <c r="XEX339"/>
      <c r="XEY339"/>
      <c r="XEZ339"/>
      <c r="XFA339"/>
      <c r="XFB339"/>
      <c r="XFC339"/>
    </row>
    <row r="340" spans="1:20 16329:16383" s="38" customFormat="1" ht="29.1" customHeight="1" outlineLevel="4" x14ac:dyDescent="0.25">
      <c r="A340" s="49" t="s">
        <v>688</v>
      </c>
      <c r="B340" s="50"/>
      <c r="C340" s="50"/>
      <c r="D340" s="3" t="s">
        <v>676</v>
      </c>
      <c r="E340" s="3"/>
      <c r="F340" s="51"/>
      <c r="G340" s="50" t="s">
        <v>102</v>
      </c>
      <c r="H340" s="52">
        <f>1</f>
        <v>1</v>
      </c>
      <c r="I340" s="36"/>
      <c r="J340" s="52">
        <v>1</v>
      </c>
      <c r="K340" s="53">
        <f>0</f>
        <v>0</v>
      </c>
      <c r="L340" s="53">
        <f>0</f>
        <v>0</v>
      </c>
      <c r="M340" s="53">
        <f>0</f>
        <v>0</v>
      </c>
      <c r="N340" s="54">
        <f>SUM(K340:M340)</f>
        <v>0</v>
      </c>
      <c r="O340" s="54">
        <f>ROUND((H340*K340),2)</f>
        <v>0</v>
      </c>
      <c r="P340" s="54">
        <f>ROUND((H340*L340),2)</f>
        <v>0</v>
      </c>
      <c r="Q340" s="54">
        <f>ROUND((H340*M340),2)</f>
        <v>0</v>
      </c>
      <c r="R340" s="54">
        <f>ROUND((H340*N340),2)</f>
        <v>0</v>
      </c>
      <c r="S340" s="54"/>
      <c r="T340" s="36"/>
      <c r="XDA340"/>
      <c r="XDB340"/>
      <c r="XDC340"/>
      <c r="XDD340"/>
      <c r="XDE340"/>
      <c r="XDF340"/>
      <c r="XDG340"/>
      <c r="XDH340"/>
      <c r="XDI340"/>
      <c r="XDJ340"/>
      <c r="XDK340"/>
      <c r="XDL340"/>
      <c r="XDM340"/>
      <c r="XDN340"/>
      <c r="XDO340"/>
      <c r="XDP340"/>
      <c r="XDQ340"/>
      <c r="XDR340"/>
      <c r="XDS340"/>
      <c r="XDT340"/>
      <c r="XDU340"/>
      <c r="XDV340"/>
      <c r="XDW340"/>
      <c r="XDX340"/>
      <c r="XDY340"/>
      <c r="XDZ340"/>
      <c r="XEA340"/>
      <c r="XEB340"/>
      <c r="XEC340"/>
      <c r="XED340"/>
      <c r="XEE340"/>
      <c r="XEF340"/>
      <c r="XEG340"/>
      <c r="XEH340"/>
      <c r="XEI340"/>
      <c r="XEJ340"/>
      <c r="XEK340"/>
      <c r="XEL340"/>
      <c r="XEM340"/>
      <c r="XEN340"/>
      <c r="XEO340"/>
      <c r="XEP340"/>
      <c r="XEQ340"/>
      <c r="XER340"/>
      <c r="XES340"/>
      <c r="XET340"/>
      <c r="XEU340"/>
      <c r="XEV340"/>
      <c r="XEW340"/>
      <c r="XEX340"/>
      <c r="XEY340"/>
      <c r="XEZ340"/>
      <c r="XFA340"/>
      <c r="XFB340"/>
      <c r="XFC340"/>
    </row>
    <row r="341" spans="1:20 16329:16383" s="38" customFormat="1" ht="29.1" customHeight="1" outlineLevel="4" x14ac:dyDescent="0.25">
      <c r="A341" s="49" t="s">
        <v>689</v>
      </c>
      <c r="B341" s="50"/>
      <c r="C341" s="50"/>
      <c r="D341" s="3" t="s">
        <v>690</v>
      </c>
      <c r="E341" s="3"/>
      <c r="F341" s="51"/>
      <c r="G341" s="50" t="s">
        <v>102</v>
      </c>
      <c r="H341" s="52">
        <f>1</f>
        <v>1</v>
      </c>
      <c r="I341" s="36"/>
      <c r="J341" s="52">
        <v>1</v>
      </c>
      <c r="K341" s="53">
        <f>0</f>
        <v>0</v>
      </c>
      <c r="L341" s="53">
        <f>0</f>
        <v>0</v>
      </c>
      <c r="M341" s="53">
        <f>0</f>
        <v>0</v>
      </c>
      <c r="N341" s="54">
        <f>SUM(K341:M341)</f>
        <v>0</v>
      </c>
      <c r="O341" s="54">
        <f>ROUND((H341*K341),2)</f>
        <v>0</v>
      </c>
      <c r="P341" s="54">
        <f>ROUND((H341*L341),2)</f>
        <v>0</v>
      </c>
      <c r="Q341" s="54">
        <f>ROUND((H341*M341),2)</f>
        <v>0</v>
      </c>
      <c r="R341" s="54">
        <f>ROUND((H341*N341),2)</f>
        <v>0</v>
      </c>
      <c r="S341" s="54"/>
      <c r="T341" s="36"/>
      <c r="XDA341"/>
      <c r="XDB341"/>
      <c r="XDC341"/>
      <c r="XDD341"/>
      <c r="XDE341"/>
      <c r="XDF341"/>
      <c r="XDG341"/>
      <c r="XDH341"/>
      <c r="XDI341"/>
      <c r="XDJ341"/>
      <c r="XDK341"/>
      <c r="XDL341"/>
      <c r="XDM341"/>
      <c r="XDN341"/>
      <c r="XDO341"/>
      <c r="XDP341"/>
      <c r="XDQ341"/>
      <c r="XDR341"/>
      <c r="XDS341"/>
      <c r="XDT341"/>
      <c r="XDU341"/>
      <c r="XDV341"/>
      <c r="XDW341"/>
      <c r="XDX341"/>
      <c r="XDY341"/>
      <c r="XDZ341"/>
      <c r="XEA341"/>
      <c r="XEB341"/>
      <c r="XEC341"/>
      <c r="XED341"/>
      <c r="XEE341"/>
      <c r="XEF341"/>
      <c r="XEG341"/>
      <c r="XEH341"/>
      <c r="XEI341"/>
      <c r="XEJ341"/>
      <c r="XEK341"/>
      <c r="XEL341"/>
      <c r="XEM341"/>
      <c r="XEN341"/>
      <c r="XEO341"/>
      <c r="XEP341"/>
      <c r="XEQ341"/>
      <c r="XER341"/>
      <c r="XES341"/>
      <c r="XET341"/>
      <c r="XEU341"/>
      <c r="XEV341"/>
      <c r="XEW341"/>
      <c r="XEX341"/>
      <c r="XEY341"/>
      <c r="XEZ341"/>
      <c r="XFA341"/>
      <c r="XFB341"/>
      <c r="XFC341"/>
    </row>
    <row r="342" spans="1:20 16329:16383" s="38" customFormat="1" ht="29.1" customHeight="1" outlineLevel="4" x14ac:dyDescent="0.25">
      <c r="A342" s="49" t="s">
        <v>691</v>
      </c>
      <c r="B342" s="50"/>
      <c r="C342" s="50"/>
      <c r="D342" s="3" t="s">
        <v>678</v>
      </c>
      <c r="E342" s="3"/>
      <c r="F342" s="51"/>
      <c r="G342" s="50" t="s">
        <v>102</v>
      </c>
      <c r="H342" s="52">
        <f>1</f>
        <v>1</v>
      </c>
      <c r="I342" s="36"/>
      <c r="J342" s="52">
        <v>1</v>
      </c>
      <c r="K342" s="53">
        <f>0</f>
        <v>0</v>
      </c>
      <c r="L342" s="53">
        <f>0</f>
        <v>0</v>
      </c>
      <c r="M342" s="53">
        <f>0</f>
        <v>0</v>
      </c>
      <c r="N342" s="54">
        <f>SUM(K342:M342)</f>
        <v>0</v>
      </c>
      <c r="O342" s="54">
        <f>ROUND((H342*K342),2)</f>
        <v>0</v>
      </c>
      <c r="P342" s="54">
        <f>ROUND((H342*L342),2)</f>
        <v>0</v>
      </c>
      <c r="Q342" s="54">
        <f>ROUND((H342*M342),2)</f>
        <v>0</v>
      </c>
      <c r="R342" s="54">
        <f>ROUND((H342*N342),2)</f>
        <v>0</v>
      </c>
      <c r="S342" s="54"/>
      <c r="T342" s="36"/>
      <c r="XDA342"/>
      <c r="XDB342"/>
      <c r="XDC342"/>
      <c r="XDD342"/>
      <c r="XDE342"/>
      <c r="XDF342"/>
      <c r="XDG342"/>
      <c r="XDH342"/>
      <c r="XDI342"/>
      <c r="XDJ342"/>
      <c r="XDK342"/>
      <c r="XDL342"/>
      <c r="XDM342"/>
      <c r="XDN342"/>
      <c r="XDO342"/>
      <c r="XDP342"/>
      <c r="XDQ342"/>
      <c r="XDR342"/>
      <c r="XDS342"/>
      <c r="XDT342"/>
      <c r="XDU342"/>
      <c r="XDV342"/>
      <c r="XDW342"/>
      <c r="XDX342"/>
      <c r="XDY342"/>
      <c r="XDZ342"/>
      <c r="XEA342"/>
      <c r="XEB342"/>
      <c r="XEC342"/>
      <c r="XED342"/>
      <c r="XEE342"/>
      <c r="XEF342"/>
      <c r="XEG342"/>
      <c r="XEH342"/>
      <c r="XEI342"/>
      <c r="XEJ342"/>
      <c r="XEK342"/>
      <c r="XEL342"/>
      <c r="XEM342"/>
      <c r="XEN342"/>
      <c r="XEO342"/>
      <c r="XEP342"/>
      <c r="XEQ342"/>
      <c r="XER342"/>
      <c r="XES342"/>
      <c r="XET342"/>
      <c r="XEU342"/>
      <c r="XEV342"/>
      <c r="XEW342"/>
      <c r="XEX342"/>
      <c r="XEY342"/>
      <c r="XEZ342"/>
      <c r="XFA342"/>
      <c r="XFB342"/>
      <c r="XFC342"/>
    </row>
    <row r="343" spans="1:20 16329:16383" s="38" customFormat="1" ht="29.1" customHeight="1" outlineLevel="3" x14ac:dyDescent="0.25">
      <c r="A343" s="55" t="s">
        <v>692</v>
      </c>
      <c r="B343" s="56" t="s">
        <v>693</v>
      </c>
      <c r="C343" s="56"/>
      <c r="D343" s="2" t="s">
        <v>694</v>
      </c>
      <c r="E343" s="2"/>
      <c r="F343" s="57"/>
      <c r="G343" s="56"/>
      <c r="H343" s="58"/>
      <c r="I343" s="36"/>
      <c r="J343" s="58"/>
      <c r="K343" s="59"/>
      <c r="L343" s="59"/>
      <c r="M343" s="59"/>
      <c r="N343" s="59"/>
      <c r="O343" s="59">
        <f>SUM(O344:O346)</f>
        <v>0</v>
      </c>
      <c r="P343" s="59">
        <f>SUM(P344:P346)</f>
        <v>0</v>
      </c>
      <c r="Q343" s="59">
        <f>SUM(Q344:Q346)</f>
        <v>0</v>
      </c>
      <c r="R343" s="59">
        <f>SUM(R344:R346)</f>
        <v>0</v>
      </c>
      <c r="S343" s="59"/>
      <c r="T343" s="36"/>
      <c r="XDA343"/>
      <c r="XDB343"/>
      <c r="XDC343"/>
      <c r="XDD343"/>
      <c r="XDE343"/>
      <c r="XDF343"/>
      <c r="XDG343"/>
      <c r="XDH343"/>
      <c r="XDI343"/>
      <c r="XDJ343"/>
      <c r="XDK343"/>
      <c r="XDL343"/>
      <c r="XDM343"/>
      <c r="XDN343"/>
      <c r="XDO343"/>
      <c r="XDP343"/>
      <c r="XDQ343"/>
      <c r="XDR343"/>
      <c r="XDS343"/>
      <c r="XDT343"/>
      <c r="XDU343"/>
      <c r="XDV343"/>
      <c r="XDW343"/>
      <c r="XDX343"/>
      <c r="XDY343"/>
      <c r="XDZ343"/>
      <c r="XEA343"/>
      <c r="XEB343"/>
      <c r="XEC343"/>
      <c r="XED343"/>
      <c r="XEE343"/>
      <c r="XEF343"/>
      <c r="XEG343"/>
      <c r="XEH343"/>
      <c r="XEI343"/>
      <c r="XEJ343"/>
      <c r="XEK343"/>
      <c r="XEL343"/>
      <c r="XEM343"/>
      <c r="XEN343"/>
      <c r="XEO343"/>
      <c r="XEP343"/>
      <c r="XEQ343"/>
      <c r="XER343"/>
      <c r="XES343"/>
      <c r="XET343"/>
      <c r="XEU343"/>
      <c r="XEV343"/>
      <c r="XEW343"/>
      <c r="XEX343"/>
      <c r="XEY343"/>
      <c r="XEZ343"/>
      <c r="XFA343"/>
      <c r="XFB343"/>
      <c r="XFC343"/>
    </row>
    <row r="344" spans="1:20 16329:16383" s="38" customFormat="1" ht="29.1" customHeight="1" outlineLevel="4" x14ac:dyDescent="0.25">
      <c r="A344" s="49" t="s">
        <v>695</v>
      </c>
      <c r="B344" s="50"/>
      <c r="C344" s="50"/>
      <c r="D344" s="3" t="s">
        <v>672</v>
      </c>
      <c r="E344" s="3"/>
      <c r="F344" s="51"/>
      <c r="G344" s="50" t="s">
        <v>102</v>
      </c>
      <c r="H344" s="52">
        <f>1</f>
        <v>1</v>
      </c>
      <c r="I344" s="36"/>
      <c r="J344" s="52">
        <v>1</v>
      </c>
      <c r="K344" s="53">
        <f>0</f>
        <v>0</v>
      </c>
      <c r="L344" s="53">
        <f>0</f>
        <v>0</v>
      </c>
      <c r="M344" s="53">
        <f>0</f>
        <v>0</v>
      </c>
      <c r="N344" s="54">
        <f>SUM(K344:M344)</f>
        <v>0</v>
      </c>
      <c r="O344" s="54">
        <f>ROUND((H344*K344),2)</f>
        <v>0</v>
      </c>
      <c r="P344" s="54">
        <f>ROUND((H344*L344),2)</f>
        <v>0</v>
      </c>
      <c r="Q344" s="54">
        <f>ROUND((H344*M344),2)</f>
        <v>0</v>
      </c>
      <c r="R344" s="54">
        <f>ROUND((H344*N344),2)</f>
        <v>0</v>
      </c>
      <c r="S344" s="54"/>
      <c r="T344" s="36"/>
      <c r="XDA344"/>
      <c r="XDB344"/>
      <c r="XDC344"/>
      <c r="XDD344"/>
      <c r="XDE344"/>
      <c r="XDF344"/>
      <c r="XDG344"/>
      <c r="XDH344"/>
      <c r="XDI344"/>
      <c r="XDJ344"/>
      <c r="XDK344"/>
      <c r="XDL344"/>
      <c r="XDM344"/>
      <c r="XDN344"/>
      <c r="XDO344"/>
      <c r="XDP344"/>
      <c r="XDQ344"/>
      <c r="XDR344"/>
      <c r="XDS344"/>
      <c r="XDT344"/>
      <c r="XDU344"/>
      <c r="XDV344"/>
      <c r="XDW344"/>
      <c r="XDX344"/>
      <c r="XDY344"/>
      <c r="XDZ344"/>
      <c r="XEA344"/>
      <c r="XEB344"/>
      <c r="XEC344"/>
      <c r="XED344"/>
      <c r="XEE344"/>
      <c r="XEF344"/>
      <c r="XEG344"/>
      <c r="XEH344"/>
      <c r="XEI344"/>
      <c r="XEJ344"/>
      <c r="XEK344"/>
      <c r="XEL344"/>
      <c r="XEM344"/>
      <c r="XEN344"/>
      <c r="XEO344"/>
      <c r="XEP344"/>
      <c r="XEQ344"/>
      <c r="XER344"/>
      <c r="XES344"/>
      <c r="XET344"/>
      <c r="XEU344"/>
      <c r="XEV344"/>
      <c r="XEW344"/>
      <c r="XEX344"/>
      <c r="XEY344"/>
      <c r="XEZ344"/>
      <c r="XFA344"/>
      <c r="XFB344"/>
      <c r="XFC344"/>
    </row>
    <row r="345" spans="1:20 16329:16383" s="38" customFormat="1" ht="29.1" customHeight="1" outlineLevel="4" x14ac:dyDescent="0.25">
      <c r="A345" s="49" t="s">
        <v>696</v>
      </c>
      <c r="B345" s="50"/>
      <c r="C345" s="50"/>
      <c r="D345" s="3" t="s">
        <v>676</v>
      </c>
      <c r="E345" s="3"/>
      <c r="F345" s="51"/>
      <c r="G345" s="50" t="s">
        <v>102</v>
      </c>
      <c r="H345" s="52">
        <f>1</f>
        <v>1</v>
      </c>
      <c r="I345" s="36"/>
      <c r="J345" s="52">
        <v>1</v>
      </c>
      <c r="K345" s="53">
        <f>0</f>
        <v>0</v>
      </c>
      <c r="L345" s="53">
        <f>0</f>
        <v>0</v>
      </c>
      <c r="M345" s="53">
        <f>0</f>
        <v>0</v>
      </c>
      <c r="N345" s="54">
        <f>SUM(K345:M345)</f>
        <v>0</v>
      </c>
      <c r="O345" s="54">
        <f>ROUND((H345*K345),2)</f>
        <v>0</v>
      </c>
      <c r="P345" s="54">
        <f>ROUND((H345*L345),2)</f>
        <v>0</v>
      </c>
      <c r="Q345" s="54">
        <f>ROUND((H345*M345),2)</f>
        <v>0</v>
      </c>
      <c r="R345" s="54">
        <f>ROUND((H345*N345),2)</f>
        <v>0</v>
      </c>
      <c r="S345" s="54"/>
      <c r="T345" s="36"/>
      <c r="XDA345"/>
      <c r="XDB345"/>
      <c r="XDC345"/>
      <c r="XDD345"/>
      <c r="XDE345"/>
      <c r="XDF345"/>
      <c r="XDG345"/>
      <c r="XDH345"/>
      <c r="XDI345"/>
      <c r="XDJ345"/>
      <c r="XDK345"/>
      <c r="XDL345"/>
      <c r="XDM345"/>
      <c r="XDN345"/>
      <c r="XDO345"/>
      <c r="XDP345"/>
      <c r="XDQ345"/>
      <c r="XDR345"/>
      <c r="XDS345"/>
      <c r="XDT345"/>
      <c r="XDU345"/>
      <c r="XDV345"/>
      <c r="XDW345"/>
      <c r="XDX345"/>
      <c r="XDY345"/>
      <c r="XDZ345"/>
      <c r="XEA345"/>
      <c r="XEB345"/>
      <c r="XEC345"/>
      <c r="XED345"/>
      <c r="XEE345"/>
      <c r="XEF345"/>
      <c r="XEG345"/>
      <c r="XEH345"/>
      <c r="XEI345"/>
      <c r="XEJ345"/>
      <c r="XEK345"/>
      <c r="XEL345"/>
      <c r="XEM345"/>
      <c r="XEN345"/>
      <c r="XEO345"/>
      <c r="XEP345"/>
      <c r="XEQ345"/>
      <c r="XER345"/>
      <c r="XES345"/>
      <c r="XET345"/>
      <c r="XEU345"/>
      <c r="XEV345"/>
      <c r="XEW345"/>
      <c r="XEX345"/>
      <c r="XEY345"/>
      <c r="XEZ345"/>
      <c r="XFA345"/>
      <c r="XFB345"/>
      <c r="XFC345"/>
    </row>
    <row r="346" spans="1:20 16329:16383" s="38" customFormat="1" ht="29.1" customHeight="1" outlineLevel="4" x14ac:dyDescent="0.25">
      <c r="A346" s="49" t="s">
        <v>697</v>
      </c>
      <c r="B346" s="50"/>
      <c r="C346" s="50"/>
      <c r="D346" s="3" t="s">
        <v>690</v>
      </c>
      <c r="E346" s="3"/>
      <c r="F346" s="51"/>
      <c r="G346" s="50" t="s">
        <v>102</v>
      </c>
      <c r="H346" s="52">
        <f>1</f>
        <v>1</v>
      </c>
      <c r="I346" s="36"/>
      <c r="J346" s="52">
        <v>1</v>
      </c>
      <c r="K346" s="53">
        <f>0</f>
        <v>0</v>
      </c>
      <c r="L346" s="53">
        <f>0</f>
        <v>0</v>
      </c>
      <c r="M346" s="53">
        <f>0</f>
        <v>0</v>
      </c>
      <c r="N346" s="54">
        <f>SUM(K346:M346)</f>
        <v>0</v>
      </c>
      <c r="O346" s="54">
        <f>ROUND((H346*K346),2)</f>
        <v>0</v>
      </c>
      <c r="P346" s="54">
        <f>ROUND((H346*L346),2)</f>
        <v>0</v>
      </c>
      <c r="Q346" s="54">
        <f>ROUND((H346*M346),2)</f>
        <v>0</v>
      </c>
      <c r="R346" s="54">
        <f>ROUND((H346*N346),2)</f>
        <v>0</v>
      </c>
      <c r="S346" s="54"/>
      <c r="T346" s="36"/>
      <c r="XDA346"/>
      <c r="XDB346"/>
      <c r="XDC346"/>
      <c r="XDD346"/>
      <c r="XDE346"/>
      <c r="XDF346"/>
      <c r="XDG346"/>
      <c r="XDH346"/>
      <c r="XDI346"/>
      <c r="XDJ346"/>
      <c r="XDK346"/>
      <c r="XDL346"/>
      <c r="XDM346"/>
      <c r="XDN346"/>
      <c r="XDO346"/>
      <c r="XDP346"/>
      <c r="XDQ346"/>
      <c r="XDR346"/>
      <c r="XDS346"/>
      <c r="XDT346"/>
      <c r="XDU346"/>
      <c r="XDV346"/>
      <c r="XDW346"/>
      <c r="XDX346"/>
      <c r="XDY346"/>
      <c r="XDZ346"/>
      <c r="XEA346"/>
      <c r="XEB346"/>
      <c r="XEC346"/>
      <c r="XED346"/>
      <c r="XEE346"/>
      <c r="XEF346"/>
      <c r="XEG346"/>
      <c r="XEH346"/>
      <c r="XEI346"/>
      <c r="XEJ346"/>
      <c r="XEK346"/>
      <c r="XEL346"/>
      <c r="XEM346"/>
      <c r="XEN346"/>
      <c r="XEO346"/>
      <c r="XEP346"/>
      <c r="XEQ346"/>
      <c r="XER346"/>
      <c r="XES346"/>
      <c r="XET346"/>
      <c r="XEU346"/>
      <c r="XEV346"/>
      <c r="XEW346"/>
      <c r="XEX346"/>
      <c r="XEY346"/>
      <c r="XEZ346"/>
      <c r="XFA346"/>
      <c r="XFB346"/>
      <c r="XFC346"/>
    </row>
    <row r="347" spans="1:20 16329:16383" s="38" customFormat="1" ht="29.1" customHeight="1" outlineLevel="3" x14ac:dyDescent="0.25">
      <c r="A347" s="55" t="s">
        <v>698</v>
      </c>
      <c r="B347" s="56" t="s">
        <v>699</v>
      </c>
      <c r="C347" s="56"/>
      <c r="D347" s="2" t="s">
        <v>700</v>
      </c>
      <c r="E347" s="2"/>
      <c r="F347" s="57"/>
      <c r="G347" s="56"/>
      <c r="H347" s="58"/>
      <c r="I347" s="36"/>
      <c r="J347" s="58"/>
      <c r="K347" s="59"/>
      <c r="L347" s="59"/>
      <c r="M347" s="59"/>
      <c r="N347" s="59"/>
      <c r="O347" s="59">
        <f>SUM(O348:O350)</f>
        <v>0</v>
      </c>
      <c r="P347" s="59">
        <f>SUM(P348:P350)</f>
        <v>0</v>
      </c>
      <c r="Q347" s="59">
        <f>SUM(Q348:Q350)</f>
        <v>0</v>
      </c>
      <c r="R347" s="59">
        <f>SUM(R348:R350)</f>
        <v>0</v>
      </c>
      <c r="S347" s="59"/>
      <c r="T347" s="36"/>
      <c r="XDA347"/>
      <c r="XDB347"/>
      <c r="XDC347"/>
      <c r="XDD347"/>
      <c r="XDE347"/>
      <c r="XDF347"/>
      <c r="XDG347"/>
      <c r="XDH347"/>
      <c r="XDI347"/>
      <c r="XDJ347"/>
      <c r="XDK347"/>
      <c r="XDL347"/>
      <c r="XDM347"/>
      <c r="XDN347"/>
      <c r="XDO347"/>
      <c r="XDP347"/>
      <c r="XDQ347"/>
      <c r="XDR347"/>
      <c r="XDS347"/>
      <c r="XDT347"/>
      <c r="XDU347"/>
      <c r="XDV347"/>
      <c r="XDW347"/>
      <c r="XDX347"/>
      <c r="XDY347"/>
      <c r="XDZ347"/>
      <c r="XEA347"/>
      <c r="XEB347"/>
      <c r="XEC347"/>
      <c r="XED347"/>
      <c r="XEE347"/>
      <c r="XEF347"/>
      <c r="XEG347"/>
      <c r="XEH347"/>
      <c r="XEI347"/>
      <c r="XEJ347"/>
      <c r="XEK347"/>
      <c r="XEL347"/>
      <c r="XEM347"/>
      <c r="XEN347"/>
      <c r="XEO347"/>
      <c r="XEP347"/>
      <c r="XEQ347"/>
      <c r="XER347"/>
      <c r="XES347"/>
      <c r="XET347"/>
      <c r="XEU347"/>
      <c r="XEV347"/>
      <c r="XEW347"/>
      <c r="XEX347"/>
      <c r="XEY347"/>
      <c r="XEZ347"/>
      <c r="XFA347"/>
      <c r="XFB347"/>
      <c r="XFC347"/>
    </row>
    <row r="348" spans="1:20 16329:16383" s="38" customFormat="1" ht="29.1" customHeight="1" outlineLevel="4" x14ac:dyDescent="0.25">
      <c r="A348" s="49" t="s">
        <v>701</v>
      </c>
      <c r="B348" s="50"/>
      <c r="C348" s="50"/>
      <c r="D348" s="3" t="s">
        <v>672</v>
      </c>
      <c r="E348" s="3"/>
      <c r="F348" s="51"/>
      <c r="G348" s="50" t="s">
        <v>102</v>
      </c>
      <c r="H348" s="52">
        <f>1</f>
        <v>1</v>
      </c>
      <c r="I348" s="36"/>
      <c r="J348" s="52">
        <v>1</v>
      </c>
      <c r="K348" s="53">
        <f>0</f>
        <v>0</v>
      </c>
      <c r="L348" s="53">
        <f>0</f>
        <v>0</v>
      </c>
      <c r="M348" s="53">
        <f>0</f>
        <v>0</v>
      </c>
      <c r="N348" s="54">
        <f>SUM(K348:M348)</f>
        <v>0</v>
      </c>
      <c r="O348" s="54">
        <f>ROUND((H348*K348),2)</f>
        <v>0</v>
      </c>
      <c r="P348" s="54">
        <f>ROUND((H348*L348),2)</f>
        <v>0</v>
      </c>
      <c r="Q348" s="54">
        <f>ROUND((H348*M348),2)</f>
        <v>0</v>
      </c>
      <c r="R348" s="54">
        <f>ROUND((H348*N348),2)</f>
        <v>0</v>
      </c>
      <c r="S348" s="54"/>
      <c r="T348" s="36"/>
      <c r="XDA348"/>
      <c r="XDB348"/>
      <c r="XDC348"/>
      <c r="XDD348"/>
      <c r="XDE348"/>
      <c r="XDF348"/>
      <c r="XDG348"/>
      <c r="XDH348"/>
      <c r="XDI348"/>
      <c r="XDJ348"/>
      <c r="XDK348"/>
      <c r="XDL348"/>
      <c r="XDM348"/>
      <c r="XDN348"/>
      <c r="XDO348"/>
      <c r="XDP348"/>
      <c r="XDQ348"/>
      <c r="XDR348"/>
      <c r="XDS348"/>
      <c r="XDT348"/>
      <c r="XDU348"/>
      <c r="XDV348"/>
      <c r="XDW348"/>
      <c r="XDX348"/>
      <c r="XDY348"/>
      <c r="XDZ348"/>
      <c r="XEA348"/>
      <c r="XEB348"/>
      <c r="XEC348"/>
      <c r="XED348"/>
      <c r="XEE348"/>
      <c r="XEF348"/>
      <c r="XEG348"/>
      <c r="XEH348"/>
      <c r="XEI348"/>
      <c r="XEJ348"/>
      <c r="XEK348"/>
      <c r="XEL348"/>
      <c r="XEM348"/>
      <c r="XEN348"/>
      <c r="XEO348"/>
      <c r="XEP348"/>
      <c r="XEQ348"/>
      <c r="XER348"/>
      <c r="XES348"/>
      <c r="XET348"/>
      <c r="XEU348"/>
      <c r="XEV348"/>
      <c r="XEW348"/>
      <c r="XEX348"/>
      <c r="XEY348"/>
      <c r="XEZ348"/>
      <c r="XFA348"/>
      <c r="XFB348"/>
      <c r="XFC348"/>
    </row>
    <row r="349" spans="1:20 16329:16383" s="38" customFormat="1" ht="29.1" customHeight="1" outlineLevel="4" x14ac:dyDescent="0.25">
      <c r="A349" s="49" t="s">
        <v>702</v>
      </c>
      <c r="B349" s="50"/>
      <c r="C349" s="50"/>
      <c r="D349" s="3" t="s">
        <v>676</v>
      </c>
      <c r="E349" s="3"/>
      <c r="F349" s="51"/>
      <c r="G349" s="50" t="s">
        <v>102</v>
      </c>
      <c r="H349" s="52">
        <f>1</f>
        <v>1</v>
      </c>
      <c r="I349" s="36"/>
      <c r="J349" s="52">
        <v>1</v>
      </c>
      <c r="K349" s="53">
        <f>0</f>
        <v>0</v>
      </c>
      <c r="L349" s="53">
        <f>0</f>
        <v>0</v>
      </c>
      <c r="M349" s="53">
        <f>0</f>
        <v>0</v>
      </c>
      <c r="N349" s="54">
        <f>SUM(K349:M349)</f>
        <v>0</v>
      </c>
      <c r="O349" s="54">
        <f>ROUND((H349*K349),2)</f>
        <v>0</v>
      </c>
      <c r="P349" s="54">
        <f>ROUND((H349*L349),2)</f>
        <v>0</v>
      </c>
      <c r="Q349" s="54">
        <f>ROUND((H349*M349),2)</f>
        <v>0</v>
      </c>
      <c r="R349" s="54">
        <f>ROUND((H349*N349),2)</f>
        <v>0</v>
      </c>
      <c r="S349" s="54"/>
      <c r="T349" s="36"/>
      <c r="XDA349"/>
      <c r="XDB349"/>
      <c r="XDC349"/>
      <c r="XDD349"/>
      <c r="XDE349"/>
      <c r="XDF349"/>
      <c r="XDG349"/>
      <c r="XDH349"/>
      <c r="XDI349"/>
      <c r="XDJ349"/>
      <c r="XDK349"/>
      <c r="XDL349"/>
      <c r="XDM349"/>
      <c r="XDN349"/>
      <c r="XDO349"/>
      <c r="XDP349"/>
      <c r="XDQ349"/>
      <c r="XDR349"/>
      <c r="XDS349"/>
      <c r="XDT349"/>
      <c r="XDU349"/>
      <c r="XDV349"/>
      <c r="XDW349"/>
      <c r="XDX349"/>
      <c r="XDY349"/>
      <c r="XDZ349"/>
      <c r="XEA349"/>
      <c r="XEB349"/>
      <c r="XEC349"/>
      <c r="XED349"/>
      <c r="XEE349"/>
      <c r="XEF349"/>
      <c r="XEG349"/>
      <c r="XEH349"/>
      <c r="XEI349"/>
      <c r="XEJ349"/>
      <c r="XEK349"/>
      <c r="XEL349"/>
      <c r="XEM349"/>
      <c r="XEN349"/>
      <c r="XEO349"/>
      <c r="XEP349"/>
      <c r="XEQ349"/>
      <c r="XER349"/>
      <c r="XES349"/>
      <c r="XET349"/>
      <c r="XEU349"/>
      <c r="XEV349"/>
      <c r="XEW349"/>
      <c r="XEX349"/>
      <c r="XEY349"/>
      <c r="XEZ349"/>
      <c r="XFA349"/>
      <c r="XFB349"/>
      <c r="XFC349"/>
    </row>
    <row r="350" spans="1:20 16329:16383" s="38" customFormat="1" ht="29.1" customHeight="1" outlineLevel="4" x14ac:dyDescent="0.25">
      <c r="A350" s="49" t="s">
        <v>703</v>
      </c>
      <c r="B350" s="50"/>
      <c r="C350" s="50"/>
      <c r="D350" s="3" t="s">
        <v>690</v>
      </c>
      <c r="E350" s="3"/>
      <c r="F350" s="51"/>
      <c r="G350" s="50" t="s">
        <v>102</v>
      </c>
      <c r="H350" s="52">
        <f>1</f>
        <v>1</v>
      </c>
      <c r="I350" s="36"/>
      <c r="J350" s="52">
        <v>1</v>
      </c>
      <c r="K350" s="53">
        <f>0</f>
        <v>0</v>
      </c>
      <c r="L350" s="53">
        <f>0</f>
        <v>0</v>
      </c>
      <c r="M350" s="53">
        <f>0</f>
        <v>0</v>
      </c>
      <c r="N350" s="54">
        <f>SUM(K350:M350)</f>
        <v>0</v>
      </c>
      <c r="O350" s="54">
        <f>ROUND((H350*K350),2)</f>
        <v>0</v>
      </c>
      <c r="P350" s="54">
        <f>ROUND((H350*L350),2)</f>
        <v>0</v>
      </c>
      <c r="Q350" s="54">
        <f>ROUND((H350*M350),2)</f>
        <v>0</v>
      </c>
      <c r="R350" s="54">
        <f>ROUND((H350*N350),2)</f>
        <v>0</v>
      </c>
      <c r="S350" s="54"/>
      <c r="T350" s="36"/>
      <c r="XDA350"/>
      <c r="XDB350"/>
      <c r="XDC350"/>
      <c r="XDD350"/>
      <c r="XDE350"/>
      <c r="XDF350"/>
      <c r="XDG350"/>
      <c r="XDH350"/>
      <c r="XDI350"/>
      <c r="XDJ350"/>
      <c r="XDK350"/>
      <c r="XDL350"/>
      <c r="XDM350"/>
      <c r="XDN350"/>
      <c r="XDO350"/>
      <c r="XDP350"/>
      <c r="XDQ350"/>
      <c r="XDR350"/>
      <c r="XDS350"/>
      <c r="XDT350"/>
      <c r="XDU350"/>
      <c r="XDV350"/>
      <c r="XDW350"/>
      <c r="XDX350"/>
      <c r="XDY350"/>
      <c r="XDZ350"/>
      <c r="XEA350"/>
      <c r="XEB350"/>
      <c r="XEC350"/>
      <c r="XED350"/>
      <c r="XEE350"/>
      <c r="XEF350"/>
      <c r="XEG350"/>
      <c r="XEH350"/>
      <c r="XEI350"/>
      <c r="XEJ350"/>
      <c r="XEK350"/>
      <c r="XEL350"/>
      <c r="XEM350"/>
      <c r="XEN350"/>
      <c r="XEO350"/>
      <c r="XEP350"/>
      <c r="XEQ350"/>
      <c r="XER350"/>
      <c r="XES350"/>
      <c r="XET350"/>
      <c r="XEU350"/>
      <c r="XEV350"/>
      <c r="XEW350"/>
      <c r="XEX350"/>
      <c r="XEY350"/>
      <c r="XEZ350"/>
      <c r="XFA350"/>
      <c r="XFB350"/>
      <c r="XFC350"/>
    </row>
    <row r="351" spans="1:20 16329:16383" s="38" customFormat="1" ht="29.1" customHeight="1" outlineLevel="3" x14ac:dyDescent="0.25">
      <c r="A351" s="55" t="s">
        <v>704</v>
      </c>
      <c r="B351" s="56" t="s">
        <v>705</v>
      </c>
      <c r="C351" s="56"/>
      <c r="D351" s="2" t="s">
        <v>706</v>
      </c>
      <c r="E351" s="2"/>
      <c r="F351" s="57"/>
      <c r="G351" s="56"/>
      <c r="H351" s="58"/>
      <c r="I351" s="36"/>
      <c r="J351" s="58"/>
      <c r="K351" s="59"/>
      <c r="L351" s="59"/>
      <c r="M351" s="59"/>
      <c r="N351" s="59"/>
      <c r="O351" s="59">
        <f>SUM(O352:O357)</f>
        <v>0</v>
      </c>
      <c r="P351" s="59">
        <f>SUM(P352:P357)</f>
        <v>0</v>
      </c>
      <c r="Q351" s="59">
        <f>SUM(Q352:Q357)</f>
        <v>0</v>
      </c>
      <c r="R351" s="59">
        <f>SUM(R352:R357)</f>
        <v>0</v>
      </c>
      <c r="S351" s="59"/>
      <c r="T351" s="36"/>
      <c r="XDA351"/>
      <c r="XDB351"/>
      <c r="XDC351"/>
      <c r="XDD351"/>
      <c r="XDE351"/>
      <c r="XDF351"/>
      <c r="XDG351"/>
      <c r="XDH351"/>
      <c r="XDI351"/>
      <c r="XDJ351"/>
      <c r="XDK351"/>
      <c r="XDL351"/>
      <c r="XDM351"/>
      <c r="XDN351"/>
      <c r="XDO351"/>
      <c r="XDP351"/>
      <c r="XDQ351"/>
      <c r="XDR351"/>
      <c r="XDS351"/>
      <c r="XDT351"/>
      <c r="XDU351"/>
      <c r="XDV351"/>
      <c r="XDW351"/>
      <c r="XDX351"/>
      <c r="XDY351"/>
      <c r="XDZ351"/>
      <c r="XEA351"/>
      <c r="XEB351"/>
      <c r="XEC351"/>
      <c r="XED351"/>
      <c r="XEE351"/>
      <c r="XEF351"/>
      <c r="XEG351"/>
      <c r="XEH351"/>
      <c r="XEI351"/>
      <c r="XEJ351"/>
      <c r="XEK351"/>
      <c r="XEL351"/>
      <c r="XEM351"/>
      <c r="XEN351"/>
      <c r="XEO351"/>
      <c r="XEP351"/>
      <c r="XEQ351"/>
      <c r="XER351"/>
      <c r="XES351"/>
      <c r="XET351"/>
      <c r="XEU351"/>
      <c r="XEV351"/>
      <c r="XEW351"/>
      <c r="XEX351"/>
      <c r="XEY351"/>
      <c r="XEZ351"/>
      <c r="XFA351"/>
      <c r="XFB351"/>
      <c r="XFC351"/>
    </row>
    <row r="352" spans="1:20 16329:16383" s="38" customFormat="1" ht="29.1" customHeight="1" outlineLevel="4" x14ac:dyDescent="0.25">
      <c r="A352" s="49" t="s">
        <v>707</v>
      </c>
      <c r="B352" s="50"/>
      <c r="C352" s="50"/>
      <c r="D352" s="3" t="s">
        <v>672</v>
      </c>
      <c r="E352" s="3"/>
      <c r="F352" s="51"/>
      <c r="G352" s="50" t="s">
        <v>102</v>
      </c>
      <c r="H352" s="52">
        <f>1</f>
        <v>1</v>
      </c>
      <c r="I352" s="36"/>
      <c r="J352" s="52">
        <v>1</v>
      </c>
      <c r="K352" s="53">
        <f>0</f>
        <v>0</v>
      </c>
      <c r="L352" s="53">
        <f>0</f>
        <v>0</v>
      </c>
      <c r="M352" s="53">
        <f>0</f>
        <v>0</v>
      </c>
      <c r="N352" s="54">
        <f t="shared" ref="N352:N357" si="25">SUM(K352:M352)</f>
        <v>0</v>
      </c>
      <c r="O352" s="54">
        <f t="shared" ref="O352:O357" si="26">ROUND((H352*K352),2)</f>
        <v>0</v>
      </c>
      <c r="P352" s="54">
        <f t="shared" ref="P352:P357" si="27">ROUND((H352*L352),2)</f>
        <v>0</v>
      </c>
      <c r="Q352" s="54">
        <f t="shared" ref="Q352:Q357" si="28">ROUND((H352*M352),2)</f>
        <v>0</v>
      </c>
      <c r="R352" s="54">
        <f t="shared" ref="R352:R357" si="29">ROUND((H352*N352),2)</f>
        <v>0</v>
      </c>
      <c r="S352" s="54"/>
      <c r="T352" s="36"/>
      <c r="XDA352"/>
      <c r="XDB352"/>
      <c r="XDC352"/>
      <c r="XDD352"/>
      <c r="XDE352"/>
      <c r="XDF352"/>
      <c r="XDG352"/>
      <c r="XDH352"/>
      <c r="XDI352"/>
      <c r="XDJ352"/>
      <c r="XDK352"/>
      <c r="XDL352"/>
      <c r="XDM352"/>
      <c r="XDN352"/>
      <c r="XDO352"/>
      <c r="XDP352"/>
      <c r="XDQ352"/>
      <c r="XDR352"/>
      <c r="XDS352"/>
      <c r="XDT352"/>
      <c r="XDU352"/>
      <c r="XDV352"/>
      <c r="XDW352"/>
      <c r="XDX352"/>
      <c r="XDY352"/>
      <c r="XDZ352"/>
      <c r="XEA352"/>
      <c r="XEB352"/>
      <c r="XEC352"/>
      <c r="XED352"/>
      <c r="XEE352"/>
      <c r="XEF352"/>
      <c r="XEG352"/>
      <c r="XEH352"/>
      <c r="XEI352"/>
      <c r="XEJ352"/>
      <c r="XEK352"/>
      <c r="XEL352"/>
      <c r="XEM352"/>
      <c r="XEN352"/>
      <c r="XEO352"/>
      <c r="XEP352"/>
      <c r="XEQ352"/>
      <c r="XER352"/>
      <c r="XES352"/>
      <c r="XET352"/>
      <c r="XEU352"/>
      <c r="XEV352"/>
      <c r="XEW352"/>
      <c r="XEX352"/>
      <c r="XEY352"/>
      <c r="XEZ352"/>
      <c r="XFA352"/>
      <c r="XFB352"/>
      <c r="XFC352"/>
    </row>
    <row r="353" spans="1:20 16329:16383" s="38" customFormat="1" ht="29.1" customHeight="1" outlineLevel="4" x14ac:dyDescent="0.25">
      <c r="A353" s="49" t="s">
        <v>708</v>
      </c>
      <c r="B353" s="50"/>
      <c r="C353" s="50"/>
      <c r="D353" s="3" t="s">
        <v>676</v>
      </c>
      <c r="E353" s="3"/>
      <c r="F353" s="51"/>
      <c r="G353" s="50" t="s">
        <v>102</v>
      </c>
      <c r="H353" s="52">
        <f>1</f>
        <v>1</v>
      </c>
      <c r="I353" s="36"/>
      <c r="J353" s="52">
        <v>1</v>
      </c>
      <c r="K353" s="53">
        <f>0</f>
        <v>0</v>
      </c>
      <c r="L353" s="53">
        <f>0</f>
        <v>0</v>
      </c>
      <c r="M353" s="53">
        <f>0</f>
        <v>0</v>
      </c>
      <c r="N353" s="54">
        <f t="shared" si="25"/>
        <v>0</v>
      </c>
      <c r="O353" s="54">
        <f t="shared" si="26"/>
        <v>0</v>
      </c>
      <c r="P353" s="54">
        <f t="shared" si="27"/>
        <v>0</v>
      </c>
      <c r="Q353" s="54">
        <f t="shared" si="28"/>
        <v>0</v>
      </c>
      <c r="R353" s="54">
        <f t="shared" si="29"/>
        <v>0</v>
      </c>
      <c r="S353" s="54"/>
      <c r="T353" s="36"/>
      <c r="XDA353"/>
      <c r="XDB353"/>
      <c r="XDC353"/>
      <c r="XDD353"/>
      <c r="XDE353"/>
      <c r="XDF353"/>
      <c r="XDG353"/>
      <c r="XDH353"/>
      <c r="XDI353"/>
      <c r="XDJ353"/>
      <c r="XDK353"/>
      <c r="XDL353"/>
      <c r="XDM353"/>
      <c r="XDN353"/>
      <c r="XDO353"/>
      <c r="XDP353"/>
      <c r="XDQ353"/>
      <c r="XDR353"/>
      <c r="XDS353"/>
      <c r="XDT353"/>
      <c r="XDU353"/>
      <c r="XDV353"/>
      <c r="XDW353"/>
      <c r="XDX353"/>
      <c r="XDY353"/>
      <c r="XDZ353"/>
      <c r="XEA353"/>
      <c r="XEB353"/>
      <c r="XEC353"/>
      <c r="XED353"/>
      <c r="XEE353"/>
      <c r="XEF353"/>
      <c r="XEG353"/>
      <c r="XEH353"/>
      <c r="XEI353"/>
      <c r="XEJ353"/>
      <c r="XEK353"/>
      <c r="XEL353"/>
      <c r="XEM353"/>
      <c r="XEN353"/>
      <c r="XEO353"/>
      <c r="XEP353"/>
      <c r="XEQ353"/>
      <c r="XER353"/>
      <c r="XES353"/>
      <c r="XET353"/>
      <c r="XEU353"/>
      <c r="XEV353"/>
      <c r="XEW353"/>
      <c r="XEX353"/>
      <c r="XEY353"/>
      <c r="XEZ353"/>
      <c r="XFA353"/>
      <c r="XFB353"/>
      <c r="XFC353"/>
    </row>
    <row r="354" spans="1:20 16329:16383" s="38" customFormat="1" ht="29.1" customHeight="1" outlineLevel="4" x14ac:dyDescent="0.25">
      <c r="A354" s="49" t="s">
        <v>709</v>
      </c>
      <c r="B354" s="50"/>
      <c r="C354" s="50"/>
      <c r="D354" s="3" t="s">
        <v>690</v>
      </c>
      <c r="E354" s="3"/>
      <c r="F354" s="51"/>
      <c r="G354" s="50" t="s">
        <v>102</v>
      </c>
      <c r="H354" s="52">
        <f>1</f>
        <v>1</v>
      </c>
      <c r="I354" s="36"/>
      <c r="J354" s="52">
        <v>1</v>
      </c>
      <c r="K354" s="53">
        <f>0</f>
        <v>0</v>
      </c>
      <c r="L354" s="53">
        <f>0</f>
        <v>0</v>
      </c>
      <c r="M354" s="53">
        <f>0</f>
        <v>0</v>
      </c>
      <c r="N354" s="54">
        <f t="shared" si="25"/>
        <v>0</v>
      </c>
      <c r="O354" s="54">
        <f t="shared" si="26"/>
        <v>0</v>
      </c>
      <c r="P354" s="54">
        <f t="shared" si="27"/>
        <v>0</v>
      </c>
      <c r="Q354" s="54">
        <f t="shared" si="28"/>
        <v>0</v>
      </c>
      <c r="R354" s="54">
        <f t="shared" si="29"/>
        <v>0</v>
      </c>
      <c r="S354" s="54"/>
      <c r="T354" s="36"/>
      <c r="XDA354"/>
      <c r="XDB354"/>
      <c r="XDC354"/>
      <c r="XDD354"/>
      <c r="XDE354"/>
      <c r="XDF354"/>
      <c r="XDG354"/>
      <c r="XDH354"/>
      <c r="XDI354"/>
      <c r="XDJ354"/>
      <c r="XDK354"/>
      <c r="XDL354"/>
      <c r="XDM354"/>
      <c r="XDN354"/>
      <c r="XDO354"/>
      <c r="XDP354"/>
      <c r="XDQ354"/>
      <c r="XDR354"/>
      <c r="XDS354"/>
      <c r="XDT354"/>
      <c r="XDU354"/>
      <c r="XDV354"/>
      <c r="XDW354"/>
      <c r="XDX354"/>
      <c r="XDY354"/>
      <c r="XDZ354"/>
      <c r="XEA354"/>
      <c r="XEB354"/>
      <c r="XEC354"/>
      <c r="XED354"/>
      <c r="XEE354"/>
      <c r="XEF354"/>
      <c r="XEG354"/>
      <c r="XEH354"/>
      <c r="XEI354"/>
      <c r="XEJ354"/>
      <c r="XEK354"/>
      <c r="XEL354"/>
      <c r="XEM354"/>
      <c r="XEN354"/>
      <c r="XEO354"/>
      <c r="XEP354"/>
      <c r="XEQ354"/>
      <c r="XER354"/>
      <c r="XES354"/>
      <c r="XET354"/>
      <c r="XEU354"/>
      <c r="XEV354"/>
      <c r="XEW354"/>
      <c r="XEX354"/>
      <c r="XEY354"/>
      <c r="XEZ354"/>
      <c r="XFA354"/>
      <c r="XFB354"/>
      <c r="XFC354"/>
    </row>
    <row r="355" spans="1:20 16329:16383" s="38" customFormat="1" ht="29.1" customHeight="1" outlineLevel="4" x14ac:dyDescent="0.25">
      <c r="A355" s="49" t="s">
        <v>710</v>
      </c>
      <c r="B355" s="50"/>
      <c r="C355" s="50"/>
      <c r="D355" s="3" t="s">
        <v>678</v>
      </c>
      <c r="E355" s="3"/>
      <c r="F355" s="51"/>
      <c r="G355" s="50" t="s">
        <v>102</v>
      </c>
      <c r="H355" s="52">
        <f>1</f>
        <v>1</v>
      </c>
      <c r="I355" s="36"/>
      <c r="J355" s="52">
        <v>1</v>
      </c>
      <c r="K355" s="53">
        <f>0</f>
        <v>0</v>
      </c>
      <c r="L355" s="53">
        <f>0</f>
        <v>0</v>
      </c>
      <c r="M355" s="53">
        <f>0</f>
        <v>0</v>
      </c>
      <c r="N355" s="54">
        <f t="shared" si="25"/>
        <v>0</v>
      </c>
      <c r="O355" s="54">
        <f t="shared" si="26"/>
        <v>0</v>
      </c>
      <c r="P355" s="54">
        <f t="shared" si="27"/>
        <v>0</v>
      </c>
      <c r="Q355" s="54">
        <f t="shared" si="28"/>
        <v>0</v>
      </c>
      <c r="R355" s="54">
        <f t="shared" si="29"/>
        <v>0</v>
      </c>
      <c r="S355" s="54"/>
      <c r="T355" s="36"/>
      <c r="XDA355"/>
      <c r="XDB355"/>
      <c r="XDC355"/>
      <c r="XDD355"/>
      <c r="XDE355"/>
      <c r="XDF355"/>
      <c r="XDG355"/>
      <c r="XDH355"/>
      <c r="XDI355"/>
      <c r="XDJ355"/>
      <c r="XDK355"/>
      <c r="XDL355"/>
      <c r="XDM355"/>
      <c r="XDN355"/>
      <c r="XDO355"/>
      <c r="XDP355"/>
      <c r="XDQ355"/>
      <c r="XDR355"/>
      <c r="XDS355"/>
      <c r="XDT355"/>
      <c r="XDU355"/>
      <c r="XDV355"/>
      <c r="XDW355"/>
      <c r="XDX355"/>
      <c r="XDY355"/>
      <c r="XDZ355"/>
      <c r="XEA355"/>
      <c r="XEB355"/>
      <c r="XEC355"/>
      <c r="XED355"/>
      <c r="XEE355"/>
      <c r="XEF355"/>
      <c r="XEG355"/>
      <c r="XEH355"/>
      <c r="XEI355"/>
      <c r="XEJ355"/>
      <c r="XEK355"/>
      <c r="XEL355"/>
      <c r="XEM355"/>
      <c r="XEN355"/>
      <c r="XEO355"/>
      <c r="XEP355"/>
      <c r="XEQ355"/>
      <c r="XER355"/>
      <c r="XES355"/>
      <c r="XET355"/>
      <c r="XEU355"/>
      <c r="XEV355"/>
      <c r="XEW355"/>
      <c r="XEX355"/>
      <c r="XEY355"/>
      <c r="XEZ355"/>
      <c r="XFA355"/>
      <c r="XFB355"/>
      <c r="XFC355"/>
    </row>
    <row r="356" spans="1:20 16329:16383" s="38" customFormat="1" ht="29.1" customHeight="1" outlineLevel="4" x14ac:dyDescent="0.25">
      <c r="A356" s="49" t="s">
        <v>711</v>
      </c>
      <c r="B356" s="50"/>
      <c r="C356" s="50"/>
      <c r="D356" s="3" t="s">
        <v>712</v>
      </c>
      <c r="E356" s="3"/>
      <c r="F356" s="51"/>
      <c r="G356" s="50" t="s">
        <v>102</v>
      </c>
      <c r="H356" s="52">
        <f>1</f>
        <v>1</v>
      </c>
      <c r="I356" s="36"/>
      <c r="J356" s="52">
        <v>1</v>
      </c>
      <c r="K356" s="53">
        <f>0</f>
        <v>0</v>
      </c>
      <c r="L356" s="53">
        <f>0</f>
        <v>0</v>
      </c>
      <c r="M356" s="53">
        <f>0</f>
        <v>0</v>
      </c>
      <c r="N356" s="54">
        <f t="shared" si="25"/>
        <v>0</v>
      </c>
      <c r="O356" s="54">
        <f t="shared" si="26"/>
        <v>0</v>
      </c>
      <c r="P356" s="54">
        <f t="shared" si="27"/>
        <v>0</v>
      </c>
      <c r="Q356" s="54">
        <f t="shared" si="28"/>
        <v>0</v>
      </c>
      <c r="R356" s="54">
        <f t="shared" si="29"/>
        <v>0</v>
      </c>
      <c r="S356" s="54"/>
      <c r="T356" s="36"/>
      <c r="XDA356"/>
      <c r="XDB356"/>
      <c r="XDC356"/>
      <c r="XDD356"/>
      <c r="XDE356"/>
      <c r="XDF356"/>
      <c r="XDG356"/>
      <c r="XDH356"/>
      <c r="XDI356"/>
      <c r="XDJ356"/>
      <c r="XDK356"/>
      <c r="XDL356"/>
      <c r="XDM356"/>
      <c r="XDN356"/>
      <c r="XDO356"/>
      <c r="XDP356"/>
      <c r="XDQ356"/>
      <c r="XDR356"/>
      <c r="XDS356"/>
      <c r="XDT356"/>
      <c r="XDU356"/>
      <c r="XDV356"/>
      <c r="XDW356"/>
      <c r="XDX356"/>
      <c r="XDY356"/>
      <c r="XDZ356"/>
      <c r="XEA356"/>
      <c r="XEB356"/>
      <c r="XEC356"/>
      <c r="XED356"/>
      <c r="XEE356"/>
      <c r="XEF356"/>
      <c r="XEG356"/>
      <c r="XEH356"/>
      <c r="XEI356"/>
      <c r="XEJ356"/>
      <c r="XEK356"/>
      <c r="XEL356"/>
      <c r="XEM356"/>
      <c r="XEN356"/>
      <c r="XEO356"/>
      <c r="XEP356"/>
      <c r="XEQ356"/>
      <c r="XER356"/>
      <c r="XES356"/>
      <c r="XET356"/>
      <c r="XEU356"/>
      <c r="XEV356"/>
      <c r="XEW356"/>
      <c r="XEX356"/>
      <c r="XEY356"/>
      <c r="XEZ356"/>
      <c r="XFA356"/>
      <c r="XFB356"/>
      <c r="XFC356"/>
    </row>
    <row r="357" spans="1:20 16329:16383" s="38" customFormat="1" ht="29.1" customHeight="1" outlineLevel="4" x14ac:dyDescent="0.25">
      <c r="A357" s="49" t="s">
        <v>713</v>
      </c>
      <c r="B357" s="50"/>
      <c r="C357" s="50"/>
      <c r="D357" s="3" t="s">
        <v>714</v>
      </c>
      <c r="E357" s="3"/>
      <c r="F357" s="51"/>
      <c r="G357" s="50" t="s">
        <v>102</v>
      </c>
      <c r="H357" s="52">
        <f>1</f>
        <v>1</v>
      </c>
      <c r="I357" s="36"/>
      <c r="J357" s="52">
        <v>1</v>
      </c>
      <c r="K357" s="53">
        <f>0</f>
        <v>0</v>
      </c>
      <c r="L357" s="53">
        <f>0</f>
        <v>0</v>
      </c>
      <c r="M357" s="53">
        <f>0</f>
        <v>0</v>
      </c>
      <c r="N357" s="54">
        <f t="shared" si="25"/>
        <v>0</v>
      </c>
      <c r="O357" s="54">
        <f t="shared" si="26"/>
        <v>0</v>
      </c>
      <c r="P357" s="54">
        <f t="shared" si="27"/>
        <v>0</v>
      </c>
      <c r="Q357" s="54">
        <f t="shared" si="28"/>
        <v>0</v>
      </c>
      <c r="R357" s="54">
        <f t="shared" si="29"/>
        <v>0</v>
      </c>
      <c r="S357" s="54"/>
      <c r="T357" s="36"/>
      <c r="XDA357"/>
      <c r="XDB357"/>
      <c r="XDC357"/>
      <c r="XDD357"/>
      <c r="XDE357"/>
      <c r="XDF357"/>
      <c r="XDG357"/>
      <c r="XDH357"/>
      <c r="XDI357"/>
      <c r="XDJ357"/>
      <c r="XDK357"/>
      <c r="XDL357"/>
      <c r="XDM357"/>
      <c r="XDN357"/>
      <c r="XDO357"/>
      <c r="XDP357"/>
      <c r="XDQ357"/>
      <c r="XDR357"/>
      <c r="XDS357"/>
      <c r="XDT357"/>
      <c r="XDU357"/>
      <c r="XDV357"/>
      <c r="XDW357"/>
      <c r="XDX357"/>
      <c r="XDY357"/>
      <c r="XDZ357"/>
      <c r="XEA357"/>
      <c r="XEB357"/>
      <c r="XEC357"/>
      <c r="XED357"/>
      <c r="XEE357"/>
      <c r="XEF357"/>
      <c r="XEG357"/>
      <c r="XEH357"/>
      <c r="XEI357"/>
      <c r="XEJ357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</row>
    <row r="358" spans="1:20 16329:16383" s="38" customFormat="1" ht="29.1" customHeight="1" outlineLevel="3" x14ac:dyDescent="0.25">
      <c r="A358" s="55" t="s">
        <v>715</v>
      </c>
      <c r="B358" s="56" t="s">
        <v>716</v>
      </c>
      <c r="C358" s="56"/>
      <c r="D358" s="2" t="s">
        <v>717</v>
      </c>
      <c r="E358" s="2"/>
      <c r="F358" s="57"/>
      <c r="G358" s="56"/>
      <c r="H358" s="58"/>
      <c r="I358" s="36"/>
      <c r="J358" s="58"/>
      <c r="K358" s="59"/>
      <c r="L358" s="59"/>
      <c r="M358" s="59"/>
      <c r="N358" s="59"/>
      <c r="O358" s="59">
        <f>SUM(O359:O363)</f>
        <v>0</v>
      </c>
      <c r="P358" s="59">
        <f>SUM(P359:P363)</f>
        <v>0</v>
      </c>
      <c r="Q358" s="59">
        <f>SUM(Q359:Q363)</f>
        <v>0</v>
      </c>
      <c r="R358" s="59">
        <f>SUM(R359:R363)</f>
        <v>0</v>
      </c>
      <c r="S358" s="59"/>
      <c r="T358" s="36"/>
      <c r="XDA358"/>
      <c r="XDB358"/>
      <c r="XDC358"/>
      <c r="XDD358"/>
      <c r="XDE358"/>
      <c r="XDF358"/>
      <c r="XDG358"/>
      <c r="XDH358"/>
      <c r="XDI358"/>
      <c r="XDJ358"/>
      <c r="XDK358"/>
      <c r="XDL358"/>
      <c r="XDM358"/>
      <c r="XDN358"/>
      <c r="XDO358"/>
      <c r="XDP358"/>
      <c r="XDQ358"/>
      <c r="XDR358"/>
      <c r="XDS358"/>
      <c r="XDT358"/>
      <c r="XDU358"/>
      <c r="XDV358"/>
      <c r="XDW358"/>
      <c r="XDX358"/>
      <c r="XDY358"/>
      <c r="XDZ358"/>
      <c r="XEA358"/>
      <c r="XEB358"/>
      <c r="XEC358"/>
      <c r="XED358"/>
      <c r="XEE358"/>
      <c r="XEF358"/>
      <c r="XEG358"/>
      <c r="XEH358"/>
      <c r="XEI358"/>
      <c r="XEJ358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</row>
    <row r="359" spans="1:20 16329:16383" s="38" customFormat="1" ht="29.1" customHeight="1" outlineLevel="4" x14ac:dyDescent="0.25">
      <c r="A359" s="49" t="s">
        <v>718</v>
      </c>
      <c r="B359" s="50"/>
      <c r="C359" s="50"/>
      <c r="D359" s="3" t="s">
        <v>672</v>
      </c>
      <c r="E359" s="3"/>
      <c r="F359" s="51"/>
      <c r="G359" s="50" t="s">
        <v>102</v>
      </c>
      <c r="H359" s="52">
        <f>1</f>
        <v>1</v>
      </c>
      <c r="I359" s="36"/>
      <c r="J359" s="52">
        <v>1</v>
      </c>
      <c r="K359" s="53">
        <f>0</f>
        <v>0</v>
      </c>
      <c r="L359" s="53">
        <f>0</f>
        <v>0</v>
      </c>
      <c r="M359" s="53">
        <f>0</f>
        <v>0</v>
      </c>
      <c r="N359" s="54">
        <f>SUM(K359:M359)</f>
        <v>0</v>
      </c>
      <c r="O359" s="54">
        <f>ROUND((H359*K359),2)</f>
        <v>0</v>
      </c>
      <c r="P359" s="54">
        <f>ROUND((H359*L359),2)</f>
        <v>0</v>
      </c>
      <c r="Q359" s="54">
        <f>ROUND((H359*M359),2)</f>
        <v>0</v>
      </c>
      <c r="R359" s="54">
        <f>ROUND((H359*N359),2)</f>
        <v>0</v>
      </c>
      <c r="S359" s="54"/>
      <c r="T359" s="36"/>
      <c r="XDA359"/>
      <c r="XDB359"/>
      <c r="XDC359"/>
      <c r="XDD359"/>
      <c r="XDE359"/>
      <c r="XDF359"/>
      <c r="XDG359"/>
      <c r="XDH359"/>
      <c r="XDI359"/>
      <c r="XDJ359"/>
      <c r="XDK359"/>
      <c r="XDL359"/>
      <c r="XDM359"/>
      <c r="XDN359"/>
      <c r="XDO359"/>
      <c r="XDP359"/>
      <c r="XDQ359"/>
      <c r="XDR359"/>
      <c r="XDS359"/>
      <c r="XDT359"/>
      <c r="XDU359"/>
      <c r="XDV359"/>
      <c r="XDW359"/>
      <c r="XDX359"/>
      <c r="XDY359"/>
      <c r="XDZ359"/>
      <c r="XEA359"/>
      <c r="XEB359"/>
      <c r="XEC359"/>
      <c r="XED359"/>
      <c r="XEE359"/>
      <c r="XEF359"/>
      <c r="XEG359"/>
      <c r="XEH359"/>
      <c r="XEI359"/>
      <c r="XEJ359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</row>
    <row r="360" spans="1:20 16329:16383" s="38" customFormat="1" ht="29.1" customHeight="1" outlineLevel="4" x14ac:dyDescent="0.25">
      <c r="A360" s="49" t="s">
        <v>719</v>
      </c>
      <c r="B360" s="50"/>
      <c r="C360" s="50"/>
      <c r="D360" s="3" t="s">
        <v>720</v>
      </c>
      <c r="E360" s="3"/>
      <c r="F360" s="51"/>
      <c r="G360" s="50" t="s">
        <v>102</v>
      </c>
      <c r="H360" s="52">
        <f>1</f>
        <v>1</v>
      </c>
      <c r="I360" s="36"/>
      <c r="J360" s="52">
        <v>1</v>
      </c>
      <c r="K360" s="53">
        <f>0</f>
        <v>0</v>
      </c>
      <c r="L360" s="53">
        <f>0</f>
        <v>0</v>
      </c>
      <c r="M360" s="53">
        <f>0</f>
        <v>0</v>
      </c>
      <c r="N360" s="54">
        <f>SUM(K360:M360)</f>
        <v>0</v>
      </c>
      <c r="O360" s="54">
        <f>ROUND((H360*K360),2)</f>
        <v>0</v>
      </c>
      <c r="P360" s="54">
        <f>ROUND((H360*L360),2)</f>
        <v>0</v>
      </c>
      <c r="Q360" s="54">
        <f>ROUND((H360*M360),2)</f>
        <v>0</v>
      </c>
      <c r="R360" s="54">
        <f>ROUND((H360*N360),2)</f>
        <v>0</v>
      </c>
      <c r="S360" s="54"/>
      <c r="T360" s="36"/>
      <c r="XDA360"/>
      <c r="XDB360"/>
      <c r="XDC360"/>
      <c r="XDD360"/>
      <c r="XDE360"/>
      <c r="XDF360"/>
      <c r="XDG360"/>
      <c r="XDH360"/>
      <c r="XDI360"/>
      <c r="XDJ360"/>
      <c r="XDK360"/>
      <c r="XDL360"/>
      <c r="XDM360"/>
      <c r="XDN360"/>
      <c r="XDO360"/>
      <c r="XDP360"/>
      <c r="XDQ360"/>
      <c r="XDR360"/>
      <c r="XDS360"/>
      <c r="XDT360"/>
      <c r="XDU360"/>
      <c r="XDV360"/>
      <c r="XDW360"/>
      <c r="XDX360"/>
      <c r="XDY360"/>
      <c r="XDZ360"/>
      <c r="XEA360"/>
      <c r="XEB360"/>
      <c r="XEC360"/>
      <c r="XED360"/>
      <c r="XEE360"/>
      <c r="XEF360"/>
      <c r="XEG360"/>
      <c r="XEH360"/>
      <c r="XEI360"/>
      <c r="XEJ36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</row>
    <row r="361" spans="1:20 16329:16383" s="38" customFormat="1" ht="29.1" customHeight="1" outlineLevel="4" x14ac:dyDescent="0.25">
      <c r="A361" s="49" t="s">
        <v>721</v>
      </c>
      <c r="B361" s="50"/>
      <c r="C361" s="50"/>
      <c r="D361" s="3" t="s">
        <v>676</v>
      </c>
      <c r="E361" s="3"/>
      <c r="F361" s="51"/>
      <c r="G361" s="50" t="s">
        <v>102</v>
      </c>
      <c r="H361" s="52">
        <f>1</f>
        <v>1</v>
      </c>
      <c r="I361" s="36"/>
      <c r="J361" s="52">
        <v>1</v>
      </c>
      <c r="K361" s="53">
        <f>0</f>
        <v>0</v>
      </c>
      <c r="L361" s="53">
        <f>0</f>
        <v>0</v>
      </c>
      <c r="M361" s="53">
        <f>0</f>
        <v>0</v>
      </c>
      <c r="N361" s="54">
        <f>SUM(K361:M361)</f>
        <v>0</v>
      </c>
      <c r="O361" s="54">
        <f>ROUND((H361*K361),2)</f>
        <v>0</v>
      </c>
      <c r="P361" s="54">
        <f>ROUND((H361*L361),2)</f>
        <v>0</v>
      </c>
      <c r="Q361" s="54">
        <f>ROUND((H361*M361),2)</f>
        <v>0</v>
      </c>
      <c r="R361" s="54">
        <f>ROUND((H361*N361),2)</f>
        <v>0</v>
      </c>
      <c r="S361" s="54"/>
      <c r="T361" s="36"/>
      <c r="XDA361"/>
      <c r="XDB361"/>
      <c r="XDC361"/>
      <c r="XDD361"/>
      <c r="XDE361"/>
      <c r="XDF361"/>
      <c r="XDG361"/>
      <c r="XDH361"/>
      <c r="XDI361"/>
      <c r="XDJ361"/>
      <c r="XDK361"/>
      <c r="XDL361"/>
      <c r="XDM361"/>
      <c r="XDN361"/>
      <c r="XDO361"/>
      <c r="XDP361"/>
      <c r="XDQ361"/>
      <c r="XDR361"/>
      <c r="XDS361"/>
      <c r="XDT361"/>
      <c r="XDU361"/>
      <c r="XDV361"/>
      <c r="XDW361"/>
      <c r="XDX361"/>
      <c r="XDY361"/>
      <c r="XDZ361"/>
      <c r="XEA361"/>
      <c r="XEB361"/>
      <c r="XEC361"/>
      <c r="XED361"/>
      <c r="XEE361"/>
      <c r="XEF361"/>
      <c r="XEG361"/>
      <c r="XEH361"/>
      <c r="XEI361"/>
      <c r="XEJ361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</row>
    <row r="362" spans="1:20 16329:16383" s="38" customFormat="1" ht="29.1" customHeight="1" outlineLevel="4" x14ac:dyDescent="0.25">
      <c r="A362" s="49" t="s">
        <v>722</v>
      </c>
      <c r="B362" s="50"/>
      <c r="C362" s="50"/>
      <c r="D362" s="3" t="s">
        <v>690</v>
      </c>
      <c r="E362" s="3"/>
      <c r="F362" s="51"/>
      <c r="G362" s="50" t="s">
        <v>102</v>
      </c>
      <c r="H362" s="52">
        <f>1</f>
        <v>1</v>
      </c>
      <c r="I362" s="36"/>
      <c r="J362" s="52">
        <v>1</v>
      </c>
      <c r="K362" s="53">
        <f>0</f>
        <v>0</v>
      </c>
      <c r="L362" s="53">
        <f>0</f>
        <v>0</v>
      </c>
      <c r="M362" s="53">
        <f>0</f>
        <v>0</v>
      </c>
      <c r="N362" s="54">
        <f>SUM(K362:M362)</f>
        <v>0</v>
      </c>
      <c r="O362" s="54">
        <f>ROUND((H362*K362),2)</f>
        <v>0</v>
      </c>
      <c r="P362" s="54">
        <f>ROUND((H362*L362),2)</f>
        <v>0</v>
      </c>
      <c r="Q362" s="54">
        <f>ROUND((H362*M362),2)</f>
        <v>0</v>
      </c>
      <c r="R362" s="54">
        <f>ROUND((H362*N362),2)</f>
        <v>0</v>
      </c>
      <c r="S362" s="54"/>
      <c r="T362" s="36"/>
      <c r="XDA362"/>
      <c r="XDB362"/>
      <c r="XDC362"/>
      <c r="XDD362"/>
      <c r="XDE362"/>
      <c r="XDF362"/>
      <c r="XDG362"/>
      <c r="XDH362"/>
      <c r="XDI362"/>
      <c r="XDJ362"/>
      <c r="XDK362"/>
      <c r="XDL362"/>
      <c r="XDM362"/>
      <c r="XDN362"/>
      <c r="XDO362"/>
      <c r="XDP362"/>
      <c r="XDQ362"/>
      <c r="XDR362"/>
      <c r="XDS362"/>
      <c r="XDT362"/>
      <c r="XDU362"/>
      <c r="XDV362"/>
      <c r="XDW362"/>
      <c r="XDX362"/>
      <c r="XDY362"/>
      <c r="XDZ362"/>
      <c r="XEA362"/>
      <c r="XEB362"/>
      <c r="XEC362"/>
      <c r="XED362"/>
      <c r="XEE362"/>
      <c r="XEF362"/>
      <c r="XEG362"/>
      <c r="XEH362"/>
      <c r="XEI362"/>
      <c r="XEJ362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</row>
    <row r="363" spans="1:20 16329:16383" s="38" customFormat="1" ht="29.1" customHeight="1" outlineLevel="4" x14ac:dyDescent="0.25">
      <c r="A363" s="49" t="s">
        <v>723</v>
      </c>
      <c r="B363" s="50"/>
      <c r="C363" s="50"/>
      <c r="D363" s="3" t="s">
        <v>678</v>
      </c>
      <c r="E363" s="3"/>
      <c r="F363" s="51"/>
      <c r="G363" s="50" t="s">
        <v>102</v>
      </c>
      <c r="H363" s="52">
        <f>1</f>
        <v>1</v>
      </c>
      <c r="I363" s="36"/>
      <c r="J363" s="52">
        <v>1</v>
      </c>
      <c r="K363" s="53">
        <f>0</f>
        <v>0</v>
      </c>
      <c r="L363" s="53">
        <f>0</f>
        <v>0</v>
      </c>
      <c r="M363" s="53">
        <f>0</f>
        <v>0</v>
      </c>
      <c r="N363" s="54">
        <f>SUM(K363:M363)</f>
        <v>0</v>
      </c>
      <c r="O363" s="54">
        <f>ROUND((H363*K363),2)</f>
        <v>0</v>
      </c>
      <c r="P363" s="54">
        <f>ROUND((H363*L363),2)</f>
        <v>0</v>
      </c>
      <c r="Q363" s="54">
        <f>ROUND((H363*M363),2)</f>
        <v>0</v>
      </c>
      <c r="R363" s="54">
        <f>ROUND((H363*N363),2)</f>
        <v>0</v>
      </c>
      <c r="S363" s="54"/>
      <c r="T363" s="36"/>
      <c r="XDA363"/>
      <c r="XDB363"/>
      <c r="XDC363"/>
      <c r="XDD363"/>
      <c r="XDE363"/>
      <c r="XDF363"/>
      <c r="XDG363"/>
      <c r="XDH363"/>
      <c r="XDI363"/>
      <c r="XDJ363"/>
      <c r="XDK363"/>
      <c r="XDL363"/>
      <c r="XDM363"/>
      <c r="XDN363"/>
      <c r="XDO363"/>
      <c r="XDP363"/>
      <c r="XDQ363"/>
      <c r="XDR363"/>
      <c r="XDS363"/>
      <c r="XDT363"/>
      <c r="XDU363"/>
      <c r="XDV363"/>
      <c r="XDW363"/>
      <c r="XDX363"/>
      <c r="XDY363"/>
      <c r="XDZ363"/>
      <c r="XEA363"/>
      <c r="XEB363"/>
      <c r="XEC363"/>
      <c r="XED363"/>
      <c r="XEE363"/>
      <c r="XEF363"/>
      <c r="XEG363"/>
      <c r="XEH363"/>
      <c r="XEI363"/>
      <c r="XEJ363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</row>
    <row r="364" spans="1:20 16329:16383" s="38" customFormat="1" ht="29.1" customHeight="1" outlineLevel="2" x14ac:dyDescent="0.25">
      <c r="A364" s="44" t="s">
        <v>724</v>
      </c>
      <c r="B364" s="45" t="s">
        <v>725</v>
      </c>
      <c r="C364" s="45" t="s">
        <v>726</v>
      </c>
      <c r="D364" s="4" t="s">
        <v>727</v>
      </c>
      <c r="E364" s="4"/>
      <c r="F364" s="46"/>
      <c r="G364" s="45" t="s">
        <v>102</v>
      </c>
      <c r="H364" s="47"/>
      <c r="I364" s="36"/>
      <c r="J364" s="47"/>
      <c r="K364" s="48"/>
      <c r="L364" s="48"/>
      <c r="M364" s="48"/>
      <c r="N364" s="48"/>
      <c r="O364" s="48">
        <f>O365+O366</f>
        <v>0</v>
      </c>
      <c r="P364" s="48">
        <f>P365+P366</f>
        <v>0</v>
      </c>
      <c r="Q364" s="48">
        <f>Q365+Q366</f>
        <v>0</v>
      </c>
      <c r="R364" s="48">
        <f>R365+R366</f>
        <v>0</v>
      </c>
      <c r="S364" s="48"/>
      <c r="T364" s="36"/>
      <c r="XDA364"/>
      <c r="XDB364"/>
      <c r="XDC364"/>
      <c r="XDD364"/>
      <c r="XDE364"/>
      <c r="XDF364"/>
      <c r="XDG364"/>
      <c r="XDH364"/>
      <c r="XDI364"/>
      <c r="XDJ364"/>
      <c r="XDK364"/>
      <c r="XDL364"/>
      <c r="XDM364"/>
      <c r="XDN364"/>
      <c r="XDO364"/>
      <c r="XDP364"/>
      <c r="XDQ364"/>
      <c r="XDR364"/>
      <c r="XDS364"/>
      <c r="XDT364"/>
      <c r="XDU364"/>
      <c r="XDV364"/>
      <c r="XDW364"/>
      <c r="XDX364"/>
      <c r="XDY364"/>
      <c r="XDZ364"/>
      <c r="XEA364"/>
      <c r="XEB364"/>
      <c r="XEC364"/>
      <c r="XED364"/>
      <c r="XEE364"/>
      <c r="XEF364"/>
      <c r="XEG364"/>
      <c r="XEH364"/>
      <c r="XEI364"/>
      <c r="XEJ364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</row>
    <row r="365" spans="1:20 16329:16383" s="38" customFormat="1" ht="29.1" customHeight="1" outlineLevel="3" x14ac:dyDescent="0.25">
      <c r="A365" s="49" t="s">
        <v>728</v>
      </c>
      <c r="B365" s="50"/>
      <c r="C365" s="50"/>
      <c r="D365" s="3" t="s">
        <v>729</v>
      </c>
      <c r="E365" s="3"/>
      <c r="F365" s="51"/>
      <c r="G365" s="50" t="s">
        <v>102</v>
      </c>
      <c r="H365" s="52">
        <f>1</f>
        <v>1</v>
      </c>
      <c r="I365" s="36"/>
      <c r="J365" s="52">
        <v>1</v>
      </c>
      <c r="K365" s="53">
        <f>0</f>
        <v>0</v>
      </c>
      <c r="L365" s="53">
        <f>0</f>
        <v>0</v>
      </c>
      <c r="M365" s="53">
        <f>0</f>
        <v>0</v>
      </c>
      <c r="N365" s="54">
        <f>SUM(K365:M365)</f>
        <v>0</v>
      </c>
      <c r="O365" s="54">
        <f>ROUND((H365*K365),2)</f>
        <v>0</v>
      </c>
      <c r="P365" s="54">
        <f>ROUND((H365*L365),2)</f>
        <v>0</v>
      </c>
      <c r="Q365" s="54">
        <f>ROUND((H365*M365),2)</f>
        <v>0</v>
      </c>
      <c r="R365" s="54">
        <f>ROUND((H365*N365),2)</f>
        <v>0</v>
      </c>
      <c r="S365" s="54"/>
      <c r="T365" s="36"/>
      <c r="XDA365"/>
      <c r="XDB365"/>
      <c r="XDC365"/>
      <c r="XDD365"/>
      <c r="XDE365"/>
      <c r="XDF365"/>
      <c r="XDG365"/>
      <c r="XDH365"/>
      <c r="XDI365"/>
      <c r="XDJ365"/>
      <c r="XDK365"/>
      <c r="XDL365"/>
      <c r="XDM365"/>
      <c r="XDN365"/>
      <c r="XDO365"/>
      <c r="XDP365"/>
      <c r="XDQ365"/>
      <c r="XDR365"/>
      <c r="XDS365"/>
      <c r="XDT365"/>
      <c r="XDU365"/>
      <c r="XDV365"/>
      <c r="XDW365"/>
      <c r="XDX365"/>
      <c r="XDY365"/>
      <c r="XDZ365"/>
      <c r="XEA365"/>
      <c r="XEB365"/>
      <c r="XEC365"/>
      <c r="XED365"/>
      <c r="XEE365"/>
      <c r="XEF365"/>
      <c r="XEG365"/>
      <c r="XEH365"/>
      <c r="XEI365"/>
      <c r="XEJ365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</row>
    <row r="366" spans="1:20 16329:16383" s="38" customFormat="1" ht="29.1" customHeight="1" outlineLevel="3" x14ac:dyDescent="0.25">
      <c r="A366" s="49" t="s">
        <v>730</v>
      </c>
      <c r="B366" s="50"/>
      <c r="C366" s="50"/>
      <c r="D366" s="3" t="s">
        <v>731</v>
      </c>
      <c r="E366" s="3"/>
      <c r="F366" s="51"/>
      <c r="G366" s="50" t="s">
        <v>102</v>
      </c>
      <c r="H366" s="52">
        <f>1</f>
        <v>1</v>
      </c>
      <c r="I366" s="36"/>
      <c r="J366" s="52">
        <v>1</v>
      </c>
      <c r="K366" s="53">
        <f>0</f>
        <v>0</v>
      </c>
      <c r="L366" s="53">
        <f>0</f>
        <v>0</v>
      </c>
      <c r="M366" s="53">
        <f>0</f>
        <v>0</v>
      </c>
      <c r="N366" s="54">
        <f>SUM(K366:M366)</f>
        <v>0</v>
      </c>
      <c r="O366" s="54">
        <f>ROUND((H366*K366),2)</f>
        <v>0</v>
      </c>
      <c r="P366" s="54">
        <f>ROUND((H366*L366),2)</f>
        <v>0</v>
      </c>
      <c r="Q366" s="54">
        <f>ROUND((H366*M366),2)</f>
        <v>0</v>
      </c>
      <c r="R366" s="54">
        <f>ROUND((H366*N366),2)</f>
        <v>0</v>
      </c>
      <c r="S366" s="54"/>
      <c r="T366" s="36"/>
      <c r="XDA366"/>
      <c r="XDB366"/>
      <c r="XDC366"/>
      <c r="XDD366"/>
      <c r="XDE366"/>
      <c r="XDF366"/>
      <c r="XDG366"/>
      <c r="XDH366"/>
      <c r="XDI366"/>
      <c r="XDJ366"/>
      <c r="XDK366"/>
      <c r="XDL366"/>
      <c r="XDM366"/>
      <c r="XDN366"/>
      <c r="XDO366"/>
      <c r="XDP366"/>
      <c r="XDQ366"/>
      <c r="XDR366"/>
      <c r="XDS366"/>
      <c r="XDT366"/>
      <c r="XDU366"/>
      <c r="XDV366"/>
      <c r="XDW366"/>
      <c r="XDX366"/>
      <c r="XDY366"/>
      <c r="XDZ366"/>
      <c r="XEA366"/>
      <c r="XEB366"/>
      <c r="XEC366"/>
      <c r="XED366"/>
      <c r="XEE366"/>
      <c r="XEF366"/>
      <c r="XEG366"/>
      <c r="XEH366"/>
      <c r="XEI366"/>
      <c r="XEJ366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</row>
    <row r="367" spans="1:20 16329:16383" s="38" customFormat="1" ht="29.1" customHeight="1" outlineLevel="1" x14ac:dyDescent="0.25">
      <c r="A367" s="39" t="s">
        <v>732</v>
      </c>
      <c r="B367" s="40" t="s">
        <v>40</v>
      </c>
      <c r="C367" s="40" t="s">
        <v>733</v>
      </c>
      <c r="D367" s="5" t="s">
        <v>734</v>
      </c>
      <c r="E367" s="5"/>
      <c r="F367" s="41"/>
      <c r="G367" s="40" t="s">
        <v>102</v>
      </c>
      <c r="H367" s="42"/>
      <c r="I367" s="36"/>
      <c r="J367" s="42"/>
      <c r="K367" s="43"/>
      <c r="L367" s="43"/>
      <c r="M367" s="43"/>
      <c r="N367" s="43"/>
      <c r="O367" s="43">
        <f>O368+O414+O577+O612+O712+O719+O722+O729+O744</f>
        <v>0</v>
      </c>
      <c r="P367" s="43">
        <f>P368+P414+P577+P612+P712+P719+P722+P729+P744</f>
        <v>0</v>
      </c>
      <c r="Q367" s="43">
        <f>Q368+Q414+Q577+Q612+Q712+Q719+Q722+Q729+Q744</f>
        <v>0</v>
      </c>
      <c r="R367" s="43">
        <f>R368+R414+R577+R612+R712+R719+R722+R729+R744</f>
        <v>0</v>
      </c>
      <c r="S367" s="43"/>
      <c r="T367" s="36"/>
      <c r="XDA367"/>
      <c r="XDB367"/>
      <c r="XDC367"/>
      <c r="XDD367"/>
      <c r="XDE367"/>
      <c r="XDF367"/>
      <c r="XDG367"/>
      <c r="XDH367"/>
      <c r="XDI367"/>
      <c r="XDJ367"/>
      <c r="XDK367"/>
      <c r="XDL367"/>
      <c r="XDM367"/>
      <c r="XDN367"/>
      <c r="XDO367"/>
      <c r="XDP367"/>
      <c r="XDQ367"/>
      <c r="XDR367"/>
      <c r="XDS367"/>
      <c r="XDT367"/>
      <c r="XDU367"/>
      <c r="XDV367"/>
      <c r="XDW367"/>
      <c r="XDX367"/>
      <c r="XDY367"/>
      <c r="XDZ367"/>
      <c r="XEA367"/>
      <c r="XEB367"/>
      <c r="XEC367"/>
      <c r="XED367"/>
      <c r="XEE367"/>
      <c r="XEF367"/>
      <c r="XEG367"/>
      <c r="XEH367"/>
      <c r="XEI367"/>
      <c r="XEJ367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</row>
    <row r="368" spans="1:20 16329:16383" s="38" customFormat="1" ht="29.1" customHeight="1" outlineLevel="2" x14ac:dyDescent="0.25">
      <c r="A368" s="44" t="s">
        <v>735</v>
      </c>
      <c r="B368" s="45" t="s">
        <v>736</v>
      </c>
      <c r="C368" s="45" t="s">
        <v>737</v>
      </c>
      <c r="D368" s="4" t="s">
        <v>738</v>
      </c>
      <c r="E368" s="4"/>
      <c r="F368" s="46"/>
      <c r="G368" s="45" t="s">
        <v>102</v>
      </c>
      <c r="H368" s="47"/>
      <c r="I368" s="36"/>
      <c r="J368" s="47"/>
      <c r="K368" s="48"/>
      <c r="L368" s="48"/>
      <c r="M368" s="48"/>
      <c r="N368" s="48"/>
      <c r="O368" s="48">
        <f>O369+O388+O408</f>
        <v>0</v>
      </c>
      <c r="P368" s="48">
        <f>P369+P388+P408</f>
        <v>0</v>
      </c>
      <c r="Q368" s="48">
        <f>Q369+Q388+Q408</f>
        <v>0</v>
      </c>
      <c r="R368" s="48">
        <f>R369+R388+R408</f>
        <v>0</v>
      </c>
      <c r="S368" s="48"/>
      <c r="T368" s="36"/>
      <c r="XDA368"/>
      <c r="XDB368"/>
      <c r="XDC368"/>
      <c r="XDD368"/>
      <c r="XDE368"/>
      <c r="XDF368"/>
      <c r="XDG368"/>
      <c r="XDH368"/>
      <c r="XDI368"/>
      <c r="XDJ368"/>
      <c r="XDK368"/>
      <c r="XDL368"/>
      <c r="XDM368"/>
      <c r="XDN368"/>
      <c r="XDO368"/>
      <c r="XDP368"/>
      <c r="XDQ368"/>
      <c r="XDR368"/>
      <c r="XDS368"/>
      <c r="XDT368"/>
      <c r="XDU368"/>
      <c r="XDV368"/>
      <c r="XDW368"/>
      <c r="XDX368"/>
      <c r="XDY368"/>
      <c r="XDZ368"/>
      <c r="XEA368"/>
      <c r="XEB368"/>
      <c r="XEC368"/>
      <c r="XED368"/>
      <c r="XEE368"/>
      <c r="XEF368"/>
      <c r="XEG368"/>
      <c r="XEH368"/>
      <c r="XEI368"/>
      <c r="XEJ368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</row>
    <row r="369" spans="1:20 16329:16383" s="38" customFormat="1" ht="29.1" customHeight="1" outlineLevel="3" x14ac:dyDescent="0.25">
      <c r="A369" s="55" t="s">
        <v>739</v>
      </c>
      <c r="B369" s="56" t="s">
        <v>740</v>
      </c>
      <c r="C369" s="56" t="s">
        <v>741</v>
      </c>
      <c r="D369" s="2" t="s">
        <v>742</v>
      </c>
      <c r="E369" s="2"/>
      <c r="F369" s="57"/>
      <c r="G369" s="56" t="s">
        <v>102</v>
      </c>
      <c r="H369" s="58"/>
      <c r="I369" s="36"/>
      <c r="J369" s="58"/>
      <c r="K369" s="59"/>
      <c r="L369" s="59"/>
      <c r="M369" s="59"/>
      <c r="N369" s="59"/>
      <c r="O369" s="59">
        <f>O370</f>
        <v>0</v>
      </c>
      <c r="P369" s="59">
        <f>P370</f>
        <v>0</v>
      </c>
      <c r="Q369" s="59">
        <f>Q370</f>
        <v>0</v>
      </c>
      <c r="R369" s="59">
        <f>R370</f>
        <v>0</v>
      </c>
      <c r="S369" s="59"/>
      <c r="T369" s="36"/>
      <c r="XDA369"/>
      <c r="XDB369"/>
      <c r="XDC369"/>
      <c r="XDD369"/>
      <c r="XDE369"/>
      <c r="XDF369"/>
      <c r="XDG369"/>
      <c r="XDH369"/>
      <c r="XDI369"/>
      <c r="XDJ369"/>
      <c r="XDK369"/>
      <c r="XDL369"/>
      <c r="XDM369"/>
      <c r="XDN369"/>
      <c r="XDO369"/>
      <c r="XDP369"/>
      <c r="XDQ369"/>
      <c r="XDR369"/>
      <c r="XDS369"/>
      <c r="XDT369"/>
      <c r="XDU369"/>
      <c r="XDV369"/>
      <c r="XDW369"/>
      <c r="XDX369"/>
      <c r="XDY369"/>
      <c r="XDZ369"/>
      <c r="XEA369"/>
      <c r="XEB369"/>
      <c r="XEC369"/>
      <c r="XED369"/>
      <c r="XEE369"/>
      <c r="XEF369"/>
      <c r="XEG369"/>
      <c r="XEH369"/>
      <c r="XEI369"/>
      <c r="XEJ369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</row>
    <row r="370" spans="1:20 16329:16383" s="38" customFormat="1" ht="29.1" customHeight="1" outlineLevel="4" x14ac:dyDescent="0.25">
      <c r="A370" s="60" t="s">
        <v>743</v>
      </c>
      <c r="B370" s="61" t="s">
        <v>744</v>
      </c>
      <c r="C370" s="61"/>
      <c r="D370" s="1" t="s">
        <v>745</v>
      </c>
      <c r="E370" s="1"/>
      <c r="F370" s="62"/>
      <c r="G370" s="61"/>
      <c r="H370" s="63"/>
      <c r="I370" s="36"/>
      <c r="J370" s="63"/>
      <c r="K370" s="64"/>
      <c r="L370" s="64"/>
      <c r="M370" s="64"/>
      <c r="N370" s="64"/>
      <c r="O370" s="64">
        <f>O371+O375+O380+O382+O384</f>
        <v>0</v>
      </c>
      <c r="P370" s="64">
        <f>P371+P375+P380+P382+P384</f>
        <v>0</v>
      </c>
      <c r="Q370" s="64">
        <f>Q371+Q375+Q380+Q382+Q384</f>
        <v>0</v>
      </c>
      <c r="R370" s="64">
        <f>R371+R375+R380+R382+R384</f>
        <v>0</v>
      </c>
      <c r="S370" s="64"/>
      <c r="T370" s="36"/>
      <c r="XDA370"/>
      <c r="XDB370"/>
      <c r="XDC370"/>
      <c r="XDD370"/>
      <c r="XDE370"/>
      <c r="XDF370"/>
      <c r="XDG370"/>
      <c r="XDH370"/>
      <c r="XDI370"/>
      <c r="XDJ370"/>
      <c r="XDK370"/>
      <c r="XDL370"/>
      <c r="XDM370"/>
      <c r="XDN370"/>
      <c r="XDO370"/>
      <c r="XDP370"/>
      <c r="XDQ370"/>
      <c r="XDR370"/>
      <c r="XDS370"/>
      <c r="XDT370"/>
      <c r="XDU370"/>
      <c r="XDV370"/>
      <c r="XDW370"/>
      <c r="XDX370"/>
      <c r="XDY370"/>
      <c r="XDZ370"/>
      <c r="XEA370"/>
      <c r="XEB370"/>
      <c r="XEC370"/>
      <c r="XED370"/>
      <c r="XEE370"/>
      <c r="XEF370"/>
      <c r="XEG370"/>
      <c r="XEH370"/>
      <c r="XEI370"/>
      <c r="XEJ37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</row>
    <row r="371" spans="1:20 16329:16383" s="38" customFormat="1" ht="29.1" customHeight="1" outlineLevel="5" x14ac:dyDescent="0.25">
      <c r="A371" s="65" t="s">
        <v>746</v>
      </c>
      <c r="B371" s="66" t="s">
        <v>747</v>
      </c>
      <c r="C371" s="66"/>
      <c r="D371" s="98" t="s">
        <v>748</v>
      </c>
      <c r="E371" s="98"/>
      <c r="F371" s="67" t="s">
        <v>749</v>
      </c>
      <c r="G371" s="66"/>
      <c r="H371" s="68"/>
      <c r="I371" s="36"/>
      <c r="J371" s="68"/>
      <c r="K371" s="69"/>
      <c r="L371" s="69"/>
      <c r="M371" s="69"/>
      <c r="N371" s="69"/>
      <c r="O371" s="69">
        <f>SUM(O372:O374)</f>
        <v>0</v>
      </c>
      <c r="P371" s="69">
        <f>SUM(P372:P374)</f>
        <v>0</v>
      </c>
      <c r="Q371" s="69">
        <f>SUM(Q372:Q374)</f>
        <v>0</v>
      </c>
      <c r="R371" s="69">
        <f>SUM(R372:R374)</f>
        <v>0</v>
      </c>
      <c r="S371" s="69"/>
      <c r="T371" s="36"/>
      <c r="XDA371"/>
      <c r="XDB371"/>
      <c r="XDC371"/>
      <c r="XDD371"/>
      <c r="XDE371"/>
      <c r="XDF371"/>
      <c r="XDG371"/>
      <c r="XDH371"/>
      <c r="XDI371"/>
      <c r="XDJ371"/>
      <c r="XDK371"/>
      <c r="XDL371"/>
      <c r="XDM371"/>
      <c r="XDN371"/>
      <c r="XDO371"/>
      <c r="XDP371"/>
      <c r="XDQ371"/>
      <c r="XDR371"/>
      <c r="XDS371"/>
      <c r="XDT371"/>
      <c r="XDU371"/>
      <c r="XDV371"/>
      <c r="XDW371"/>
      <c r="XDX371"/>
      <c r="XDY371"/>
      <c r="XDZ371"/>
      <c r="XEA371"/>
      <c r="XEB371"/>
      <c r="XEC371"/>
      <c r="XED371"/>
      <c r="XEE371"/>
      <c r="XEF371"/>
      <c r="XEG371"/>
      <c r="XEH371"/>
      <c r="XEI371"/>
      <c r="XEJ371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</row>
    <row r="372" spans="1:20 16329:16383" s="38" customFormat="1" ht="29.1" customHeight="1" outlineLevel="6" x14ac:dyDescent="0.25">
      <c r="A372" s="49" t="s">
        <v>750</v>
      </c>
      <c r="B372" s="50"/>
      <c r="C372" s="50"/>
      <c r="D372" s="3" t="s">
        <v>751</v>
      </c>
      <c r="E372" s="3"/>
      <c r="F372" s="51" t="s">
        <v>752</v>
      </c>
      <c r="G372" s="50" t="s">
        <v>102</v>
      </c>
      <c r="H372" s="52">
        <f>1</f>
        <v>1</v>
      </c>
      <c r="I372" s="36"/>
      <c r="J372" s="52">
        <v>1</v>
      </c>
      <c r="K372" s="53">
        <f>0</f>
        <v>0</v>
      </c>
      <c r="L372" s="53">
        <f>0</f>
        <v>0</v>
      </c>
      <c r="M372" s="53">
        <f>0</f>
        <v>0</v>
      </c>
      <c r="N372" s="54">
        <f>SUM(K372:M372)</f>
        <v>0</v>
      </c>
      <c r="O372" s="54">
        <f>ROUND((H372*K372),2)</f>
        <v>0</v>
      </c>
      <c r="P372" s="54">
        <f>ROUND((H372*L372),2)</f>
        <v>0</v>
      </c>
      <c r="Q372" s="54">
        <f>ROUND((H372*M372),2)</f>
        <v>0</v>
      </c>
      <c r="R372" s="54">
        <f>ROUND((H372*N372),2)</f>
        <v>0</v>
      </c>
      <c r="S372" s="54"/>
      <c r="T372" s="36"/>
      <c r="XDA372"/>
      <c r="XDB372"/>
      <c r="XDC372"/>
      <c r="XDD372"/>
      <c r="XDE372"/>
      <c r="XDF372"/>
      <c r="XDG372"/>
      <c r="XDH372"/>
      <c r="XDI372"/>
      <c r="XDJ372"/>
      <c r="XDK372"/>
      <c r="XDL372"/>
      <c r="XDM372"/>
      <c r="XDN372"/>
      <c r="XDO372"/>
      <c r="XDP372"/>
      <c r="XDQ372"/>
      <c r="XDR372"/>
      <c r="XDS372"/>
      <c r="XDT372"/>
      <c r="XDU372"/>
      <c r="XDV372"/>
      <c r="XDW372"/>
      <c r="XDX372"/>
      <c r="XDY372"/>
      <c r="XDZ372"/>
      <c r="XEA372"/>
      <c r="XEB372"/>
      <c r="XEC372"/>
      <c r="XED372"/>
      <c r="XEE372"/>
      <c r="XEF372"/>
      <c r="XEG372"/>
      <c r="XEH372"/>
      <c r="XEI372"/>
      <c r="XEJ372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</row>
    <row r="373" spans="1:20 16329:16383" s="38" customFormat="1" ht="29.1" customHeight="1" outlineLevel="6" x14ac:dyDescent="0.25">
      <c r="A373" s="49" t="s">
        <v>753</v>
      </c>
      <c r="B373" s="50"/>
      <c r="C373" s="50"/>
      <c r="D373" s="3" t="s">
        <v>754</v>
      </c>
      <c r="E373" s="3"/>
      <c r="F373" s="51" t="s">
        <v>752</v>
      </c>
      <c r="G373" s="50" t="s">
        <v>102</v>
      </c>
      <c r="H373" s="52">
        <f>1</f>
        <v>1</v>
      </c>
      <c r="I373" s="36"/>
      <c r="J373" s="52">
        <v>1</v>
      </c>
      <c r="K373" s="53">
        <f>0</f>
        <v>0</v>
      </c>
      <c r="L373" s="53">
        <f>0</f>
        <v>0</v>
      </c>
      <c r="M373" s="53">
        <f>0</f>
        <v>0</v>
      </c>
      <c r="N373" s="54">
        <f>SUM(K373:M373)</f>
        <v>0</v>
      </c>
      <c r="O373" s="54">
        <f>ROUND((H373*K373),2)</f>
        <v>0</v>
      </c>
      <c r="P373" s="54">
        <f>ROUND((H373*L373),2)</f>
        <v>0</v>
      </c>
      <c r="Q373" s="54">
        <f>ROUND((H373*M373),2)</f>
        <v>0</v>
      </c>
      <c r="R373" s="54">
        <f>ROUND((H373*N373),2)</f>
        <v>0</v>
      </c>
      <c r="S373" s="54"/>
      <c r="T373" s="36"/>
      <c r="XDA373"/>
      <c r="XDB373"/>
      <c r="XDC373"/>
      <c r="XDD373"/>
      <c r="XDE373"/>
      <c r="XDF373"/>
      <c r="XDG373"/>
      <c r="XDH373"/>
      <c r="XDI373"/>
      <c r="XDJ373"/>
      <c r="XDK373"/>
      <c r="XDL373"/>
      <c r="XDM373"/>
      <c r="XDN373"/>
      <c r="XDO373"/>
      <c r="XDP373"/>
      <c r="XDQ373"/>
      <c r="XDR373"/>
      <c r="XDS373"/>
      <c r="XDT373"/>
      <c r="XDU373"/>
      <c r="XDV373"/>
      <c r="XDW373"/>
      <c r="XDX373"/>
      <c r="XDY373"/>
      <c r="XDZ373"/>
      <c r="XEA373"/>
      <c r="XEB373"/>
      <c r="XEC373"/>
      <c r="XED373"/>
      <c r="XEE373"/>
      <c r="XEF373"/>
      <c r="XEG373"/>
      <c r="XEH373"/>
      <c r="XEI373"/>
      <c r="XEJ373"/>
      <c r="XEK373"/>
      <c r="XEL373"/>
      <c r="XEM373"/>
      <c r="XEN373"/>
      <c r="XEO373"/>
      <c r="XEP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</row>
    <row r="374" spans="1:20 16329:16383" s="38" customFormat="1" ht="29.1" customHeight="1" outlineLevel="6" x14ac:dyDescent="0.25">
      <c r="A374" s="49" t="s">
        <v>755</v>
      </c>
      <c r="B374" s="50"/>
      <c r="C374" s="50"/>
      <c r="D374" s="3" t="s">
        <v>756</v>
      </c>
      <c r="E374" s="3"/>
      <c r="F374" s="51" t="s">
        <v>752</v>
      </c>
      <c r="G374" s="50" t="s">
        <v>102</v>
      </c>
      <c r="H374" s="52">
        <f>1</f>
        <v>1</v>
      </c>
      <c r="I374" s="36"/>
      <c r="J374" s="52">
        <v>1</v>
      </c>
      <c r="K374" s="53">
        <f>0</f>
        <v>0</v>
      </c>
      <c r="L374" s="53">
        <f>0</f>
        <v>0</v>
      </c>
      <c r="M374" s="53">
        <f>0</f>
        <v>0</v>
      </c>
      <c r="N374" s="54">
        <f>SUM(K374:M374)</f>
        <v>0</v>
      </c>
      <c r="O374" s="54">
        <f>ROUND((H374*K374),2)</f>
        <v>0</v>
      </c>
      <c r="P374" s="54">
        <f>ROUND((H374*L374),2)</f>
        <v>0</v>
      </c>
      <c r="Q374" s="54">
        <f>ROUND((H374*M374),2)</f>
        <v>0</v>
      </c>
      <c r="R374" s="54">
        <f>ROUND((H374*N374),2)</f>
        <v>0</v>
      </c>
      <c r="S374" s="54"/>
      <c r="T374" s="36"/>
      <c r="XDA374"/>
      <c r="XDB374"/>
      <c r="XDC374"/>
      <c r="XDD374"/>
      <c r="XDE374"/>
      <c r="XDF374"/>
      <c r="XDG374"/>
      <c r="XDH374"/>
      <c r="XDI374"/>
      <c r="XDJ374"/>
      <c r="XDK374"/>
      <c r="XDL374"/>
      <c r="XDM374"/>
      <c r="XDN374"/>
      <c r="XDO374"/>
      <c r="XDP374"/>
      <c r="XDQ374"/>
      <c r="XDR374"/>
      <c r="XDS374"/>
      <c r="XDT374"/>
      <c r="XDU374"/>
      <c r="XDV374"/>
      <c r="XDW374"/>
      <c r="XDX374"/>
      <c r="XDY374"/>
      <c r="XDZ374"/>
      <c r="XEA374"/>
      <c r="XEB374"/>
      <c r="XEC374"/>
      <c r="XED374"/>
      <c r="XEE374"/>
      <c r="XEF374"/>
      <c r="XEG374"/>
      <c r="XEH374"/>
      <c r="XEI374"/>
      <c r="XEJ374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</row>
    <row r="375" spans="1:20 16329:16383" s="38" customFormat="1" ht="29.1" customHeight="1" outlineLevel="5" x14ac:dyDescent="0.25">
      <c r="A375" s="65" t="s">
        <v>757</v>
      </c>
      <c r="B375" s="66" t="s">
        <v>758</v>
      </c>
      <c r="C375" s="66"/>
      <c r="D375" s="98" t="s">
        <v>759</v>
      </c>
      <c r="E375" s="98"/>
      <c r="F375" s="67" t="s">
        <v>760</v>
      </c>
      <c r="G375" s="66"/>
      <c r="H375" s="68"/>
      <c r="I375" s="36"/>
      <c r="J375" s="68"/>
      <c r="K375" s="69"/>
      <c r="L375" s="69"/>
      <c r="M375" s="69"/>
      <c r="N375" s="69"/>
      <c r="O375" s="69">
        <f>SUM(O376:O379)</f>
        <v>0</v>
      </c>
      <c r="P375" s="69">
        <f>SUM(P376:P379)</f>
        <v>0</v>
      </c>
      <c r="Q375" s="69">
        <f>SUM(Q376:Q379)</f>
        <v>0</v>
      </c>
      <c r="R375" s="69">
        <f>SUM(R376:R379)</f>
        <v>0</v>
      </c>
      <c r="S375" s="69"/>
      <c r="T375" s="36"/>
      <c r="XDA375"/>
      <c r="XDB375"/>
      <c r="XDC375"/>
      <c r="XDD375"/>
      <c r="XDE375"/>
      <c r="XDF375"/>
      <c r="XDG375"/>
      <c r="XDH375"/>
      <c r="XDI375"/>
      <c r="XDJ375"/>
      <c r="XDK375"/>
      <c r="XDL375"/>
      <c r="XDM375"/>
      <c r="XDN375"/>
      <c r="XDO375"/>
      <c r="XDP375"/>
      <c r="XDQ375"/>
      <c r="XDR375"/>
      <c r="XDS375"/>
      <c r="XDT375"/>
      <c r="XDU375"/>
      <c r="XDV375"/>
      <c r="XDW375"/>
      <c r="XDX375"/>
      <c r="XDY375"/>
      <c r="XDZ375"/>
      <c r="XEA375"/>
      <c r="XEB375"/>
      <c r="XEC375"/>
      <c r="XED375"/>
      <c r="XEE375"/>
      <c r="XEF375"/>
      <c r="XEG375"/>
      <c r="XEH375"/>
      <c r="XEI375"/>
      <c r="XEJ375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</row>
    <row r="376" spans="1:20 16329:16383" s="38" customFormat="1" ht="29.1" customHeight="1" outlineLevel="6" x14ac:dyDescent="0.25">
      <c r="A376" s="49" t="s">
        <v>761</v>
      </c>
      <c r="B376" s="50"/>
      <c r="C376" s="50"/>
      <c r="D376" s="3" t="s">
        <v>754</v>
      </c>
      <c r="E376" s="3"/>
      <c r="F376" s="51" t="s">
        <v>752</v>
      </c>
      <c r="G376" s="50" t="s">
        <v>102</v>
      </c>
      <c r="H376" s="52">
        <f>1</f>
        <v>1</v>
      </c>
      <c r="I376" s="36"/>
      <c r="J376" s="52">
        <v>1</v>
      </c>
      <c r="K376" s="53">
        <f>0</f>
        <v>0</v>
      </c>
      <c r="L376" s="53">
        <f>0</f>
        <v>0</v>
      </c>
      <c r="M376" s="53">
        <f>0</f>
        <v>0</v>
      </c>
      <c r="N376" s="54">
        <f>SUM(K376:M376)</f>
        <v>0</v>
      </c>
      <c r="O376" s="54">
        <f>ROUND((H376*K376),2)</f>
        <v>0</v>
      </c>
      <c r="P376" s="54">
        <f>ROUND((H376*L376),2)</f>
        <v>0</v>
      </c>
      <c r="Q376" s="54">
        <f>ROUND((H376*M376),2)</f>
        <v>0</v>
      </c>
      <c r="R376" s="54">
        <f>ROUND((H376*N376),2)</f>
        <v>0</v>
      </c>
      <c r="S376" s="54"/>
      <c r="T376" s="36"/>
      <c r="XDA376"/>
      <c r="XDB376"/>
      <c r="XDC376"/>
      <c r="XDD376"/>
      <c r="XDE376"/>
      <c r="XDF376"/>
      <c r="XDG376"/>
      <c r="XDH376"/>
      <c r="XDI376"/>
      <c r="XDJ376"/>
      <c r="XDK376"/>
      <c r="XDL376"/>
      <c r="XDM376"/>
      <c r="XDN376"/>
      <c r="XDO376"/>
      <c r="XDP376"/>
      <c r="XDQ376"/>
      <c r="XDR376"/>
      <c r="XDS376"/>
      <c r="XDT376"/>
      <c r="XDU376"/>
      <c r="XDV376"/>
      <c r="XDW376"/>
      <c r="XDX376"/>
      <c r="XDY376"/>
      <c r="XDZ376"/>
      <c r="XEA376"/>
      <c r="XEB376"/>
      <c r="XEC376"/>
      <c r="XED376"/>
      <c r="XEE376"/>
      <c r="XEF376"/>
      <c r="XEG376"/>
      <c r="XEH376"/>
      <c r="XEI376"/>
      <c r="XEJ376"/>
      <c r="XEK376"/>
      <c r="XEL376"/>
      <c r="XEM376"/>
      <c r="XEN376"/>
      <c r="XEO376"/>
      <c r="XEP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</row>
    <row r="377" spans="1:20 16329:16383" s="38" customFormat="1" ht="29.1" customHeight="1" outlineLevel="6" x14ac:dyDescent="0.25">
      <c r="A377" s="49" t="s">
        <v>762</v>
      </c>
      <c r="B377" s="50"/>
      <c r="C377" s="50"/>
      <c r="D377" s="3" t="s">
        <v>763</v>
      </c>
      <c r="E377" s="3"/>
      <c r="F377" s="51" t="s">
        <v>752</v>
      </c>
      <c r="G377" s="50" t="s">
        <v>102</v>
      </c>
      <c r="H377" s="52">
        <f>1</f>
        <v>1</v>
      </c>
      <c r="I377" s="36"/>
      <c r="J377" s="52">
        <v>1</v>
      </c>
      <c r="K377" s="53">
        <f>0</f>
        <v>0</v>
      </c>
      <c r="L377" s="53">
        <f>0</f>
        <v>0</v>
      </c>
      <c r="M377" s="53">
        <f>0</f>
        <v>0</v>
      </c>
      <c r="N377" s="54">
        <f>SUM(K377:M377)</f>
        <v>0</v>
      </c>
      <c r="O377" s="54">
        <f>ROUND((H377*K377),2)</f>
        <v>0</v>
      </c>
      <c r="P377" s="54">
        <f>ROUND((H377*L377),2)</f>
        <v>0</v>
      </c>
      <c r="Q377" s="54">
        <f>ROUND((H377*M377),2)</f>
        <v>0</v>
      </c>
      <c r="R377" s="54">
        <f>ROUND((H377*N377),2)</f>
        <v>0</v>
      </c>
      <c r="S377" s="54"/>
      <c r="T377" s="36"/>
      <c r="XDA377"/>
      <c r="XDB377"/>
      <c r="XDC377"/>
      <c r="XDD377"/>
      <c r="XDE377"/>
      <c r="XDF377"/>
      <c r="XDG377"/>
      <c r="XDH377"/>
      <c r="XDI377"/>
      <c r="XDJ377"/>
      <c r="XDK377"/>
      <c r="XDL377"/>
      <c r="XDM377"/>
      <c r="XDN377"/>
      <c r="XDO377"/>
      <c r="XDP377"/>
      <c r="XDQ377"/>
      <c r="XDR377"/>
      <c r="XDS377"/>
      <c r="XDT377"/>
      <c r="XDU377"/>
      <c r="XDV377"/>
      <c r="XDW377"/>
      <c r="XDX377"/>
      <c r="XDY377"/>
      <c r="XDZ377"/>
      <c r="XEA377"/>
      <c r="XEB377"/>
      <c r="XEC377"/>
      <c r="XED377"/>
      <c r="XEE377"/>
      <c r="XEF377"/>
      <c r="XEG377"/>
      <c r="XEH377"/>
      <c r="XEI377"/>
      <c r="XEJ377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</row>
    <row r="378" spans="1:20 16329:16383" s="38" customFormat="1" ht="29.1" customHeight="1" outlineLevel="6" x14ac:dyDescent="0.25">
      <c r="A378" s="49" t="s">
        <v>764</v>
      </c>
      <c r="B378" s="50"/>
      <c r="C378" s="50"/>
      <c r="D378" s="3" t="s">
        <v>765</v>
      </c>
      <c r="E378" s="3"/>
      <c r="F378" s="51" t="s">
        <v>752</v>
      </c>
      <c r="G378" s="50" t="s">
        <v>102</v>
      </c>
      <c r="H378" s="52">
        <f>1</f>
        <v>1</v>
      </c>
      <c r="I378" s="36"/>
      <c r="J378" s="52">
        <v>1</v>
      </c>
      <c r="K378" s="53">
        <f>0</f>
        <v>0</v>
      </c>
      <c r="L378" s="53">
        <f>0</f>
        <v>0</v>
      </c>
      <c r="M378" s="53">
        <f>0</f>
        <v>0</v>
      </c>
      <c r="N378" s="54">
        <f>SUM(K378:M378)</f>
        <v>0</v>
      </c>
      <c r="O378" s="54">
        <f>ROUND((H378*K378),2)</f>
        <v>0</v>
      </c>
      <c r="P378" s="54">
        <f>ROUND((H378*L378),2)</f>
        <v>0</v>
      </c>
      <c r="Q378" s="54">
        <f>ROUND((H378*M378),2)</f>
        <v>0</v>
      </c>
      <c r="R378" s="54">
        <f>ROUND((H378*N378),2)</f>
        <v>0</v>
      </c>
      <c r="S378" s="54"/>
      <c r="T378" s="36"/>
      <c r="XDA378"/>
      <c r="XDB378"/>
      <c r="XDC378"/>
      <c r="XDD378"/>
      <c r="XDE378"/>
      <c r="XDF378"/>
      <c r="XDG378"/>
      <c r="XDH378"/>
      <c r="XDI378"/>
      <c r="XDJ378"/>
      <c r="XDK378"/>
      <c r="XDL378"/>
      <c r="XDM378"/>
      <c r="XDN378"/>
      <c r="XDO378"/>
      <c r="XDP378"/>
      <c r="XDQ378"/>
      <c r="XDR378"/>
      <c r="XDS378"/>
      <c r="XDT378"/>
      <c r="XDU378"/>
      <c r="XDV378"/>
      <c r="XDW378"/>
      <c r="XDX378"/>
      <c r="XDY378"/>
      <c r="XDZ378"/>
      <c r="XEA378"/>
      <c r="XEB378"/>
      <c r="XEC378"/>
      <c r="XED378"/>
      <c r="XEE378"/>
      <c r="XEF378"/>
      <c r="XEG378"/>
      <c r="XEH378"/>
      <c r="XEI378"/>
      <c r="XEJ378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</row>
    <row r="379" spans="1:20 16329:16383" s="38" customFormat="1" ht="29.1" customHeight="1" outlineLevel="6" x14ac:dyDescent="0.25">
      <c r="A379" s="49" t="s">
        <v>766</v>
      </c>
      <c r="B379" s="50"/>
      <c r="C379" s="50"/>
      <c r="D379" s="3" t="s">
        <v>767</v>
      </c>
      <c r="E379" s="3"/>
      <c r="F379" s="51" t="s">
        <v>752</v>
      </c>
      <c r="G379" s="50" t="s">
        <v>102</v>
      </c>
      <c r="H379" s="52">
        <f>1</f>
        <v>1</v>
      </c>
      <c r="I379" s="36"/>
      <c r="J379" s="52">
        <v>1</v>
      </c>
      <c r="K379" s="53">
        <f>0</f>
        <v>0</v>
      </c>
      <c r="L379" s="53">
        <f>0</f>
        <v>0</v>
      </c>
      <c r="M379" s="53">
        <f>0</f>
        <v>0</v>
      </c>
      <c r="N379" s="54">
        <f>SUM(K379:M379)</f>
        <v>0</v>
      </c>
      <c r="O379" s="54">
        <f>ROUND((H379*K379),2)</f>
        <v>0</v>
      </c>
      <c r="P379" s="54">
        <f>ROUND((H379*L379),2)</f>
        <v>0</v>
      </c>
      <c r="Q379" s="54">
        <f>ROUND((H379*M379),2)</f>
        <v>0</v>
      </c>
      <c r="R379" s="54">
        <f>ROUND((H379*N379),2)</f>
        <v>0</v>
      </c>
      <c r="S379" s="54"/>
      <c r="T379" s="36"/>
      <c r="XDA379"/>
      <c r="XDB379"/>
      <c r="XDC379"/>
      <c r="XDD379"/>
      <c r="XDE379"/>
      <c r="XDF379"/>
      <c r="XDG379"/>
      <c r="XDH379"/>
      <c r="XDI379"/>
      <c r="XDJ379"/>
      <c r="XDK379"/>
      <c r="XDL379"/>
      <c r="XDM379"/>
      <c r="XDN379"/>
      <c r="XDO379"/>
      <c r="XDP379"/>
      <c r="XDQ379"/>
      <c r="XDR379"/>
      <c r="XDS379"/>
      <c r="XDT379"/>
      <c r="XDU379"/>
      <c r="XDV379"/>
      <c r="XDW379"/>
      <c r="XDX379"/>
      <c r="XDY379"/>
      <c r="XDZ379"/>
      <c r="XEA379"/>
      <c r="XEB379"/>
      <c r="XEC379"/>
      <c r="XED379"/>
      <c r="XEE379"/>
      <c r="XEF379"/>
      <c r="XEG379"/>
      <c r="XEH379"/>
      <c r="XEI379"/>
      <c r="XEJ379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</row>
    <row r="380" spans="1:20 16329:16383" s="38" customFormat="1" ht="29.1" customHeight="1" outlineLevel="5" x14ac:dyDescent="0.25">
      <c r="A380" s="65" t="s">
        <v>768</v>
      </c>
      <c r="B380" s="66" t="s">
        <v>769</v>
      </c>
      <c r="C380" s="66"/>
      <c r="D380" s="98" t="s">
        <v>770</v>
      </c>
      <c r="E380" s="98"/>
      <c r="F380" s="67" t="s">
        <v>771</v>
      </c>
      <c r="G380" s="66"/>
      <c r="H380" s="68"/>
      <c r="I380" s="36"/>
      <c r="J380" s="68"/>
      <c r="K380" s="69"/>
      <c r="L380" s="69"/>
      <c r="M380" s="69"/>
      <c r="N380" s="69"/>
      <c r="O380" s="69">
        <f>O381</f>
        <v>0</v>
      </c>
      <c r="P380" s="69">
        <f>P381</f>
        <v>0</v>
      </c>
      <c r="Q380" s="69">
        <f>Q381</f>
        <v>0</v>
      </c>
      <c r="R380" s="69">
        <f>R381</f>
        <v>0</v>
      </c>
      <c r="S380" s="69"/>
      <c r="T380" s="36"/>
      <c r="XDA380"/>
      <c r="XDB380"/>
      <c r="XDC380"/>
      <c r="XDD380"/>
      <c r="XDE380"/>
      <c r="XDF380"/>
      <c r="XDG380"/>
      <c r="XDH380"/>
      <c r="XDI380"/>
      <c r="XDJ380"/>
      <c r="XDK380"/>
      <c r="XDL380"/>
      <c r="XDM380"/>
      <c r="XDN380"/>
      <c r="XDO380"/>
      <c r="XDP380"/>
      <c r="XDQ380"/>
      <c r="XDR380"/>
      <c r="XDS380"/>
      <c r="XDT380"/>
      <c r="XDU380"/>
      <c r="XDV380"/>
      <c r="XDW380"/>
      <c r="XDX380"/>
      <c r="XDY380"/>
      <c r="XDZ380"/>
      <c r="XEA380"/>
      <c r="XEB380"/>
      <c r="XEC380"/>
      <c r="XED380"/>
      <c r="XEE380"/>
      <c r="XEF380"/>
      <c r="XEG380"/>
      <c r="XEH380"/>
      <c r="XEI380"/>
      <c r="XEJ38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</row>
    <row r="381" spans="1:20 16329:16383" s="38" customFormat="1" ht="29.1" customHeight="1" outlineLevel="6" x14ac:dyDescent="0.25">
      <c r="A381" s="49" t="s">
        <v>772</v>
      </c>
      <c r="B381" s="50"/>
      <c r="C381" s="50"/>
      <c r="D381" s="3" t="s">
        <v>773</v>
      </c>
      <c r="E381" s="3"/>
      <c r="F381" s="51" t="s">
        <v>752</v>
      </c>
      <c r="G381" s="50" t="s">
        <v>102</v>
      </c>
      <c r="H381" s="52">
        <f>1</f>
        <v>1</v>
      </c>
      <c r="I381" s="36"/>
      <c r="J381" s="52">
        <v>1</v>
      </c>
      <c r="K381" s="53">
        <f>0</f>
        <v>0</v>
      </c>
      <c r="L381" s="53">
        <f>0</f>
        <v>0</v>
      </c>
      <c r="M381" s="53">
        <f>0</f>
        <v>0</v>
      </c>
      <c r="N381" s="54">
        <f>SUM(K381:M381)</f>
        <v>0</v>
      </c>
      <c r="O381" s="54">
        <f>ROUND((H381*K381),2)</f>
        <v>0</v>
      </c>
      <c r="P381" s="54">
        <f>ROUND((H381*L381),2)</f>
        <v>0</v>
      </c>
      <c r="Q381" s="54">
        <f>ROUND((H381*M381),2)</f>
        <v>0</v>
      </c>
      <c r="R381" s="54">
        <f>ROUND((H381*N381),2)</f>
        <v>0</v>
      </c>
      <c r="S381" s="54"/>
      <c r="T381" s="36"/>
      <c r="XDA381"/>
      <c r="XDB381"/>
      <c r="XDC381"/>
      <c r="XDD381"/>
      <c r="XDE381"/>
      <c r="XDF381"/>
      <c r="XDG381"/>
      <c r="XDH381"/>
      <c r="XDI381"/>
      <c r="XDJ381"/>
      <c r="XDK381"/>
      <c r="XDL381"/>
      <c r="XDM381"/>
      <c r="XDN381"/>
      <c r="XDO381"/>
      <c r="XDP381"/>
      <c r="XDQ381"/>
      <c r="XDR381"/>
      <c r="XDS381"/>
      <c r="XDT381"/>
      <c r="XDU381"/>
      <c r="XDV381"/>
      <c r="XDW381"/>
      <c r="XDX381"/>
      <c r="XDY381"/>
      <c r="XDZ381"/>
      <c r="XEA381"/>
      <c r="XEB381"/>
      <c r="XEC381"/>
      <c r="XED381"/>
      <c r="XEE381"/>
      <c r="XEF381"/>
      <c r="XEG381"/>
      <c r="XEH381"/>
      <c r="XEI381"/>
      <c r="XEJ381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</row>
    <row r="382" spans="1:20 16329:16383" s="38" customFormat="1" ht="29.1" customHeight="1" outlineLevel="5" x14ac:dyDescent="0.25">
      <c r="A382" s="65" t="s">
        <v>774</v>
      </c>
      <c r="B382" s="66" t="s">
        <v>775</v>
      </c>
      <c r="C382" s="66"/>
      <c r="D382" s="98" t="s">
        <v>776</v>
      </c>
      <c r="E382" s="98"/>
      <c r="F382" s="67" t="s">
        <v>777</v>
      </c>
      <c r="G382" s="66"/>
      <c r="H382" s="68"/>
      <c r="I382" s="36"/>
      <c r="J382" s="68"/>
      <c r="K382" s="69"/>
      <c r="L382" s="69"/>
      <c r="M382" s="69"/>
      <c r="N382" s="69"/>
      <c r="O382" s="69">
        <f>O383</f>
        <v>0</v>
      </c>
      <c r="P382" s="69">
        <f>P383</f>
        <v>0</v>
      </c>
      <c r="Q382" s="69">
        <f>Q383</f>
        <v>0</v>
      </c>
      <c r="R382" s="69">
        <f>R383</f>
        <v>0</v>
      </c>
      <c r="S382" s="69"/>
      <c r="T382" s="36"/>
      <c r="XDA382"/>
      <c r="XDB382"/>
      <c r="XDC382"/>
      <c r="XDD382"/>
      <c r="XDE382"/>
      <c r="XDF382"/>
      <c r="XDG382"/>
      <c r="XDH382"/>
      <c r="XDI382"/>
      <c r="XDJ382"/>
      <c r="XDK382"/>
      <c r="XDL382"/>
      <c r="XDM382"/>
      <c r="XDN382"/>
      <c r="XDO382"/>
      <c r="XDP382"/>
      <c r="XDQ382"/>
      <c r="XDR382"/>
      <c r="XDS382"/>
      <c r="XDT382"/>
      <c r="XDU382"/>
      <c r="XDV382"/>
      <c r="XDW382"/>
      <c r="XDX382"/>
      <c r="XDY382"/>
      <c r="XDZ382"/>
      <c r="XEA382"/>
      <c r="XEB382"/>
      <c r="XEC382"/>
      <c r="XED382"/>
      <c r="XEE382"/>
      <c r="XEF382"/>
      <c r="XEG382"/>
      <c r="XEH382"/>
      <c r="XEI382"/>
      <c r="XEJ382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</row>
    <row r="383" spans="1:20 16329:16383" s="38" customFormat="1" ht="29.1" customHeight="1" outlineLevel="6" x14ac:dyDescent="0.25">
      <c r="A383" s="49" t="s">
        <v>778</v>
      </c>
      <c r="B383" s="50"/>
      <c r="C383" s="50"/>
      <c r="D383" s="3" t="s">
        <v>779</v>
      </c>
      <c r="E383" s="3"/>
      <c r="F383" s="51" t="s">
        <v>752</v>
      </c>
      <c r="G383" s="50" t="s">
        <v>102</v>
      </c>
      <c r="H383" s="52">
        <f>1</f>
        <v>1</v>
      </c>
      <c r="I383" s="36"/>
      <c r="J383" s="52">
        <v>1</v>
      </c>
      <c r="K383" s="53">
        <f>0</f>
        <v>0</v>
      </c>
      <c r="L383" s="53">
        <f>0</f>
        <v>0</v>
      </c>
      <c r="M383" s="53">
        <f>0</f>
        <v>0</v>
      </c>
      <c r="N383" s="54">
        <f>SUM(K383:M383)</f>
        <v>0</v>
      </c>
      <c r="O383" s="54">
        <f>ROUND((H383*K383),2)</f>
        <v>0</v>
      </c>
      <c r="P383" s="54">
        <f>ROUND((H383*L383),2)</f>
        <v>0</v>
      </c>
      <c r="Q383" s="54">
        <f>ROUND((H383*M383),2)</f>
        <v>0</v>
      </c>
      <c r="R383" s="54">
        <f>ROUND((H383*N383),2)</f>
        <v>0</v>
      </c>
      <c r="S383" s="54"/>
      <c r="T383" s="36"/>
      <c r="XDA383"/>
      <c r="XDB383"/>
      <c r="XDC383"/>
      <c r="XDD383"/>
      <c r="XDE383"/>
      <c r="XDF383"/>
      <c r="XDG383"/>
      <c r="XDH383"/>
      <c r="XDI383"/>
      <c r="XDJ383"/>
      <c r="XDK383"/>
      <c r="XDL383"/>
      <c r="XDM383"/>
      <c r="XDN383"/>
      <c r="XDO383"/>
      <c r="XDP383"/>
      <c r="XDQ383"/>
      <c r="XDR383"/>
      <c r="XDS383"/>
      <c r="XDT383"/>
      <c r="XDU383"/>
      <c r="XDV383"/>
      <c r="XDW383"/>
      <c r="XDX383"/>
      <c r="XDY383"/>
      <c r="XDZ383"/>
      <c r="XEA383"/>
      <c r="XEB383"/>
      <c r="XEC383"/>
      <c r="XED383"/>
      <c r="XEE383"/>
      <c r="XEF383"/>
      <c r="XEG383"/>
      <c r="XEH383"/>
      <c r="XEI383"/>
      <c r="XEJ383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</row>
    <row r="384" spans="1:20 16329:16383" s="38" customFormat="1" ht="29.1" customHeight="1" outlineLevel="5" x14ac:dyDescent="0.25">
      <c r="A384" s="65" t="s">
        <v>780</v>
      </c>
      <c r="B384" s="66" t="s">
        <v>781</v>
      </c>
      <c r="C384" s="66"/>
      <c r="D384" s="98" t="s">
        <v>782</v>
      </c>
      <c r="E384" s="98"/>
      <c r="F384" s="67" t="s">
        <v>783</v>
      </c>
      <c r="G384" s="66"/>
      <c r="H384" s="68"/>
      <c r="I384" s="36"/>
      <c r="J384" s="68"/>
      <c r="K384" s="69"/>
      <c r="L384" s="69"/>
      <c r="M384" s="69"/>
      <c r="N384" s="69"/>
      <c r="O384" s="69">
        <f>SUM(O385:O387)</f>
        <v>0</v>
      </c>
      <c r="P384" s="69">
        <f>SUM(P385:P387)</f>
        <v>0</v>
      </c>
      <c r="Q384" s="69">
        <f>SUM(Q385:Q387)</f>
        <v>0</v>
      </c>
      <c r="R384" s="69">
        <f>SUM(R385:R387)</f>
        <v>0</v>
      </c>
      <c r="S384" s="69"/>
      <c r="T384" s="36"/>
      <c r="XDA384"/>
      <c r="XDB384"/>
      <c r="XDC384"/>
      <c r="XDD384"/>
      <c r="XDE384"/>
      <c r="XDF384"/>
      <c r="XDG384"/>
      <c r="XDH384"/>
      <c r="XDI384"/>
      <c r="XDJ384"/>
      <c r="XDK384"/>
      <c r="XDL384"/>
      <c r="XDM384"/>
      <c r="XDN384"/>
      <c r="XDO384"/>
      <c r="XDP384"/>
      <c r="XDQ384"/>
      <c r="XDR384"/>
      <c r="XDS384"/>
      <c r="XDT384"/>
      <c r="XDU384"/>
      <c r="XDV384"/>
      <c r="XDW384"/>
      <c r="XDX384"/>
      <c r="XDY384"/>
      <c r="XDZ384"/>
      <c r="XEA384"/>
      <c r="XEB384"/>
      <c r="XEC384"/>
      <c r="XED384"/>
      <c r="XEE384"/>
      <c r="XEF384"/>
      <c r="XEG384"/>
      <c r="XEH384"/>
      <c r="XEI384"/>
      <c r="XEJ384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</row>
    <row r="385" spans="1:20 16329:16383" s="38" customFormat="1" ht="29.1" customHeight="1" outlineLevel="6" x14ac:dyDescent="0.25">
      <c r="A385" s="49" t="s">
        <v>784</v>
      </c>
      <c r="B385" s="50"/>
      <c r="C385" s="50"/>
      <c r="D385" s="3" t="s">
        <v>785</v>
      </c>
      <c r="E385" s="3"/>
      <c r="F385" s="51" t="s">
        <v>752</v>
      </c>
      <c r="G385" s="50" t="s">
        <v>102</v>
      </c>
      <c r="H385" s="52">
        <f>1</f>
        <v>1</v>
      </c>
      <c r="I385" s="36"/>
      <c r="J385" s="52">
        <v>1</v>
      </c>
      <c r="K385" s="53">
        <f>0</f>
        <v>0</v>
      </c>
      <c r="L385" s="53">
        <f>0</f>
        <v>0</v>
      </c>
      <c r="M385" s="53">
        <f>0</f>
        <v>0</v>
      </c>
      <c r="N385" s="54">
        <f>SUM(K385:M385)</f>
        <v>0</v>
      </c>
      <c r="O385" s="54">
        <f>ROUND((H385*K385),2)</f>
        <v>0</v>
      </c>
      <c r="P385" s="54">
        <f>ROUND((H385*L385),2)</f>
        <v>0</v>
      </c>
      <c r="Q385" s="54">
        <f>ROUND((H385*M385),2)</f>
        <v>0</v>
      </c>
      <c r="R385" s="54">
        <f>ROUND((H385*N385),2)</f>
        <v>0</v>
      </c>
      <c r="S385" s="54"/>
      <c r="T385" s="36"/>
      <c r="XDA385"/>
      <c r="XDB385"/>
      <c r="XDC385"/>
      <c r="XDD385"/>
      <c r="XDE385"/>
      <c r="XDF385"/>
      <c r="XDG385"/>
      <c r="XDH385"/>
      <c r="XDI385"/>
      <c r="XDJ385"/>
      <c r="XDK385"/>
      <c r="XDL385"/>
      <c r="XDM385"/>
      <c r="XDN385"/>
      <c r="XDO385"/>
      <c r="XDP385"/>
      <c r="XDQ385"/>
      <c r="XDR385"/>
      <c r="XDS385"/>
      <c r="XDT385"/>
      <c r="XDU385"/>
      <c r="XDV385"/>
      <c r="XDW385"/>
      <c r="XDX385"/>
      <c r="XDY385"/>
      <c r="XDZ385"/>
      <c r="XEA385"/>
      <c r="XEB385"/>
      <c r="XEC385"/>
      <c r="XED385"/>
      <c r="XEE385"/>
      <c r="XEF385"/>
      <c r="XEG385"/>
      <c r="XEH385"/>
      <c r="XEI385"/>
      <c r="XEJ385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</row>
    <row r="386" spans="1:20 16329:16383" s="38" customFormat="1" ht="29.1" customHeight="1" outlineLevel="6" x14ac:dyDescent="0.25">
      <c r="A386" s="49" t="s">
        <v>786</v>
      </c>
      <c r="B386" s="50"/>
      <c r="C386" s="50"/>
      <c r="D386" s="3" t="s">
        <v>787</v>
      </c>
      <c r="E386" s="3"/>
      <c r="F386" s="51" t="s">
        <v>752</v>
      </c>
      <c r="G386" s="50" t="s">
        <v>102</v>
      </c>
      <c r="H386" s="52">
        <f>1</f>
        <v>1</v>
      </c>
      <c r="I386" s="36"/>
      <c r="J386" s="52">
        <v>1</v>
      </c>
      <c r="K386" s="53">
        <f>0</f>
        <v>0</v>
      </c>
      <c r="L386" s="53">
        <f>0</f>
        <v>0</v>
      </c>
      <c r="M386" s="53">
        <f>0</f>
        <v>0</v>
      </c>
      <c r="N386" s="54">
        <f>SUM(K386:M386)</f>
        <v>0</v>
      </c>
      <c r="O386" s="54">
        <f>ROUND((H386*K386),2)</f>
        <v>0</v>
      </c>
      <c r="P386" s="54">
        <f>ROUND((H386*L386),2)</f>
        <v>0</v>
      </c>
      <c r="Q386" s="54">
        <f>ROUND((H386*M386),2)</f>
        <v>0</v>
      </c>
      <c r="R386" s="54">
        <f>ROUND((H386*N386),2)</f>
        <v>0</v>
      </c>
      <c r="S386" s="54"/>
      <c r="T386" s="36"/>
      <c r="XDA386"/>
      <c r="XDB386"/>
      <c r="XDC386"/>
      <c r="XDD386"/>
      <c r="XDE386"/>
      <c r="XDF386"/>
      <c r="XDG386"/>
      <c r="XDH386"/>
      <c r="XDI386"/>
      <c r="XDJ386"/>
      <c r="XDK386"/>
      <c r="XDL386"/>
      <c r="XDM386"/>
      <c r="XDN386"/>
      <c r="XDO386"/>
      <c r="XDP386"/>
      <c r="XDQ386"/>
      <c r="XDR386"/>
      <c r="XDS386"/>
      <c r="XDT386"/>
      <c r="XDU386"/>
      <c r="XDV386"/>
      <c r="XDW386"/>
      <c r="XDX386"/>
      <c r="XDY386"/>
      <c r="XDZ386"/>
      <c r="XEA386"/>
      <c r="XEB386"/>
      <c r="XEC386"/>
      <c r="XED386"/>
      <c r="XEE386"/>
      <c r="XEF386"/>
      <c r="XEG386"/>
      <c r="XEH386"/>
      <c r="XEI386"/>
      <c r="XEJ386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</row>
    <row r="387" spans="1:20 16329:16383" s="38" customFormat="1" ht="29.1" customHeight="1" outlineLevel="6" x14ac:dyDescent="0.25">
      <c r="A387" s="49" t="s">
        <v>788</v>
      </c>
      <c r="B387" s="50"/>
      <c r="C387" s="50"/>
      <c r="D387" s="3" t="s">
        <v>756</v>
      </c>
      <c r="E387" s="3"/>
      <c r="F387" s="51" t="s">
        <v>752</v>
      </c>
      <c r="G387" s="50" t="s">
        <v>102</v>
      </c>
      <c r="H387" s="52">
        <f>1</f>
        <v>1</v>
      </c>
      <c r="I387" s="36"/>
      <c r="J387" s="52">
        <v>1</v>
      </c>
      <c r="K387" s="53">
        <f>0</f>
        <v>0</v>
      </c>
      <c r="L387" s="53">
        <f>0</f>
        <v>0</v>
      </c>
      <c r="M387" s="53">
        <f>0</f>
        <v>0</v>
      </c>
      <c r="N387" s="54">
        <f>SUM(K387:M387)</f>
        <v>0</v>
      </c>
      <c r="O387" s="54">
        <f>ROUND((H387*K387),2)</f>
        <v>0</v>
      </c>
      <c r="P387" s="54">
        <f>ROUND((H387*L387),2)</f>
        <v>0</v>
      </c>
      <c r="Q387" s="54">
        <f>ROUND((H387*M387),2)</f>
        <v>0</v>
      </c>
      <c r="R387" s="54">
        <f>ROUND((H387*N387),2)</f>
        <v>0</v>
      </c>
      <c r="S387" s="54"/>
      <c r="T387" s="36"/>
      <c r="XDA387"/>
      <c r="XDB387"/>
      <c r="XDC387"/>
      <c r="XDD387"/>
      <c r="XDE387"/>
      <c r="XDF387"/>
      <c r="XDG387"/>
      <c r="XDH387"/>
      <c r="XDI387"/>
      <c r="XDJ387"/>
      <c r="XDK387"/>
      <c r="XDL387"/>
      <c r="XDM387"/>
      <c r="XDN387"/>
      <c r="XDO387"/>
      <c r="XDP387"/>
      <c r="XDQ387"/>
      <c r="XDR387"/>
      <c r="XDS387"/>
      <c r="XDT387"/>
      <c r="XDU387"/>
      <c r="XDV387"/>
      <c r="XDW387"/>
      <c r="XDX387"/>
      <c r="XDY387"/>
      <c r="XDZ387"/>
      <c r="XEA387"/>
      <c r="XEB387"/>
      <c r="XEC387"/>
      <c r="XED387"/>
      <c r="XEE387"/>
      <c r="XEF387"/>
      <c r="XEG387"/>
      <c r="XEH387"/>
      <c r="XEI387"/>
      <c r="XEJ387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</row>
    <row r="388" spans="1:20 16329:16383" s="38" customFormat="1" ht="29.1" customHeight="1" outlineLevel="3" x14ac:dyDescent="0.25">
      <c r="A388" s="55" t="s">
        <v>789</v>
      </c>
      <c r="B388" s="56" t="s">
        <v>790</v>
      </c>
      <c r="C388" s="56" t="s">
        <v>791</v>
      </c>
      <c r="D388" s="2" t="s">
        <v>792</v>
      </c>
      <c r="E388" s="2"/>
      <c r="F388" s="57"/>
      <c r="G388" s="56" t="s">
        <v>102</v>
      </c>
      <c r="H388" s="58"/>
      <c r="I388" s="36"/>
      <c r="J388" s="58"/>
      <c r="K388" s="59"/>
      <c r="L388" s="59"/>
      <c r="M388" s="59"/>
      <c r="N388" s="59"/>
      <c r="O388" s="59">
        <f>O389</f>
        <v>0</v>
      </c>
      <c r="P388" s="59">
        <f>P389</f>
        <v>0</v>
      </c>
      <c r="Q388" s="59">
        <f>Q389</f>
        <v>0</v>
      </c>
      <c r="R388" s="59">
        <f>R389</f>
        <v>0</v>
      </c>
      <c r="S388" s="59"/>
      <c r="T388" s="36"/>
      <c r="XDA388"/>
      <c r="XDB388"/>
      <c r="XDC388"/>
      <c r="XDD388"/>
      <c r="XDE388"/>
      <c r="XDF388"/>
      <c r="XDG388"/>
      <c r="XDH388"/>
      <c r="XDI388"/>
      <c r="XDJ388"/>
      <c r="XDK388"/>
      <c r="XDL388"/>
      <c r="XDM388"/>
      <c r="XDN388"/>
      <c r="XDO388"/>
      <c r="XDP388"/>
      <c r="XDQ388"/>
      <c r="XDR388"/>
      <c r="XDS388"/>
      <c r="XDT388"/>
      <c r="XDU388"/>
      <c r="XDV388"/>
      <c r="XDW388"/>
      <c r="XDX388"/>
      <c r="XDY388"/>
      <c r="XDZ388"/>
      <c r="XEA388"/>
      <c r="XEB388"/>
      <c r="XEC388"/>
      <c r="XED388"/>
      <c r="XEE388"/>
      <c r="XEF388"/>
      <c r="XEG388"/>
      <c r="XEH388"/>
      <c r="XEI388"/>
      <c r="XEJ388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</row>
    <row r="389" spans="1:20 16329:16383" s="38" customFormat="1" ht="29.1" customHeight="1" outlineLevel="4" x14ac:dyDescent="0.25">
      <c r="A389" s="60" t="s">
        <v>793</v>
      </c>
      <c r="B389" s="61" t="s">
        <v>794</v>
      </c>
      <c r="C389" s="61"/>
      <c r="D389" s="1" t="s">
        <v>745</v>
      </c>
      <c r="E389" s="1"/>
      <c r="F389" s="62"/>
      <c r="G389" s="61"/>
      <c r="H389" s="63"/>
      <c r="I389" s="36"/>
      <c r="J389" s="63"/>
      <c r="K389" s="64"/>
      <c r="L389" s="64"/>
      <c r="M389" s="64"/>
      <c r="N389" s="64"/>
      <c r="O389" s="64">
        <f>O390+O394+O399+O401+O403</f>
        <v>0</v>
      </c>
      <c r="P389" s="64">
        <f>P390+P394+P399+P401+P403</f>
        <v>0</v>
      </c>
      <c r="Q389" s="64">
        <f>Q390+Q394+Q399+Q401+Q403</f>
        <v>0</v>
      </c>
      <c r="R389" s="64">
        <f>R390+R394+R399+R401+R403</f>
        <v>0</v>
      </c>
      <c r="S389" s="64"/>
      <c r="T389" s="36"/>
      <c r="XDA389"/>
      <c r="XDB389"/>
      <c r="XDC389"/>
      <c r="XDD389"/>
      <c r="XDE389"/>
      <c r="XDF389"/>
      <c r="XDG389"/>
      <c r="XDH389"/>
      <c r="XDI389"/>
      <c r="XDJ389"/>
      <c r="XDK389"/>
      <c r="XDL389"/>
      <c r="XDM389"/>
      <c r="XDN389"/>
      <c r="XDO389"/>
      <c r="XDP389"/>
      <c r="XDQ389"/>
      <c r="XDR389"/>
      <c r="XDS389"/>
      <c r="XDT389"/>
      <c r="XDU389"/>
      <c r="XDV389"/>
      <c r="XDW389"/>
      <c r="XDX389"/>
      <c r="XDY389"/>
      <c r="XDZ389"/>
      <c r="XEA389"/>
      <c r="XEB389"/>
      <c r="XEC389"/>
      <c r="XED389"/>
      <c r="XEE389"/>
      <c r="XEF389"/>
      <c r="XEG389"/>
      <c r="XEH389"/>
      <c r="XEI389"/>
      <c r="XEJ389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</row>
    <row r="390" spans="1:20 16329:16383" s="38" customFormat="1" ht="29.1" customHeight="1" outlineLevel="5" x14ac:dyDescent="0.25">
      <c r="A390" s="65" t="s">
        <v>795</v>
      </c>
      <c r="B390" s="66" t="s">
        <v>796</v>
      </c>
      <c r="C390" s="66"/>
      <c r="D390" s="98" t="s">
        <v>748</v>
      </c>
      <c r="E390" s="98"/>
      <c r="F390" s="67"/>
      <c r="G390" s="66"/>
      <c r="H390" s="68"/>
      <c r="I390" s="36"/>
      <c r="J390" s="68"/>
      <c r="K390" s="69"/>
      <c r="L390" s="69"/>
      <c r="M390" s="69"/>
      <c r="N390" s="69"/>
      <c r="O390" s="69">
        <f>SUM(O391:O393)</f>
        <v>0</v>
      </c>
      <c r="P390" s="69">
        <f>SUM(P391:P393)</f>
        <v>0</v>
      </c>
      <c r="Q390" s="69">
        <f>SUM(Q391:Q393)</f>
        <v>0</v>
      </c>
      <c r="R390" s="69">
        <f>SUM(R391:R393)</f>
        <v>0</v>
      </c>
      <c r="S390" s="69"/>
      <c r="T390" s="36"/>
      <c r="XDA390"/>
      <c r="XDB390"/>
      <c r="XDC390"/>
      <c r="XDD390"/>
      <c r="XDE390"/>
      <c r="XDF390"/>
      <c r="XDG390"/>
      <c r="XDH390"/>
      <c r="XDI390"/>
      <c r="XDJ390"/>
      <c r="XDK390"/>
      <c r="XDL390"/>
      <c r="XDM390"/>
      <c r="XDN390"/>
      <c r="XDO390"/>
      <c r="XDP390"/>
      <c r="XDQ390"/>
      <c r="XDR390"/>
      <c r="XDS390"/>
      <c r="XDT390"/>
      <c r="XDU390"/>
      <c r="XDV390"/>
      <c r="XDW390"/>
      <c r="XDX390"/>
      <c r="XDY390"/>
      <c r="XDZ390"/>
      <c r="XEA390"/>
      <c r="XEB390"/>
      <c r="XEC390"/>
      <c r="XED390"/>
      <c r="XEE390"/>
      <c r="XEF390"/>
      <c r="XEG390"/>
      <c r="XEH390"/>
      <c r="XEI390"/>
      <c r="XEJ39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</row>
    <row r="391" spans="1:20 16329:16383" s="38" customFormat="1" ht="29.1" customHeight="1" outlineLevel="6" x14ac:dyDescent="0.25">
      <c r="A391" s="49" t="s">
        <v>797</v>
      </c>
      <c r="B391" s="50"/>
      <c r="C391" s="50"/>
      <c r="D391" s="3" t="s">
        <v>751</v>
      </c>
      <c r="E391" s="3"/>
      <c r="F391" s="51" t="s">
        <v>798</v>
      </c>
      <c r="G391" s="50" t="s">
        <v>102</v>
      </c>
      <c r="H391" s="52">
        <f>1</f>
        <v>1</v>
      </c>
      <c r="I391" s="36"/>
      <c r="J391" s="52">
        <v>1</v>
      </c>
      <c r="K391" s="53">
        <f>0</f>
        <v>0</v>
      </c>
      <c r="L391" s="53">
        <f>0</f>
        <v>0</v>
      </c>
      <c r="M391" s="53">
        <f>0</f>
        <v>0</v>
      </c>
      <c r="N391" s="54">
        <f>SUM(K391:M391)</f>
        <v>0</v>
      </c>
      <c r="O391" s="54">
        <f>ROUND((H391*K391),2)</f>
        <v>0</v>
      </c>
      <c r="P391" s="54">
        <f>ROUND((H391*L391),2)</f>
        <v>0</v>
      </c>
      <c r="Q391" s="54">
        <f>ROUND((H391*M391),2)</f>
        <v>0</v>
      </c>
      <c r="R391" s="54">
        <f>ROUND((H391*N391),2)</f>
        <v>0</v>
      </c>
      <c r="S391" s="54"/>
      <c r="T391" s="36"/>
      <c r="XDA391"/>
      <c r="XDB391"/>
      <c r="XDC391"/>
      <c r="XDD391"/>
      <c r="XDE391"/>
      <c r="XDF391"/>
      <c r="XDG391"/>
      <c r="XDH391"/>
      <c r="XDI391"/>
      <c r="XDJ391"/>
      <c r="XDK391"/>
      <c r="XDL391"/>
      <c r="XDM391"/>
      <c r="XDN391"/>
      <c r="XDO391"/>
      <c r="XDP391"/>
      <c r="XDQ391"/>
      <c r="XDR391"/>
      <c r="XDS391"/>
      <c r="XDT391"/>
      <c r="XDU391"/>
      <c r="XDV391"/>
      <c r="XDW391"/>
      <c r="XDX391"/>
      <c r="XDY391"/>
      <c r="XDZ391"/>
      <c r="XEA391"/>
      <c r="XEB391"/>
      <c r="XEC391"/>
      <c r="XED391"/>
      <c r="XEE391"/>
      <c r="XEF391"/>
      <c r="XEG391"/>
      <c r="XEH391"/>
      <c r="XEI391"/>
      <c r="XEJ391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</row>
    <row r="392" spans="1:20 16329:16383" s="38" customFormat="1" ht="29.1" customHeight="1" outlineLevel="6" x14ac:dyDescent="0.25">
      <c r="A392" s="49" t="s">
        <v>799</v>
      </c>
      <c r="B392" s="50"/>
      <c r="C392" s="50"/>
      <c r="D392" s="3" t="s">
        <v>754</v>
      </c>
      <c r="E392" s="3"/>
      <c r="F392" s="51" t="s">
        <v>800</v>
      </c>
      <c r="G392" s="50" t="s">
        <v>102</v>
      </c>
      <c r="H392" s="52">
        <f>1</f>
        <v>1</v>
      </c>
      <c r="I392" s="36"/>
      <c r="J392" s="52">
        <v>1</v>
      </c>
      <c r="K392" s="53">
        <f>0</f>
        <v>0</v>
      </c>
      <c r="L392" s="53">
        <f>0</f>
        <v>0</v>
      </c>
      <c r="M392" s="53">
        <f>0</f>
        <v>0</v>
      </c>
      <c r="N392" s="54">
        <f>SUM(K392:M392)</f>
        <v>0</v>
      </c>
      <c r="O392" s="54">
        <f>ROUND((H392*K392),2)</f>
        <v>0</v>
      </c>
      <c r="P392" s="54">
        <f>ROUND((H392*L392),2)</f>
        <v>0</v>
      </c>
      <c r="Q392" s="54">
        <f>ROUND((H392*M392),2)</f>
        <v>0</v>
      </c>
      <c r="R392" s="54">
        <f>ROUND((H392*N392),2)</f>
        <v>0</v>
      </c>
      <c r="S392" s="54"/>
      <c r="T392" s="36"/>
      <c r="XDA392"/>
      <c r="XDB392"/>
      <c r="XDC392"/>
      <c r="XDD392"/>
      <c r="XDE392"/>
      <c r="XDF392"/>
      <c r="XDG392"/>
      <c r="XDH392"/>
      <c r="XDI392"/>
      <c r="XDJ392"/>
      <c r="XDK392"/>
      <c r="XDL392"/>
      <c r="XDM392"/>
      <c r="XDN392"/>
      <c r="XDO392"/>
      <c r="XDP392"/>
      <c r="XDQ392"/>
      <c r="XDR392"/>
      <c r="XDS392"/>
      <c r="XDT392"/>
      <c r="XDU392"/>
      <c r="XDV392"/>
      <c r="XDW392"/>
      <c r="XDX392"/>
      <c r="XDY392"/>
      <c r="XDZ392"/>
      <c r="XEA392"/>
      <c r="XEB392"/>
      <c r="XEC392"/>
      <c r="XED392"/>
      <c r="XEE392"/>
      <c r="XEF392"/>
      <c r="XEG392"/>
      <c r="XEH392"/>
      <c r="XEI392"/>
      <c r="XEJ392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</row>
    <row r="393" spans="1:20 16329:16383" s="38" customFormat="1" ht="29.1" customHeight="1" outlineLevel="6" x14ac:dyDescent="0.25">
      <c r="A393" s="49" t="s">
        <v>801</v>
      </c>
      <c r="B393" s="50"/>
      <c r="C393" s="50"/>
      <c r="D393" s="3" t="s">
        <v>756</v>
      </c>
      <c r="E393" s="3"/>
      <c r="F393" s="51" t="s">
        <v>802</v>
      </c>
      <c r="G393" s="50" t="s">
        <v>102</v>
      </c>
      <c r="H393" s="52">
        <f>1</f>
        <v>1</v>
      </c>
      <c r="I393" s="36"/>
      <c r="J393" s="52">
        <v>1</v>
      </c>
      <c r="K393" s="53">
        <f>0</f>
        <v>0</v>
      </c>
      <c r="L393" s="53">
        <f>0</f>
        <v>0</v>
      </c>
      <c r="M393" s="53">
        <f>0</f>
        <v>0</v>
      </c>
      <c r="N393" s="54">
        <f>SUM(K393:M393)</f>
        <v>0</v>
      </c>
      <c r="O393" s="54">
        <f>ROUND((H393*K393),2)</f>
        <v>0</v>
      </c>
      <c r="P393" s="54">
        <f>ROUND((H393*L393),2)</f>
        <v>0</v>
      </c>
      <c r="Q393" s="54">
        <f>ROUND((H393*M393),2)</f>
        <v>0</v>
      </c>
      <c r="R393" s="54">
        <f>ROUND((H393*N393),2)</f>
        <v>0</v>
      </c>
      <c r="S393" s="54"/>
      <c r="T393" s="36"/>
      <c r="XDA393"/>
      <c r="XDB393"/>
      <c r="XDC393"/>
      <c r="XDD393"/>
      <c r="XDE393"/>
      <c r="XDF393"/>
      <c r="XDG393"/>
      <c r="XDH393"/>
      <c r="XDI393"/>
      <c r="XDJ393"/>
      <c r="XDK393"/>
      <c r="XDL393"/>
      <c r="XDM393"/>
      <c r="XDN393"/>
      <c r="XDO393"/>
      <c r="XDP393"/>
      <c r="XDQ393"/>
      <c r="XDR393"/>
      <c r="XDS393"/>
      <c r="XDT393"/>
      <c r="XDU393"/>
      <c r="XDV393"/>
      <c r="XDW393"/>
      <c r="XDX393"/>
      <c r="XDY393"/>
      <c r="XDZ393"/>
      <c r="XEA393"/>
      <c r="XEB393"/>
      <c r="XEC393"/>
      <c r="XED393"/>
      <c r="XEE393"/>
      <c r="XEF393"/>
      <c r="XEG393"/>
      <c r="XEH393"/>
      <c r="XEI393"/>
      <c r="XEJ393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</row>
    <row r="394" spans="1:20 16329:16383" s="38" customFormat="1" ht="29.1" customHeight="1" outlineLevel="5" x14ac:dyDescent="0.25">
      <c r="A394" s="65" t="s">
        <v>803</v>
      </c>
      <c r="B394" s="66" t="s">
        <v>804</v>
      </c>
      <c r="C394" s="66"/>
      <c r="D394" s="98" t="s">
        <v>805</v>
      </c>
      <c r="E394" s="98"/>
      <c r="F394" s="67" t="s">
        <v>760</v>
      </c>
      <c r="G394" s="66"/>
      <c r="H394" s="68"/>
      <c r="I394" s="36"/>
      <c r="J394" s="68"/>
      <c r="K394" s="69"/>
      <c r="L394" s="69"/>
      <c r="M394" s="69"/>
      <c r="N394" s="69"/>
      <c r="O394" s="69">
        <f>SUM(O395:O398)</f>
        <v>0</v>
      </c>
      <c r="P394" s="69">
        <f>SUM(P395:P398)</f>
        <v>0</v>
      </c>
      <c r="Q394" s="69">
        <f>SUM(Q395:Q398)</f>
        <v>0</v>
      </c>
      <c r="R394" s="69">
        <f>SUM(R395:R398)</f>
        <v>0</v>
      </c>
      <c r="S394" s="69"/>
      <c r="T394" s="36"/>
      <c r="XDA394"/>
      <c r="XDB394"/>
      <c r="XDC394"/>
      <c r="XDD394"/>
      <c r="XDE394"/>
      <c r="XDF394"/>
      <c r="XDG394"/>
      <c r="XDH394"/>
      <c r="XDI394"/>
      <c r="XDJ394"/>
      <c r="XDK394"/>
      <c r="XDL394"/>
      <c r="XDM394"/>
      <c r="XDN394"/>
      <c r="XDO394"/>
      <c r="XDP394"/>
      <c r="XDQ394"/>
      <c r="XDR394"/>
      <c r="XDS394"/>
      <c r="XDT394"/>
      <c r="XDU394"/>
      <c r="XDV394"/>
      <c r="XDW394"/>
      <c r="XDX394"/>
      <c r="XDY394"/>
      <c r="XDZ394"/>
      <c r="XEA394"/>
      <c r="XEB394"/>
      <c r="XEC394"/>
      <c r="XED394"/>
      <c r="XEE394"/>
      <c r="XEF394"/>
      <c r="XEG394"/>
      <c r="XEH394"/>
      <c r="XEI394"/>
      <c r="XEJ394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</row>
    <row r="395" spans="1:20 16329:16383" s="38" customFormat="1" ht="29.1" customHeight="1" outlineLevel="6" x14ac:dyDescent="0.25">
      <c r="A395" s="49" t="s">
        <v>806</v>
      </c>
      <c r="B395" s="50"/>
      <c r="C395" s="50"/>
      <c r="D395" s="3" t="s">
        <v>754</v>
      </c>
      <c r="E395" s="3"/>
      <c r="F395" s="51" t="s">
        <v>800</v>
      </c>
      <c r="G395" s="50" t="s">
        <v>102</v>
      </c>
      <c r="H395" s="52">
        <f>1</f>
        <v>1</v>
      </c>
      <c r="I395" s="36"/>
      <c r="J395" s="52">
        <v>1</v>
      </c>
      <c r="K395" s="53">
        <f>0</f>
        <v>0</v>
      </c>
      <c r="L395" s="53">
        <f>0</f>
        <v>0</v>
      </c>
      <c r="M395" s="53">
        <f>0</f>
        <v>0</v>
      </c>
      <c r="N395" s="54">
        <f>SUM(K395:M395)</f>
        <v>0</v>
      </c>
      <c r="O395" s="54">
        <f>ROUND((H395*K395),2)</f>
        <v>0</v>
      </c>
      <c r="P395" s="54">
        <f>ROUND((H395*L395),2)</f>
        <v>0</v>
      </c>
      <c r="Q395" s="54">
        <f>ROUND((H395*M395),2)</f>
        <v>0</v>
      </c>
      <c r="R395" s="54">
        <f>ROUND((H395*N395),2)</f>
        <v>0</v>
      </c>
      <c r="S395" s="54"/>
      <c r="T395" s="36"/>
      <c r="XDA395"/>
      <c r="XDB395"/>
      <c r="XDC395"/>
      <c r="XDD395"/>
      <c r="XDE395"/>
      <c r="XDF395"/>
      <c r="XDG395"/>
      <c r="XDH395"/>
      <c r="XDI395"/>
      <c r="XDJ395"/>
      <c r="XDK395"/>
      <c r="XDL395"/>
      <c r="XDM395"/>
      <c r="XDN395"/>
      <c r="XDO395"/>
      <c r="XDP395"/>
      <c r="XDQ395"/>
      <c r="XDR395"/>
      <c r="XDS395"/>
      <c r="XDT395"/>
      <c r="XDU395"/>
      <c r="XDV395"/>
      <c r="XDW395"/>
      <c r="XDX395"/>
      <c r="XDY395"/>
      <c r="XDZ395"/>
      <c r="XEA395"/>
      <c r="XEB395"/>
      <c r="XEC395"/>
      <c r="XED395"/>
      <c r="XEE395"/>
      <c r="XEF395"/>
      <c r="XEG395"/>
      <c r="XEH395"/>
      <c r="XEI395"/>
      <c r="XEJ395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</row>
    <row r="396" spans="1:20 16329:16383" s="38" customFormat="1" ht="29.1" customHeight="1" outlineLevel="6" x14ac:dyDescent="0.25">
      <c r="A396" s="49" t="s">
        <v>807</v>
      </c>
      <c r="B396" s="50"/>
      <c r="C396" s="50"/>
      <c r="D396" s="3" t="s">
        <v>763</v>
      </c>
      <c r="E396" s="3"/>
      <c r="F396" s="51" t="s">
        <v>808</v>
      </c>
      <c r="G396" s="50" t="s">
        <v>102</v>
      </c>
      <c r="H396" s="52">
        <f>1</f>
        <v>1</v>
      </c>
      <c r="I396" s="36"/>
      <c r="J396" s="52">
        <v>1</v>
      </c>
      <c r="K396" s="53">
        <f>0</f>
        <v>0</v>
      </c>
      <c r="L396" s="53">
        <f>0</f>
        <v>0</v>
      </c>
      <c r="M396" s="53">
        <f>0</f>
        <v>0</v>
      </c>
      <c r="N396" s="54">
        <f>SUM(K396:M396)</f>
        <v>0</v>
      </c>
      <c r="O396" s="54">
        <f>ROUND((H396*K396),2)</f>
        <v>0</v>
      </c>
      <c r="P396" s="54">
        <f>ROUND((H396*L396),2)</f>
        <v>0</v>
      </c>
      <c r="Q396" s="54">
        <f>ROUND((H396*M396),2)</f>
        <v>0</v>
      </c>
      <c r="R396" s="54">
        <f>ROUND((H396*N396),2)</f>
        <v>0</v>
      </c>
      <c r="S396" s="54"/>
      <c r="T396" s="36"/>
      <c r="XDA396"/>
      <c r="XDB396"/>
      <c r="XDC396"/>
      <c r="XDD396"/>
      <c r="XDE396"/>
      <c r="XDF396"/>
      <c r="XDG396"/>
      <c r="XDH396"/>
      <c r="XDI396"/>
      <c r="XDJ396"/>
      <c r="XDK396"/>
      <c r="XDL396"/>
      <c r="XDM396"/>
      <c r="XDN396"/>
      <c r="XDO396"/>
      <c r="XDP396"/>
      <c r="XDQ396"/>
      <c r="XDR396"/>
      <c r="XDS396"/>
      <c r="XDT396"/>
      <c r="XDU396"/>
      <c r="XDV396"/>
      <c r="XDW396"/>
      <c r="XDX396"/>
      <c r="XDY396"/>
      <c r="XDZ396"/>
      <c r="XEA396"/>
      <c r="XEB396"/>
      <c r="XEC396"/>
      <c r="XED396"/>
      <c r="XEE396"/>
      <c r="XEF396"/>
      <c r="XEG396"/>
      <c r="XEH396"/>
      <c r="XEI396"/>
      <c r="XEJ396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</row>
    <row r="397" spans="1:20 16329:16383" s="38" customFormat="1" ht="29.1" customHeight="1" outlineLevel="6" x14ac:dyDescent="0.25">
      <c r="A397" s="49" t="s">
        <v>809</v>
      </c>
      <c r="B397" s="50"/>
      <c r="C397" s="50"/>
      <c r="D397" s="3" t="s">
        <v>765</v>
      </c>
      <c r="E397" s="3"/>
      <c r="F397" s="51" t="s">
        <v>810</v>
      </c>
      <c r="G397" s="50" t="s">
        <v>102</v>
      </c>
      <c r="H397" s="52">
        <f>1</f>
        <v>1</v>
      </c>
      <c r="I397" s="36"/>
      <c r="J397" s="52">
        <v>1</v>
      </c>
      <c r="K397" s="53">
        <f>0</f>
        <v>0</v>
      </c>
      <c r="L397" s="53">
        <f>0</f>
        <v>0</v>
      </c>
      <c r="M397" s="53">
        <f>0</f>
        <v>0</v>
      </c>
      <c r="N397" s="54">
        <f>SUM(K397:M397)</f>
        <v>0</v>
      </c>
      <c r="O397" s="54">
        <f>ROUND((H397*K397),2)</f>
        <v>0</v>
      </c>
      <c r="P397" s="54">
        <f>ROUND((H397*L397),2)</f>
        <v>0</v>
      </c>
      <c r="Q397" s="54">
        <f>ROUND((H397*M397),2)</f>
        <v>0</v>
      </c>
      <c r="R397" s="54">
        <f>ROUND((H397*N397),2)</f>
        <v>0</v>
      </c>
      <c r="S397" s="54"/>
      <c r="T397" s="36"/>
      <c r="XDA397"/>
      <c r="XDB397"/>
      <c r="XDC397"/>
      <c r="XDD397"/>
      <c r="XDE397"/>
      <c r="XDF397"/>
      <c r="XDG397"/>
      <c r="XDH397"/>
      <c r="XDI397"/>
      <c r="XDJ397"/>
      <c r="XDK397"/>
      <c r="XDL397"/>
      <c r="XDM397"/>
      <c r="XDN397"/>
      <c r="XDO397"/>
      <c r="XDP397"/>
      <c r="XDQ397"/>
      <c r="XDR397"/>
      <c r="XDS397"/>
      <c r="XDT397"/>
      <c r="XDU397"/>
      <c r="XDV397"/>
      <c r="XDW397"/>
      <c r="XDX397"/>
      <c r="XDY397"/>
      <c r="XDZ397"/>
      <c r="XEA397"/>
      <c r="XEB397"/>
      <c r="XEC397"/>
      <c r="XED397"/>
      <c r="XEE397"/>
      <c r="XEF397"/>
      <c r="XEG397"/>
      <c r="XEH397"/>
      <c r="XEI397"/>
      <c r="XEJ397"/>
      <c r="XEK397"/>
      <c r="XEL397"/>
      <c r="XEM397"/>
      <c r="XEN397"/>
      <c r="XEO397"/>
      <c r="XEP397"/>
      <c r="XEQ397"/>
      <c r="XER397"/>
      <c r="XES397"/>
      <c r="XET397"/>
      <c r="XEU397"/>
      <c r="XEV397"/>
      <c r="XEW397"/>
      <c r="XEX397"/>
      <c r="XEY397"/>
      <c r="XEZ397"/>
      <c r="XFA397"/>
      <c r="XFB397"/>
      <c r="XFC397"/>
    </row>
    <row r="398" spans="1:20 16329:16383" s="38" customFormat="1" ht="29.1" customHeight="1" outlineLevel="6" x14ac:dyDescent="0.25">
      <c r="A398" s="49" t="s">
        <v>811</v>
      </c>
      <c r="B398" s="50"/>
      <c r="C398" s="50"/>
      <c r="D398" s="3" t="s">
        <v>767</v>
      </c>
      <c r="E398" s="3"/>
      <c r="F398" s="51" t="s">
        <v>812</v>
      </c>
      <c r="G398" s="50" t="s">
        <v>102</v>
      </c>
      <c r="H398" s="52">
        <f>1</f>
        <v>1</v>
      </c>
      <c r="I398" s="36"/>
      <c r="J398" s="52">
        <v>1</v>
      </c>
      <c r="K398" s="53">
        <f>0</f>
        <v>0</v>
      </c>
      <c r="L398" s="53">
        <f>0</f>
        <v>0</v>
      </c>
      <c r="M398" s="53">
        <f>0</f>
        <v>0</v>
      </c>
      <c r="N398" s="54">
        <f>SUM(K398:M398)</f>
        <v>0</v>
      </c>
      <c r="O398" s="54">
        <f>ROUND((H398*K398),2)</f>
        <v>0</v>
      </c>
      <c r="P398" s="54">
        <f>ROUND((H398*L398),2)</f>
        <v>0</v>
      </c>
      <c r="Q398" s="54">
        <f>ROUND((H398*M398),2)</f>
        <v>0</v>
      </c>
      <c r="R398" s="54">
        <f>ROUND((H398*N398),2)</f>
        <v>0</v>
      </c>
      <c r="S398" s="54"/>
      <c r="T398" s="36"/>
      <c r="XDA398"/>
      <c r="XDB398"/>
      <c r="XDC398"/>
      <c r="XDD398"/>
      <c r="XDE398"/>
      <c r="XDF398"/>
      <c r="XDG398"/>
      <c r="XDH398"/>
      <c r="XDI398"/>
      <c r="XDJ398"/>
      <c r="XDK398"/>
      <c r="XDL398"/>
      <c r="XDM398"/>
      <c r="XDN398"/>
      <c r="XDO398"/>
      <c r="XDP398"/>
      <c r="XDQ398"/>
      <c r="XDR398"/>
      <c r="XDS398"/>
      <c r="XDT398"/>
      <c r="XDU398"/>
      <c r="XDV398"/>
      <c r="XDW398"/>
      <c r="XDX398"/>
      <c r="XDY398"/>
      <c r="XDZ398"/>
      <c r="XEA398"/>
      <c r="XEB398"/>
      <c r="XEC398"/>
      <c r="XED398"/>
      <c r="XEE398"/>
      <c r="XEF398"/>
      <c r="XEG398"/>
      <c r="XEH398"/>
      <c r="XEI398"/>
      <c r="XEJ398"/>
      <c r="XEK398"/>
      <c r="XEL398"/>
      <c r="XEM398"/>
      <c r="XEN398"/>
      <c r="XEO398"/>
      <c r="XEP398"/>
      <c r="XEQ398"/>
      <c r="XER398"/>
      <c r="XES398"/>
      <c r="XET398"/>
      <c r="XEU398"/>
      <c r="XEV398"/>
      <c r="XEW398"/>
      <c r="XEX398"/>
      <c r="XEY398"/>
      <c r="XEZ398"/>
      <c r="XFA398"/>
      <c r="XFB398"/>
      <c r="XFC398"/>
    </row>
    <row r="399" spans="1:20 16329:16383" s="38" customFormat="1" ht="29.1" customHeight="1" outlineLevel="5" x14ac:dyDescent="0.25">
      <c r="A399" s="65" t="s">
        <v>813</v>
      </c>
      <c r="B399" s="66" t="s">
        <v>814</v>
      </c>
      <c r="C399" s="66"/>
      <c r="D399" s="98" t="s">
        <v>770</v>
      </c>
      <c r="E399" s="98"/>
      <c r="F399" s="67" t="s">
        <v>771</v>
      </c>
      <c r="G399" s="66"/>
      <c r="H399" s="68"/>
      <c r="I399" s="36"/>
      <c r="J399" s="68"/>
      <c r="K399" s="69"/>
      <c r="L399" s="69"/>
      <c r="M399" s="69"/>
      <c r="N399" s="69"/>
      <c r="O399" s="69">
        <f>O400</f>
        <v>0</v>
      </c>
      <c r="P399" s="69">
        <f>P400</f>
        <v>0</v>
      </c>
      <c r="Q399" s="69">
        <f>Q400</f>
        <v>0</v>
      </c>
      <c r="R399" s="69">
        <f>R400</f>
        <v>0</v>
      </c>
      <c r="S399" s="69"/>
      <c r="T399" s="36"/>
      <c r="XDA399"/>
      <c r="XDB399"/>
      <c r="XDC399"/>
      <c r="XDD399"/>
      <c r="XDE399"/>
      <c r="XDF399"/>
      <c r="XDG399"/>
      <c r="XDH399"/>
      <c r="XDI399"/>
      <c r="XDJ399"/>
      <c r="XDK399"/>
      <c r="XDL399"/>
      <c r="XDM399"/>
      <c r="XDN399"/>
      <c r="XDO399"/>
      <c r="XDP399"/>
      <c r="XDQ399"/>
      <c r="XDR399"/>
      <c r="XDS399"/>
      <c r="XDT399"/>
      <c r="XDU399"/>
      <c r="XDV399"/>
      <c r="XDW399"/>
      <c r="XDX399"/>
      <c r="XDY399"/>
      <c r="XDZ399"/>
      <c r="XEA399"/>
      <c r="XEB399"/>
      <c r="XEC399"/>
      <c r="XED399"/>
      <c r="XEE399"/>
      <c r="XEF399"/>
      <c r="XEG399"/>
      <c r="XEH399"/>
      <c r="XEI399"/>
      <c r="XEJ399"/>
      <c r="XEK399"/>
      <c r="XEL399"/>
      <c r="XEM399"/>
      <c r="XEN399"/>
      <c r="XEO399"/>
      <c r="XEP399"/>
      <c r="XEQ399"/>
      <c r="XER399"/>
      <c r="XES399"/>
      <c r="XET399"/>
      <c r="XEU399"/>
      <c r="XEV399"/>
      <c r="XEW399"/>
      <c r="XEX399"/>
      <c r="XEY399"/>
      <c r="XEZ399"/>
      <c r="XFA399"/>
      <c r="XFB399"/>
      <c r="XFC399"/>
    </row>
    <row r="400" spans="1:20 16329:16383" s="38" customFormat="1" ht="29.1" customHeight="1" outlineLevel="6" x14ac:dyDescent="0.25">
      <c r="A400" s="49" t="s">
        <v>815</v>
      </c>
      <c r="B400" s="50"/>
      <c r="C400" s="50"/>
      <c r="D400" s="3" t="s">
        <v>773</v>
      </c>
      <c r="E400" s="3"/>
      <c r="F400" s="51" t="s">
        <v>816</v>
      </c>
      <c r="G400" s="50" t="s">
        <v>102</v>
      </c>
      <c r="H400" s="52">
        <f>1</f>
        <v>1</v>
      </c>
      <c r="I400" s="36"/>
      <c r="J400" s="52">
        <v>1</v>
      </c>
      <c r="K400" s="53">
        <f>0</f>
        <v>0</v>
      </c>
      <c r="L400" s="53">
        <f>0</f>
        <v>0</v>
      </c>
      <c r="M400" s="53">
        <f>0</f>
        <v>0</v>
      </c>
      <c r="N400" s="54">
        <f>SUM(K400:M400)</f>
        <v>0</v>
      </c>
      <c r="O400" s="54">
        <f>ROUND((H400*K400),2)</f>
        <v>0</v>
      </c>
      <c r="P400" s="54">
        <f>ROUND((H400*L400),2)</f>
        <v>0</v>
      </c>
      <c r="Q400" s="54">
        <f>ROUND((H400*M400),2)</f>
        <v>0</v>
      </c>
      <c r="R400" s="54">
        <f>ROUND((H400*N400),2)</f>
        <v>0</v>
      </c>
      <c r="S400" s="54"/>
      <c r="T400" s="36"/>
      <c r="XDA400"/>
      <c r="XDB400"/>
      <c r="XDC400"/>
      <c r="XDD400"/>
      <c r="XDE400"/>
      <c r="XDF400"/>
      <c r="XDG400"/>
      <c r="XDH400"/>
      <c r="XDI400"/>
      <c r="XDJ400"/>
      <c r="XDK400"/>
      <c r="XDL400"/>
      <c r="XDM400"/>
      <c r="XDN400"/>
      <c r="XDO400"/>
      <c r="XDP400"/>
      <c r="XDQ400"/>
      <c r="XDR400"/>
      <c r="XDS400"/>
      <c r="XDT400"/>
      <c r="XDU400"/>
      <c r="XDV400"/>
      <c r="XDW400"/>
      <c r="XDX400"/>
      <c r="XDY400"/>
      <c r="XDZ400"/>
      <c r="XEA400"/>
      <c r="XEB400"/>
      <c r="XEC400"/>
      <c r="XED400"/>
      <c r="XEE400"/>
      <c r="XEF400"/>
      <c r="XEG400"/>
      <c r="XEH400"/>
      <c r="XEI400"/>
      <c r="XEJ400"/>
      <c r="XEK400"/>
      <c r="XEL400"/>
      <c r="XEM400"/>
      <c r="XEN400"/>
      <c r="XEO400"/>
      <c r="XEP400"/>
      <c r="XEQ400"/>
      <c r="XER400"/>
      <c r="XES400"/>
      <c r="XET400"/>
      <c r="XEU400"/>
      <c r="XEV400"/>
      <c r="XEW400"/>
      <c r="XEX400"/>
      <c r="XEY400"/>
      <c r="XEZ400"/>
      <c r="XFA400"/>
      <c r="XFB400"/>
      <c r="XFC400"/>
    </row>
    <row r="401" spans="1:20 16329:16383" s="38" customFormat="1" ht="29.1" customHeight="1" outlineLevel="5" x14ac:dyDescent="0.25">
      <c r="A401" s="65" t="s">
        <v>817</v>
      </c>
      <c r="B401" s="66" t="s">
        <v>818</v>
      </c>
      <c r="C401" s="66"/>
      <c r="D401" s="98" t="s">
        <v>776</v>
      </c>
      <c r="E401" s="98"/>
      <c r="F401" s="67" t="s">
        <v>777</v>
      </c>
      <c r="G401" s="66"/>
      <c r="H401" s="68"/>
      <c r="I401" s="36"/>
      <c r="J401" s="68"/>
      <c r="K401" s="69"/>
      <c r="L401" s="69"/>
      <c r="M401" s="69"/>
      <c r="N401" s="69"/>
      <c r="O401" s="69">
        <f>O402</f>
        <v>0</v>
      </c>
      <c r="P401" s="69">
        <f>P402</f>
        <v>0</v>
      </c>
      <c r="Q401" s="69">
        <f>Q402</f>
        <v>0</v>
      </c>
      <c r="R401" s="69">
        <f>R402</f>
        <v>0</v>
      </c>
      <c r="S401" s="69"/>
      <c r="T401" s="36"/>
      <c r="XDA401"/>
      <c r="XDB401"/>
      <c r="XDC401"/>
      <c r="XDD401"/>
      <c r="XDE401"/>
      <c r="XDF401"/>
      <c r="XDG401"/>
      <c r="XDH401"/>
      <c r="XDI401"/>
      <c r="XDJ401"/>
      <c r="XDK401"/>
      <c r="XDL401"/>
      <c r="XDM401"/>
      <c r="XDN401"/>
      <c r="XDO401"/>
      <c r="XDP401"/>
      <c r="XDQ401"/>
      <c r="XDR401"/>
      <c r="XDS401"/>
      <c r="XDT401"/>
      <c r="XDU401"/>
      <c r="XDV401"/>
      <c r="XDW401"/>
      <c r="XDX401"/>
      <c r="XDY401"/>
      <c r="XDZ401"/>
      <c r="XEA401"/>
      <c r="XEB401"/>
      <c r="XEC401"/>
      <c r="XED401"/>
      <c r="XEE401"/>
      <c r="XEF401"/>
      <c r="XEG401"/>
      <c r="XEH401"/>
      <c r="XEI401"/>
      <c r="XEJ401"/>
      <c r="XEK401"/>
      <c r="XEL401"/>
      <c r="XEM401"/>
      <c r="XEN401"/>
      <c r="XEO401"/>
      <c r="XEP401"/>
      <c r="XEQ401"/>
      <c r="XER401"/>
      <c r="XES401"/>
      <c r="XET401"/>
      <c r="XEU401"/>
      <c r="XEV401"/>
      <c r="XEW401"/>
      <c r="XEX401"/>
      <c r="XEY401"/>
      <c r="XEZ401"/>
      <c r="XFA401"/>
      <c r="XFB401"/>
      <c r="XFC401"/>
    </row>
    <row r="402" spans="1:20 16329:16383" s="38" customFormat="1" ht="29.1" customHeight="1" outlineLevel="6" x14ac:dyDescent="0.25">
      <c r="A402" s="49" t="s">
        <v>819</v>
      </c>
      <c r="B402" s="50"/>
      <c r="C402" s="50"/>
      <c r="D402" s="3" t="s">
        <v>779</v>
      </c>
      <c r="E402" s="3"/>
      <c r="F402" s="51" t="s">
        <v>820</v>
      </c>
      <c r="G402" s="50" t="s">
        <v>102</v>
      </c>
      <c r="H402" s="52">
        <f>1</f>
        <v>1</v>
      </c>
      <c r="I402" s="36"/>
      <c r="J402" s="52">
        <v>1</v>
      </c>
      <c r="K402" s="53">
        <f>0</f>
        <v>0</v>
      </c>
      <c r="L402" s="53">
        <f>0</f>
        <v>0</v>
      </c>
      <c r="M402" s="53">
        <f>0</f>
        <v>0</v>
      </c>
      <c r="N402" s="54">
        <f>SUM(K402:M402)</f>
        <v>0</v>
      </c>
      <c r="O402" s="54">
        <f>ROUND((H402*K402),2)</f>
        <v>0</v>
      </c>
      <c r="P402" s="54">
        <f>ROUND((H402*L402),2)</f>
        <v>0</v>
      </c>
      <c r="Q402" s="54">
        <f>ROUND((H402*M402),2)</f>
        <v>0</v>
      </c>
      <c r="R402" s="54">
        <f>ROUND((H402*N402),2)</f>
        <v>0</v>
      </c>
      <c r="S402" s="54"/>
      <c r="T402" s="36"/>
      <c r="XDA402"/>
      <c r="XDB402"/>
      <c r="XDC402"/>
      <c r="XDD402"/>
      <c r="XDE402"/>
      <c r="XDF402"/>
      <c r="XDG402"/>
      <c r="XDH402"/>
      <c r="XDI402"/>
      <c r="XDJ402"/>
      <c r="XDK402"/>
      <c r="XDL402"/>
      <c r="XDM402"/>
      <c r="XDN402"/>
      <c r="XDO402"/>
      <c r="XDP402"/>
      <c r="XDQ402"/>
      <c r="XDR402"/>
      <c r="XDS402"/>
      <c r="XDT402"/>
      <c r="XDU402"/>
      <c r="XDV402"/>
      <c r="XDW402"/>
      <c r="XDX402"/>
      <c r="XDY402"/>
      <c r="XDZ402"/>
      <c r="XEA402"/>
      <c r="XEB402"/>
      <c r="XEC402"/>
      <c r="XED402"/>
      <c r="XEE402"/>
      <c r="XEF402"/>
      <c r="XEG402"/>
      <c r="XEH402"/>
      <c r="XEI402"/>
      <c r="XEJ402"/>
      <c r="XEK402"/>
      <c r="XEL402"/>
      <c r="XEM402"/>
      <c r="XEN402"/>
      <c r="XEO402"/>
      <c r="XEP402"/>
      <c r="XEQ402"/>
      <c r="XER402"/>
      <c r="XES402"/>
      <c r="XET402"/>
      <c r="XEU402"/>
      <c r="XEV402"/>
      <c r="XEW402"/>
      <c r="XEX402"/>
      <c r="XEY402"/>
      <c r="XEZ402"/>
      <c r="XFA402"/>
      <c r="XFB402"/>
      <c r="XFC402"/>
    </row>
    <row r="403" spans="1:20 16329:16383" s="38" customFormat="1" ht="29.1" customHeight="1" outlineLevel="5" x14ac:dyDescent="0.25">
      <c r="A403" s="65" t="s">
        <v>821</v>
      </c>
      <c r="B403" s="66" t="s">
        <v>822</v>
      </c>
      <c r="C403" s="66"/>
      <c r="D403" s="98" t="s">
        <v>782</v>
      </c>
      <c r="E403" s="98"/>
      <c r="F403" s="67" t="s">
        <v>783</v>
      </c>
      <c r="G403" s="66"/>
      <c r="H403" s="68"/>
      <c r="I403" s="36"/>
      <c r="J403" s="68"/>
      <c r="K403" s="69"/>
      <c r="L403" s="69"/>
      <c r="M403" s="69"/>
      <c r="N403" s="69"/>
      <c r="O403" s="69">
        <f>SUM(O404:O407)</f>
        <v>0</v>
      </c>
      <c r="P403" s="69">
        <f>SUM(P404:P407)</f>
        <v>0</v>
      </c>
      <c r="Q403" s="69">
        <f>SUM(Q404:Q407)</f>
        <v>0</v>
      </c>
      <c r="R403" s="69">
        <f>SUM(R404:R407)</f>
        <v>0</v>
      </c>
      <c r="S403" s="69"/>
      <c r="T403" s="36"/>
      <c r="XDA403"/>
      <c r="XDB403"/>
      <c r="XDC403"/>
      <c r="XDD403"/>
      <c r="XDE403"/>
      <c r="XDF403"/>
      <c r="XDG403"/>
      <c r="XDH403"/>
      <c r="XDI403"/>
      <c r="XDJ403"/>
      <c r="XDK403"/>
      <c r="XDL403"/>
      <c r="XDM403"/>
      <c r="XDN403"/>
      <c r="XDO403"/>
      <c r="XDP403"/>
      <c r="XDQ403"/>
      <c r="XDR403"/>
      <c r="XDS403"/>
      <c r="XDT403"/>
      <c r="XDU403"/>
      <c r="XDV403"/>
      <c r="XDW403"/>
      <c r="XDX403"/>
      <c r="XDY403"/>
      <c r="XDZ403"/>
      <c r="XEA403"/>
      <c r="XEB403"/>
      <c r="XEC403"/>
      <c r="XED403"/>
      <c r="XEE403"/>
      <c r="XEF403"/>
      <c r="XEG403"/>
      <c r="XEH403"/>
      <c r="XEI403"/>
      <c r="XEJ403"/>
      <c r="XEK403"/>
      <c r="XEL403"/>
      <c r="XEM403"/>
      <c r="XEN403"/>
      <c r="XEO403"/>
      <c r="XEP403"/>
      <c r="XEQ403"/>
      <c r="XER403"/>
      <c r="XES403"/>
      <c r="XET403"/>
      <c r="XEU403"/>
      <c r="XEV403"/>
      <c r="XEW403"/>
      <c r="XEX403"/>
      <c r="XEY403"/>
      <c r="XEZ403"/>
      <c r="XFA403"/>
      <c r="XFB403"/>
      <c r="XFC403"/>
    </row>
    <row r="404" spans="1:20 16329:16383" s="38" customFormat="1" ht="29.1" customHeight="1" outlineLevel="6" x14ac:dyDescent="0.25">
      <c r="A404" s="49" t="s">
        <v>823</v>
      </c>
      <c r="B404" s="50"/>
      <c r="C404" s="50"/>
      <c r="D404" s="3" t="s">
        <v>785</v>
      </c>
      <c r="E404" s="3"/>
      <c r="F404" s="51" t="s">
        <v>824</v>
      </c>
      <c r="G404" s="50" t="s">
        <v>102</v>
      </c>
      <c r="H404" s="52">
        <f>1</f>
        <v>1</v>
      </c>
      <c r="I404" s="36"/>
      <c r="J404" s="52">
        <v>1</v>
      </c>
      <c r="K404" s="53">
        <f>0</f>
        <v>0</v>
      </c>
      <c r="L404" s="53">
        <f>0</f>
        <v>0</v>
      </c>
      <c r="M404" s="53">
        <f>0</f>
        <v>0</v>
      </c>
      <c r="N404" s="54">
        <f>SUM(K404:M404)</f>
        <v>0</v>
      </c>
      <c r="O404" s="54">
        <f>ROUND((H404*K404),2)</f>
        <v>0</v>
      </c>
      <c r="P404" s="54">
        <f>ROUND((H404*L404),2)</f>
        <v>0</v>
      </c>
      <c r="Q404" s="54">
        <f>ROUND((H404*M404),2)</f>
        <v>0</v>
      </c>
      <c r="R404" s="54">
        <f>ROUND((H404*N404),2)</f>
        <v>0</v>
      </c>
      <c r="S404" s="54"/>
      <c r="T404" s="36"/>
      <c r="XDA404"/>
      <c r="XDB404"/>
      <c r="XDC404"/>
      <c r="XDD404"/>
      <c r="XDE404"/>
      <c r="XDF404"/>
      <c r="XDG404"/>
      <c r="XDH404"/>
      <c r="XDI404"/>
      <c r="XDJ404"/>
      <c r="XDK404"/>
      <c r="XDL404"/>
      <c r="XDM404"/>
      <c r="XDN404"/>
      <c r="XDO404"/>
      <c r="XDP404"/>
      <c r="XDQ404"/>
      <c r="XDR404"/>
      <c r="XDS404"/>
      <c r="XDT404"/>
      <c r="XDU404"/>
      <c r="XDV404"/>
      <c r="XDW404"/>
      <c r="XDX404"/>
      <c r="XDY404"/>
      <c r="XDZ404"/>
      <c r="XEA404"/>
      <c r="XEB404"/>
      <c r="XEC404"/>
      <c r="XED404"/>
      <c r="XEE404"/>
      <c r="XEF404"/>
      <c r="XEG404"/>
      <c r="XEH404"/>
      <c r="XEI404"/>
      <c r="XEJ404"/>
      <c r="XEK404"/>
      <c r="XEL404"/>
      <c r="XEM404"/>
      <c r="XEN404"/>
      <c r="XEO404"/>
      <c r="XEP404"/>
      <c r="XEQ404"/>
      <c r="XER404"/>
      <c r="XES404"/>
      <c r="XET404"/>
      <c r="XEU404"/>
      <c r="XEV404"/>
      <c r="XEW404"/>
      <c r="XEX404"/>
      <c r="XEY404"/>
      <c r="XEZ404"/>
      <c r="XFA404"/>
      <c r="XFB404"/>
      <c r="XFC404"/>
    </row>
    <row r="405" spans="1:20 16329:16383" s="38" customFormat="1" ht="29.1" customHeight="1" outlineLevel="6" x14ac:dyDescent="0.25">
      <c r="A405" s="49" t="s">
        <v>825</v>
      </c>
      <c r="B405" s="50"/>
      <c r="C405" s="50"/>
      <c r="D405" s="3" t="s">
        <v>785</v>
      </c>
      <c r="E405" s="3"/>
      <c r="F405" s="51" t="s">
        <v>826</v>
      </c>
      <c r="G405" s="50" t="s">
        <v>102</v>
      </c>
      <c r="H405" s="52">
        <f>1</f>
        <v>1</v>
      </c>
      <c r="I405" s="36"/>
      <c r="J405" s="52">
        <v>1</v>
      </c>
      <c r="K405" s="53">
        <f>0</f>
        <v>0</v>
      </c>
      <c r="L405" s="53">
        <f>0</f>
        <v>0</v>
      </c>
      <c r="M405" s="53">
        <f>0</f>
        <v>0</v>
      </c>
      <c r="N405" s="54">
        <f>SUM(K405:M405)</f>
        <v>0</v>
      </c>
      <c r="O405" s="54">
        <f>ROUND((H405*K405),2)</f>
        <v>0</v>
      </c>
      <c r="P405" s="54">
        <f>ROUND((H405*L405),2)</f>
        <v>0</v>
      </c>
      <c r="Q405" s="54">
        <f>ROUND((H405*M405),2)</f>
        <v>0</v>
      </c>
      <c r="R405" s="54">
        <f>ROUND((H405*N405),2)</f>
        <v>0</v>
      </c>
      <c r="S405" s="54"/>
      <c r="T405" s="36"/>
      <c r="XDA405"/>
      <c r="XDB405"/>
      <c r="XDC405"/>
      <c r="XDD405"/>
      <c r="XDE405"/>
      <c r="XDF405"/>
      <c r="XDG405"/>
      <c r="XDH405"/>
      <c r="XDI405"/>
      <c r="XDJ405"/>
      <c r="XDK405"/>
      <c r="XDL405"/>
      <c r="XDM405"/>
      <c r="XDN405"/>
      <c r="XDO405"/>
      <c r="XDP405"/>
      <c r="XDQ405"/>
      <c r="XDR405"/>
      <c r="XDS405"/>
      <c r="XDT405"/>
      <c r="XDU405"/>
      <c r="XDV405"/>
      <c r="XDW405"/>
      <c r="XDX405"/>
      <c r="XDY405"/>
      <c r="XDZ405"/>
      <c r="XEA405"/>
      <c r="XEB405"/>
      <c r="XEC405"/>
      <c r="XED405"/>
      <c r="XEE405"/>
      <c r="XEF405"/>
      <c r="XEG405"/>
      <c r="XEH405"/>
      <c r="XEI405"/>
      <c r="XEJ405"/>
      <c r="XEK405"/>
      <c r="XEL405"/>
      <c r="XEM405"/>
      <c r="XEN405"/>
      <c r="XEO405"/>
      <c r="XEP405"/>
      <c r="XEQ405"/>
      <c r="XER405"/>
      <c r="XES405"/>
      <c r="XET405"/>
      <c r="XEU405"/>
      <c r="XEV405"/>
      <c r="XEW405"/>
      <c r="XEX405"/>
      <c r="XEY405"/>
      <c r="XEZ405"/>
      <c r="XFA405"/>
      <c r="XFB405"/>
      <c r="XFC405"/>
    </row>
    <row r="406" spans="1:20 16329:16383" s="38" customFormat="1" ht="29.1" customHeight="1" outlineLevel="6" x14ac:dyDescent="0.25">
      <c r="A406" s="49" t="s">
        <v>827</v>
      </c>
      <c r="B406" s="50"/>
      <c r="C406" s="50"/>
      <c r="D406" s="3" t="s">
        <v>787</v>
      </c>
      <c r="E406" s="3"/>
      <c r="F406" s="51" t="s">
        <v>828</v>
      </c>
      <c r="G406" s="50" t="s">
        <v>102</v>
      </c>
      <c r="H406" s="52">
        <f>1</f>
        <v>1</v>
      </c>
      <c r="I406" s="36"/>
      <c r="J406" s="52">
        <v>1</v>
      </c>
      <c r="K406" s="53">
        <f>0</f>
        <v>0</v>
      </c>
      <c r="L406" s="53">
        <f>0</f>
        <v>0</v>
      </c>
      <c r="M406" s="53">
        <f>0</f>
        <v>0</v>
      </c>
      <c r="N406" s="54">
        <f>SUM(K406:M406)</f>
        <v>0</v>
      </c>
      <c r="O406" s="54">
        <f>ROUND((H406*K406),2)</f>
        <v>0</v>
      </c>
      <c r="P406" s="54">
        <f>ROUND((H406*L406),2)</f>
        <v>0</v>
      </c>
      <c r="Q406" s="54">
        <f>ROUND((H406*M406),2)</f>
        <v>0</v>
      </c>
      <c r="R406" s="54">
        <f>ROUND((H406*N406),2)</f>
        <v>0</v>
      </c>
      <c r="S406" s="54"/>
      <c r="T406" s="36"/>
      <c r="XDA406"/>
      <c r="XDB406"/>
      <c r="XDC406"/>
      <c r="XDD406"/>
      <c r="XDE406"/>
      <c r="XDF406"/>
      <c r="XDG406"/>
      <c r="XDH406"/>
      <c r="XDI406"/>
      <c r="XDJ406"/>
      <c r="XDK406"/>
      <c r="XDL406"/>
      <c r="XDM406"/>
      <c r="XDN406"/>
      <c r="XDO406"/>
      <c r="XDP406"/>
      <c r="XDQ406"/>
      <c r="XDR406"/>
      <c r="XDS406"/>
      <c r="XDT406"/>
      <c r="XDU406"/>
      <c r="XDV406"/>
      <c r="XDW406"/>
      <c r="XDX406"/>
      <c r="XDY406"/>
      <c r="XDZ406"/>
      <c r="XEA406"/>
      <c r="XEB406"/>
      <c r="XEC406"/>
      <c r="XED406"/>
      <c r="XEE406"/>
      <c r="XEF406"/>
      <c r="XEG406"/>
      <c r="XEH406"/>
      <c r="XEI406"/>
      <c r="XEJ406"/>
      <c r="XEK406"/>
      <c r="XEL406"/>
      <c r="XEM406"/>
      <c r="XEN406"/>
      <c r="XEO406"/>
      <c r="XEP406"/>
      <c r="XEQ406"/>
      <c r="XER406"/>
      <c r="XES406"/>
      <c r="XET406"/>
      <c r="XEU406"/>
      <c r="XEV406"/>
      <c r="XEW406"/>
      <c r="XEX406"/>
      <c r="XEY406"/>
      <c r="XEZ406"/>
      <c r="XFA406"/>
      <c r="XFB406"/>
      <c r="XFC406"/>
    </row>
    <row r="407" spans="1:20 16329:16383" s="38" customFormat="1" ht="29.1" customHeight="1" outlineLevel="6" x14ac:dyDescent="0.25">
      <c r="A407" s="49" t="s">
        <v>829</v>
      </c>
      <c r="B407" s="50"/>
      <c r="C407" s="50"/>
      <c r="D407" s="3" t="s">
        <v>756</v>
      </c>
      <c r="E407" s="3"/>
      <c r="F407" s="51" t="s">
        <v>830</v>
      </c>
      <c r="G407" s="50" t="s">
        <v>102</v>
      </c>
      <c r="H407" s="52">
        <f>1</f>
        <v>1</v>
      </c>
      <c r="I407" s="36"/>
      <c r="J407" s="52">
        <v>1</v>
      </c>
      <c r="K407" s="53">
        <f>0</f>
        <v>0</v>
      </c>
      <c r="L407" s="53">
        <f>0</f>
        <v>0</v>
      </c>
      <c r="M407" s="53">
        <f>0</f>
        <v>0</v>
      </c>
      <c r="N407" s="54">
        <f>SUM(K407:M407)</f>
        <v>0</v>
      </c>
      <c r="O407" s="54">
        <f>ROUND((H407*K407),2)</f>
        <v>0</v>
      </c>
      <c r="P407" s="54">
        <f>ROUND((H407*L407),2)</f>
        <v>0</v>
      </c>
      <c r="Q407" s="54">
        <f>ROUND((H407*M407),2)</f>
        <v>0</v>
      </c>
      <c r="R407" s="54">
        <f>ROUND((H407*N407),2)</f>
        <v>0</v>
      </c>
      <c r="S407" s="54"/>
      <c r="T407" s="36"/>
      <c r="XDA407"/>
      <c r="XDB407"/>
      <c r="XDC407"/>
      <c r="XDD407"/>
      <c r="XDE407"/>
      <c r="XDF407"/>
      <c r="XDG407"/>
      <c r="XDH407"/>
      <c r="XDI407"/>
      <c r="XDJ407"/>
      <c r="XDK407"/>
      <c r="XDL407"/>
      <c r="XDM407"/>
      <c r="XDN407"/>
      <c r="XDO407"/>
      <c r="XDP407"/>
      <c r="XDQ407"/>
      <c r="XDR407"/>
      <c r="XDS407"/>
      <c r="XDT407"/>
      <c r="XDU407"/>
      <c r="XDV407"/>
      <c r="XDW407"/>
      <c r="XDX407"/>
      <c r="XDY407"/>
      <c r="XDZ407"/>
      <c r="XEA407"/>
      <c r="XEB407"/>
      <c r="XEC407"/>
      <c r="XED407"/>
      <c r="XEE407"/>
      <c r="XEF407"/>
      <c r="XEG407"/>
      <c r="XEH407"/>
      <c r="XEI407"/>
      <c r="XEJ407"/>
      <c r="XEK407"/>
      <c r="XEL407"/>
      <c r="XEM407"/>
      <c r="XEN407"/>
      <c r="XEO407"/>
      <c r="XEP407"/>
      <c r="XEQ407"/>
      <c r="XER407"/>
      <c r="XES407"/>
      <c r="XET407"/>
      <c r="XEU407"/>
      <c r="XEV407"/>
      <c r="XEW407"/>
      <c r="XEX407"/>
      <c r="XEY407"/>
      <c r="XEZ407"/>
      <c r="XFA407"/>
      <c r="XFB407"/>
      <c r="XFC407"/>
    </row>
    <row r="408" spans="1:20 16329:16383" s="38" customFormat="1" ht="29.1" customHeight="1" outlineLevel="3" x14ac:dyDescent="0.25">
      <c r="A408" s="55" t="s">
        <v>831</v>
      </c>
      <c r="B408" s="56" t="s">
        <v>832</v>
      </c>
      <c r="C408" s="56" t="s">
        <v>833</v>
      </c>
      <c r="D408" s="2" t="s">
        <v>834</v>
      </c>
      <c r="E408" s="2"/>
      <c r="F408" s="57"/>
      <c r="G408" s="56" t="s">
        <v>102</v>
      </c>
      <c r="H408" s="58"/>
      <c r="I408" s="36"/>
      <c r="J408" s="58"/>
      <c r="K408" s="59"/>
      <c r="L408" s="59"/>
      <c r="M408" s="59"/>
      <c r="N408" s="59"/>
      <c r="O408" s="59">
        <f>O409</f>
        <v>0</v>
      </c>
      <c r="P408" s="59">
        <f>P409</f>
        <v>0</v>
      </c>
      <c r="Q408" s="59">
        <f>Q409</f>
        <v>0</v>
      </c>
      <c r="R408" s="59">
        <f>R409</f>
        <v>0</v>
      </c>
      <c r="S408" s="59"/>
      <c r="T408" s="36"/>
      <c r="XDA408"/>
      <c r="XDB408"/>
      <c r="XDC408"/>
      <c r="XDD408"/>
      <c r="XDE408"/>
      <c r="XDF408"/>
      <c r="XDG408"/>
      <c r="XDH408"/>
      <c r="XDI408"/>
      <c r="XDJ408"/>
      <c r="XDK408"/>
      <c r="XDL408"/>
      <c r="XDM408"/>
      <c r="XDN408"/>
      <c r="XDO408"/>
      <c r="XDP408"/>
      <c r="XDQ408"/>
      <c r="XDR408"/>
      <c r="XDS408"/>
      <c r="XDT408"/>
      <c r="XDU408"/>
      <c r="XDV408"/>
      <c r="XDW408"/>
      <c r="XDX408"/>
      <c r="XDY408"/>
      <c r="XDZ408"/>
      <c r="XEA408"/>
      <c r="XEB408"/>
      <c r="XEC408"/>
      <c r="XED408"/>
      <c r="XEE408"/>
      <c r="XEF408"/>
      <c r="XEG408"/>
      <c r="XEH408"/>
      <c r="XEI408"/>
      <c r="XEJ408"/>
      <c r="XEK408"/>
      <c r="XEL408"/>
      <c r="XEM408"/>
      <c r="XEN408"/>
      <c r="XEO408"/>
      <c r="XEP408"/>
      <c r="XEQ408"/>
      <c r="XER408"/>
      <c r="XES408"/>
      <c r="XET408"/>
      <c r="XEU408"/>
      <c r="XEV408"/>
      <c r="XEW408"/>
      <c r="XEX408"/>
      <c r="XEY408"/>
      <c r="XEZ408"/>
      <c r="XFA408"/>
      <c r="XFB408"/>
      <c r="XFC408"/>
    </row>
    <row r="409" spans="1:20 16329:16383" s="38" customFormat="1" ht="29.1" customHeight="1" outlineLevel="4" x14ac:dyDescent="0.25">
      <c r="A409" s="60" t="s">
        <v>835</v>
      </c>
      <c r="B409" s="61" t="s">
        <v>836</v>
      </c>
      <c r="C409" s="61"/>
      <c r="D409" s="1" t="s">
        <v>745</v>
      </c>
      <c r="E409" s="1"/>
      <c r="F409" s="62"/>
      <c r="G409" s="61"/>
      <c r="H409" s="63"/>
      <c r="I409" s="36"/>
      <c r="J409" s="63"/>
      <c r="K409" s="64"/>
      <c r="L409" s="64"/>
      <c r="M409" s="64"/>
      <c r="N409" s="64"/>
      <c r="O409" s="64">
        <f>O410+O412</f>
        <v>0</v>
      </c>
      <c r="P409" s="64">
        <f>P410+P412</f>
        <v>0</v>
      </c>
      <c r="Q409" s="64">
        <f>Q410+Q412</f>
        <v>0</v>
      </c>
      <c r="R409" s="64">
        <f>R410+R412</f>
        <v>0</v>
      </c>
      <c r="S409" s="64"/>
      <c r="T409" s="36"/>
      <c r="XDA409"/>
      <c r="XDB409"/>
      <c r="XDC409"/>
      <c r="XDD409"/>
      <c r="XDE409"/>
      <c r="XDF409"/>
      <c r="XDG409"/>
      <c r="XDH409"/>
      <c r="XDI409"/>
      <c r="XDJ409"/>
      <c r="XDK409"/>
      <c r="XDL409"/>
      <c r="XDM409"/>
      <c r="XDN409"/>
      <c r="XDO409"/>
      <c r="XDP409"/>
      <c r="XDQ409"/>
      <c r="XDR409"/>
      <c r="XDS409"/>
      <c r="XDT409"/>
      <c r="XDU409"/>
      <c r="XDV409"/>
      <c r="XDW409"/>
      <c r="XDX409"/>
      <c r="XDY409"/>
      <c r="XDZ409"/>
      <c r="XEA409"/>
      <c r="XEB409"/>
      <c r="XEC409"/>
      <c r="XED409"/>
      <c r="XEE409"/>
      <c r="XEF409"/>
      <c r="XEG409"/>
      <c r="XEH409"/>
      <c r="XEI409"/>
      <c r="XEJ409"/>
      <c r="XEK409"/>
      <c r="XEL409"/>
      <c r="XEM409"/>
      <c r="XEN409"/>
      <c r="XEO409"/>
      <c r="XEP409"/>
      <c r="XEQ409"/>
      <c r="XER409"/>
      <c r="XES409"/>
      <c r="XET409"/>
      <c r="XEU409"/>
      <c r="XEV409"/>
      <c r="XEW409"/>
      <c r="XEX409"/>
      <c r="XEY409"/>
      <c r="XEZ409"/>
      <c r="XFA409"/>
      <c r="XFB409"/>
      <c r="XFC409"/>
    </row>
    <row r="410" spans="1:20 16329:16383" s="38" customFormat="1" ht="29.1" customHeight="1" outlineLevel="5" x14ac:dyDescent="0.25">
      <c r="A410" s="65" t="s">
        <v>837</v>
      </c>
      <c r="B410" s="66" t="s">
        <v>838</v>
      </c>
      <c r="C410" s="66"/>
      <c r="D410" s="98" t="s">
        <v>839</v>
      </c>
      <c r="E410" s="98"/>
      <c r="F410" s="67"/>
      <c r="G410" s="66"/>
      <c r="H410" s="68"/>
      <c r="I410" s="36"/>
      <c r="J410" s="68"/>
      <c r="K410" s="69"/>
      <c r="L410" s="69"/>
      <c r="M410" s="69"/>
      <c r="N410" s="69"/>
      <c r="O410" s="69">
        <f>O411</f>
        <v>0</v>
      </c>
      <c r="P410" s="69">
        <f>P411</f>
        <v>0</v>
      </c>
      <c r="Q410" s="69">
        <f>Q411</f>
        <v>0</v>
      </c>
      <c r="R410" s="69">
        <f>R411</f>
        <v>0</v>
      </c>
      <c r="S410" s="69"/>
      <c r="T410" s="36"/>
      <c r="XDA410"/>
      <c r="XDB410"/>
      <c r="XDC410"/>
      <c r="XDD410"/>
      <c r="XDE410"/>
      <c r="XDF410"/>
      <c r="XDG410"/>
      <c r="XDH410"/>
      <c r="XDI410"/>
      <c r="XDJ410"/>
      <c r="XDK410"/>
      <c r="XDL410"/>
      <c r="XDM410"/>
      <c r="XDN410"/>
      <c r="XDO410"/>
      <c r="XDP410"/>
      <c r="XDQ410"/>
      <c r="XDR410"/>
      <c r="XDS410"/>
      <c r="XDT410"/>
      <c r="XDU410"/>
      <c r="XDV410"/>
      <c r="XDW410"/>
      <c r="XDX410"/>
      <c r="XDY410"/>
      <c r="XDZ410"/>
      <c r="XEA410"/>
      <c r="XEB410"/>
      <c r="XEC410"/>
      <c r="XED410"/>
      <c r="XEE410"/>
      <c r="XEF410"/>
      <c r="XEG410"/>
      <c r="XEH410"/>
      <c r="XEI410"/>
      <c r="XEJ410"/>
      <c r="XEK410"/>
      <c r="XEL410"/>
      <c r="XEM410"/>
      <c r="XEN410"/>
      <c r="XEO410"/>
      <c r="XEP410"/>
      <c r="XEQ410"/>
      <c r="XER410"/>
      <c r="XES410"/>
      <c r="XET410"/>
      <c r="XEU410"/>
      <c r="XEV410"/>
      <c r="XEW410"/>
      <c r="XEX410"/>
      <c r="XEY410"/>
      <c r="XEZ410"/>
      <c r="XFA410"/>
      <c r="XFB410"/>
      <c r="XFC410"/>
    </row>
    <row r="411" spans="1:20 16329:16383" s="38" customFormat="1" ht="29.1" customHeight="1" outlineLevel="6" x14ac:dyDescent="0.25">
      <c r="A411" s="49" t="s">
        <v>840</v>
      </c>
      <c r="B411" s="50"/>
      <c r="C411" s="50"/>
      <c r="D411" s="3" t="s">
        <v>841</v>
      </c>
      <c r="E411" s="3"/>
      <c r="F411" s="51" t="s">
        <v>842</v>
      </c>
      <c r="G411" s="50" t="s">
        <v>102</v>
      </c>
      <c r="H411" s="52">
        <f>1</f>
        <v>1</v>
      </c>
      <c r="I411" s="36"/>
      <c r="J411" s="52">
        <v>1</v>
      </c>
      <c r="K411" s="53">
        <f>0</f>
        <v>0</v>
      </c>
      <c r="L411" s="53">
        <f>0</f>
        <v>0</v>
      </c>
      <c r="M411" s="53">
        <f>0</f>
        <v>0</v>
      </c>
      <c r="N411" s="54">
        <f>SUM(K411:M411)</f>
        <v>0</v>
      </c>
      <c r="O411" s="54">
        <f>ROUND((H411*K411),2)</f>
        <v>0</v>
      </c>
      <c r="P411" s="54">
        <f>ROUND((H411*L411),2)</f>
        <v>0</v>
      </c>
      <c r="Q411" s="54">
        <f>ROUND((H411*M411),2)</f>
        <v>0</v>
      </c>
      <c r="R411" s="54">
        <f>ROUND((H411*N411),2)</f>
        <v>0</v>
      </c>
      <c r="S411" s="54"/>
      <c r="T411" s="36"/>
      <c r="XDA411"/>
      <c r="XDB411"/>
      <c r="XDC411"/>
      <c r="XDD411"/>
      <c r="XDE411"/>
      <c r="XDF411"/>
      <c r="XDG411"/>
      <c r="XDH411"/>
      <c r="XDI411"/>
      <c r="XDJ411"/>
      <c r="XDK411"/>
      <c r="XDL411"/>
      <c r="XDM411"/>
      <c r="XDN411"/>
      <c r="XDO411"/>
      <c r="XDP411"/>
      <c r="XDQ411"/>
      <c r="XDR411"/>
      <c r="XDS411"/>
      <c r="XDT411"/>
      <c r="XDU411"/>
      <c r="XDV411"/>
      <c r="XDW411"/>
      <c r="XDX411"/>
      <c r="XDY411"/>
      <c r="XDZ411"/>
      <c r="XEA411"/>
      <c r="XEB411"/>
      <c r="XEC411"/>
      <c r="XED411"/>
      <c r="XEE411"/>
      <c r="XEF411"/>
      <c r="XEG411"/>
      <c r="XEH411"/>
      <c r="XEI411"/>
      <c r="XEJ411"/>
      <c r="XEK411"/>
      <c r="XEL411"/>
      <c r="XEM411"/>
      <c r="XEN411"/>
      <c r="XEO411"/>
      <c r="XEP411"/>
      <c r="XEQ411"/>
      <c r="XER411"/>
      <c r="XES411"/>
      <c r="XET411"/>
      <c r="XEU411"/>
      <c r="XEV411"/>
      <c r="XEW411"/>
      <c r="XEX411"/>
      <c r="XEY411"/>
      <c r="XEZ411"/>
      <c r="XFA411"/>
      <c r="XFB411"/>
      <c r="XFC411"/>
    </row>
    <row r="412" spans="1:20 16329:16383" s="38" customFormat="1" ht="29.1" customHeight="1" outlineLevel="5" x14ac:dyDescent="0.25">
      <c r="A412" s="65" t="s">
        <v>843</v>
      </c>
      <c r="B412" s="66" t="s">
        <v>844</v>
      </c>
      <c r="C412" s="66"/>
      <c r="D412" s="98" t="s">
        <v>770</v>
      </c>
      <c r="E412" s="98"/>
      <c r="F412" s="67" t="s">
        <v>771</v>
      </c>
      <c r="G412" s="66"/>
      <c r="H412" s="68"/>
      <c r="I412" s="36"/>
      <c r="J412" s="68"/>
      <c r="K412" s="69"/>
      <c r="L412" s="69"/>
      <c r="M412" s="69"/>
      <c r="N412" s="69"/>
      <c r="O412" s="69">
        <f>O413</f>
        <v>0</v>
      </c>
      <c r="P412" s="69">
        <f>P413</f>
        <v>0</v>
      </c>
      <c r="Q412" s="69">
        <f>Q413</f>
        <v>0</v>
      </c>
      <c r="R412" s="69">
        <f>R413</f>
        <v>0</v>
      </c>
      <c r="S412" s="69"/>
      <c r="T412" s="36"/>
      <c r="XDA412"/>
      <c r="XDB412"/>
      <c r="XDC412"/>
      <c r="XDD412"/>
      <c r="XDE412"/>
      <c r="XDF412"/>
      <c r="XDG412"/>
      <c r="XDH412"/>
      <c r="XDI412"/>
      <c r="XDJ412"/>
      <c r="XDK412"/>
      <c r="XDL412"/>
      <c r="XDM412"/>
      <c r="XDN412"/>
      <c r="XDO412"/>
      <c r="XDP412"/>
      <c r="XDQ412"/>
      <c r="XDR412"/>
      <c r="XDS412"/>
      <c r="XDT412"/>
      <c r="XDU412"/>
      <c r="XDV412"/>
      <c r="XDW412"/>
      <c r="XDX412"/>
      <c r="XDY412"/>
      <c r="XDZ412"/>
      <c r="XEA412"/>
      <c r="XEB412"/>
      <c r="XEC412"/>
      <c r="XED412"/>
      <c r="XEE412"/>
      <c r="XEF412"/>
      <c r="XEG412"/>
      <c r="XEH412"/>
      <c r="XEI412"/>
      <c r="XEJ412"/>
      <c r="XEK412"/>
      <c r="XEL412"/>
      <c r="XEM412"/>
      <c r="XEN412"/>
      <c r="XEO412"/>
      <c r="XEP412"/>
      <c r="XEQ412"/>
      <c r="XER412"/>
      <c r="XES412"/>
      <c r="XET412"/>
      <c r="XEU412"/>
      <c r="XEV412"/>
      <c r="XEW412"/>
      <c r="XEX412"/>
      <c r="XEY412"/>
      <c r="XEZ412"/>
      <c r="XFA412"/>
      <c r="XFB412"/>
      <c r="XFC412"/>
    </row>
    <row r="413" spans="1:20 16329:16383" s="38" customFormat="1" ht="29.1" customHeight="1" outlineLevel="6" x14ac:dyDescent="0.25">
      <c r="A413" s="49" t="s">
        <v>845</v>
      </c>
      <c r="B413" s="50"/>
      <c r="C413" s="50"/>
      <c r="D413" s="3" t="s">
        <v>846</v>
      </c>
      <c r="E413" s="3"/>
      <c r="F413" s="51" t="s">
        <v>847</v>
      </c>
      <c r="G413" s="50" t="s">
        <v>102</v>
      </c>
      <c r="H413" s="52">
        <f>1</f>
        <v>1</v>
      </c>
      <c r="I413" s="36"/>
      <c r="J413" s="52">
        <v>1</v>
      </c>
      <c r="K413" s="53">
        <f>0</f>
        <v>0</v>
      </c>
      <c r="L413" s="53">
        <f>0</f>
        <v>0</v>
      </c>
      <c r="M413" s="53">
        <f>0</f>
        <v>0</v>
      </c>
      <c r="N413" s="54">
        <f>SUM(K413:M413)</f>
        <v>0</v>
      </c>
      <c r="O413" s="54">
        <f>ROUND((H413*K413),2)</f>
        <v>0</v>
      </c>
      <c r="P413" s="54">
        <f>ROUND((H413*L413),2)</f>
        <v>0</v>
      </c>
      <c r="Q413" s="54">
        <f>ROUND((H413*M413),2)</f>
        <v>0</v>
      </c>
      <c r="R413" s="54">
        <f>ROUND((H413*N413),2)</f>
        <v>0</v>
      </c>
      <c r="S413" s="54"/>
      <c r="T413" s="36"/>
      <c r="XDA413"/>
      <c r="XDB413"/>
      <c r="XDC413"/>
      <c r="XDD413"/>
      <c r="XDE413"/>
      <c r="XDF413"/>
      <c r="XDG413"/>
      <c r="XDH413"/>
      <c r="XDI413"/>
      <c r="XDJ413"/>
      <c r="XDK413"/>
      <c r="XDL413"/>
      <c r="XDM413"/>
      <c r="XDN413"/>
      <c r="XDO413"/>
      <c r="XDP413"/>
      <c r="XDQ413"/>
      <c r="XDR413"/>
      <c r="XDS413"/>
      <c r="XDT413"/>
      <c r="XDU413"/>
      <c r="XDV413"/>
      <c r="XDW413"/>
      <c r="XDX413"/>
      <c r="XDY413"/>
      <c r="XDZ413"/>
      <c r="XEA413"/>
      <c r="XEB413"/>
      <c r="XEC413"/>
      <c r="XED413"/>
      <c r="XEE413"/>
      <c r="XEF413"/>
      <c r="XEG413"/>
      <c r="XEH413"/>
      <c r="XEI413"/>
      <c r="XEJ413"/>
      <c r="XEK413"/>
      <c r="XEL413"/>
      <c r="XEM413"/>
      <c r="XEN413"/>
      <c r="XEO413"/>
      <c r="XEP413"/>
      <c r="XEQ413"/>
      <c r="XER413"/>
      <c r="XES413"/>
      <c r="XET413"/>
      <c r="XEU413"/>
      <c r="XEV413"/>
      <c r="XEW413"/>
      <c r="XEX413"/>
      <c r="XEY413"/>
      <c r="XEZ413"/>
      <c r="XFA413"/>
      <c r="XFB413"/>
      <c r="XFC413"/>
    </row>
    <row r="414" spans="1:20 16329:16383" s="38" customFormat="1" ht="29.1" customHeight="1" outlineLevel="2" x14ac:dyDescent="0.25">
      <c r="A414" s="44" t="s">
        <v>848</v>
      </c>
      <c r="B414" s="45" t="s">
        <v>849</v>
      </c>
      <c r="C414" s="45" t="s">
        <v>850</v>
      </c>
      <c r="D414" s="4" t="s">
        <v>851</v>
      </c>
      <c r="E414" s="4"/>
      <c r="F414" s="46"/>
      <c r="G414" s="45" t="s">
        <v>102</v>
      </c>
      <c r="H414" s="47"/>
      <c r="I414" s="36"/>
      <c r="J414" s="47"/>
      <c r="K414" s="48"/>
      <c r="L414" s="48"/>
      <c r="M414" s="48"/>
      <c r="N414" s="48"/>
      <c r="O414" s="48">
        <f>O415+O488+O564</f>
        <v>0</v>
      </c>
      <c r="P414" s="48">
        <f>P415+P488+P564</f>
        <v>0</v>
      </c>
      <c r="Q414" s="48">
        <f>Q415+Q488+Q564</f>
        <v>0</v>
      </c>
      <c r="R414" s="48">
        <f>R415+R488+R564</f>
        <v>0</v>
      </c>
      <c r="S414" s="48"/>
      <c r="T414" s="36"/>
      <c r="XDA414"/>
      <c r="XDB414"/>
      <c r="XDC414"/>
      <c r="XDD414"/>
      <c r="XDE414"/>
      <c r="XDF414"/>
      <c r="XDG414"/>
      <c r="XDH414"/>
      <c r="XDI414"/>
      <c r="XDJ414"/>
      <c r="XDK414"/>
      <c r="XDL414"/>
      <c r="XDM414"/>
      <c r="XDN414"/>
      <c r="XDO414"/>
      <c r="XDP414"/>
      <c r="XDQ414"/>
      <c r="XDR414"/>
      <c r="XDS414"/>
      <c r="XDT414"/>
      <c r="XDU414"/>
      <c r="XDV414"/>
      <c r="XDW414"/>
      <c r="XDX414"/>
      <c r="XDY414"/>
      <c r="XDZ414"/>
      <c r="XEA414"/>
      <c r="XEB414"/>
      <c r="XEC414"/>
      <c r="XED414"/>
      <c r="XEE414"/>
      <c r="XEF414"/>
      <c r="XEG414"/>
      <c r="XEH414"/>
      <c r="XEI414"/>
      <c r="XEJ414"/>
      <c r="XEK414"/>
      <c r="XEL414"/>
      <c r="XEM414"/>
      <c r="XEN414"/>
      <c r="XEO414"/>
      <c r="XEP414"/>
      <c r="XEQ414"/>
      <c r="XER414"/>
      <c r="XES414"/>
      <c r="XET414"/>
      <c r="XEU414"/>
      <c r="XEV414"/>
      <c r="XEW414"/>
      <c r="XEX414"/>
      <c r="XEY414"/>
      <c r="XEZ414"/>
      <c r="XFA414"/>
      <c r="XFB414"/>
      <c r="XFC414"/>
    </row>
    <row r="415" spans="1:20 16329:16383" s="38" customFormat="1" ht="29.1" customHeight="1" outlineLevel="3" x14ac:dyDescent="0.25">
      <c r="A415" s="55" t="s">
        <v>852</v>
      </c>
      <c r="B415" s="56" t="s">
        <v>853</v>
      </c>
      <c r="C415" s="56" t="s">
        <v>854</v>
      </c>
      <c r="D415" s="2" t="s">
        <v>742</v>
      </c>
      <c r="E415" s="2"/>
      <c r="F415" s="57"/>
      <c r="G415" s="56" t="s">
        <v>102</v>
      </c>
      <c r="H415" s="58"/>
      <c r="I415" s="36"/>
      <c r="J415" s="58"/>
      <c r="K415" s="59"/>
      <c r="L415" s="59"/>
      <c r="M415" s="59"/>
      <c r="N415" s="59"/>
      <c r="O415" s="59">
        <f>O416+O436+O446+O467</f>
        <v>0</v>
      </c>
      <c r="P415" s="59">
        <f>P416+P436+P446+P467</f>
        <v>0</v>
      </c>
      <c r="Q415" s="59">
        <f>Q416+Q436+Q446+Q467</f>
        <v>0</v>
      </c>
      <c r="R415" s="59">
        <f>R416+R436+R446+R467</f>
        <v>0</v>
      </c>
      <c r="S415" s="59"/>
      <c r="T415" s="36"/>
      <c r="XDA415"/>
      <c r="XDB415"/>
      <c r="XDC415"/>
      <c r="XDD415"/>
      <c r="XDE415"/>
      <c r="XDF415"/>
      <c r="XDG415"/>
      <c r="XDH415"/>
      <c r="XDI415"/>
      <c r="XDJ415"/>
      <c r="XDK415"/>
      <c r="XDL415"/>
      <c r="XDM415"/>
      <c r="XDN415"/>
      <c r="XDO415"/>
      <c r="XDP415"/>
      <c r="XDQ415"/>
      <c r="XDR415"/>
      <c r="XDS415"/>
      <c r="XDT415"/>
      <c r="XDU415"/>
      <c r="XDV415"/>
      <c r="XDW415"/>
      <c r="XDX415"/>
      <c r="XDY415"/>
      <c r="XDZ415"/>
      <c r="XEA415"/>
      <c r="XEB415"/>
      <c r="XEC415"/>
      <c r="XED415"/>
      <c r="XEE415"/>
      <c r="XEF415"/>
      <c r="XEG415"/>
      <c r="XEH415"/>
      <c r="XEI415"/>
      <c r="XEJ415"/>
      <c r="XEK415"/>
      <c r="XEL415"/>
      <c r="XEM415"/>
      <c r="XEN415"/>
      <c r="XEO415"/>
      <c r="XEP415"/>
      <c r="XEQ415"/>
      <c r="XER415"/>
      <c r="XES415"/>
      <c r="XET415"/>
      <c r="XEU415"/>
      <c r="XEV415"/>
      <c r="XEW415"/>
      <c r="XEX415"/>
      <c r="XEY415"/>
      <c r="XEZ415"/>
      <c r="XFA415"/>
      <c r="XFB415"/>
      <c r="XFC415"/>
    </row>
    <row r="416" spans="1:20 16329:16383" s="38" customFormat="1" ht="29.1" customHeight="1" outlineLevel="4" x14ac:dyDescent="0.25">
      <c r="A416" s="60" t="s">
        <v>855</v>
      </c>
      <c r="B416" s="61" t="s">
        <v>856</v>
      </c>
      <c r="C416" s="61"/>
      <c r="D416" s="1" t="s">
        <v>857</v>
      </c>
      <c r="E416" s="1"/>
      <c r="F416" s="62"/>
      <c r="G416" s="61"/>
      <c r="H416" s="63"/>
      <c r="I416" s="36"/>
      <c r="J416" s="63"/>
      <c r="K416" s="64"/>
      <c r="L416" s="64"/>
      <c r="M416" s="64"/>
      <c r="N416" s="64"/>
      <c r="O416" s="64">
        <f>O417+O420+O423+O427+O429+O431</f>
        <v>0</v>
      </c>
      <c r="P416" s="64">
        <f>P417+P420+P423+P427+P429+P431</f>
        <v>0</v>
      </c>
      <c r="Q416" s="64">
        <f>Q417+Q420+Q423+Q427+Q429+Q431</f>
        <v>0</v>
      </c>
      <c r="R416" s="64">
        <f>R417+R420+R423+R427+R429+R431</f>
        <v>0</v>
      </c>
      <c r="S416" s="64"/>
      <c r="T416" s="36"/>
      <c r="XDA416"/>
      <c r="XDB416"/>
      <c r="XDC416"/>
      <c r="XDD416"/>
      <c r="XDE416"/>
      <c r="XDF416"/>
      <c r="XDG416"/>
      <c r="XDH416"/>
      <c r="XDI416"/>
      <c r="XDJ416"/>
      <c r="XDK416"/>
      <c r="XDL416"/>
      <c r="XDM416"/>
      <c r="XDN416"/>
      <c r="XDO416"/>
      <c r="XDP416"/>
      <c r="XDQ416"/>
      <c r="XDR416"/>
      <c r="XDS416"/>
      <c r="XDT416"/>
      <c r="XDU416"/>
      <c r="XDV416"/>
      <c r="XDW416"/>
      <c r="XDX416"/>
      <c r="XDY416"/>
      <c r="XDZ416"/>
      <c r="XEA416"/>
      <c r="XEB416"/>
      <c r="XEC416"/>
      <c r="XED416"/>
      <c r="XEE416"/>
      <c r="XEF416"/>
      <c r="XEG416"/>
      <c r="XEH416"/>
      <c r="XEI416"/>
      <c r="XEJ416"/>
      <c r="XEK416"/>
      <c r="XEL416"/>
      <c r="XEM416"/>
      <c r="XEN416"/>
      <c r="XEO416"/>
      <c r="XEP416"/>
      <c r="XEQ416"/>
      <c r="XER416"/>
      <c r="XES416"/>
      <c r="XET416"/>
      <c r="XEU416"/>
      <c r="XEV416"/>
      <c r="XEW416"/>
      <c r="XEX416"/>
      <c r="XEY416"/>
      <c r="XEZ416"/>
      <c r="XFA416"/>
      <c r="XFB416"/>
      <c r="XFC416"/>
    </row>
    <row r="417" spans="1:20 16329:16383" s="38" customFormat="1" ht="29.1" customHeight="1" outlineLevel="5" x14ac:dyDescent="0.25">
      <c r="A417" s="65" t="s">
        <v>858</v>
      </c>
      <c r="B417" s="66" t="s">
        <v>859</v>
      </c>
      <c r="C417" s="66"/>
      <c r="D417" s="98" t="s">
        <v>860</v>
      </c>
      <c r="E417" s="98"/>
      <c r="F417" s="67" t="s">
        <v>861</v>
      </c>
      <c r="G417" s="66"/>
      <c r="H417" s="68"/>
      <c r="I417" s="36"/>
      <c r="J417" s="68"/>
      <c r="K417" s="69"/>
      <c r="L417" s="69"/>
      <c r="M417" s="69"/>
      <c r="N417" s="69"/>
      <c r="O417" s="69">
        <f>O418+O419</f>
        <v>0</v>
      </c>
      <c r="P417" s="69">
        <f>P418+P419</f>
        <v>0</v>
      </c>
      <c r="Q417" s="69">
        <f>Q418+Q419</f>
        <v>0</v>
      </c>
      <c r="R417" s="69">
        <f>R418+R419</f>
        <v>0</v>
      </c>
      <c r="S417" s="69"/>
      <c r="T417" s="36"/>
      <c r="XDA417"/>
      <c r="XDB417"/>
      <c r="XDC417"/>
      <c r="XDD417"/>
      <c r="XDE417"/>
      <c r="XDF417"/>
      <c r="XDG417"/>
      <c r="XDH417"/>
      <c r="XDI417"/>
      <c r="XDJ417"/>
      <c r="XDK417"/>
      <c r="XDL417"/>
      <c r="XDM417"/>
      <c r="XDN417"/>
      <c r="XDO417"/>
      <c r="XDP417"/>
      <c r="XDQ417"/>
      <c r="XDR417"/>
      <c r="XDS417"/>
      <c r="XDT417"/>
      <c r="XDU417"/>
      <c r="XDV417"/>
      <c r="XDW417"/>
      <c r="XDX417"/>
      <c r="XDY417"/>
      <c r="XDZ417"/>
      <c r="XEA417"/>
      <c r="XEB417"/>
      <c r="XEC417"/>
      <c r="XED417"/>
      <c r="XEE417"/>
      <c r="XEF417"/>
      <c r="XEG417"/>
      <c r="XEH417"/>
      <c r="XEI417"/>
      <c r="XEJ417"/>
      <c r="XEK417"/>
      <c r="XEL417"/>
      <c r="XEM417"/>
      <c r="XEN417"/>
      <c r="XEO417"/>
      <c r="XEP417"/>
      <c r="XEQ417"/>
      <c r="XER417"/>
      <c r="XES417"/>
      <c r="XET417"/>
      <c r="XEU417"/>
      <c r="XEV417"/>
      <c r="XEW417"/>
      <c r="XEX417"/>
      <c r="XEY417"/>
      <c r="XEZ417"/>
      <c r="XFA417"/>
      <c r="XFB417"/>
      <c r="XFC417"/>
    </row>
    <row r="418" spans="1:20 16329:16383" s="38" customFormat="1" ht="29.1" customHeight="1" outlineLevel="6" x14ac:dyDescent="0.25">
      <c r="A418" s="49" t="s">
        <v>862</v>
      </c>
      <c r="B418" s="50"/>
      <c r="C418" s="50"/>
      <c r="D418" s="3" t="s">
        <v>751</v>
      </c>
      <c r="E418" s="3"/>
      <c r="F418" s="51" t="s">
        <v>752</v>
      </c>
      <c r="G418" s="50" t="s">
        <v>102</v>
      </c>
      <c r="H418" s="52">
        <f>1</f>
        <v>1</v>
      </c>
      <c r="I418" s="36"/>
      <c r="J418" s="52">
        <v>1</v>
      </c>
      <c r="K418" s="53">
        <f>0</f>
        <v>0</v>
      </c>
      <c r="L418" s="53">
        <f>0</f>
        <v>0</v>
      </c>
      <c r="M418" s="53">
        <f>0</f>
        <v>0</v>
      </c>
      <c r="N418" s="54">
        <f>SUM(K418:M418)</f>
        <v>0</v>
      </c>
      <c r="O418" s="54">
        <f>ROUND((H418*K418),2)</f>
        <v>0</v>
      </c>
      <c r="P418" s="54">
        <f>ROUND((H418*L418),2)</f>
        <v>0</v>
      </c>
      <c r="Q418" s="54">
        <f>ROUND((H418*M418),2)</f>
        <v>0</v>
      </c>
      <c r="R418" s="54">
        <f>ROUND((H418*N418),2)</f>
        <v>0</v>
      </c>
      <c r="S418" s="54"/>
      <c r="T418" s="36"/>
      <c r="XDA418"/>
      <c r="XDB418"/>
      <c r="XDC418"/>
      <c r="XDD418"/>
      <c r="XDE418"/>
      <c r="XDF418"/>
      <c r="XDG418"/>
      <c r="XDH418"/>
      <c r="XDI418"/>
      <c r="XDJ418"/>
      <c r="XDK418"/>
      <c r="XDL418"/>
      <c r="XDM418"/>
      <c r="XDN418"/>
      <c r="XDO418"/>
      <c r="XDP418"/>
      <c r="XDQ418"/>
      <c r="XDR418"/>
      <c r="XDS418"/>
      <c r="XDT418"/>
      <c r="XDU418"/>
      <c r="XDV418"/>
      <c r="XDW418"/>
      <c r="XDX418"/>
      <c r="XDY418"/>
      <c r="XDZ418"/>
      <c r="XEA418"/>
      <c r="XEB418"/>
      <c r="XEC418"/>
      <c r="XED418"/>
      <c r="XEE418"/>
      <c r="XEF418"/>
      <c r="XEG418"/>
      <c r="XEH418"/>
      <c r="XEI418"/>
      <c r="XEJ418"/>
      <c r="XEK418"/>
      <c r="XEL418"/>
      <c r="XEM418"/>
      <c r="XEN418"/>
      <c r="XEO418"/>
      <c r="XEP418"/>
      <c r="XEQ418"/>
      <c r="XER418"/>
      <c r="XES418"/>
      <c r="XET418"/>
      <c r="XEU418"/>
      <c r="XEV418"/>
      <c r="XEW418"/>
      <c r="XEX418"/>
      <c r="XEY418"/>
      <c r="XEZ418"/>
      <c r="XFA418"/>
      <c r="XFB418"/>
      <c r="XFC418"/>
    </row>
    <row r="419" spans="1:20 16329:16383" s="38" customFormat="1" ht="29.1" customHeight="1" outlineLevel="6" x14ac:dyDescent="0.25">
      <c r="A419" s="49" t="s">
        <v>863</v>
      </c>
      <c r="B419" s="50"/>
      <c r="C419" s="50"/>
      <c r="D419" s="3" t="s">
        <v>754</v>
      </c>
      <c r="E419" s="3"/>
      <c r="F419" s="51" t="s">
        <v>752</v>
      </c>
      <c r="G419" s="50" t="s">
        <v>102</v>
      </c>
      <c r="H419" s="52">
        <f>1</f>
        <v>1</v>
      </c>
      <c r="I419" s="36"/>
      <c r="J419" s="52">
        <v>1</v>
      </c>
      <c r="K419" s="53">
        <f>0</f>
        <v>0</v>
      </c>
      <c r="L419" s="53">
        <f>0</f>
        <v>0</v>
      </c>
      <c r="M419" s="53">
        <f>0</f>
        <v>0</v>
      </c>
      <c r="N419" s="54">
        <f>SUM(K419:M419)</f>
        <v>0</v>
      </c>
      <c r="O419" s="54">
        <f>ROUND((H419*K419),2)</f>
        <v>0</v>
      </c>
      <c r="P419" s="54">
        <f>ROUND((H419*L419),2)</f>
        <v>0</v>
      </c>
      <c r="Q419" s="54">
        <f>ROUND((H419*M419),2)</f>
        <v>0</v>
      </c>
      <c r="R419" s="54">
        <f>ROUND((H419*N419),2)</f>
        <v>0</v>
      </c>
      <c r="S419" s="54"/>
      <c r="T419" s="36"/>
      <c r="XDA419"/>
      <c r="XDB419"/>
      <c r="XDC419"/>
      <c r="XDD419"/>
      <c r="XDE419"/>
      <c r="XDF419"/>
      <c r="XDG419"/>
      <c r="XDH419"/>
      <c r="XDI419"/>
      <c r="XDJ419"/>
      <c r="XDK419"/>
      <c r="XDL419"/>
      <c r="XDM419"/>
      <c r="XDN419"/>
      <c r="XDO419"/>
      <c r="XDP419"/>
      <c r="XDQ419"/>
      <c r="XDR419"/>
      <c r="XDS419"/>
      <c r="XDT419"/>
      <c r="XDU419"/>
      <c r="XDV419"/>
      <c r="XDW419"/>
      <c r="XDX419"/>
      <c r="XDY419"/>
      <c r="XDZ419"/>
      <c r="XEA419"/>
      <c r="XEB419"/>
      <c r="XEC419"/>
      <c r="XED419"/>
      <c r="XEE419"/>
      <c r="XEF419"/>
      <c r="XEG419"/>
      <c r="XEH419"/>
      <c r="XEI419"/>
      <c r="XEJ419"/>
      <c r="XEK419"/>
      <c r="XEL419"/>
      <c r="XEM419"/>
      <c r="XEN419"/>
      <c r="XEO419"/>
      <c r="XEP419"/>
      <c r="XEQ419"/>
      <c r="XER419"/>
      <c r="XES419"/>
      <c r="XET419"/>
      <c r="XEU419"/>
      <c r="XEV419"/>
      <c r="XEW419"/>
      <c r="XEX419"/>
      <c r="XEY419"/>
      <c r="XEZ419"/>
      <c r="XFA419"/>
      <c r="XFB419"/>
      <c r="XFC419"/>
    </row>
    <row r="420" spans="1:20 16329:16383" s="38" customFormat="1" ht="29.1" customHeight="1" outlineLevel="5" x14ac:dyDescent="0.25">
      <c r="A420" s="65" t="s">
        <v>864</v>
      </c>
      <c r="B420" s="66" t="s">
        <v>865</v>
      </c>
      <c r="C420" s="66"/>
      <c r="D420" s="98" t="s">
        <v>866</v>
      </c>
      <c r="E420" s="98"/>
      <c r="F420" s="67" t="s">
        <v>867</v>
      </c>
      <c r="G420" s="66"/>
      <c r="H420" s="68"/>
      <c r="I420" s="36"/>
      <c r="J420" s="68"/>
      <c r="K420" s="69"/>
      <c r="L420" s="69"/>
      <c r="M420" s="69"/>
      <c r="N420" s="69"/>
      <c r="O420" s="69">
        <f>O421+O422</f>
        <v>0</v>
      </c>
      <c r="P420" s="69">
        <f>P421+P422</f>
        <v>0</v>
      </c>
      <c r="Q420" s="69">
        <f>Q421+Q422</f>
        <v>0</v>
      </c>
      <c r="R420" s="69">
        <f>R421+R422</f>
        <v>0</v>
      </c>
      <c r="S420" s="69"/>
      <c r="T420" s="36"/>
      <c r="XDA420"/>
      <c r="XDB420"/>
      <c r="XDC420"/>
      <c r="XDD420"/>
      <c r="XDE420"/>
      <c r="XDF420"/>
      <c r="XDG420"/>
      <c r="XDH420"/>
      <c r="XDI420"/>
      <c r="XDJ420"/>
      <c r="XDK420"/>
      <c r="XDL420"/>
      <c r="XDM420"/>
      <c r="XDN420"/>
      <c r="XDO420"/>
      <c r="XDP420"/>
      <c r="XDQ420"/>
      <c r="XDR420"/>
      <c r="XDS420"/>
      <c r="XDT420"/>
      <c r="XDU420"/>
      <c r="XDV420"/>
      <c r="XDW420"/>
      <c r="XDX420"/>
      <c r="XDY420"/>
      <c r="XDZ420"/>
      <c r="XEA420"/>
      <c r="XEB420"/>
      <c r="XEC420"/>
      <c r="XED420"/>
      <c r="XEE420"/>
      <c r="XEF420"/>
      <c r="XEG420"/>
      <c r="XEH420"/>
      <c r="XEI420"/>
      <c r="XEJ420"/>
      <c r="XEK420"/>
      <c r="XEL420"/>
      <c r="XEM420"/>
      <c r="XEN420"/>
      <c r="XEO420"/>
      <c r="XEP420"/>
      <c r="XEQ420"/>
      <c r="XER420"/>
      <c r="XES420"/>
      <c r="XET420"/>
      <c r="XEU420"/>
      <c r="XEV420"/>
      <c r="XEW420"/>
      <c r="XEX420"/>
      <c r="XEY420"/>
      <c r="XEZ420"/>
      <c r="XFA420"/>
      <c r="XFB420"/>
      <c r="XFC420"/>
    </row>
    <row r="421" spans="1:20 16329:16383" s="38" customFormat="1" ht="29.1" customHeight="1" outlineLevel="6" x14ac:dyDescent="0.25">
      <c r="A421" s="49" t="s">
        <v>868</v>
      </c>
      <c r="B421" s="50"/>
      <c r="C421" s="50"/>
      <c r="D421" s="3" t="s">
        <v>751</v>
      </c>
      <c r="E421" s="3"/>
      <c r="F421" s="51" t="s">
        <v>752</v>
      </c>
      <c r="G421" s="50" t="s">
        <v>102</v>
      </c>
      <c r="H421" s="52">
        <f>1</f>
        <v>1</v>
      </c>
      <c r="I421" s="36"/>
      <c r="J421" s="52">
        <v>1</v>
      </c>
      <c r="K421" s="53">
        <f>0</f>
        <v>0</v>
      </c>
      <c r="L421" s="53">
        <f>0</f>
        <v>0</v>
      </c>
      <c r="M421" s="53">
        <f>0</f>
        <v>0</v>
      </c>
      <c r="N421" s="54">
        <f>SUM(K421:M421)</f>
        <v>0</v>
      </c>
      <c r="O421" s="54">
        <f>ROUND((H421*K421),2)</f>
        <v>0</v>
      </c>
      <c r="P421" s="54">
        <f>ROUND((H421*L421),2)</f>
        <v>0</v>
      </c>
      <c r="Q421" s="54">
        <f>ROUND((H421*M421),2)</f>
        <v>0</v>
      </c>
      <c r="R421" s="54">
        <f>ROUND((H421*N421),2)</f>
        <v>0</v>
      </c>
      <c r="S421" s="54"/>
      <c r="T421" s="36"/>
      <c r="XDA421"/>
      <c r="XDB421"/>
      <c r="XDC421"/>
      <c r="XDD421"/>
      <c r="XDE421"/>
      <c r="XDF421"/>
      <c r="XDG421"/>
      <c r="XDH421"/>
      <c r="XDI421"/>
      <c r="XDJ421"/>
      <c r="XDK421"/>
      <c r="XDL421"/>
      <c r="XDM421"/>
      <c r="XDN421"/>
      <c r="XDO421"/>
      <c r="XDP421"/>
      <c r="XDQ421"/>
      <c r="XDR421"/>
      <c r="XDS421"/>
      <c r="XDT421"/>
      <c r="XDU421"/>
      <c r="XDV421"/>
      <c r="XDW421"/>
      <c r="XDX421"/>
      <c r="XDY421"/>
      <c r="XDZ421"/>
      <c r="XEA421"/>
      <c r="XEB421"/>
      <c r="XEC421"/>
      <c r="XED421"/>
      <c r="XEE421"/>
      <c r="XEF421"/>
      <c r="XEG421"/>
      <c r="XEH421"/>
      <c r="XEI421"/>
      <c r="XEJ421"/>
      <c r="XEK421"/>
      <c r="XEL421"/>
      <c r="XEM421"/>
      <c r="XEN421"/>
      <c r="XEO421"/>
      <c r="XEP421"/>
      <c r="XEQ421"/>
      <c r="XER421"/>
      <c r="XES421"/>
      <c r="XET421"/>
      <c r="XEU421"/>
      <c r="XEV421"/>
      <c r="XEW421"/>
      <c r="XEX421"/>
      <c r="XEY421"/>
      <c r="XEZ421"/>
      <c r="XFA421"/>
      <c r="XFB421"/>
      <c r="XFC421"/>
    </row>
    <row r="422" spans="1:20 16329:16383" s="38" customFormat="1" ht="29.1" customHeight="1" outlineLevel="6" x14ac:dyDescent="0.25">
      <c r="A422" s="49" t="s">
        <v>869</v>
      </c>
      <c r="B422" s="50"/>
      <c r="C422" s="50"/>
      <c r="D422" s="3" t="s">
        <v>754</v>
      </c>
      <c r="E422" s="3"/>
      <c r="F422" s="51" t="s">
        <v>752</v>
      </c>
      <c r="G422" s="50" t="s">
        <v>102</v>
      </c>
      <c r="H422" s="52">
        <f>1</f>
        <v>1</v>
      </c>
      <c r="I422" s="36"/>
      <c r="J422" s="52">
        <v>1</v>
      </c>
      <c r="K422" s="53">
        <f>0</f>
        <v>0</v>
      </c>
      <c r="L422" s="53">
        <f>0</f>
        <v>0</v>
      </c>
      <c r="M422" s="53">
        <f>0</f>
        <v>0</v>
      </c>
      <c r="N422" s="54">
        <f>SUM(K422:M422)</f>
        <v>0</v>
      </c>
      <c r="O422" s="54">
        <f>ROUND((H422*K422),2)</f>
        <v>0</v>
      </c>
      <c r="P422" s="54">
        <f>ROUND((H422*L422),2)</f>
        <v>0</v>
      </c>
      <c r="Q422" s="54">
        <f>ROUND((H422*M422),2)</f>
        <v>0</v>
      </c>
      <c r="R422" s="54">
        <f>ROUND((H422*N422),2)</f>
        <v>0</v>
      </c>
      <c r="S422" s="54"/>
      <c r="T422" s="36"/>
      <c r="XDA422"/>
      <c r="XDB422"/>
      <c r="XDC422"/>
      <c r="XDD422"/>
      <c r="XDE422"/>
      <c r="XDF422"/>
      <c r="XDG422"/>
      <c r="XDH422"/>
      <c r="XDI422"/>
      <c r="XDJ422"/>
      <c r="XDK422"/>
      <c r="XDL422"/>
      <c r="XDM422"/>
      <c r="XDN422"/>
      <c r="XDO422"/>
      <c r="XDP422"/>
      <c r="XDQ422"/>
      <c r="XDR422"/>
      <c r="XDS422"/>
      <c r="XDT422"/>
      <c r="XDU422"/>
      <c r="XDV422"/>
      <c r="XDW422"/>
      <c r="XDX422"/>
      <c r="XDY422"/>
      <c r="XDZ422"/>
      <c r="XEA422"/>
      <c r="XEB422"/>
      <c r="XEC422"/>
      <c r="XED422"/>
      <c r="XEE422"/>
      <c r="XEF422"/>
      <c r="XEG422"/>
      <c r="XEH422"/>
      <c r="XEI422"/>
      <c r="XEJ422"/>
      <c r="XEK422"/>
      <c r="XEL422"/>
      <c r="XEM422"/>
      <c r="XEN422"/>
      <c r="XEO422"/>
      <c r="XEP422"/>
      <c r="XEQ422"/>
      <c r="XER422"/>
      <c r="XES422"/>
      <c r="XET422"/>
      <c r="XEU422"/>
      <c r="XEV422"/>
      <c r="XEW422"/>
      <c r="XEX422"/>
      <c r="XEY422"/>
      <c r="XEZ422"/>
      <c r="XFA422"/>
      <c r="XFB422"/>
      <c r="XFC422"/>
    </row>
    <row r="423" spans="1:20 16329:16383" s="38" customFormat="1" ht="29.1" customHeight="1" outlineLevel="5" x14ac:dyDescent="0.25">
      <c r="A423" s="65" t="s">
        <v>870</v>
      </c>
      <c r="B423" s="66" t="s">
        <v>871</v>
      </c>
      <c r="C423" s="66"/>
      <c r="D423" s="98" t="s">
        <v>872</v>
      </c>
      <c r="E423" s="98"/>
      <c r="F423" s="67" t="s">
        <v>873</v>
      </c>
      <c r="G423" s="66"/>
      <c r="H423" s="68"/>
      <c r="I423" s="36"/>
      <c r="J423" s="68"/>
      <c r="K423" s="69"/>
      <c r="L423" s="69"/>
      <c r="M423" s="69"/>
      <c r="N423" s="69"/>
      <c r="O423" s="69">
        <f>SUM(O424:O426)</f>
        <v>0</v>
      </c>
      <c r="P423" s="69">
        <f>SUM(P424:P426)</f>
        <v>0</v>
      </c>
      <c r="Q423" s="69">
        <f>SUM(Q424:Q426)</f>
        <v>0</v>
      </c>
      <c r="R423" s="69">
        <f>SUM(R424:R426)</f>
        <v>0</v>
      </c>
      <c r="S423" s="69"/>
      <c r="T423" s="36"/>
      <c r="XDA423"/>
      <c r="XDB423"/>
      <c r="XDC423"/>
      <c r="XDD423"/>
      <c r="XDE423"/>
      <c r="XDF423"/>
      <c r="XDG423"/>
      <c r="XDH423"/>
      <c r="XDI423"/>
      <c r="XDJ423"/>
      <c r="XDK423"/>
      <c r="XDL423"/>
      <c r="XDM423"/>
      <c r="XDN423"/>
      <c r="XDO423"/>
      <c r="XDP423"/>
      <c r="XDQ423"/>
      <c r="XDR423"/>
      <c r="XDS423"/>
      <c r="XDT423"/>
      <c r="XDU423"/>
      <c r="XDV423"/>
      <c r="XDW423"/>
      <c r="XDX423"/>
      <c r="XDY423"/>
      <c r="XDZ423"/>
      <c r="XEA423"/>
      <c r="XEB423"/>
      <c r="XEC423"/>
      <c r="XED423"/>
      <c r="XEE423"/>
      <c r="XEF423"/>
      <c r="XEG423"/>
      <c r="XEH423"/>
      <c r="XEI423"/>
      <c r="XEJ423"/>
      <c r="XEK423"/>
      <c r="XEL423"/>
      <c r="XEM423"/>
      <c r="XEN423"/>
      <c r="XEO423"/>
      <c r="XEP423"/>
      <c r="XEQ423"/>
      <c r="XER423"/>
      <c r="XES423"/>
      <c r="XET423"/>
      <c r="XEU423"/>
      <c r="XEV423"/>
      <c r="XEW423"/>
      <c r="XEX423"/>
      <c r="XEY423"/>
      <c r="XEZ423"/>
      <c r="XFA423"/>
      <c r="XFB423"/>
      <c r="XFC423"/>
    </row>
    <row r="424" spans="1:20 16329:16383" s="38" customFormat="1" ht="29.1" customHeight="1" outlineLevel="6" x14ac:dyDescent="0.25">
      <c r="A424" s="49" t="s">
        <v>874</v>
      </c>
      <c r="B424" s="50"/>
      <c r="C424" s="50"/>
      <c r="D424" s="3" t="s">
        <v>751</v>
      </c>
      <c r="E424" s="3"/>
      <c r="F424" s="51" t="s">
        <v>752</v>
      </c>
      <c r="G424" s="50" t="s">
        <v>102</v>
      </c>
      <c r="H424" s="52">
        <f>1</f>
        <v>1</v>
      </c>
      <c r="I424" s="36"/>
      <c r="J424" s="52">
        <v>1</v>
      </c>
      <c r="K424" s="53">
        <f>0</f>
        <v>0</v>
      </c>
      <c r="L424" s="53">
        <f>0</f>
        <v>0</v>
      </c>
      <c r="M424" s="53">
        <f>0</f>
        <v>0</v>
      </c>
      <c r="N424" s="54">
        <f>SUM(K424:M424)</f>
        <v>0</v>
      </c>
      <c r="O424" s="54">
        <f>ROUND((H424*K424),2)</f>
        <v>0</v>
      </c>
      <c r="P424" s="54">
        <f>ROUND((H424*L424),2)</f>
        <v>0</v>
      </c>
      <c r="Q424" s="54">
        <f>ROUND((H424*M424),2)</f>
        <v>0</v>
      </c>
      <c r="R424" s="54">
        <f>ROUND((H424*N424),2)</f>
        <v>0</v>
      </c>
      <c r="S424" s="54"/>
      <c r="T424" s="36"/>
      <c r="XDA424"/>
      <c r="XDB424"/>
      <c r="XDC424"/>
      <c r="XDD424"/>
      <c r="XDE424"/>
      <c r="XDF424"/>
      <c r="XDG424"/>
      <c r="XDH424"/>
      <c r="XDI424"/>
      <c r="XDJ424"/>
      <c r="XDK424"/>
      <c r="XDL424"/>
      <c r="XDM424"/>
      <c r="XDN424"/>
      <c r="XDO424"/>
      <c r="XDP424"/>
      <c r="XDQ424"/>
      <c r="XDR424"/>
      <c r="XDS424"/>
      <c r="XDT424"/>
      <c r="XDU424"/>
      <c r="XDV424"/>
      <c r="XDW424"/>
      <c r="XDX424"/>
      <c r="XDY424"/>
      <c r="XDZ424"/>
      <c r="XEA424"/>
      <c r="XEB424"/>
      <c r="XEC424"/>
      <c r="XED424"/>
      <c r="XEE424"/>
      <c r="XEF424"/>
      <c r="XEG424"/>
      <c r="XEH424"/>
      <c r="XEI424"/>
      <c r="XEJ424"/>
      <c r="XEK424"/>
      <c r="XEL424"/>
      <c r="XEM424"/>
      <c r="XEN424"/>
      <c r="XEO424"/>
      <c r="XEP424"/>
      <c r="XEQ424"/>
      <c r="XER424"/>
      <c r="XES424"/>
      <c r="XET424"/>
      <c r="XEU424"/>
      <c r="XEV424"/>
      <c r="XEW424"/>
      <c r="XEX424"/>
      <c r="XEY424"/>
      <c r="XEZ424"/>
      <c r="XFA424"/>
      <c r="XFB424"/>
      <c r="XFC424"/>
    </row>
    <row r="425" spans="1:20 16329:16383" s="38" customFormat="1" ht="29.1" customHeight="1" outlineLevel="6" x14ac:dyDescent="0.25">
      <c r="A425" s="49" t="s">
        <v>875</v>
      </c>
      <c r="B425" s="50"/>
      <c r="C425" s="50"/>
      <c r="D425" s="3" t="s">
        <v>754</v>
      </c>
      <c r="E425" s="3"/>
      <c r="F425" s="51" t="s">
        <v>752</v>
      </c>
      <c r="G425" s="50" t="s">
        <v>102</v>
      </c>
      <c r="H425" s="52">
        <f>1</f>
        <v>1</v>
      </c>
      <c r="I425" s="36"/>
      <c r="J425" s="52">
        <v>1</v>
      </c>
      <c r="K425" s="53">
        <f>0</f>
        <v>0</v>
      </c>
      <c r="L425" s="53">
        <f>0</f>
        <v>0</v>
      </c>
      <c r="M425" s="53">
        <f>0</f>
        <v>0</v>
      </c>
      <c r="N425" s="54">
        <f>SUM(K425:M425)</f>
        <v>0</v>
      </c>
      <c r="O425" s="54">
        <f>ROUND((H425*K425),2)</f>
        <v>0</v>
      </c>
      <c r="P425" s="54">
        <f>ROUND((H425*L425),2)</f>
        <v>0</v>
      </c>
      <c r="Q425" s="54">
        <f>ROUND((H425*M425),2)</f>
        <v>0</v>
      </c>
      <c r="R425" s="54">
        <f>ROUND((H425*N425),2)</f>
        <v>0</v>
      </c>
      <c r="S425" s="54"/>
      <c r="T425" s="36"/>
      <c r="XDA425"/>
      <c r="XDB425"/>
      <c r="XDC425"/>
      <c r="XDD425"/>
      <c r="XDE425"/>
      <c r="XDF425"/>
      <c r="XDG425"/>
      <c r="XDH425"/>
      <c r="XDI425"/>
      <c r="XDJ425"/>
      <c r="XDK425"/>
      <c r="XDL425"/>
      <c r="XDM425"/>
      <c r="XDN425"/>
      <c r="XDO425"/>
      <c r="XDP425"/>
      <c r="XDQ425"/>
      <c r="XDR425"/>
      <c r="XDS425"/>
      <c r="XDT425"/>
      <c r="XDU425"/>
      <c r="XDV425"/>
      <c r="XDW425"/>
      <c r="XDX425"/>
      <c r="XDY425"/>
      <c r="XDZ425"/>
      <c r="XEA425"/>
      <c r="XEB425"/>
      <c r="XEC425"/>
      <c r="XED425"/>
      <c r="XEE425"/>
      <c r="XEF425"/>
      <c r="XEG425"/>
      <c r="XEH425"/>
      <c r="XEI425"/>
      <c r="XEJ425"/>
      <c r="XEK425"/>
      <c r="XEL425"/>
      <c r="XEM425"/>
      <c r="XEN425"/>
      <c r="XEO425"/>
      <c r="XEP425"/>
      <c r="XEQ425"/>
      <c r="XER425"/>
      <c r="XES425"/>
      <c r="XET425"/>
      <c r="XEU425"/>
      <c r="XEV425"/>
      <c r="XEW425"/>
      <c r="XEX425"/>
      <c r="XEY425"/>
      <c r="XEZ425"/>
      <c r="XFA425"/>
      <c r="XFB425"/>
      <c r="XFC425"/>
    </row>
    <row r="426" spans="1:20 16329:16383" s="38" customFormat="1" ht="29.1" customHeight="1" outlineLevel="6" x14ac:dyDescent="0.25">
      <c r="A426" s="49" t="s">
        <v>876</v>
      </c>
      <c r="B426" s="50"/>
      <c r="C426" s="50"/>
      <c r="D426" s="3" t="s">
        <v>877</v>
      </c>
      <c r="E426" s="3"/>
      <c r="F426" s="51" t="s">
        <v>752</v>
      </c>
      <c r="G426" s="50" t="s">
        <v>102</v>
      </c>
      <c r="H426" s="52">
        <f>1</f>
        <v>1</v>
      </c>
      <c r="I426" s="36"/>
      <c r="J426" s="52">
        <v>1</v>
      </c>
      <c r="K426" s="53">
        <f>0</f>
        <v>0</v>
      </c>
      <c r="L426" s="53">
        <f>0</f>
        <v>0</v>
      </c>
      <c r="M426" s="53">
        <f>0</f>
        <v>0</v>
      </c>
      <c r="N426" s="54">
        <f>SUM(K426:M426)</f>
        <v>0</v>
      </c>
      <c r="O426" s="54">
        <f>ROUND((H426*K426),2)</f>
        <v>0</v>
      </c>
      <c r="P426" s="54">
        <f>ROUND((H426*L426),2)</f>
        <v>0</v>
      </c>
      <c r="Q426" s="54">
        <f>ROUND((H426*M426),2)</f>
        <v>0</v>
      </c>
      <c r="R426" s="54">
        <f>ROUND((H426*N426),2)</f>
        <v>0</v>
      </c>
      <c r="S426" s="54"/>
      <c r="T426" s="36"/>
      <c r="XDA426"/>
      <c r="XDB426"/>
      <c r="XDC426"/>
      <c r="XDD426"/>
      <c r="XDE426"/>
      <c r="XDF426"/>
      <c r="XDG426"/>
      <c r="XDH426"/>
      <c r="XDI426"/>
      <c r="XDJ426"/>
      <c r="XDK426"/>
      <c r="XDL426"/>
      <c r="XDM426"/>
      <c r="XDN426"/>
      <c r="XDO426"/>
      <c r="XDP426"/>
      <c r="XDQ426"/>
      <c r="XDR426"/>
      <c r="XDS426"/>
      <c r="XDT426"/>
      <c r="XDU426"/>
      <c r="XDV426"/>
      <c r="XDW426"/>
      <c r="XDX426"/>
      <c r="XDY426"/>
      <c r="XDZ426"/>
      <c r="XEA426"/>
      <c r="XEB426"/>
      <c r="XEC426"/>
      <c r="XED426"/>
      <c r="XEE426"/>
      <c r="XEF426"/>
      <c r="XEG426"/>
      <c r="XEH426"/>
      <c r="XEI426"/>
      <c r="XEJ426"/>
      <c r="XEK426"/>
      <c r="XEL426"/>
      <c r="XEM426"/>
      <c r="XEN426"/>
      <c r="XEO426"/>
      <c r="XEP426"/>
      <c r="XEQ426"/>
      <c r="XER426"/>
      <c r="XES426"/>
      <c r="XET426"/>
      <c r="XEU426"/>
      <c r="XEV426"/>
      <c r="XEW426"/>
      <c r="XEX426"/>
      <c r="XEY426"/>
      <c r="XEZ426"/>
      <c r="XFA426"/>
      <c r="XFB426"/>
      <c r="XFC426"/>
    </row>
    <row r="427" spans="1:20 16329:16383" s="38" customFormat="1" ht="29.1" customHeight="1" outlineLevel="5" x14ac:dyDescent="0.25">
      <c r="A427" s="65" t="s">
        <v>878</v>
      </c>
      <c r="B427" s="66" t="s">
        <v>879</v>
      </c>
      <c r="C427" s="66"/>
      <c r="D427" s="98" t="s">
        <v>880</v>
      </c>
      <c r="E427" s="98"/>
      <c r="F427" s="67" t="s">
        <v>881</v>
      </c>
      <c r="G427" s="66"/>
      <c r="H427" s="68"/>
      <c r="I427" s="36"/>
      <c r="J427" s="68"/>
      <c r="K427" s="69"/>
      <c r="L427" s="69"/>
      <c r="M427" s="69"/>
      <c r="N427" s="69"/>
      <c r="O427" s="69">
        <f>O428</f>
        <v>0</v>
      </c>
      <c r="P427" s="69">
        <f>P428</f>
        <v>0</v>
      </c>
      <c r="Q427" s="69">
        <f>Q428</f>
        <v>0</v>
      </c>
      <c r="R427" s="69">
        <f>R428</f>
        <v>0</v>
      </c>
      <c r="S427" s="69"/>
      <c r="T427" s="36"/>
      <c r="XDA427"/>
      <c r="XDB427"/>
      <c r="XDC427"/>
      <c r="XDD427"/>
      <c r="XDE427"/>
      <c r="XDF427"/>
      <c r="XDG427"/>
      <c r="XDH427"/>
      <c r="XDI427"/>
      <c r="XDJ427"/>
      <c r="XDK427"/>
      <c r="XDL427"/>
      <c r="XDM427"/>
      <c r="XDN427"/>
      <c r="XDO427"/>
      <c r="XDP427"/>
      <c r="XDQ427"/>
      <c r="XDR427"/>
      <c r="XDS427"/>
      <c r="XDT427"/>
      <c r="XDU427"/>
      <c r="XDV427"/>
      <c r="XDW427"/>
      <c r="XDX427"/>
      <c r="XDY427"/>
      <c r="XDZ427"/>
      <c r="XEA427"/>
      <c r="XEB427"/>
      <c r="XEC427"/>
      <c r="XED427"/>
      <c r="XEE427"/>
      <c r="XEF427"/>
      <c r="XEG427"/>
      <c r="XEH427"/>
      <c r="XEI427"/>
      <c r="XEJ427"/>
      <c r="XEK427"/>
      <c r="XEL427"/>
      <c r="XEM427"/>
      <c r="XEN427"/>
      <c r="XEO427"/>
      <c r="XEP427"/>
      <c r="XEQ427"/>
      <c r="XER427"/>
      <c r="XES427"/>
      <c r="XET427"/>
      <c r="XEU427"/>
      <c r="XEV427"/>
      <c r="XEW427"/>
      <c r="XEX427"/>
      <c r="XEY427"/>
      <c r="XEZ427"/>
      <c r="XFA427"/>
      <c r="XFB427"/>
      <c r="XFC427"/>
    </row>
    <row r="428" spans="1:20 16329:16383" s="38" customFormat="1" ht="29.1" customHeight="1" outlineLevel="6" x14ac:dyDescent="0.25">
      <c r="A428" s="49" t="s">
        <v>882</v>
      </c>
      <c r="B428" s="50"/>
      <c r="C428" s="50"/>
      <c r="D428" s="3" t="s">
        <v>773</v>
      </c>
      <c r="E428" s="3"/>
      <c r="F428" s="51" t="s">
        <v>752</v>
      </c>
      <c r="G428" s="50" t="s">
        <v>102</v>
      </c>
      <c r="H428" s="52">
        <f>1</f>
        <v>1</v>
      </c>
      <c r="I428" s="36"/>
      <c r="J428" s="52">
        <v>1</v>
      </c>
      <c r="K428" s="53">
        <f>0</f>
        <v>0</v>
      </c>
      <c r="L428" s="53">
        <f>0</f>
        <v>0</v>
      </c>
      <c r="M428" s="53">
        <f>0</f>
        <v>0</v>
      </c>
      <c r="N428" s="54">
        <f>SUM(K428:M428)</f>
        <v>0</v>
      </c>
      <c r="O428" s="54">
        <f>ROUND((H428*K428),2)</f>
        <v>0</v>
      </c>
      <c r="P428" s="54">
        <f>ROUND((H428*L428),2)</f>
        <v>0</v>
      </c>
      <c r="Q428" s="54">
        <f>ROUND((H428*M428),2)</f>
        <v>0</v>
      </c>
      <c r="R428" s="54">
        <f>ROUND((H428*N428),2)</f>
        <v>0</v>
      </c>
      <c r="S428" s="54"/>
      <c r="T428" s="36"/>
      <c r="XDA428"/>
      <c r="XDB428"/>
      <c r="XDC428"/>
      <c r="XDD428"/>
      <c r="XDE428"/>
      <c r="XDF428"/>
      <c r="XDG428"/>
      <c r="XDH428"/>
      <c r="XDI428"/>
      <c r="XDJ428"/>
      <c r="XDK428"/>
      <c r="XDL428"/>
      <c r="XDM428"/>
      <c r="XDN428"/>
      <c r="XDO428"/>
      <c r="XDP428"/>
      <c r="XDQ428"/>
      <c r="XDR428"/>
      <c r="XDS428"/>
      <c r="XDT428"/>
      <c r="XDU428"/>
      <c r="XDV428"/>
      <c r="XDW428"/>
      <c r="XDX428"/>
      <c r="XDY428"/>
      <c r="XDZ428"/>
      <c r="XEA428"/>
      <c r="XEB428"/>
      <c r="XEC428"/>
      <c r="XED428"/>
      <c r="XEE428"/>
      <c r="XEF428"/>
      <c r="XEG428"/>
      <c r="XEH428"/>
      <c r="XEI428"/>
      <c r="XEJ428"/>
      <c r="XEK428"/>
      <c r="XEL428"/>
      <c r="XEM428"/>
      <c r="XEN428"/>
      <c r="XEO428"/>
      <c r="XEP428"/>
      <c r="XEQ428"/>
      <c r="XER428"/>
      <c r="XES428"/>
      <c r="XET428"/>
      <c r="XEU428"/>
      <c r="XEV428"/>
      <c r="XEW428"/>
      <c r="XEX428"/>
      <c r="XEY428"/>
      <c r="XEZ428"/>
      <c r="XFA428"/>
      <c r="XFB428"/>
      <c r="XFC428"/>
    </row>
    <row r="429" spans="1:20 16329:16383" s="38" customFormat="1" ht="29.1" customHeight="1" outlineLevel="5" x14ac:dyDescent="0.25">
      <c r="A429" s="65" t="s">
        <v>883</v>
      </c>
      <c r="B429" s="66" t="s">
        <v>884</v>
      </c>
      <c r="C429" s="66"/>
      <c r="D429" s="98" t="s">
        <v>885</v>
      </c>
      <c r="E429" s="98"/>
      <c r="F429" s="67" t="s">
        <v>886</v>
      </c>
      <c r="G429" s="66"/>
      <c r="H429" s="68"/>
      <c r="I429" s="36"/>
      <c r="J429" s="68"/>
      <c r="K429" s="69"/>
      <c r="L429" s="69"/>
      <c r="M429" s="69"/>
      <c r="N429" s="69"/>
      <c r="O429" s="69">
        <f>O430</f>
        <v>0</v>
      </c>
      <c r="P429" s="69">
        <f>P430</f>
        <v>0</v>
      </c>
      <c r="Q429" s="69">
        <f>Q430</f>
        <v>0</v>
      </c>
      <c r="R429" s="69">
        <f>R430</f>
        <v>0</v>
      </c>
      <c r="S429" s="69"/>
      <c r="T429" s="36"/>
      <c r="XDA429"/>
      <c r="XDB429"/>
      <c r="XDC429"/>
      <c r="XDD429"/>
      <c r="XDE429"/>
      <c r="XDF429"/>
      <c r="XDG429"/>
      <c r="XDH429"/>
      <c r="XDI429"/>
      <c r="XDJ429"/>
      <c r="XDK429"/>
      <c r="XDL429"/>
      <c r="XDM429"/>
      <c r="XDN429"/>
      <c r="XDO429"/>
      <c r="XDP429"/>
      <c r="XDQ429"/>
      <c r="XDR429"/>
      <c r="XDS429"/>
      <c r="XDT429"/>
      <c r="XDU429"/>
      <c r="XDV429"/>
      <c r="XDW429"/>
      <c r="XDX429"/>
      <c r="XDY429"/>
      <c r="XDZ429"/>
      <c r="XEA429"/>
      <c r="XEB429"/>
      <c r="XEC429"/>
      <c r="XED429"/>
      <c r="XEE429"/>
      <c r="XEF429"/>
      <c r="XEG429"/>
      <c r="XEH429"/>
      <c r="XEI429"/>
      <c r="XEJ429"/>
      <c r="XEK429"/>
      <c r="XEL429"/>
      <c r="XEM429"/>
      <c r="XEN429"/>
      <c r="XEO429"/>
      <c r="XEP429"/>
      <c r="XEQ429"/>
      <c r="XER429"/>
      <c r="XES429"/>
      <c r="XET429"/>
      <c r="XEU429"/>
      <c r="XEV429"/>
      <c r="XEW429"/>
      <c r="XEX429"/>
      <c r="XEY429"/>
      <c r="XEZ429"/>
      <c r="XFA429"/>
      <c r="XFB429"/>
      <c r="XFC429"/>
    </row>
    <row r="430" spans="1:20 16329:16383" s="38" customFormat="1" ht="29.1" customHeight="1" outlineLevel="6" x14ac:dyDescent="0.25">
      <c r="A430" s="49" t="s">
        <v>887</v>
      </c>
      <c r="B430" s="50"/>
      <c r="C430" s="50"/>
      <c r="D430" s="3" t="s">
        <v>888</v>
      </c>
      <c r="E430" s="3"/>
      <c r="F430" s="51" t="s">
        <v>752</v>
      </c>
      <c r="G430" s="50" t="s">
        <v>102</v>
      </c>
      <c r="H430" s="52">
        <f>1</f>
        <v>1</v>
      </c>
      <c r="I430" s="36"/>
      <c r="J430" s="52">
        <v>1</v>
      </c>
      <c r="K430" s="53">
        <f>0</f>
        <v>0</v>
      </c>
      <c r="L430" s="53">
        <f>0</f>
        <v>0</v>
      </c>
      <c r="M430" s="53">
        <f>0</f>
        <v>0</v>
      </c>
      <c r="N430" s="54">
        <f>SUM(K430:M430)</f>
        <v>0</v>
      </c>
      <c r="O430" s="54">
        <f>ROUND((H430*K430),2)</f>
        <v>0</v>
      </c>
      <c r="P430" s="54">
        <f>ROUND((H430*L430),2)</f>
        <v>0</v>
      </c>
      <c r="Q430" s="54">
        <f>ROUND((H430*M430),2)</f>
        <v>0</v>
      </c>
      <c r="R430" s="54">
        <f>ROUND((H430*N430),2)</f>
        <v>0</v>
      </c>
      <c r="S430" s="54"/>
      <c r="T430" s="36"/>
      <c r="XDA430"/>
      <c r="XDB430"/>
      <c r="XDC430"/>
      <c r="XDD430"/>
      <c r="XDE430"/>
      <c r="XDF430"/>
      <c r="XDG430"/>
      <c r="XDH430"/>
      <c r="XDI430"/>
      <c r="XDJ430"/>
      <c r="XDK430"/>
      <c r="XDL430"/>
      <c r="XDM430"/>
      <c r="XDN430"/>
      <c r="XDO430"/>
      <c r="XDP430"/>
      <c r="XDQ430"/>
      <c r="XDR430"/>
      <c r="XDS430"/>
      <c r="XDT430"/>
      <c r="XDU430"/>
      <c r="XDV430"/>
      <c r="XDW430"/>
      <c r="XDX430"/>
      <c r="XDY430"/>
      <c r="XDZ430"/>
      <c r="XEA430"/>
      <c r="XEB430"/>
      <c r="XEC430"/>
      <c r="XED430"/>
      <c r="XEE430"/>
      <c r="XEF430"/>
      <c r="XEG430"/>
      <c r="XEH430"/>
      <c r="XEI430"/>
      <c r="XEJ430"/>
      <c r="XEK430"/>
      <c r="XEL430"/>
      <c r="XEM430"/>
      <c r="XEN430"/>
      <c r="XEO430"/>
      <c r="XEP430"/>
      <c r="XEQ430"/>
      <c r="XER430"/>
      <c r="XES430"/>
      <c r="XET430"/>
      <c r="XEU430"/>
      <c r="XEV430"/>
      <c r="XEW430"/>
      <c r="XEX430"/>
      <c r="XEY430"/>
      <c r="XEZ430"/>
      <c r="XFA430"/>
      <c r="XFB430"/>
      <c r="XFC430"/>
    </row>
    <row r="431" spans="1:20 16329:16383" s="38" customFormat="1" ht="29.1" customHeight="1" outlineLevel="5" x14ac:dyDescent="0.25">
      <c r="A431" s="65" t="s">
        <v>889</v>
      </c>
      <c r="B431" s="66" t="s">
        <v>890</v>
      </c>
      <c r="C431" s="66"/>
      <c r="D431" s="98" t="s">
        <v>891</v>
      </c>
      <c r="E431" s="98"/>
      <c r="F431" s="67" t="s">
        <v>892</v>
      </c>
      <c r="G431" s="66"/>
      <c r="H431" s="68"/>
      <c r="I431" s="36"/>
      <c r="J431" s="68"/>
      <c r="K431" s="69"/>
      <c r="L431" s="69"/>
      <c r="M431" s="69"/>
      <c r="N431" s="69"/>
      <c r="O431" s="69">
        <f>SUM(O432:O435)</f>
        <v>0</v>
      </c>
      <c r="P431" s="69">
        <f>SUM(P432:P435)</f>
        <v>0</v>
      </c>
      <c r="Q431" s="69">
        <f>SUM(Q432:Q435)</f>
        <v>0</v>
      </c>
      <c r="R431" s="69">
        <f>SUM(R432:R435)</f>
        <v>0</v>
      </c>
      <c r="S431" s="69"/>
      <c r="T431" s="36"/>
      <c r="XDA431"/>
      <c r="XDB431"/>
      <c r="XDC431"/>
      <c r="XDD431"/>
      <c r="XDE431"/>
      <c r="XDF431"/>
      <c r="XDG431"/>
      <c r="XDH431"/>
      <c r="XDI431"/>
      <c r="XDJ431"/>
      <c r="XDK431"/>
      <c r="XDL431"/>
      <c r="XDM431"/>
      <c r="XDN431"/>
      <c r="XDO431"/>
      <c r="XDP431"/>
      <c r="XDQ431"/>
      <c r="XDR431"/>
      <c r="XDS431"/>
      <c r="XDT431"/>
      <c r="XDU431"/>
      <c r="XDV431"/>
      <c r="XDW431"/>
      <c r="XDX431"/>
      <c r="XDY431"/>
      <c r="XDZ431"/>
      <c r="XEA431"/>
      <c r="XEB431"/>
      <c r="XEC431"/>
      <c r="XED431"/>
      <c r="XEE431"/>
      <c r="XEF431"/>
      <c r="XEG431"/>
      <c r="XEH431"/>
      <c r="XEI431"/>
      <c r="XEJ431"/>
      <c r="XEK431"/>
      <c r="XEL431"/>
      <c r="XEM431"/>
      <c r="XEN431"/>
      <c r="XEO431"/>
      <c r="XEP431"/>
      <c r="XEQ431"/>
      <c r="XER431"/>
      <c r="XES431"/>
      <c r="XET431"/>
      <c r="XEU431"/>
      <c r="XEV431"/>
      <c r="XEW431"/>
      <c r="XEX431"/>
      <c r="XEY431"/>
      <c r="XEZ431"/>
      <c r="XFA431"/>
      <c r="XFB431"/>
      <c r="XFC431"/>
    </row>
    <row r="432" spans="1:20 16329:16383" s="38" customFormat="1" ht="29.1" customHeight="1" outlineLevel="6" x14ac:dyDescent="0.25">
      <c r="A432" s="49" t="s">
        <v>893</v>
      </c>
      <c r="B432" s="50"/>
      <c r="C432" s="50"/>
      <c r="D432" s="3" t="s">
        <v>785</v>
      </c>
      <c r="E432" s="3"/>
      <c r="F432" s="51" t="s">
        <v>894</v>
      </c>
      <c r="G432" s="50" t="s">
        <v>102</v>
      </c>
      <c r="H432" s="52">
        <f>1</f>
        <v>1</v>
      </c>
      <c r="I432" s="36"/>
      <c r="J432" s="52">
        <v>1</v>
      </c>
      <c r="K432" s="53">
        <f>0</f>
        <v>0</v>
      </c>
      <c r="L432" s="53">
        <f>0</f>
        <v>0</v>
      </c>
      <c r="M432" s="53">
        <f>0</f>
        <v>0</v>
      </c>
      <c r="N432" s="54">
        <f>SUM(K432:M432)</f>
        <v>0</v>
      </c>
      <c r="O432" s="54">
        <f>ROUND((H432*K432),2)</f>
        <v>0</v>
      </c>
      <c r="P432" s="54">
        <f>ROUND((H432*L432),2)</f>
        <v>0</v>
      </c>
      <c r="Q432" s="54">
        <f>ROUND((H432*M432),2)</f>
        <v>0</v>
      </c>
      <c r="R432" s="54">
        <f>ROUND((H432*N432),2)</f>
        <v>0</v>
      </c>
      <c r="S432" s="54"/>
      <c r="T432" s="36"/>
      <c r="XDA432"/>
      <c r="XDB432"/>
      <c r="XDC432"/>
      <c r="XDD432"/>
      <c r="XDE432"/>
      <c r="XDF432"/>
      <c r="XDG432"/>
      <c r="XDH432"/>
      <c r="XDI432"/>
      <c r="XDJ432"/>
      <c r="XDK432"/>
      <c r="XDL432"/>
      <c r="XDM432"/>
      <c r="XDN432"/>
      <c r="XDO432"/>
      <c r="XDP432"/>
      <c r="XDQ432"/>
      <c r="XDR432"/>
      <c r="XDS432"/>
      <c r="XDT432"/>
      <c r="XDU432"/>
      <c r="XDV432"/>
      <c r="XDW432"/>
      <c r="XDX432"/>
      <c r="XDY432"/>
      <c r="XDZ432"/>
      <c r="XEA432"/>
      <c r="XEB432"/>
      <c r="XEC432"/>
      <c r="XED432"/>
      <c r="XEE432"/>
      <c r="XEF432"/>
      <c r="XEG432"/>
      <c r="XEH432"/>
      <c r="XEI432"/>
      <c r="XEJ432"/>
      <c r="XEK432"/>
      <c r="XEL432"/>
      <c r="XEM432"/>
      <c r="XEN432"/>
      <c r="XEO432"/>
      <c r="XEP432"/>
      <c r="XEQ432"/>
      <c r="XER432"/>
      <c r="XES432"/>
      <c r="XET432"/>
      <c r="XEU432"/>
      <c r="XEV432"/>
      <c r="XEW432"/>
      <c r="XEX432"/>
      <c r="XEY432"/>
      <c r="XEZ432"/>
      <c r="XFA432"/>
      <c r="XFB432"/>
      <c r="XFC432"/>
    </row>
    <row r="433" spans="1:20 16329:16383" s="38" customFormat="1" ht="29.1" customHeight="1" outlineLevel="6" x14ac:dyDescent="0.25">
      <c r="A433" s="49" t="s">
        <v>895</v>
      </c>
      <c r="B433" s="50"/>
      <c r="C433" s="50"/>
      <c r="D433" s="3" t="s">
        <v>787</v>
      </c>
      <c r="E433" s="3"/>
      <c r="F433" s="51" t="s">
        <v>894</v>
      </c>
      <c r="G433" s="50" t="s">
        <v>102</v>
      </c>
      <c r="H433" s="52">
        <f>1</f>
        <v>1</v>
      </c>
      <c r="I433" s="36"/>
      <c r="J433" s="52">
        <v>1</v>
      </c>
      <c r="K433" s="53">
        <f>0</f>
        <v>0</v>
      </c>
      <c r="L433" s="53">
        <f>0</f>
        <v>0</v>
      </c>
      <c r="M433" s="53">
        <f>0</f>
        <v>0</v>
      </c>
      <c r="N433" s="54">
        <f>SUM(K433:M433)</f>
        <v>0</v>
      </c>
      <c r="O433" s="54">
        <f>ROUND((H433*K433),2)</f>
        <v>0</v>
      </c>
      <c r="P433" s="54">
        <f>ROUND((H433*L433),2)</f>
        <v>0</v>
      </c>
      <c r="Q433" s="54">
        <f>ROUND((H433*M433),2)</f>
        <v>0</v>
      </c>
      <c r="R433" s="54">
        <f>ROUND((H433*N433),2)</f>
        <v>0</v>
      </c>
      <c r="S433" s="54"/>
      <c r="T433" s="36"/>
      <c r="XDA433"/>
      <c r="XDB433"/>
      <c r="XDC433"/>
      <c r="XDD433"/>
      <c r="XDE433"/>
      <c r="XDF433"/>
      <c r="XDG433"/>
      <c r="XDH433"/>
      <c r="XDI433"/>
      <c r="XDJ433"/>
      <c r="XDK433"/>
      <c r="XDL433"/>
      <c r="XDM433"/>
      <c r="XDN433"/>
      <c r="XDO433"/>
      <c r="XDP433"/>
      <c r="XDQ433"/>
      <c r="XDR433"/>
      <c r="XDS433"/>
      <c r="XDT433"/>
      <c r="XDU433"/>
      <c r="XDV433"/>
      <c r="XDW433"/>
      <c r="XDX433"/>
      <c r="XDY433"/>
      <c r="XDZ433"/>
      <c r="XEA433"/>
      <c r="XEB433"/>
      <c r="XEC433"/>
      <c r="XED433"/>
      <c r="XEE433"/>
      <c r="XEF433"/>
      <c r="XEG433"/>
      <c r="XEH433"/>
      <c r="XEI433"/>
      <c r="XEJ433"/>
      <c r="XEK433"/>
      <c r="XEL433"/>
      <c r="XEM433"/>
      <c r="XEN433"/>
      <c r="XEO433"/>
      <c r="XEP433"/>
      <c r="XEQ433"/>
      <c r="XER433"/>
      <c r="XES433"/>
      <c r="XET433"/>
      <c r="XEU433"/>
      <c r="XEV433"/>
      <c r="XEW433"/>
      <c r="XEX433"/>
      <c r="XEY433"/>
      <c r="XEZ433"/>
      <c r="XFA433"/>
      <c r="XFB433"/>
      <c r="XFC433"/>
    </row>
    <row r="434" spans="1:20 16329:16383" s="38" customFormat="1" ht="29.1" customHeight="1" outlineLevel="6" x14ac:dyDescent="0.25">
      <c r="A434" s="49" t="s">
        <v>896</v>
      </c>
      <c r="B434" s="50"/>
      <c r="C434" s="50"/>
      <c r="D434" s="3" t="s">
        <v>897</v>
      </c>
      <c r="E434" s="3"/>
      <c r="F434" s="51" t="s">
        <v>894</v>
      </c>
      <c r="G434" s="50" t="s">
        <v>102</v>
      </c>
      <c r="H434" s="52">
        <f>1</f>
        <v>1</v>
      </c>
      <c r="I434" s="36"/>
      <c r="J434" s="52">
        <v>1</v>
      </c>
      <c r="K434" s="53">
        <f>0</f>
        <v>0</v>
      </c>
      <c r="L434" s="53">
        <f>0</f>
        <v>0</v>
      </c>
      <c r="M434" s="53">
        <f>0</f>
        <v>0</v>
      </c>
      <c r="N434" s="54">
        <f>SUM(K434:M434)</f>
        <v>0</v>
      </c>
      <c r="O434" s="54">
        <f>ROUND((H434*K434),2)</f>
        <v>0</v>
      </c>
      <c r="P434" s="54">
        <f>ROUND((H434*L434),2)</f>
        <v>0</v>
      </c>
      <c r="Q434" s="54">
        <f>ROUND((H434*M434),2)</f>
        <v>0</v>
      </c>
      <c r="R434" s="54">
        <f>ROUND((H434*N434),2)</f>
        <v>0</v>
      </c>
      <c r="S434" s="54"/>
      <c r="T434" s="36"/>
      <c r="XDA434"/>
      <c r="XDB434"/>
      <c r="XDC434"/>
      <c r="XDD434"/>
      <c r="XDE434"/>
      <c r="XDF434"/>
      <c r="XDG434"/>
      <c r="XDH434"/>
      <c r="XDI434"/>
      <c r="XDJ434"/>
      <c r="XDK434"/>
      <c r="XDL434"/>
      <c r="XDM434"/>
      <c r="XDN434"/>
      <c r="XDO434"/>
      <c r="XDP434"/>
      <c r="XDQ434"/>
      <c r="XDR434"/>
      <c r="XDS434"/>
      <c r="XDT434"/>
      <c r="XDU434"/>
      <c r="XDV434"/>
      <c r="XDW434"/>
      <c r="XDX434"/>
      <c r="XDY434"/>
      <c r="XDZ434"/>
      <c r="XEA434"/>
      <c r="XEB434"/>
      <c r="XEC434"/>
      <c r="XED434"/>
      <c r="XEE434"/>
      <c r="XEF434"/>
      <c r="XEG434"/>
      <c r="XEH434"/>
      <c r="XEI434"/>
      <c r="XEJ434"/>
      <c r="XEK434"/>
      <c r="XEL434"/>
      <c r="XEM434"/>
      <c r="XEN434"/>
      <c r="XEO434"/>
      <c r="XEP434"/>
      <c r="XEQ434"/>
      <c r="XER434"/>
      <c r="XES434"/>
      <c r="XET434"/>
      <c r="XEU434"/>
      <c r="XEV434"/>
      <c r="XEW434"/>
      <c r="XEX434"/>
      <c r="XEY434"/>
      <c r="XEZ434"/>
      <c r="XFA434"/>
      <c r="XFB434"/>
      <c r="XFC434"/>
    </row>
    <row r="435" spans="1:20 16329:16383" s="38" customFormat="1" ht="29.1" customHeight="1" outlineLevel="6" x14ac:dyDescent="0.25">
      <c r="A435" s="49" t="s">
        <v>898</v>
      </c>
      <c r="B435" s="50"/>
      <c r="C435" s="50"/>
      <c r="D435" s="3" t="s">
        <v>899</v>
      </c>
      <c r="E435" s="3"/>
      <c r="F435" s="51" t="s">
        <v>894</v>
      </c>
      <c r="G435" s="50" t="s">
        <v>102</v>
      </c>
      <c r="H435" s="52">
        <f>1</f>
        <v>1</v>
      </c>
      <c r="I435" s="36"/>
      <c r="J435" s="52">
        <v>1</v>
      </c>
      <c r="K435" s="53">
        <f>0</f>
        <v>0</v>
      </c>
      <c r="L435" s="53">
        <f>0</f>
        <v>0</v>
      </c>
      <c r="M435" s="53">
        <f>0</f>
        <v>0</v>
      </c>
      <c r="N435" s="54">
        <f>SUM(K435:M435)</f>
        <v>0</v>
      </c>
      <c r="O435" s="54">
        <f>ROUND((H435*K435),2)</f>
        <v>0</v>
      </c>
      <c r="P435" s="54">
        <f>ROUND((H435*L435),2)</f>
        <v>0</v>
      </c>
      <c r="Q435" s="54">
        <f>ROUND((H435*M435),2)</f>
        <v>0</v>
      </c>
      <c r="R435" s="54">
        <f>ROUND((H435*N435),2)</f>
        <v>0</v>
      </c>
      <c r="S435" s="54"/>
      <c r="T435" s="36"/>
      <c r="XDA435"/>
      <c r="XDB435"/>
      <c r="XDC435"/>
      <c r="XDD435"/>
      <c r="XDE435"/>
      <c r="XDF435"/>
      <c r="XDG435"/>
      <c r="XDH435"/>
      <c r="XDI435"/>
      <c r="XDJ435"/>
      <c r="XDK435"/>
      <c r="XDL435"/>
      <c r="XDM435"/>
      <c r="XDN435"/>
      <c r="XDO435"/>
      <c r="XDP435"/>
      <c r="XDQ435"/>
      <c r="XDR435"/>
      <c r="XDS435"/>
      <c r="XDT435"/>
      <c r="XDU435"/>
      <c r="XDV435"/>
      <c r="XDW435"/>
      <c r="XDX435"/>
      <c r="XDY435"/>
      <c r="XDZ435"/>
      <c r="XEA435"/>
      <c r="XEB435"/>
      <c r="XEC435"/>
      <c r="XED435"/>
      <c r="XEE435"/>
      <c r="XEF435"/>
      <c r="XEG435"/>
      <c r="XEH435"/>
      <c r="XEI435"/>
      <c r="XEJ435"/>
      <c r="XEK435"/>
      <c r="XEL435"/>
      <c r="XEM435"/>
      <c r="XEN435"/>
      <c r="XEO435"/>
      <c r="XEP435"/>
      <c r="XEQ435"/>
      <c r="XER435"/>
      <c r="XES435"/>
      <c r="XET435"/>
      <c r="XEU435"/>
      <c r="XEV435"/>
      <c r="XEW435"/>
      <c r="XEX435"/>
      <c r="XEY435"/>
      <c r="XEZ435"/>
      <c r="XFA435"/>
      <c r="XFB435"/>
      <c r="XFC435"/>
    </row>
    <row r="436" spans="1:20 16329:16383" s="38" customFormat="1" ht="29.1" customHeight="1" outlineLevel="4" x14ac:dyDescent="0.25">
      <c r="A436" s="60" t="s">
        <v>900</v>
      </c>
      <c r="B436" s="61" t="s">
        <v>901</v>
      </c>
      <c r="C436" s="61"/>
      <c r="D436" s="1" t="s">
        <v>902</v>
      </c>
      <c r="E436" s="1"/>
      <c r="F436" s="62"/>
      <c r="G436" s="61"/>
      <c r="H436" s="63"/>
      <c r="I436" s="36"/>
      <c r="J436" s="63"/>
      <c r="K436" s="64"/>
      <c r="L436" s="64"/>
      <c r="M436" s="64"/>
      <c r="N436" s="64"/>
      <c r="O436" s="64">
        <f>O437+O440+O442</f>
        <v>0</v>
      </c>
      <c r="P436" s="64">
        <f>P437+P440+P442</f>
        <v>0</v>
      </c>
      <c r="Q436" s="64">
        <f>Q437+Q440+Q442</f>
        <v>0</v>
      </c>
      <c r="R436" s="64">
        <f>R437+R440+R442</f>
        <v>0</v>
      </c>
      <c r="S436" s="64"/>
      <c r="T436" s="36"/>
      <c r="XDA436"/>
      <c r="XDB436"/>
      <c r="XDC436"/>
      <c r="XDD436"/>
      <c r="XDE436"/>
      <c r="XDF436"/>
      <c r="XDG436"/>
      <c r="XDH436"/>
      <c r="XDI436"/>
      <c r="XDJ436"/>
      <c r="XDK436"/>
      <c r="XDL436"/>
      <c r="XDM436"/>
      <c r="XDN436"/>
      <c r="XDO436"/>
      <c r="XDP436"/>
      <c r="XDQ436"/>
      <c r="XDR436"/>
      <c r="XDS436"/>
      <c r="XDT436"/>
      <c r="XDU436"/>
      <c r="XDV436"/>
      <c r="XDW436"/>
      <c r="XDX436"/>
      <c r="XDY436"/>
      <c r="XDZ436"/>
      <c r="XEA436"/>
      <c r="XEB436"/>
      <c r="XEC436"/>
      <c r="XED436"/>
      <c r="XEE436"/>
      <c r="XEF436"/>
      <c r="XEG436"/>
      <c r="XEH436"/>
      <c r="XEI436"/>
      <c r="XEJ436"/>
      <c r="XEK436"/>
      <c r="XEL436"/>
      <c r="XEM436"/>
      <c r="XEN436"/>
      <c r="XEO436"/>
      <c r="XEP436"/>
      <c r="XEQ436"/>
      <c r="XER436"/>
      <c r="XES436"/>
      <c r="XET436"/>
      <c r="XEU436"/>
      <c r="XEV436"/>
      <c r="XEW436"/>
      <c r="XEX436"/>
      <c r="XEY436"/>
      <c r="XEZ436"/>
      <c r="XFA436"/>
      <c r="XFB436"/>
      <c r="XFC436"/>
    </row>
    <row r="437" spans="1:20 16329:16383" s="38" customFormat="1" ht="29.1" customHeight="1" outlineLevel="5" x14ac:dyDescent="0.25">
      <c r="A437" s="65" t="s">
        <v>903</v>
      </c>
      <c r="B437" s="66" t="s">
        <v>904</v>
      </c>
      <c r="C437" s="66"/>
      <c r="D437" s="98" t="s">
        <v>905</v>
      </c>
      <c r="E437" s="98"/>
      <c r="F437" s="67" t="s">
        <v>906</v>
      </c>
      <c r="G437" s="66"/>
      <c r="H437" s="68"/>
      <c r="I437" s="36"/>
      <c r="J437" s="68"/>
      <c r="K437" s="69"/>
      <c r="L437" s="69"/>
      <c r="M437" s="69"/>
      <c r="N437" s="69"/>
      <c r="O437" s="69">
        <f>O438+O439</f>
        <v>0</v>
      </c>
      <c r="P437" s="69">
        <f>P438+P439</f>
        <v>0</v>
      </c>
      <c r="Q437" s="69">
        <f>Q438+Q439</f>
        <v>0</v>
      </c>
      <c r="R437" s="69">
        <f>R438+R439</f>
        <v>0</v>
      </c>
      <c r="S437" s="69"/>
      <c r="T437" s="36"/>
      <c r="XDA437"/>
      <c r="XDB437"/>
      <c r="XDC437"/>
      <c r="XDD437"/>
      <c r="XDE437"/>
      <c r="XDF437"/>
      <c r="XDG437"/>
      <c r="XDH437"/>
      <c r="XDI437"/>
      <c r="XDJ437"/>
      <c r="XDK437"/>
      <c r="XDL437"/>
      <c r="XDM437"/>
      <c r="XDN437"/>
      <c r="XDO437"/>
      <c r="XDP437"/>
      <c r="XDQ437"/>
      <c r="XDR437"/>
      <c r="XDS437"/>
      <c r="XDT437"/>
      <c r="XDU437"/>
      <c r="XDV437"/>
      <c r="XDW437"/>
      <c r="XDX437"/>
      <c r="XDY437"/>
      <c r="XDZ437"/>
      <c r="XEA437"/>
      <c r="XEB437"/>
      <c r="XEC437"/>
      <c r="XED437"/>
      <c r="XEE437"/>
      <c r="XEF437"/>
      <c r="XEG437"/>
      <c r="XEH437"/>
      <c r="XEI437"/>
      <c r="XEJ437"/>
      <c r="XEK437"/>
      <c r="XEL437"/>
      <c r="XEM437"/>
      <c r="XEN437"/>
      <c r="XEO437"/>
      <c r="XEP437"/>
      <c r="XEQ437"/>
      <c r="XER437"/>
      <c r="XES437"/>
      <c r="XET437"/>
      <c r="XEU437"/>
      <c r="XEV437"/>
      <c r="XEW437"/>
      <c r="XEX437"/>
      <c r="XEY437"/>
      <c r="XEZ437"/>
      <c r="XFA437"/>
      <c r="XFB437"/>
      <c r="XFC437"/>
    </row>
    <row r="438" spans="1:20 16329:16383" s="38" customFormat="1" ht="29.1" customHeight="1" outlineLevel="6" x14ac:dyDescent="0.25">
      <c r="A438" s="49" t="s">
        <v>907</v>
      </c>
      <c r="B438" s="50"/>
      <c r="C438" s="50"/>
      <c r="D438" s="3" t="s">
        <v>751</v>
      </c>
      <c r="E438" s="3"/>
      <c r="F438" s="51" t="s">
        <v>752</v>
      </c>
      <c r="G438" s="50" t="s">
        <v>102</v>
      </c>
      <c r="H438" s="52">
        <f>1</f>
        <v>1</v>
      </c>
      <c r="I438" s="36"/>
      <c r="J438" s="52">
        <v>1</v>
      </c>
      <c r="K438" s="53">
        <f>0</f>
        <v>0</v>
      </c>
      <c r="L438" s="53">
        <f>0</f>
        <v>0</v>
      </c>
      <c r="M438" s="53">
        <f>0</f>
        <v>0</v>
      </c>
      <c r="N438" s="54">
        <f>SUM(K438:M438)</f>
        <v>0</v>
      </c>
      <c r="O438" s="54">
        <f>ROUND((H438*K438),2)</f>
        <v>0</v>
      </c>
      <c r="P438" s="54">
        <f>ROUND((H438*L438),2)</f>
        <v>0</v>
      </c>
      <c r="Q438" s="54">
        <f>ROUND((H438*M438),2)</f>
        <v>0</v>
      </c>
      <c r="R438" s="54">
        <f>ROUND((H438*N438),2)</f>
        <v>0</v>
      </c>
      <c r="S438" s="54"/>
      <c r="T438" s="36"/>
      <c r="XDA438"/>
      <c r="XDB438"/>
      <c r="XDC438"/>
      <c r="XDD438"/>
      <c r="XDE438"/>
      <c r="XDF438"/>
      <c r="XDG438"/>
      <c r="XDH438"/>
      <c r="XDI438"/>
      <c r="XDJ438"/>
      <c r="XDK438"/>
      <c r="XDL438"/>
      <c r="XDM438"/>
      <c r="XDN438"/>
      <c r="XDO438"/>
      <c r="XDP438"/>
      <c r="XDQ438"/>
      <c r="XDR438"/>
      <c r="XDS438"/>
      <c r="XDT438"/>
      <c r="XDU438"/>
      <c r="XDV438"/>
      <c r="XDW438"/>
      <c r="XDX438"/>
      <c r="XDY438"/>
      <c r="XDZ438"/>
      <c r="XEA438"/>
      <c r="XEB438"/>
      <c r="XEC438"/>
      <c r="XED438"/>
      <c r="XEE438"/>
      <c r="XEF438"/>
      <c r="XEG438"/>
      <c r="XEH438"/>
      <c r="XEI438"/>
      <c r="XEJ438"/>
      <c r="XEK438"/>
      <c r="XEL438"/>
      <c r="XEM438"/>
      <c r="XEN438"/>
      <c r="XEO438"/>
      <c r="XEP438"/>
      <c r="XEQ438"/>
      <c r="XER438"/>
      <c r="XES438"/>
      <c r="XET438"/>
      <c r="XEU438"/>
      <c r="XEV438"/>
      <c r="XEW438"/>
      <c r="XEX438"/>
      <c r="XEY438"/>
      <c r="XEZ438"/>
      <c r="XFA438"/>
      <c r="XFB438"/>
      <c r="XFC438"/>
    </row>
    <row r="439" spans="1:20 16329:16383" s="38" customFormat="1" ht="29.1" customHeight="1" outlineLevel="6" x14ac:dyDescent="0.25">
      <c r="A439" s="49" t="s">
        <v>908</v>
      </c>
      <c r="B439" s="50"/>
      <c r="C439" s="50"/>
      <c r="D439" s="3" t="s">
        <v>754</v>
      </c>
      <c r="E439" s="3"/>
      <c r="F439" s="51" t="s">
        <v>752</v>
      </c>
      <c r="G439" s="50" t="s">
        <v>102</v>
      </c>
      <c r="H439" s="52">
        <f>1</f>
        <v>1</v>
      </c>
      <c r="I439" s="36"/>
      <c r="J439" s="52">
        <v>1</v>
      </c>
      <c r="K439" s="53">
        <f>0</f>
        <v>0</v>
      </c>
      <c r="L439" s="53">
        <f>0</f>
        <v>0</v>
      </c>
      <c r="M439" s="53">
        <f>0</f>
        <v>0</v>
      </c>
      <c r="N439" s="54">
        <f>SUM(K439:M439)</f>
        <v>0</v>
      </c>
      <c r="O439" s="54">
        <f>ROUND((H439*K439),2)</f>
        <v>0</v>
      </c>
      <c r="P439" s="54">
        <f>ROUND((H439*L439),2)</f>
        <v>0</v>
      </c>
      <c r="Q439" s="54">
        <f>ROUND((H439*M439),2)</f>
        <v>0</v>
      </c>
      <c r="R439" s="54">
        <f>ROUND((H439*N439),2)</f>
        <v>0</v>
      </c>
      <c r="S439" s="54"/>
      <c r="T439" s="36"/>
      <c r="XDA439"/>
      <c r="XDB439"/>
      <c r="XDC439"/>
      <c r="XDD439"/>
      <c r="XDE439"/>
      <c r="XDF439"/>
      <c r="XDG439"/>
      <c r="XDH439"/>
      <c r="XDI439"/>
      <c r="XDJ439"/>
      <c r="XDK439"/>
      <c r="XDL439"/>
      <c r="XDM439"/>
      <c r="XDN439"/>
      <c r="XDO439"/>
      <c r="XDP439"/>
      <c r="XDQ439"/>
      <c r="XDR439"/>
      <c r="XDS439"/>
      <c r="XDT439"/>
      <c r="XDU439"/>
      <c r="XDV439"/>
      <c r="XDW439"/>
      <c r="XDX439"/>
      <c r="XDY439"/>
      <c r="XDZ439"/>
      <c r="XEA439"/>
      <c r="XEB439"/>
      <c r="XEC439"/>
      <c r="XED439"/>
      <c r="XEE439"/>
      <c r="XEF439"/>
      <c r="XEG439"/>
      <c r="XEH439"/>
      <c r="XEI439"/>
      <c r="XEJ439"/>
      <c r="XEK439"/>
      <c r="XEL439"/>
      <c r="XEM439"/>
      <c r="XEN439"/>
      <c r="XEO439"/>
      <c r="XEP439"/>
      <c r="XEQ439"/>
      <c r="XER439"/>
      <c r="XES439"/>
      <c r="XET439"/>
      <c r="XEU439"/>
      <c r="XEV439"/>
      <c r="XEW439"/>
      <c r="XEX439"/>
      <c r="XEY439"/>
      <c r="XEZ439"/>
      <c r="XFA439"/>
      <c r="XFB439"/>
      <c r="XFC439"/>
    </row>
    <row r="440" spans="1:20 16329:16383" s="38" customFormat="1" ht="29.1" customHeight="1" outlineLevel="5" x14ac:dyDescent="0.25">
      <c r="A440" s="65" t="s">
        <v>909</v>
      </c>
      <c r="B440" s="66" t="s">
        <v>910</v>
      </c>
      <c r="C440" s="66"/>
      <c r="D440" s="98" t="s">
        <v>880</v>
      </c>
      <c r="E440" s="98"/>
      <c r="F440" s="67" t="s">
        <v>881</v>
      </c>
      <c r="G440" s="66"/>
      <c r="H440" s="68"/>
      <c r="I440" s="36"/>
      <c r="J440" s="68"/>
      <c r="K440" s="69"/>
      <c r="L440" s="69"/>
      <c r="M440" s="69"/>
      <c r="N440" s="69"/>
      <c r="O440" s="69">
        <f>O441</f>
        <v>0</v>
      </c>
      <c r="P440" s="69">
        <f>P441</f>
        <v>0</v>
      </c>
      <c r="Q440" s="69">
        <f>Q441</f>
        <v>0</v>
      </c>
      <c r="R440" s="69">
        <f>R441</f>
        <v>0</v>
      </c>
      <c r="S440" s="69"/>
      <c r="T440" s="36"/>
      <c r="XDA440"/>
      <c r="XDB440"/>
      <c r="XDC440"/>
      <c r="XDD440"/>
      <c r="XDE440"/>
      <c r="XDF440"/>
      <c r="XDG440"/>
      <c r="XDH440"/>
      <c r="XDI440"/>
      <c r="XDJ440"/>
      <c r="XDK440"/>
      <c r="XDL440"/>
      <c r="XDM440"/>
      <c r="XDN440"/>
      <c r="XDO440"/>
      <c r="XDP440"/>
      <c r="XDQ440"/>
      <c r="XDR440"/>
      <c r="XDS440"/>
      <c r="XDT440"/>
      <c r="XDU440"/>
      <c r="XDV440"/>
      <c r="XDW440"/>
      <c r="XDX440"/>
      <c r="XDY440"/>
      <c r="XDZ440"/>
      <c r="XEA440"/>
      <c r="XEB440"/>
      <c r="XEC440"/>
      <c r="XED440"/>
      <c r="XEE440"/>
      <c r="XEF440"/>
      <c r="XEG440"/>
      <c r="XEH440"/>
      <c r="XEI440"/>
      <c r="XEJ440"/>
      <c r="XEK440"/>
      <c r="XEL440"/>
      <c r="XEM440"/>
      <c r="XEN440"/>
      <c r="XEO440"/>
      <c r="XEP440"/>
      <c r="XEQ440"/>
      <c r="XER440"/>
      <c r="XES440"/>
      <c r="XET440"/>
      <c r="XEU440"/>
      <c r="XEV440"/>
      <c r="XEW440"/>
      <c r="XEX440"/>
      <c r="XEY440"/>
      <c r="XEZ440"/>
      <c r="XFA440"/>
      <c r="XFB440"/>
      <c r="XFC440"/>
    </row>
    <row r="441" spans="1:20 16329:16383" s="38" customFormat="1" ht="29.1" customHeight="1" outlineLevel="6" x14ac:dyDescent="0.25">
      <c r="A441" s="49" t="s">
        <v>911</v>
      </c>
      <c r="B441" s="50"/>
      <c r="C441" s="50"/>
      <c r="D441" s="3" t="s">
        <v>773</v>
      </c>
      <c r="E441" s="3"/>
      <c r="F441" s="51" t="s">
        <v>752</v>
      </c>
      <c r="G441" s="50" t="s">
        <v>102</v>
      </c>
      <c r="H441" s="52">
        <f>1</f>
        <v>1</v>
      </c>
      <c r="I441" s="36"/>
      <c r="J441" s="52">
        <v>1</v>
      </c>
      <c r="K441" s="53">
        <f>0</f>
        <v>0</v>
      </c>
      <c r="L441" s="53">
        <f>0</f>
        <v>0</v>
      </c>
      <c r="M441" s="53">
        <f>0</f>
        <v>0</v>
      </c>
      <c r="N441" s="54">
        <f>SUM(K441:M441)</f>
        <v>0</v>
      </c>
      <c r="O441" s="54">
        <f>ROUND((H441*K441),2)</f>
        <v>0</v>
      </c>
      <c r="P441" s="54">
        <f>ROUND((H441*L441),2)</f>
        <v>0</v>
      </c>
      <c r="Q441" s="54">
        <f>ROUND((H441*M441),2)</f>
        <v>0</v>
      </c>
      <c r="R441" s="54">
        <f>ROUND((H441*N441),2)</f>
        <v>0</v>
      </c>
      <c r="S441" s="54"/>
      <c r="T441" s="36"/>
      <c r="XDA441"/>
      <c r="XDB441"/>
      <c r="XDC441"/>
      <c r="XDD441"/>
      <c r="XDE441"/>
      <c r="XDF441"/>
      <c r="XDG441"/>
      <c r="XDH441"/>
      <c r="XDI441"/>
      <c r="XDJ441"/>
      <c r="XDK441"/>
      <c r="XDL441"/>
      <c r="XDM441"/>
      <c r="XDN441"/>
      <c r="XDO441"/>
      <c r="XDP441"/>
      <c r="XDQ441"/>
      <c r="XDR441"/>
      <c r="XDS441"/>
      <c r="XDT441"/>
      <c r="XDU441"/>
      <c r="XDV441"/>
      <c r="XDW441"/>
      <c r="XDX441"/>
      <c r="XDY441"/>
      <c r="XDZ441"/>
      <c r="XEA441"/>
      <c r="XEB441"/>
      <c r="XEC441"/>
      <c r="XED441"/>
      <c r="XEE441"/>
      <c r="XEF441"/>
      <c r="XEG441"/>
      <c r="XEH441"/>
      <c r="XEI441"/>
      <c r="XEJ441"/>
      <c r="XEK441"/>
      <c r="XEL441"/>
      <c r="XEM441"/>
      <c r="XEN441"/>
      <c r="XEO441"/>
      <c r="XEP441"/>
      <c r="XEQ441"/>
      <c r="XER441"/>
      <c r="XES441"/>
      <c r="XET441"/>
      <c r="XEU441"/>
      <c r="XEV441"/>
      <c r="XEW441"/>
      <c r="XEX441"/>
      <c r="XEY441"/>
      <c r="XEZ441"/>
      <c r="XFA441"/>
      <c r="XFB441"/>
      <c r="XFC441"/>
    </row>
    <row r="442" spans="1:20 16329:16383" s="38" customFormat="1" ht="29.1" customHeight="1" outlineLevel="5" x14ac:dyDescent="0.25">
      <c r="A442" s="65" t="s">
        <v>912</v>
      </c>
      <c r="B442" s="66" t="s">
        <v>913</v>
      </c>
      <c r="C442" s="66"/>
      <c r="D442" s="98" t="s">
        <v>891</v>
      </c>
      <c r="E442" s="98"/>
      <c r="F442" s="67" t="s">
        <v>892</v>
      </c>
      <c r="G442" s="66"/>
      <c r="H442" s="68"/>
      <c r="I442" s="36"/>
      <c r="J442" s="68"/>
      <c r="K442" s="69"/>
      <c r="L442" s="69"/>
      <c r="M442" s="69"/>
      <c r="N442" s="69"/>
      <c r="O442" s="69">
        <f>SUM(O443:O445)</f>
        <v>0</v>
      </c>
      <c r="P442" s="69">
        <f>SUM(P443:P445)</f>
        <v>0</v>
      </c>
      <c r="Q442" s="69">
        <f>SUM(Q443:Q445)</f>
        <v>0</v>
      </c>
      <c r="R442" s="69">
        <f>SUM(R443:R445)</f>
        <v>0</v>
      </c>
      <c r="S442" s="69"/>
      <c r="T442" s="36"/>
      <c r="XDA442"/>
      <c r="XDB442"/>
      <c r="XDC442"/>
      <c r="XDD442"/>
      <c r="XDE442"/>
      <c r="XDF442"/>
      <c r="XDG442"/>
      <c r="XDH442"/>
      <c r="XDI442"/>
      <c r="XDJ442"/>
      <c r="XDK442"/>
      <c r="XDL442"/>
      <c r="XDM442"/>
      <c r="XDN442"/>
      <c r="XDO442"/>
      <c r="XDP442"/>
      <c r="XDQ442"/>
      <c r="XDR442"/>
      <c r="XDS442"/>
      <c r="XDT442"/>
      <c r="XDU442"/>
      <c r="XDV442"/>
      <c r="XDW442"/>
      <c r="XDX442"/>
      <c r="XDY442"/>
      <c r="XDZ442"/>
      <c r="XEA442"/>
      <c r="XEB442"/>
      <c r="XEC442"/>
      <c r="XED442"/>
      <c r="XEE442"/>
      <c r="XEF442"/>
      <c r="XEG442"/>
      <c r="XEH442"/>
      <c r="XEI442"/>
      <c r="XEJ442"/>
      <c r="XEK442"/>
      <c r="XEL442"/>
      <c r="XEM442"/>
      <c r="XEN442"/>
      <c r="XEO442"/>
      <c r="XEP442"/>
      <c r="XEQ442"/>
      <c r="XER442"/>
      <c r="XES442"/>
      <c r="XET442"/>
      <c r="XEU442"/>
      <c r="XEV442"/>
      <c r="XEW442"/>
      <c r="XEX442"/>
      <c r="XEY442"/>
      <c r="XEZ442"/>
      <c r="XFA442"/>
      <c r="XFB442"/>
      <c r="XFC442"/>
    </row>
    <row r="443" spans="1:20 16329:16383" s="38" customFormat="1" ht="29.1" customHeight="1" outlineLevel="6" x14ac:dyDescent="0.25">
      <c r="A443" s="49" t="s">
        <v>914</v>
      </c>
      <c r="B443" s="50"/>
      <c r="C443" s="50"/>
      <c r="D443" s="3" t="s">
        <v>785</v>
      </c>
      <c r="E443" s="3"/>
      <c r="F443" s="51" t="s">
        <v>894</v>
      </c>
      <c r="G443" s="50" t="s">
        <v>102</v>
      </c>
      <c r="H443" s="52">
        <f>1</f>
        <v>1</v>
      </c>
      <c r="I443" s="36"/>
      <c r="J443" s="52">
        <v>1</v>
      </c>
      <c r="K443" s="53">
        <f>0</f>
        <v>0</v>
      </c>
      <c r="L443" s="53">
        <f>0</f>
        <v>0</v>
      </c>
      <c r="M443" s="53">
        <f>0</f>
        <v>0</v>
      </c>
      <c r="N443" s="54">
        <f>SUM(K443:M443)</f>
        <v>0</v>
      </c>
      <c r="O443" s="54">
        <f>ROUND((H443*K443),2)</f>
        <v>0</v>
      </c>
      <c r="P443" s="54">
        <f>ROUND((H443*L443),2)</f>
        <v>0</v>
      </c>
      <c r="Q443" s="54">
        <f>ROUND((H443*M443),2)</f>
        <v>0</v>
      </c>
      <c r="R443" s="54">
        <f>ROUND((H443*N443),2)</f>
        <v>0</v>
      </c>
      <c r="S443" s="54"/>
      <c r="T443" s="36"/>
      <c r="XDA443"/>
      <c r="XDB443"/>
      <c r="XDC443"/>
      <c r="XDD443"/>
      <c r="XDE443"/>
      <c r="XDF443"/>
      <c r="XDG443"/>
      <c r="XDH443"/>
      <c r="XDI443"/>
      <c r="XDJ443"/>
      <c r="XDK443"/>
      <c r="XDL443"/>
      <c r="XDM443"/>
      <c r="XDN443"/>
      <c r="XDO443"/>
      <c r="XDP443"/>
      <c r="XDQ443"/>
      <c r="XDR443"/>
      <c r="XDS443"/>
      <c r="XDT443"/>
      <c r="XDU443"/>
      <c r="XDV443"/>
      <c r="XDW443"/>
      <c r="XDX443"/>
      <c r="XDY443"/>
      <c r="XDZ443"/>
      <c r="XEA443"/>
      <c r="XEB443"/>
      <c r="XEC443"/>
      <c r="XED443"/>
      <c r="XEE443"/>
      <c r="XEF443"/>
      <c r="XEG443"/>
      <c r="XEH443"/>
      <c r="XEI443"/>
      <c r="XEJ443"/>
      <c r="XEK443"/>
      <c r="XEL443"/>
      <c r="XEM443"/>
      <c r="XEN443"/>
      <c r="XEO443"/>
      <c r="XEP443"/>
      <c r="XEQ443"/>
      <c r="XER443"/>
      <c r="XES443"/>
      <c r="XET443"/>
      <c r="XEU443"/>
      <c r="XEV443"/>
      <c r="XEW443"/>
      <c r="XEX443"/>
      <c r="XEY443"/>
      <c r="XEZ443"/>
      <c r="XFA443"/>
      <c r="XFB443"/>
      <c r="XFC443"/>
    </row>
    <row r="444" spans="1:20 16329:16383" s="38" customFormat="1" ht="29.1" customHeight="1" outlineLevel="6" x14ac:dyDescent="0.25">
      <c r="A444" s="49" t="s">
        <v>915</v>
      </c>
      <c r="B444" s="50"/>
      <c r="C444" s="50"/>
      <c r="D444" s="3" t="s">
        <v>787</v>
      </c>
      <c r="E444" s="3"/>
      <c r="F444" s="51" t="s">
        <v>894</v>
      </c>
      <c r="G444" s="50" t="s">
        <v>102</v>
      </c>
      <c r="H444" s="52">
        <f>1</f>
        <v>1</v>
      </c>
      <c r="I444" s="36"/>
      <c r="J444" s="52">
        <v>1</v>
      </c>
      <c r="K444" s="53">
        <f>0</f>
        <v>0</v>
      </c>
      <c r="L444" s="53">
        <f>0</f>
        <v>0</v>
      </c>
      <c r="M444" s="53">
        <f>0</f>
        <v>0</v>
      </c>
      <c r="N444" s="54">
        <f>SUM(K444:M444)</f>
        <v>0</v>
      </c>
      <c r="O444" s="54">
        <f>ROUND((H444*K444),2)</f>
        <v>0</v>
      </c>
      <c r="P444" s="54">
        <f>ROUND((H444*L444),2)</f>
        <v>0</v>
      </c>
      <c r="Q444" s="54">
        <f>ROUND((H444*M444),2)</f>
        <v>0</v>
      </c>
      <c r="R444" s="54">
        <f>ROUND((H444*N444),2)</f>
        <v>0</v>
      </c>
      <c r="S444" s="54"/>
      <c r="T444" s="36"/>
      <c r="XDA444"/>
      <c r="XDB444"/>
      <c r="XDC444"/>
      <c r="XDD444"/>
      <c r="XDE444"/>
      <c r="XDF444"/>
      <c r="XDG444"/>
      <c r="XDH444"/>
      <c r="XDI444"/>
      <c r="XDJ444"/>
      <c r="XDK444"/>
      <c r="XDL444"/>
      <c r="XDM444"/>
      <c r="XDN444"/>
      <c r="XDO444"/>
      <c r="XDP444"/>
      <c r="XDQ444"/>
      <c r="XDR444"/>
      <c r="XDS444"/>
      <c r="XDT444"/>
      <c r="XDU444"/>
      <c r="XDV444"/>
      <c r="XDW444"/>
      <c r="XDX444"/>
      <c r="XDY444"/>
      <c r="XDZ444"/>
      <c r="XEA444"/>
      <c r="XEB444"/>
      <c r="XEC444"/>
      <c r="XED444"/>
      <c r="XEE444"/>
      <c r="XEF444"/>
      <c r="XEG444"/>
      <c r="XEH444"/>
      <c r="XEI444"/>
      <c r="XEJ444"/>
      <c r="XEK444"/>
      <c r="XEL444"/>
      <c r="XEM444"/>
      <c r="XEN444"/>
      <c r="XEO444"/>
      <c r="XEP444"/>
      <c r="XEQ444"/>
      <c r="XER444"/>
      <c r="XES444"/>
      <c r="XET444"/>
      <c r="XEU444"/>
      <c r="XEV444"/>
      <c r="XEW444"/>
      <c r="XEX444"/>
      <c r="XEY444"/>
      <c r="XEZ444"/>
      <c r="XFA444"/>
      <c r="XFB444"/>
      <c r="XFC444"/>
    </row>
    <row r="445" spans="1:20 16329:16383" s="38" customFormat="1" ht="29.1" customHeight="1" outlineLevel="6" x14ac:dyDescent="0.25">
      <c r="A445" s="49" t="s">
        <v>916</v>
      </c>
      <c r="B445" s="50"/>
      <c r="C445" s="50"/>
      <c r="D445" s="3" t="s">
        <v>899</v>
      </c>
      <c r="E445" s="3"/>
      <c r="F445" s="51" t="s">
        <v>894</v>
      </c>
      <c r="G445" s="50" t="s">
        <v>102</v>
      </c>
      <c r="H445" s="52">
        <f>1</f>
        <v>1</v>
      </c>
      <c r="I445" s="36"/>
      <c r="J445" s="52">
        <v>1</v>
      </c>
      <c r="K445" s="53">
        <f>0</f>
        <v>0</v>
      </c>
      <c r="L445" s="53">
        <f>0</f>
        <v>0</v>
      </c>
      <c r="M445" s="53">
        <f>0</f>
        <v>0</v>
      </c>
      <c r="N445" s="54">
        <f>SUM(K445:M445)</f>
        <v>0</v>
      </c>
      <c r="O445" s="54">
        <f>ROUND((H445*K445),2)</f>
        <v>0</v>
      </c>
      <c r="P445" s="54">
        <f>ROUND((H445*L445),2)</f>
        <v>0</v>
      </c>
      <c r="Q445" s="54">
        <f>ROUND((H445*M445),2)</f>
        <v>0</v>
      </c>
      <c r="R445" s="54">
        <f>ROUND((H445*N445),2)</f>
        <v>0</v>
      </c>
      <c r="S445" s="54"/>
      <c r="T445" s="36"/>
      <c r="XDA445"/>
      <c r="XDB445"/>
      <c r="XDC445"/>
      <c r="XDD445"/>
      <c r="XDE445"/>
      <c r="XDF445"/>
      <c r="XDG445"/>
      <c r="XDH445"/>
      <c r="XDI445"/>
      <c r="XDJ445"/>
      <c r="XDK445"/>
      <c r="XDL445"/>
      <c r="XDM445"/>
      <c r="XDN445"/>
      <c r="XDO445"/>
      <c r="XDP445"/>
      <c r="XDQ445"/>
      <c r="XDR445"/>
      <c r="XDS445"/>
      <c r="XDT445"/>
      <c r="XDU445"/>
      <c r="XDV445"/>
      <c r="XDW445"/>
      <c r="XDX445"/>
      <c r="XDY445"/>
      <c r="XDZ445"/>
      <c r="XEA445"/>
      <c r="XEB445"/>
      <c r="XEC445"/>
      <c r="XED445"/>
      <c r="XEE445"/>
      <c r="XEF445"/>
      <c r="XEG445"/>
      <c r="XEH445"/>
      <c r="XEI445"/>
      <c r="XEJ445"/>
      <c r="XEK445"/>
      <c r="XEL445"/>
      <c r="XEM445"/>
      <c r="XEN445"/>
      <c r="XEO445"/>
      <c r="XEP445"/>
      <c r="XEQ445"/>
      <c r="XER445"/>
      <c r="XES445"/>
      <c r="XET445"/>
      <c r="XEU445"/>
      <c r="XEV445"/>
      <c r="XEW445"/>
      <c r="XEX445"/>
      <c r="XEY445"/>
      <c r="XEZ445"/>
      <c r="XFA445"/>
      <c r="XFB445"/>
      <c r="XFC445"/>
    </row>
    <row r="446" spans="1:20 16329:16383" s="38" customFormat="1" ht="29.1" customHeight="1" outlineLevel="4" x14ac:dyDescent="0.25">
      <c r="A446" s="60" t="s">
        <v>917</v>
      </c>
      <c r="B446" s="61" t="s">
        <v>918</v>
      </c>
      <c r="C446" s="61"/>
      <c r="D446" s="1" t="s">
        <v>919</v>
      </c>
      <c r="E446" s="1"/>
      <c r="F446" s="62"/>
      <c r="G446" s="61"/>
      <c r="H446" s="63"/>
      <c r="I446" s="36"/>
      <c r="J446" s="63"/>
      <c r="K446" s="64"/>
      <c r="L446" s="64"/>
      <c r="M446" s="64"/>
      <c r="N446" s="64"/>
      <c r="O446" s="64">
        <f>O447+O450+O454+O458+O460+O462</f>
        <v>0</v>
      </c>
      <c r="P446" s="64">
        <f>P447+P450+P454+P458+P460+P462</f>
        <v>0</v>
      </c>
      <c r="Q446" s="64">
        <f>Q447+Q450+Q454+Q458+Q460+Q462</f>
        <v>0</v>
      </c>
      <c r="R446" s="64">
        <f>R447+R450+R454+R458+R460+R462</f>
        <v>0</v>
      </c>
      <c r="S446" s="64"/>
      <c r="T446" s="36"/>
      <c r="XDA446"/>
      <c r="XDB446"/>
      <c r="XDC446"/>
      <c r="XDD446"/>
      <c r="XDE446"/>
      <c r="XDF446"/>
      <c r="XDG446"/>
      <c r="XDH446"/>
      <c r="XDI446"/>
      <c r="XDJ446"/>
      <c r="XDK446"/>
      <c r="XDL446"/>
      <c r="XDM446"/>
      <c r="XDN446"/>
      <c r="XDO446"/>
      <c r="XDP446"/>
      <c r="XDQ446"/>
      <c r="XDR446"/>
      <c r="XDS446"/>
      <c r="XDT446"/>
      <c r="XDU446"/>
      <c r="XDV446"/>
      <c r="XDW446"/>
      <c r="XDX446"/>
      <c r="XDY446"/>
      <c r="XDZ446"/>
      <c r="XEA446"/>
      <c r="XEB446"/>
      <c r="XEC446"/>
      <c r="XED446"/>
      <c r="XEE446"/>
      <c r="XEF446"/>
      <c r="XEG446"/>
      <c r="XEH446"/>
      <c r="XEI446"/>
      <c r="XEJ446"/>
      <c r="XEK446"/>
      <c r="XEL446"/>
      <c r="XEM446"/>
      <c r="XEN446"/>
      <c r="XEO446"/>
      <c r="XEP446"/>
      <c r="XEQ446"/>
      <c r="XER446"/>
      <c r="XES446"/>
      <c r="XET446"/>
      <c r="XEU446"/>
      <c r="XEV446"/>
      <c r="XEW446"/>
      <c r="XEX446"/>
      <c r="XEY446"/>
      <c r="XEZ446"/>
      <c r="XFA446"/>
      <c r="XFB446"/>
      <c r="XFC446"/>
    </row>
    <row r="447" spans="1:20 16329:16383" s="38" customFormat="1" ht="29.1" customHeight="1" outlineLevel="5" x14ac:dyDescent="0.25">
      <c r="A447" s="65" t="s">
        <v>920</v>
      </c>
      <c r="B447" s="66" t="s">
        <v>921</v>
      </c>
      <c r="C447" s="66"/>
      <c r="D447" s="98" t="s">
        <v>905</v>
      </c>
      <c r="E447" s="98"/>
      <c r="F447" s="67" t="s">
        <v>922</v>
      </c>
      <c r="G447" s="66"/>
      <c r="H447" s="68"/>
      <c r="I447" s="36"/>
      <c r="J447" s="68"/>
      <c r="K447" s="69"/>
      <c r="L447" s="69"/>
      <c r="M447" s="69"/>
      <c r="N447" s="69"/>
      <c r="O447" s="69">
        <f>O448+O449</f>
        <v>0</v>
      </c>
      <c r="P447" s="69">
        <f>P448+P449</f>
        <v>0</v>
      </c>
      <c r="Q447" s="69">
        <f>Q448+Q449</f>
        <v>0</v>
      </c>
      <c r="R447" s="69">
        <f>R448+R449</f>
        <v>0</v>
      </c>
      <c r="S447" s="69"/>
      <c r="T447" s="36"/>
      <c r="XDA447"/>
      <c r="XDB447"/>
      <c r="XDC447"/>
      <c r="XDD447"/>
      <c r="XDE447"/>
      <c r="XDF447"/>
      <c r="XDG447"/>
      <c r="XDH447"/>
      <c r="XDI447"/>
      <c r="XDJ447"/>
      <c r="XDK447"/>
      <c r="XDL447"/>
      <c r="XDM447"/>
      <c r="XDN447"/>
      <c r="XDO447"/>
      <c r="XDP447"/>
      <c r="XDQ447"/>
      <c r="XDR447"/>
      <c r="XDS447"/>
      <c r="XDT447"/>
      <c r="XDU447"/>
      <c r="XDV447"/>
      <c r="XDW447"/>
      <c r="XDX447"/>
      <c r="XDY447"/>
      <c r="XDZ447"/>
      <c r="XEA447"/>
      <c r="XEB447"/>
      <c r="XEC447"/>
      <c r="XED447"/>
      <c r="XEE447"/>
      <c r="XEF447"/>
      <c r="XEG447"/>
      <c r="XEH447"/>
      <c r="XEI447"/>
      <c r="XEJ447"/>
      <c r="XEK447"/>
      <c r="XEL447"/>
      <c r="XEM447"/>
      <c r="XEN447"/>
      <c r="XEO447"/>
      <c r="XEP447"/>
      <c r="XEQ447"/>
      <c r="XER447"/>
      <c r="XES447"/>
      <c r="XET447"/>
      <c r="XEU447"/>
      <c r="XEV447"/>
      <c r="XEW447"/>
      <c r="XEX447"/>
      <c r="XEY447"/>
      <c r="XEZ447"/>
      <c r="XFA447"/>
      <c r="XFB447"/>
      <c r="XFC447"/>
    </row>
    <row r="448" spans="1:20 16329:16383" s="38" customFormat="1" ht="29.1" customHeight="1" outlineLevel="6" x14ac:dyDescent="0.25">
      <c r="A448" s="49" t="s">
        <v>923</v>
      </c>
      <c r="B448" s="50"/>
      <c r="C448" s="50"/>
      <c r="D448" s="3" t="s">
        <v>751</v>
      </c>
      <c r="E448" s="3"/>
      <c r="F448" s="51" t="s">
        <v>752</v>
      </c>
      <c r="G448" s="50" t="s">
        <v>102</v>
      </c>
      <c r="H448" s="52">
        <f>1</f>
        <v>1</v>
      </c>
      <c r="I448" s="36"/>
      <c r="J448" s="52">
        <v>1</v>
      </c>
      <c r="K448" s="53">
        <f>0</f>
        <v>0</v>
      </c>
      <c r="L448" s="53">
        <f>0</f>
        <v>0</v>
      </c>
      <c r="M448" s="53">
        <f>0</f>
        <v>0</v>
      </c>
      <c r="N448" s="54">
        <f>SUM(K448:M448)</f>
        <v>0</v>
      </c>
      <c r="O448" s="54">
        <f>ROUND((H448*K448),2)</f>
        <v>0</v>
      </c>
      <c r="P448" s="54">
        <f>ROUND((H448*L448),2)</f>
        <v>0</v>
      </c>
      <c r="Q448" s="54">
        <f>ROUND((H448*M448),2)</f>
        <v>0</v>
      </c>
      <c r="R448" s="54">
        <f>ROUND((H448*N448),2)</f>
        <v>0</v>
      </c>
      <c r="S448" s="54"/>
      <c r="T448" s="36"/>
      <c r="XDA448"/>
      <c r="XDB448"/>
      <c r="XDC448"/>
      <c r="XDD448"/>
      <c r="XDE448"/>
      <c r="XDF448"/>
      <c r="XDG448"/>
      <c r="XDH448"/>
      <c r="XDI448"/>
      <c r="XDJ448"/>
      <c r="XDK448"/>
      <c r="XDL448"/>
      <c r="XDM448"/>
      <c r="XDN448"/>
      <c r="XDO448"/>
      <c r="XDP448"/>
      <c r="XDQ448"/>
      <c r="XDR448"/>
      <c r="XDS448"/>
      <c r="XDT448"/>
      <c r="XDU448"/>
      <c r="XDV448"/>
      <c r="XDW448"/>
      <c r="XDX448"/>
      <c r="XDY448"/>
      <c r="XDZ448"/>
      <c r="XEA448"/>
      <c r="XEB448"/>
      <c r="XEC448"/>
      <c r="XED448"/>
      <c r="XEE448"/>
      <c r="XEF448"/>
      <c r="XEG448"/>
      <c r="XEH448"/>
      <c r="XEI448"/>
      <c r="XEJ448"/>
      <c r="XEK448"/>
      <c r="XEL448"/>
      <c r="XEM448"/>
      <c r="XEN448"/>
      <c r="XEO448"/>
      <c r="XEP448"/>
      <c r="XEQ448"/>
      <c r="XER448"/>
      <c r="XES448"/>
      <c r="XET448"/>
      <c r="XEU448"/>
      <c r="XEV448"/>
      <c r="XEW448"/>
      <c r="XEX448"/>
      <c r="XEY448"/>
      <c r="XEZ448"/>
      <c r="XFA448"/>
      <c r="XFB448"/>
      <c r="XFC448"/>
    </row>
    <row r="449" spans="1:20 16329:16383" s="38" customFormat="1" ht="29.1" customHeight="1" outlineLevel="6" x14ac:dyDescent="0.25">
      <c r="A449" s="49" t="s">
        <v>924</v>
      </c>
      <c r="B449" s="50"/>
      <c r="C449" s="50"/>
      <c r="D449" s="3" t="s">
        <v>754</v>
      </c>
      <c r="E449" s="3"/>
      <c r="F449" s="51" t="s">
        <v>752</v>
      </c>
      <c r="G449" s="50" t="s">
        <v>102</v>
      </c>
      <c r="H449" s="52">
        <f>1</f>
        <v>1</v>
      </c>
      <c r="I449" s="36"/>
      <c r="J449" s="52">
        <v>1</v>
      </c>
      <c r="K449" s="53">
        <f>0</f>
        <v>0</v>
      </c>
      <c r="L449" s="53">
        <f>0</f>
        <v>0</v>
      </c>
      <c r="M449" s="53">
        <f>0</f>
        <v>0</v>
      </c>
      <c r="N449" s="54">
        <f>SUM(K449:M449)</f>
        <v>0</v>
      </c>
      <c r="O449" s="54">
        <f>ROUND((H449*K449),2)</f>
        <v>0</v>
      </c>
      <c r="P449" s="54">
        <f>ROUND((H449*L449),2)</f>
        <v>0</v>
      </c>
      <c r="Q449" s="54">
        <f>ROUND((H449*M449),2)</f>
        <v>0</v>
      </c>
      <c r="R449" s="54">
        <f>ROUND((H449*N449),2)</f>
        <v>0</v>
      </c>
      <c r="S449" s="54"/>
      <c r="T449" s="36"/>
      <c r="XDA449"/>
      <c r="XDB449"/>
      <c r="XDC449"/>
      <c r="XDD449"/>
      <c r="XDE449"/>
      <c r="XDF449"/>
      <c r="XDG449"/>
      <c r="XDH449"/>
      <c r="XDI449"/>
      <c r="XDJ449"/>
      <c r="XDK449"/>
      <c r="XDL449"/>
      <c r="XDM449"/>
      <c r="XDN449"/>
      <c r="XDO449"/>
      <c r="XDP449"/>
      <c r="XDQ449"/>
      <c r="XDR449"/>
      <c r="XDS449"/>
      <c r="XDT449"/>
      <c r="XDU449"/>
      <c r="XDV449"/>
      <c r="XDW449"/>
      <c r="XDX449"/>
      <c r="XDY449"/>
      <c r="XDZ449"/>
      <c r="XEA449"/>
      <c r="XEB449"/>
      <c r="XEC449"/>
      <c r="XED449"/>
      <c r="XEE449"/>
      <c r="XEF449"/>
      <c r="XEG449"/>
      <c r="XEH449"/>
      <c r="XEI449"/>
      <c r="XEJ449"/>
      <c r="XEK449"/>
      <c r="XEL449"/>
      <c r="XEM449"/>
      <c r="XEN449"/>
      <c r="XEO449"/>
      <c r="XEP449"/>
      <c r="XEQ449"/>
      <c r="XER449"/>
      <c r="XES449"/>
      <c r="XET449"/>
      <c r="XEU449"/>
      <c r="XEV449"/>
      <c r="XEW449"/>
      <c r="XEX449"/>
      <c r="XEY449"/>
      <c r="XEZ449"/>
      <c r="XFA449"/>
      <c r="XFB449"/>
      <c r="XFC449"/>
    </row>
    <row r="450" spans="1:20 16329:16383" s="38" customFormat="1" ht="29.1" customHeight="1" outlineLevel="5" x14ac:dyDescent="0.25">
      <c r="A450" s="65" t="s">
        <v>925</v>
      </c>
      <c r="B450" s="66" t="s">
        <v>926</v>
      </c>
      <c r="C450" s="66"/>
      <c r="D450" s="98" t="s">
        <v>866</v>
      </c>
      <c r="E450" s="98"/>
      <c r="F450" s="67" t="s">
        <v>927</v>
      </c>
      <c r="G450" s="66"/>
      <c r="H450" s="68"/>
      <c r="I450" s="36"/>
      <c r="J450" s="68"/>
      <c r="K450" s="69"/>
      <c r="L450" s="69"/>
      <c r="M450" s="69"/>
      <c r="N450" s="69"/>
      <c r="O450" s="69">
        <f>SUM(O451:O453)</f>
        <v>0</v>
      </c>
      <c r="P450" s="69">
        <f>SUM(P451:P453)</f>
        <v>0</v>
      </c>
      <c r="Q450" s="69">
        <f>SUM(Q451:Q453)</f>
        <v>0</v>
      </c>
      <c r="R450" s="69">
        <f>SUM(R451:R453)</f>
        <v>0</v>
      </c>
      <c r="S450" s="69"/>
      <c r="T450" s="36"/>
      <c r="XDA450"/>
      <c r="XDB450"/>
      <c r="XDC450"/>
      <c r="XDD450"/>
      <c r="XDE450"/>
      <c r="XDF450"/>
      <c r="XDG450"/>
      <c r="XDH450"/>
      <c r="XDI450"/>
      <c r="XDJ450"/>
      <c r="XDK450"/>
      <c r="XDL450"/>
      <c r="XDM450"/>
      <c r="XDN450"/>
      <c r="XDO450"/>
      <c r="XDP450"/>
      <c r="XDQ450"/>
      <c r="XDR450"/>
      <c r="XDS450"/>
      <c r="XDT450"/>
      <c r="XDU450"/>
      <c r="XDV450"/>
      <c r="XDW450"/>
      <c r="XDX450"/>
      <c r="XDY450"/>
      <c r="XDZ450"/>
      <c r="XEA450"/>
      <c r="XEB450"/>
      <c r="XEC450"/>
      <c r="XED450"/>
      <c r="XEE450"/>
      <c r="XEF450"/>
      <c r="XEG450"/>
      <c r="XEH450"/>
      <c r="XEI450"/>
      <c r="XEJ450"/>
      <c r="XEK450"/>
      <c r="XEL450"/>
      <c r="XEM450"/>
      <c r="XEN450"/>
      <c r="XEO450"/>
      <c r="XEP450"/>
      <c r="XEQ450"/>
      <c r="XER450"/>
      <c r="XES450"/>
      <c r="XET450"/>
      <c r="XEU450"/>
      <c r="XEV450"/>
      <c r="XEW450"/>
      <c r="XEX450"/>
      <c r="XEY450"/>
      <c r="XEZ450"/>
      <c r="XFA450"/>
      <c r="XFB450"/>
      <c r="XFC450"/>
    </row>
    <row r="451" spans="1:20 16329:16383" s="38" customFormat="1" ht="29.1" customHeight="1" outlineLevel="6" x14ac:dyDescent="0.25">
      <c r="A451" s="49" t="s">
        <v>928</v>
      </c>
      <c r="B451" s="50"/>
      <c r="C451" s="50"/>
      <c r="D451" s="3" t="s">
        <v>751</v>
      </c>
      <c r="E451" s="3"/>
      <c r="F451" s="51" t="s">
        <v>752</v>
      </c>
      <c r="G451" s="50" t="s">
        <v>102</v>
      </c>
      <c r="H451" s="52">
        <f>1</f>
        <v>1</v>
      </c>
      <c r="I451" s="36"/>
      <c r="J451" s="52">
        <v>1</v>
      </c>
      <c r="K451" s="53">
        <f>0</f>
        <v>0</v>
      </c>
      <c r="L451" s="53">
        <f>0</f>
        <v>0</v>
      </c>
      <c r="M451" s="53">
        <f>0</f>
        <v>0</v>
      </c>
      <c r="N451" s="54">
        <f>SUM(K451:M451)</f>
        <v>0</v>
      </c>
      <c r="O451" s="54">
        <f>ROUND((H451*K451),2)</f>
        <v>0</v>
      </c>
      <c r="P451" s="54">
        <f>ROUND((H451*L451),2)</f>
        <v>0</v>
      </c>
      <c r="Q451" s="54">
        <f>ROUND((H451*M451),2)</f>
        <v>0</v>
      </c>
      <c r="R451" s="54">
        <f>ROUND((H451*N451),2)</f>
        <v>0</v>
      </c>
      <c r="S451" s="54"/>
      <c r="T451" s="36"/>
      <c r="XDA451"/>
      <c r="XDB451"/>
      <c r="XDC451"/>
      <c r="XDD451"/>
      <c r="XDE451"/>
      <c r="XDF451"/>
      <c r="XDG451"/>
      <c r="XDH451"/>
      <c r="XDI451"/>
      <c r="XDJ451"/>
      <c r="XDK451"/>
      <c r="XDL451"/>
      <c r="XDM451"/>
      <c r="XDN451"/>
      <c r="XDO451"/>
      <c r="XDP451"/>
      <c r="XDQ451"/>
      <c r="XDR451"/>
      <c r="XDS451"/>
      <c r="XDT451"/>
      <c r="XDU451"/>
      <c r="XDV451"/>
      <c r="XDW451"/>
      <c r="XDX451"/>
      <c r="XDY451"/>
      <c r="XDZ451"/>
      <c r="XEA451"/>
      <c r="XEB451"/>
      <c r="XEC451"/>
      <c r="XED451"/>
      <c r="XEE451"/>
      <c r="XEF451"/>
      <c r="XEG451"/>
      <c r="XEH451"/>
      <c r="XEI451"/>
      <c r="XEJ451"/>
      <c r="XEK451"/>
      <c r="XEL451"/>
      <c r="XEM451"/>
      <c r="XEN451"/>
      <c r="XEO451"/>
      <c r="XEP451"/>
      <c r="XEQ451"/>
      <c r="XER451"/>
      <c r="XES451"/>
      <c r="XET451"/>
      <c r="XEU451"/>
      <c r="XEV451"/>
      <c r="XEW451"/>
      <c r="XEX451"/>
      <c r="XEY451"/>
      <c r="XEZ451"/>
      <c r="XFA451"/>
      <c r="XFB451"/>
      <c r="XFC451"/>
    </row>
    <row r="452" spans="1:20 16329:16383" s="38" customFormat="1" ht="29.1" customHeight="1" outlineLevel="6" x14ac:dyDescent="0.25">
      <c r="A452" s="49" t="s">
        <v>929</v>
      </c>
      <c r="B452" s="50"/>
      <c r="C452" s="50"/>
      <c r="D452" s="3" t="s">
        <v>754</v>
      </c>
      <c r="E452" s="3"/>
      <c r="F452" s="51" t="s">
        <v>752</v>
      </c>
      <c r="G452" s="50" t="s">
        <v>102</v>
      </c>
      <c r="H452" s="52">
        <f>1</f>
        <v>1</v>
      </c>
      <c r="I452" s="36"/>
      <c r="J452" s="52">
        <v>1</v>
      </c>
      <c r="K452" s="53">
        <f>0</f>
        <v>0</v>
      </c>
      <c r="L452" s="53">
        <f>0</f>
        <v>0</v>
      </c>
      <c r="M452" s="53">
        <f>0</f>
        <v>0</v>
      </c>
      <c r="N452" s="54">
        <f>SUM(K452:M452)</f>
        <v>0</v>
      </c>
      <c r="O452" s="54">
        <f>ROUND((H452*K452),2)</f>
        <v>0</v>
      </c>
      <c r="P452" s="54">
        <f>ROUND((H452*L452),2)</f>
        <v>0</v>
      </c>
      <c r="Q452" s="54">
        <f>ROUND((H452*M452),2)</f>
        <v>0</v>
      </c>
      <c r="R452" s="54">
        <f>ROUND((H452*N452),2)</f>
        <v>0</v>
      </c>
      <c r="S452" s="54"/>
      <c r="T452" s="36"/>
      <c r="XDA452"/>
      <c r="XDB452"/>
      <c r="XDC452"/>
      <c r="XDD452"/>
      <c r="XDE452"/>
      <c r="XDF452"/>
      <c r="XDG452"/>
      <c r="XDH452"/>
      <c r="XDI452"/>
      <c r="XDJ452"/>
      <c r="XDK452"/>
      <c r="XDL452"/>
      <c r="XDM452"/>
      <c r="XDN452"/>
      <c r="XDO452"/>
      <c r="XDP452"/>
      <c r="XDQ452"/>
      <c r="XDR452"/>
      <c r="XDS452"/>
      <c r="XDT452"/>
      <c r="XDU452"/>
      <c r="XDV452"/>
      <c r="XDW452"/>
      <c r="XDX452"/>
      <c r="XDY452"/>
      <c r="XDZ452"/>
      <c r="XEA452"/>
      <c r="XEB452"/>
      <c r="XEC452"/>
      <c r="XED452"/>
      <c r="XEE452"/>
      <c r="XEF452"/>
      <c r="XEG452"/>
      <c r="XEH452"/>
      <c r="XEI452"/>
      <c r="XEJ452"/>
      <c r="XEK452"/>
      <c r="XEL452"/>
      <c r="XEM452"/>
      <c r="XEN452"/>
      <c r="XEO452"/>
      <c r="XEP452"/>
      <c r="XEQ452"/>
      <c r="XER452"/>
      <c r="XES452"/>
      <c r="XET452"/>
      <c r="XEU452"/>
      <c r="XEV452"/>
      <c r="XEW452"/>
      <c r="XEX452"/>
      <c r="XEY452"/>
      <c r="XEZ452"/>
      <c r="XFA452"/>
      <c r="XFB452"/>
      <c r="XFC452"/>
    </row>
    <row r="453" spans="1:20 16329:16383" s="38" customFormat="1" ht="29.1" customHeight="1" outlineLevel="6" x14ac:dyDescent="0.25">
      <c r="A453" s="49" t="s">
        <v>930</v>
      </c>
      <c r="B453" s="50"/>
      <c r="C453" s="50"/>
      <c r="D453" s="3" t="s">
        <v>931</v>
      </c>
      <c r="E453" s="3"/>
      <c r="F453" s="51" t="s">
        <v>752</v>
      </c>
      <c r="G453" s="50" t="s">
        <v>102</v>
      </c>
      <c r="H453" s="52">
        <f>1</f>
        <v>1</v>
      </c>
      <c r="I453" s="36"/>
      <c r="J453" s="52">
        <v>1</v>
      </c>
      <c r="K453" s="53">
        <f>0</f>
        <v>0</v>
      </c>
      <c r="L453" s="53">
        <f>0</f>
        <v>0</v>
      </c>
      <c r="M453" s="53">
        <f>0</f>
        <v>0</v>
      </c>
      <c r="N453" s="54">
        <f>SUM(K453:M453)</f>
        <v>0</v>
      </c>
      <c r="O453" s="54">
        <f>ROUND((H453*K453),2)</f>
        <v>0</v>
      </c>
      <c r="P453" s="54">
        <f>ROUND((H453*L453),2)</f>
        <v>0</v>
      </c>
      <c r="Q453" s="54">
        <f>ROUND((H453*M453),2)</f>
        <v>0</v>
      </c>
      <c r="R453" s="54">
        <f>ROUND((H453*N453),2)</f>
        <v>0</v>
      </c>
      <c r="S453" s="54"/>
      <c r="T453" s="36"/>
      <c r="XDA453"/>
      <c r="XDB453"/>
      <c r="XDC453"/>
      <c r="XDD453"/>
      <c r="XDE453"/>
      <c r="XDF453"/>
      <c r="XDG453"/>
      <c r="XDH453"/>
      <c r="XDI453"/>
      <c r="XDJ453"/>
      <c r="XDK453"/>
      <c r="XDL453"/>
      <c r="XDM453"/>
      <c r="XDN453"/>
      <c r="XDO453"/>
      <c r="XDP453"/>
      <c r="XDQ453"/>
      <c r="XDR453"/>
      <c r="XDS453"/>
      <c r="XDT453"/>
      <c r="XDU453"/>
      <c r="XDV453"/>
      <c r="XDW453"/>
      <c r="XDX453"/>
      <c r="XDY453"/>
      <c r="XDZ453"/>
      <c r="XEA453"/>
      <c r="XEB453"/>
      <c r="XEC453"/>
      <c r="XED453"/>
      <c r="XEE453"/>
      <c r="XEF453"/>
      <c r="XEG453"/>
      <c r="XEH453"/>
      <c r="XEI453"/>
      <c r="XEJ453"/>
      <c r="XEK453"/>
      <c r="XEL453"/>
      <c r="XEM453"/>
      <c r="XEN453"/>
      <c r="XEO453"/>
      <c r="XEP453"/>
      <c r="XEQ453"/>
      <c r="XER453"/>
      <c r="XES453"/>
      <c r="XET453"/>
      <c r="XEU453"/>
      <c r="XEV453"/>
      <c r="XEW453"/>
      <c r="XEX453"/>
      <c r="XEY453"/>
      <c r="XEZ453"/>
      <c r="XFA453"/>
      <c r="XFB453"/>
      <c r="XFC453"/>
    </row>
    <row r="454" spans="1:20 16329:16383" s="38" customFormat="1" ht="29.1" customHeight="1" outlineLevel="5" x14ac:dyDescent="0.25">
      <c r="A454" s="65" t="s">
        <v>932</v>
      </c>
      <c r="B454" s="66" t="s">
        <v>933</v>
      </c>
      <c r="C454" s="66"/>
      <c r="D454" s="98" t="s">
        <v>934</v>
      </c>
      <c r="E454" s="98"/>
      <c r="F454" s="67" t="s">
        <v>935</v>
      </c>
      <c r="G454" s="66"/>
      <c r="H454" s="68"/>
      <c r="I454" s="36"/>
      <c r="J454" s="68"/>
      <c r="K454" s="69"/>
      <c r="L454" s="69"/>
      <c r="M454" s="69"/>
      <c r="N454" s="69"/>
      <c r="O454" s="69">
        <f>SUM(O455:O457)</f>
        <v>0</v>
      </c>
      <c r="P454" s="69">
        <f>SUM(P455:P457)</f>
        <v>0</v>
      </c>
      <c r="Q454" s="69">
        <f>SUM(Q455:Q457)</f>
        <v>0</v>
      </c>
      <c r="R454" s="69">
        <f>SUM(R455:R457)</f>
        <v>0</v>
      </c>
      <c r="S454" s="69"/>
      <c r="T454" s="36"/>
      <c r="XDA454"/>
      <c r="XDB454"/>
      <c r="XDC454"/>
      <c r="XDD454"/>
      <c r="XDE454"/>
      <c r="XDF454"/>
      <c r="XDG454"/>
      <c r="XDH454"/>
      <c r="XDI454"/>
      <c r="XDJ454"/>
      <c r="XDK454"/>
      <c r="XDL454"/>
      <c r="XDM454"/>
      <c r="XDN454"/>
      <c r="XDO454"/>
      <c r="XDP454"/>
      <c r="XDQ454"/>
      <c r="XDR454"/>
      <c r="XDS454"/>
      <c r="XDT454"/>
      <c r="XDU454"/>
      <c r="XDV454"/>
      <c r="XDW454"/>
      <c r="XDX454"/>
      <c r="XDY454"/>
      <c r="XDZ454"/>
      <c r="XEA454"/>
      <c r="XEB454"/>
      <c r="XEC454"/>
      <c r="XED454"/>
      <c r="XEE454"/>
      <c r="XEF454"/>
      <c r="XEG454"/>
      <c r="XEH454"/>
      <c r="XEI454"/>
      <c r="XEJ454"/>
      <c r="XEK454"/>
      <c r="XEL454"/>
      <c r="XEM454"/>
      <c r="XEN454"/>
      <c r="XEO454"/>
      <c r="XEP454"/>
      <c r="XEQ454"/>
      <c r="XER454"/>
      <c r="XES454"/>
      <c r="XET454"/>
      <c r="XEU454"/>
      <c r="XEV454"/>
      <c r="XEW454"/>
      <c r="XEX454"/>
      <c r="XEY454"/>
      <c r="XEZ454"/>
      <c r="XFA454"/>
      <c r="XFB454"/>
      <c r="XFC454"/>
    </row>
    <row r="455" spans="1:20 16329:16383" s="38" customFormat="1" ht="29.1" customHeight="1" outlineLevel="6" x14ac:dyDescent="0.25">
      <c r="A455" s="49" t="s">
        <v>936</v>
      </c>
      <c r="B455" s="50"/>
      <c r="C455" s="50"/>
      <c r="D455" s="3" t="s">
        <v>751</v>
      </c>
      <c r="E455" s="3"/>
      <c r="F455" s="51" t="s">
        <v>752</v>
      </c>
      <c r="G455" s="50" t="s">
        <v>102</v>
      </c>
      <c r="H455" s="52">
        <f>1</f>
        <v>1</v>
      </c>
      <c r="I455" s="36"/>
      <c r="J455" s="52">
        <v>1</v>
      </c>
      <c r="K455" s="53">
        <f>0</f>
        <v>0</v>
      </c>
      <c r="L455" s="53">
        <f>0</f>
        <v>0</v>
      </c>
      <c r="M455" s="53">
        <f>0</f>
        <v>0</v>
      </c>
      <c r="N455" s="54">
        <f>SUM(K455:M455)</f>
        <v>0</v>
      </c>
      <c r="O455" s="54">
        <f>ROUND((H455*K455),2)</f>
        <v>0</v>
      </c>
      <c r="P455" s="54">
        <f>ROUND((H455*L455),2)</f>
        <v>0</v>
      </c>
      <c r="Q455" s="54">
        <f>ROUND((H455*M455),2)</f>
        <v>0</v>
      </c>
      <c r="R455" s="54">
        <f>ROUND((H455*N455),2)</f>
        <v>0</v>
      </c>
      <c r="S455" s="54"/>
      <c r="T455" s="36"/>
      <c r="XDA455"/>
      <c r="XDB455"/>
      <c r="XDC455"/>
      <c r="XDD455"/>
      <c r="XDE455"/>
      <c r="XDF455"/>
      <c r="XDG455"/>
      <c r="XDH455"/>
      <c r="XDI455"/>
      <c r="XDJ455"/>
      <c r="XDK455"/>
      <c r="XDL455"/>
      <c r="XDM455"/>
      <c r="XDN455"/>
      <c r="XDO455"/>
      <c r="XDP455"/>
      <c r="XDQ455"/>
      <c r="XDR455"/>
      <c r="XDS455"/>
      <c r="XDT455"/>
      <c r="XDU455"/>
      <c r="XDV455"/>
      <c r="XDW455"/>
      <c r="XDX455"/>
      <c r="XDY455"/>
      <c r="XDZ455"/>
      <c r="XEA455"/>
      <c r="XEB455"/>
      <c r="XEC455"/>
      <c r="XED455"/>
      <c r="XEE455"/>
      <c r="XEF455"/>
      <c r="XEG455"/>
      <c r="XEH455"/>
      <c r="XEI455"/>
      <c r="XEJ455"/>
      <c r="XEK455"/>
      <c r="XEL455"/>
      <c r="XEM455"/>
      <c r="XEN455"/>
      <c r="XEO455"/>
      <c r="XEP455"/>
      <c r="XEQ455"/>
      <c r="XER455"/>
      <c r="XES455"/>
      <c r="XET455"/>
      <c r="XEU455"/>
      <c r="XEV455"/>
      <c r="XEW455"/>
      <c r="XEX455"/>
      <c r="XEY455"/>
      <c r="XEZ455"/>
      <c r="XFA455"/>
      <c r="XFB455"/>
      <c r="XFC455"/>
    </row>
    <row r="456" spans="1:20 16329:16383" s="38" customFormat="1" ht="29.1" customHeight="1" outlineLevel="6" x14ac:dyDescent="0.25">
      <c r="A456" s="49" t="s">
        <v>937</v>
      </c>
      <c r="B456" s="50"/>
      <c r="C456" s="50"/>
      <c r="D456" s="3" t="s">
        <v>754</v>
      </c>
      <c r="E456" s="3"/>
      <c r="F456" s="51" t="s">
        <v>752</v>
      </c>
      <c r="G456" s="50" t="s">
        <v>102</v>
      </c>
      <c r="H456" s="52">
        <f>1</f>
        <v>1</v>
      </c>
      <c r="I456" s="36"/>
      <c r="J456" s="52">
        <v>1</v>
      </c>
      <c r="K456" s="53">
        <f>0</f>
        <v>0</v>
      </c>
      <c r="L456" s="53">
        <f>0</f>
        <v>0</v>
      </c>
      <c r="M456" s="53">
        <f>0</f>
        <v>0</v>
      </c>
      <c r="N456" s="54">
        <f>SUM(K456:M456)</f>
        <v>0</v>
      </c>
      <c r="O456" s="54">
        <f>ROUND((H456*K456),2)</f>
        <v>0</v>
      </c>
      <c r="P456" s="54">
        <f>ROUND((H456*L456),2)</f>
        <v>0</v>
      </c>
      <c r="Q456" s="54">
        <f>ROUND((H456*M456),2)</f>
        <v>0</v>
      </c>
      <c r="R456" s="54">
        <f>ROUND((H456*N456),2)</f>
        <v>0</v>
      </c>
      <c r="S456" s="54"/>
      <c r="T456" s="36"/>
      <c r="XDA456"/>
      <c r="XDB456"/>
      <c r="XDC456"/>
      <c r="XDD456"/>
      <c r="XDE456"/>
      <c r="XDF456"/>
      <c r="XDG456"/>
      <c r="XDH456"/>
      <c r="XDI456"/>
      <c r="XDJ456"/>
      <c r="XDK456"/>
      <c r="XDL456"/>
      <c r="XDM456"/>
      <c r="XDN456"/>
      <c r="XDO456"/>
      <c r="XDP456"/>
      <c r="XDQ456"/>
      <c r="XDR456"/>
      <c r="XDS456"/>
      <c r="XDT456"/>
      <c r="XDU456"/>
      <c r="XDV456"/>
      <c r="XDW456"/>
      <c r="XDX456"/>
      <c r="XDY456"/>
      <c r="XDZ456"/>
      <c r="XEA456"/>
      <c r="XEB456"/>
      <c r="XEC456"/>
      <c r="XED456"/>
      <c r="XEE456"/>
      <c r="XEF456"/>
      <c r="XEG456"/>
      <c r="XEH456"/>
      <c r="XEI456"/>
      <c r="XEJ456"/>
      <c r="XEK456"/>
      <c r="XEL456"/>
      <c r="XEM456"/>
      <c r="XEN456"/>
      <c r="XEO456"/>
      <c r="XEP456"/>
      <c r="XEQ456"/>
      <c r="XER456"/>
      <c r="XES456"/>
      <c r="XET456"/>
      <c r="XEU456"/>
      <c r="XEV456"/>
      <c r="XEW456"/>
      <c r="XEX456"/>
      <c r="XEY456"/>
      <c r="XEZ456"/>
      <c r="XFA456"/>
      <c r="XFB456"/>
      <c r="XFC456"/>
    </row>
    <row r="457" spans="1:20 16329:16383" s="38" customFormat="1" ht="29.1" customHeight="1" outlineLevel="6" x14ac:dyDescent="0.25">
      <c r="A457" s="49" t="s">
        <v>938</v>
      </c>
      <c r="B457" s="50"/>
      <c r="C457" s="50"/>
      <c r="D457" s="3" t="s">
        <v>877</v>
      </c>
      <c r="E457" s="3"/>
      <c r="F457" s="51" t="s">
        <v>752</v>
      </c>
      <c r="G457" s="50" t="s">
        <v>102</v>
      </c>
      <c r="H457" s="52">
        <f>1</f>
        <v>1</v>
      </c>
      <c r="I457" s="36"/>
      <c r="J457" s="52">
        <v>1</v>
      </c>
      <c r="K457" s="53">
        <f>0</f>
        <v>0</v>
      </c>
      <c r="L457" s="53">
        <f>0</f>
        <v>0</v>
      </c>
      <c r="M457" s="53">
        <f>0</f>
        <v>0</v>
      </c>
      <c r="N457" s="54">
        <f>SUM(K457:M457)</f>
        <v>0</v>
      </c>
      <c r="O457" s="54">
        <f>ROUND((H457*K457),2)</f>
        <v>0</v>
      </c>
      <c r="P457" s="54">
        <f>ROUND((H457*L457),2)</f>
        <v>0</v>
      </c>
      <c r="Q457" s="54">
        <f>ROUND((H457*M457),2)</f>
        <v>0</v>
      </c>
      <c r="R457" s="54">
        <f>ROUND((H457*N457),2)</f>
        <v>0</v>
      </c>
      <c r="S457" s="54"/>
      <c r="T457" s="36"/>
      <c r="XDA457"/>
      <c r="XDB457"/>
      <c r="XDC457"/>
      <c r="XDD457"/>
      <c r="XDE457"/>
      <c r="XDF457"/>
      <c r="XDG457"/>
      <c r="XDH457"/>
      <c r="XDI457"/>
      <c r="XDJ457"/>
      <c r="XDK457"/>
      <c r="XDL457"/>
      <c r="XDM457"/>
      <c r="XDN457"/>
      <c r="XDO457"/>
      <c r="XDP457"/>
      <c r="XDQ457"/>
      <c r="XDR457"/>
      <c r="XDS457"/>
      <c r="XDT457"/>
      <c r="XDU457"/>
      <c r="XDV457"/>
      <c r="XDW457"/>
      <c r="XDX457"/>
      <c r="XDY457"/>
      <c r="XDZ457"/>
      <c r="XEA457"/>
      <c r="XEB457"/>
      <c r="XEC457"/>
      <c r="XED457"/>
      <c r="XEE457"/>
      <c r="XEF457"/>
      <c r="XEG457"/>
      <c r="XEH457"/>
      <c r="XEI457"/>
      <c r="XEJ457"/>
      <c r="XEK457"/>
      <c r="XEL457"/>
      <c r="XEM457"/>
      <c r="XEN457"/>
      <c r="XEO457"/>
      <c r="XEP457"/>
      <c r="XEQ457"/>
      <c r="XER457"/>
      <c r="XES457"/>
      <c r="XET457"/>
      <c r="XEU457"/>
      <c r="XEV457"/>
      <c r="XEW457"/>
      <c r="XEX457"/>
      <c r="XEY457"/>
      <c r="XEZ457"/>
      <c r="XFA457"/>
      <c r="XFB457"/>
      <c r="XFC457"/>
    </row>
    <row r="458" spans="1:20 16329:16383" s="38" customFormat="1" ht="29.1" customHeight="1" outlineLevel="5" x14ac:dyDescent="0.25">
      <c r="A458" s="65" t="s">
        <v>939</v>
      </c>
      <c r="B458" s="66" t="s">
        <v>940</v>
      </c>
      <c r="C458" s="66"/>
      <c r="D458" s="98" t="s">
        <v>770</v>
      </c>
      <c r="E458" s="98"/>
      <c r="F458" s="67" t="s">
        <v>941</v>
      </c>
      <c r="G458" s="66"/>
      <c r="H458" s="68"/>
      <c r="I458" s="36"/>
      <c r="J458" s="68"/>
      <c r="K458" s="69"/>
      <c r="L458" s="69"/>
      <c r="M458" s="69"/>
      <c r="N458" s="69"/>
      <c r="O458" s="69">
        <f>O459</f>
        <v>0</v>
      </c>
      <c r="P458" s="69">
        <f>P459</f>
        <v>0</v>
      </c>
      <c r="Q458" s="69">
        <f>Q459</f>
        <v>0</v>
      </c>
      <c r="R458" s="69">
        <f>R459</f>
        <v>0</v>
      </c>
      <c r="S458" s="69"/>
      <c r="T458" s="36"/>
      <c r="XDA458"/>
      <c r="XDB458"/>
      <c r="XDC458"/>
      <c r="XDD458"/>
      <c r="XDE458"/>
      <c r="XDF458"/>
      <c r="XDG458"/>
      <c r="XDH458"/>
      <c r="XDI458"/>
      <c r="XDJ458"/>
      <c r="XDK458"/>
      <c r="XDL458"/>
      <c r="XDM458"/>
      <c r="XDN458"/>
      <c r="XDO458"/>
      <c r="XDP458"/>
      <c r="XDQ458"/>
      <c r="XDR458"/>
      <c r="XDS458"/>
      <c r="XDT458"/>
      <c r="XDU458"/>
      <c r="XDV458"/>
      <c r="XDW458"/>
      <c r="XDX458"/>
      <c r="XDY458"/>
      <c r="XDZ458"/>
      <c r="XEA458"/>
      <c r="XEB458"/>
      <c r="XEC458"/>
      <c r="XED458"/>
      <c r="XEE458"/>
      <c r="XEF458"/>
      <c r="XEG458"/>
      <c r="XEH458"/>
      <c r="XEI458"/>
      <c r="XEJ458"/>
      <c r="XEK458"/>
      <c r="XEL458"/>
      <c r="XEM458"/>
      <c r="XEN458"/>
      <c r="XEO458"/>
      <c r="XEP458"/>
      <c r="XEQ458"/>
      <c r="XER458"/>
      <c r="XES458"/>
      <c r="XET458"/>
      <c r="XEU458"/>
      <c r="XEV458"/>
      <c r="XEW458"/>
      <c r="XEX458"/>
      <c r="XEY458"/>
      <c r="XEZ458"/>
      <c r="XFA458"/>
      <c r="XFB458"/>
      <c r="XFC458"/>
    </row>
    <row r="459" spans="1:20 16329:16383" s="38" customFormat="1" ht="29.1" customHeight="1" outlineLevel="6" x14ac:dyDescent="0.25">
      <c r="A459" s="49" t="s">
        <v>942</v>
      </c>
      <c r="B459" s="50"/>
      <c r="C459" s="50"/>
      <c r="D459" s="3" t="s">
        <v>773</v>
      </c>
      <c r="E459" s="3"/>
      <c r="F459" s="51" t="s">
        <v>752</v>
      </c>
      <c r="G459" s="50" t="s">
        <v>102</v>
      </c>
      <c r="H459" s="52">
        <f>1</f>
        <v>1</v>
      </c>
      <c r="I459" s="36"/>
      <c r="J459" s="52">
        <v>1</v>
      </c>
      <c r="K459" s="53">
        <f>0</f>
        <v>0</v>
      </c>
      <c r="L459" s="53">
        <f>0</f>
        <v>0</v>
      </c>
      <c r="M459" s="53">
        <f>0</f>
        <v>0</v>
      </c>
      <c r="N459" s="54">
        <f>SUM(K459:M459)</f>
        <v>0</v>
      </c>
      <c r="O459" s="54">
        <f>ROUND((H459*K459),2)</f>
        <v>0</v>
      </c>
      <c r="P459" s="54">
        <f>ROUND((H459*L459),2)</f>
        <v>0</v>
      </c>
      <c r="Q459" s="54">
        <f>ROUND((H459*M459),2)</f>
        <v>0</v>
      </c>
      <c r="R459" s="54">
        <f>ROUND((H459*N459),2)</f>
        <v>0</v>
      </c>
      <c r="S459" s="54"/>
      <c r="T459" s="36"/>
      <c r="XDA459"/>
      <c r="XDB459"/>
      <c r="XDC459"/>
      <c r="XDD459"/>
      <c r="XDE459"/>
      <c r="XDF459"/>
      <c r="XDG459"/>
      <c r="XDH459"/>
      <c r="XDI459"/>
      <c r="XDJ459"/>
      <c r="XDK459"/>
      <c r="XDL459"/>
      <c r="XDM459"/>
      <c r="XDN459"/>
      <c r="XDO459"/>
      <c r="XDP459"/>
      <c r="XDQ459"/>
      <c r="XDR459"/>
      <c r="XDS459"/>
      <c r="XDT459"/>
      <c r="XDU459"/>
      <c r="XDV459"/>
      <c r="XDW459"/>
      <c r="XDX459"/>
      <c r="XDY459"/>
      <c r="XDZ459"/>
      <c r="XEA459"/>
      <c r="XEB459"/>
      <c r="XEC459"/>
      <c r="XED459"/>
      <c r="XEE459"/>
      <c r="XEF459"/>
      <c r="XEG459"/>
      <c r="XEH459"/>
      <c r="XEI459"/>
      <c r="XEJ459"/>
      <c r="XEK459"/>
      <c r="XEL459"/>
      <c r="XEM459"/>
      <c r="XEN459"/>
      <c r="XEO459"/>
      <c r="XEP459"/>
      <c r="XEQ459"/>
      <c r="XER459"/>
      <c r="XES459"/>
      <c r="XET459"/>
      <c r="XEU459"/>
      <c r="XEV459"/>
      <c r="XEW459"/>
      <c r="XEX459"/>
      <c r="XEY459"/>
      <c r="XEZ459"/>
      <c r="XFA459"/>
      <c r="XFB459"/>
      <c r="XFC459"/>
    </row>
    <row r="460" spans="1:20 16329:16383" s="38" customFormat="1" ht="29.1" customHeight="1" outlineLevel="5" x14ac:dyDescent="0.25">
      <c r="A460" s="65" t="s">
        <v>943</v>
      </c>
      <c r="B460" s="66" t="s">
        <v>944</v>
      </c>
      <c r="C460" s="66"/>
      <c r="D460" s="98" t="s">
        <v>885</v>
      </c>
      <c r="E460" s="98"/>
      <c r="F460" s="67" t="s">
        <v>945</v>
      </c>
      <c r="G460" s="66"/>
      <c r="H460" s="68"/>
      <c r="I460" s="36"/>
      <c r="J460" s="68"/>
      <c r="K460" s="69"/>
      <c r="L460" s="69"/>
      <c r="M460" s="69"/>
      <c r="N460" s="69"/>
      <c r="O460" s="69">
        <f>O461</f>
        <v>0</v>
      </c>
      <c r="P460" s="69">
        <f>P461</f>
        <v>0</v>
      </c>
      <c r="Q460" s="69">
        <f>Q461</f>
        <v>0</v>
      </c>
      <c r="R460" s="69">
        <f>R461</f>
        <v>0</v>
      </c>
      <c r="S460" s="69"/>
      <c r="T460" s="36"/>
      <c r="XDA460"/>
      <c r="XDB460"/>
      <c r="XDC460"/>
      <c r="XDD460"/>
      <c r="XDE460"/>
      <c r="XDF460"/>
      <c r="XDG460"/>
      <c r="XDH460"/>
      <c r="XDI460"/>
      <c r="XDJ460"/>
      <c r="XDK460"/>
      <c r="XDL460"/>
      <c r="XDM460"/>
      <c r="XDN460"/>
      <c r="XDO460"/>
      <c r="XDP460"/>
      <c r="XDQ460"/>
      <c r="XDR460"/>
      <c r="XDS460"/>
      <c r="XDT460"/>
      <c r="XDU460"/>
      <c r="XDV460"/>
      <c r="XDW460"/>
      <c r="XDX460"/>
      <c r="XDY460"/>
      <c r="XDZ460"/>
      <c r="XEA460"/>
      <c r="XEB460"/>
      <c r="XEC460"/>
      <c r="XED460"/>
      <c r="XEE460"/>
      <c r="XEF460"/>
      <c r="XEG460"/>
      <c r="XEH460"/>
      <c r="XEI460"/>
      <c r="XEJ460"/>
      <c r="XEK460"/>
      <c r="XEL460"/>
      <c r="XEM460"/>
      <c r="XEN460"/>
      <c r="XEO460"/>
      <c r="XEP460"/>
      <c r="XEQ460"/>
      <c r="XER460"/>
      <c r="XES460"/>
      <c r="XET460"/>
      <c r="XEU460"/>
      <c r="XEV460"/>
      <c r="XEW460"/>
      <c r="XEX460"/>
      <c r="XEY460"/>
      <c r="XEZ460"/>
      <c r="XFA460"/>
      <c r="XFB460"/>
      <c r="XFC460"/>
    </row>
    <row r="461" spans="1:20 16329:16383" s="38" customFormat="1" ht="29.1" customHeight="1" outlineLevel="6" x14ac:dyDescent="0.25">
      <c r="A461" s="49" t="s">
        <v>946</v>
      </c>
      <c r="B461" s="50"/>
      <c r="C461" s="50"/>
      <c r="D461" s="3" t="s">
        <v>888</v>
      </c>
      <c r="E461" s="3"/>
      <c r="F461" s="51" t="s">
        <v>752</v>
      </c>
      <c r="G461" s="50" t="s">
        <v>102</v>
      </c>
      <c r="H461" s="52">
        <f>1</f>
        <v>1</v>
      </c>
      <c r="I461" s="36"/>
      <c r="J461" s="52">
        <v>1</v>
      </c>
      <c r="K461" s="53">
        <f>0</f>
        <v>0</v>
      </c>
      <c r="L461" s="53">
        <f>0</f>
        <v>0</v>
      </c>
      <c r="M461" s="53">
        <f>0</f>
        <v>0</v>
      </c>
      <c r="N461" s="54">
        <f>SUM(K461:M461)</f>
        <v>0</v>
      </c>
      <c r="O461" s="54">
        <f>ROUND((H461*K461),2)</f>
        <v>0</v>
      </c>
      <c r="P461" s="54">
        <f>ROUND((H461*L461),2)</f>
        <v>0</v>
      </c>
      <c r="Q461" s="54">
        <f>ROUND((H461*M461),2)</f>
        <v>0</v>
      </c>
      <c r="R461" s="54">
        <f>ROUND((H461*N461),2)</f>
        <v>0</v>
      </c>
      <c r="S461" s="54"/>
      <c r="T461" s="36"/>
      <c r="XDA461"/>
      <c r="XDB461"/>
      <c r="XDC461"/>
      <c r="XDD461"/>
      <c r="XDE461"/>
      <c r="XDF461"/>
      <c r="XDG461"/>
      <c r="XDH461"/>
      <c r="XDI461"/>
      <c r="XDJ461"/>
      <c r="XDK461"/>
      <c r="XDL461"/>
      <c r="XDM461"/>
      <c r="XDN461"/>
      <c r="XDO461"/>
      <c r="XDP461"/>
      <c r="XDQ461"/>
      <c r="XDR461"/>
      <c r="XDS461"/>
      <c r="XDT461"/>
      <c r="XDU461"/>
      <c r="XDV461"/>
      <c r="XDW461"/>
      <c r="XDX461"/>
      <c r="XDY461"/>
      <c r="XDZ461"/>
      <c r="XEA461"/>
      <c r="XEB461"/>
      <c r="XEC461"/>
      <c r="XED461"/>
      <c r="XEE461"/>
      <c r="XEF461"/>
      <c r="XEG461"/>
      <c r="XEH461"/>
      <c r="XEI461"/>
      <c r="XEJ461"/>
      <c r="XEK461"/>
      <c r="XEL461"/>
      <c r="XEM461"/>
      <c r="XEN461"/>
      <c r="XEO461"/>
      <c r="XEP461"/>
      <c r="XEQ461"/>
      <c r="XER461"/>
      <c r="XES461"/>
      <c r="XET461"/>
      <c r="XEU461"/>
      <c r="XEV461"/>
      <c r="XEW461"/>
      <c r="XEX461"/>
      <c r="XEY461"/>
      <c r="XEZ461"/>
      <c r="XFA461"/>
      <c r="XFB461"/>
      <c r="XFC461"/>
    </row>
    <row r="462" spans="1:20 16329:16383" s="38" customFormat="1" ht="29.1" customHeight="1" outlineLevel="5" x14ac:dyDescent="0.25">
      <c r="A462" s="65" t="s">
        <v>947</v>
      </c>
      <c r="B462" s="66" t="s">
        <v>948</v>
      </c>
      <c r="C462" s="66"/>
      <c r="D462" s="98" t="s">
        <v>782</v>
      </c>
      <c r="E462" s="98"/>
      <c r="F462" s="67" t="s">
        <v>949</v>
      </c>
      <c r="G462" s="66"/>
      <c r="H462" s="68"/>
      <c r="I462" s="36"/>
      <c r="J462" s="68"/>
      <c r="K462" s="69"/>
      <c r="L462" s="69"/>
      <c r="M462" s="69"/>
      <c r="N462" s="69"/>
      <c r="O462" s="69">
        <f>SUM(O463:O466)</f>
        <v>0</v>
      </c>
      <c r="P462" s="69">
        <f>SUM(P463:P466)</f>
        <v>0</v>
      </c>
      <c r="Q462" s="69">
        <f>SUM(Q463:Q466)</f>
        <v>0</v>
      </c>
      <c r="R462" s="69">
        <f>SUM(R463:R466)</f>
        <v>0</v>
      </c>
      <c r="S462" s="69"/>
      <c r="T462" s="36"/>
      <c r="XDA462"/>
      <c r="XDB462"/>
      <c r="XDC462"/>
      <c r="XDD462"/>
      <c r="XDE462"/>
      <c r="XDF462"/>
      <c r="XDG462"/>
      <c r="XDH462"/>
      <c r="XDI462"/>
      <c r="XDJ462"/>
      <c r="XDK462"/>
      <c r="XDL462"/>
      <c r="XDM462"/>
      <c r="XDN462"/>
      <c r="XDO462"/>
      <c r="XDP462"/>
      <c r="XDQ462"/>
      <c r="XDR462"/>
      <c r="XDS462"/>
      <c r="XDT462"/>
      <c r="XDU462"/>
      <c r="XDV462"/>
      <c r="XDW462"/>
      <c r="XDX462"/>
      <c r="XDY462"/>
      <c r="XDZ462"/>
      <c r="XEA462"/>
      <c r="XEB462"/>
      <c r="XEC462"/>
      <c r="XED462"/>
      <c r="XEE462"/>
      <c r="XEF462"/>
      <c r="XEG462"/>
      <c r="XEH462"/>
      <c r="XEI462"/>
      <c r="XEJ462"/>
      <c r="XEK462"/>
      <c r="XEL462"/>
      <c r="XEM462"/>
      <c r="XEN462"/>
      <c r="XEO462"/>
      <c r="XEP462"/>
      <c r="XEQ462"/>
      <c r="XER462"/>
      <c r="XES462"/>
      <c r="XET462"/>
      <c r="XEU462"/>
      <c r="XEV462"/>
      <c r="XEW462"/>
      <c r="XEX462"/>
      <c r="XEY462"/>
      <c r="XEZ462"/>
      <c r="XFA462"/>
      <c r="XFB462"/>
      <c r="XFC462"/>
    </row>
    <row r="463" spans="1:20 16329:16383" s="38" customFormat="1" ht="29.1" customHeight="1" outlineLevel="6" x14ac:dyDescent="0.25">
      <c r="A463" s="49" t="s">
        <v>950</v>
      </c>
      <c r="B463" s="50"/>
      <c r="C463" s="50"/>
      <c r="D463" s="3" t="s">
        <v>785</v>
      </c>
      <c r="E463" s="3"/>
      <c r="F463" s="51" t="s">
        <v>894</v>
      </c>
      <c r="G463" s="50" t="s">
        <v>102</v>
      </c>
      <c r="H463" s="52">
        <f>1</f>
        <v>1</v>
      </c>
      <c r="I463" s="36"/>
      <c r="J463" s="52">
        <v>1</v>
      </c>
      <c r="K463" s="53">
        <f>0</f>
        <v>0</v>
      </c>
      <c r="L463" s="53">
        <f>0</f>
        <v>0</v>
      </c>
      <c r="M463" s="53">
        <f>0</f>
        <v>0</v>
      </c>
      <c r="N463" s="54">
        <f>SUM(K463:M463)</f>
        <v>0</v>
      </c>
      <c r="O463" s="54">
        <f>ROUND((H463*K463),2)</f>
        <v>0</v>
      </c>
      <c r="P463" s="54">
        <f>ROUND((H463*L463),2)</f>
        <v>0</v>
      </c>
      <c r="Q463" s="54">
        <f>ROUND((H463*M463),2)</f>
        <v>0</v>
      </c>
      <c r="R463" s="54">
        <f>ROUND((H463*N463),2)</f>
        <v>0</v>
      </c>
      <c r="S463" s="54"/>
      <c r="T463" s="36"/>
      <c r="XDA463"/>
      <c r="XDB463"/>
      <c r="XDC463"/>
      <c r="XDD463"/>
      <c r="XDE463"/>
      <c r="XDF463"/>
      <c r="XDG463"/>
      <c r="XDH463"/>
      <c r="XDI463"/>
      <c r="XDJ463"/>
      <c r="XDK463"/>
      <c r="XDL463"/>
      <c r="XDM463"/>
      <c r="XDN463"/>
      <c r="XDO463"/>
      <c r="XDP463"/>
      <c r="XDQ463"/>
      <c r="XDR463"/>
      <c r="XDS463"/>
      <c r="XDT463"/>
      <c r="XDU463"/>
      <c r="XDV463"/>
      <c r="XDW463"/>
      <c r="XDX463"/>
      <c r="XDY463"/>
      <c r="XDZ463"/>
      <c r="XEA463"/>
      <c r="XEB463"/>
      <c r="XEC463"/>
      <c r="XED463"/>
      <c r="XEE463"/>
      <c r="XEF463"/>
      <c r="XEG463"/>
      <c r="XEH463"/>
      <c r="XEI463"/>
      <c r="XEJ463"/>
      <c r="XEK463"/>
      <c r="XEL463"/>
      <c r="XEM463"/>
      <c r="XEN463"/>
      <c r="XEO463"/>
      <c r="XEP463"/>
      <c r="XEQ463"/>
      <c r="XER463"/>
      <c r="XES463"/>
      <c r="XET463"/>
      <c r="XEU463"/>
      <c r="XEV463"/>
      <c r="XEW463"/>
      <c r="XEX463"/>
      <c r="XEY463"/>
      <c r="XEZ463"/>
      <c r="XFA463"/>
      <c r="XFB463"/>
      <c r="XFC463"/>
    </row>
    <row r="464" spans="1:20 16329:16383" s="38" customFormat="1" ht="29.1" customHeight="1" outlineLevel="6" x14ac:dyDescent="0.25">
      <c r="A464" s="49" t="s">
        <v>951</v>
      </c>
      <c r="B464" s="50"/>
      <c r="C464" s="50"/>
      <c r="D464" s="3" t="s">
        <v>787</v>
      </c>
      <c r="E464" s="3"/>
      <c r="F464" s="51" t="s">
        <v>894</v>
      </c>
      <c r="G464" s="50" t="s">
        <v>102</v>
      </c>
      <c r="H464" s="52">
        <f>1</f>
        <v>1</v>
      </c>
      <c r="I464" s="36"/>
      <c r="J464" s="52">
        <v>1</v>
      </c>
      <c r="K464" s="53">
        <f>0</f>
        <v>0</v>
      </c>
      <c r="L464" s="53">
        <f>0</f>
        <v>0</v>
      </c>
      <c r="M464" s="53">
        <f>0</f>
        <v>0</v>
      </c>
      <c r="N464" s="54">
        <f>SUM(K464:M464)</f>
        <v>0</v>
      </c>
      <c r="O464" s="54">
        <f>ROUND((H464*K464),2)</f>
        <v>0</v>
      </c>
      <c r="P464" s="54">
        <f>ROUND((H464*L464),2)</f>
        <v>0</v>
      </c>
      <c r="Q464" s="54">
        <f>ROUND((H464*M464),2)</f>
        <v>0</v>
      </c>
      <c r="R464" s="54">
        <f>ROUND((H464*N464),2)</f>
        <v>0</v>
      </c>
      <c r="S464" s="54"/>
      <c r="T464" s="36"/>
      <c r="XDA464"/>
      <c r="XDB464"/>
      <c r="XDC464"/>
      <c r="XDD464"/>
      <c r="XDE464"/>
      <c r="XDF464"/>
      <c r="XDG464"/>
      <c r="XDH464"/>
      <c r="XDI464"/>
      <c r="XDJ464"/>
      <c r="XDK464"/>
      <c r="XDL464"/>
      <c r="XDM464"/>
      <c r="XDN464"/>
      <c r="XDO464"/>
      <c r="XDP464"/>
      <c r="XDQ464"/>
      <c r="XDR464"/>
      <c r="XDS464"/>
      <c r="XDT464"/>
      <c r="XDU464"/>
      <c r="XDV464"/>
      <c r="XDW464"/>
      <c r="XDX464"/>
      <c r="XDY464"/>
      <c r="XDZ464"/>
      <c r="XEA464"/>
      <c r="XEB464"/>
      <c r="XEC464"/>
      <c r="XED464"/>
      <c r="XEE464"/>
      <c r="XEF464"/>
      <c r="XEG464"/>
      <c r="XEH464"/>
      <c r="XEI464"/>
      <c r="XEJ464"/>
      <c r="XEK464"/>
      <c r="XEL464"/>
      <c r="XEM464"/>
      <c r="XEN464"/>
      <c r="XEO464"/>
      <c r="XEP464"/>
      <c r="XEQ464"/>
      <c r="XER464"/>
      <c r="XES464"/>
      <c r="XET464"/>
      <c r="XEU464"/>
      <c r="XEV464"/>
      <c r="XEW464"/>
      <c r="XEX464"/>
      <c r="XEY464"/>
      <c r="XEZ464"/>
      <c r="XFA464"/>
      <c r="XFB464"/>
      <c r="XFC464"/>
    </row>
    <row r="465" spans="1:20 16329:16383" s="38" customFormat="1" ht="29.1" customHeight="1" outlineLevel="6" x14ac:dyDescent="0.25">
      <c r="A465" s="49" t="s">
        <v>952</v>
      </c>
      <c r="B465" s="50"/>
      <c r="C465" s="50"/>
      <c r="D465" s="3" t="s">
        <v>897</v>
      </c>
      <c r="E465" s="3"/>
      <c r="F465" s="51" t="s">
        <v>894</v>
      </c>
      <c r="G465" s="50" t="s">
        <v>102</v>
      </c>
      <c r="H465" s="52">
        <f>1</f>
        <v>1</v>
      </c>
      <c r="I465" s="36"/>
      <c r="J465" s="52">
        <v>1</v>
      </c>
      <c r="K465" s="53">
        <f>0</f>
        <v>0</v>
      </c>
      <c r="L465" s="53">
        <f>0</f>
        <v>0</v>
      </c>
      <c r="M465" s="53">
        <f>0</f>
        <v>0</v>
      </c>
      <c r="N465" s="54">
        <f>SUM(K465:M465)</f>
        <v>0</v>
      </c>
      <c r="O465" s="54">
        <f>ROUND((H465*K465),2)</f>
        <v>0</v>
      </c>
      <c r="P465" s="54">
        <f>ROUND((H465*L465),2)</f>
        <v>0</v>
      </c>
      <c r="Q465" s="54">
        <f>ROUND((H465*M465),2)</f>
        <v>0</v>
      </c>
      <c r="R465" s="54">
        <f>ROUND((H465*N465),2)</f>
        <v>0</v>
      </c>
      <c r="S465" s="54"/>
      <c r="T465" s="36"/>
      <c r="XDA465"/>
      <c r="XDB465"/>
      <c r="XDC465"/>
      <c r="XDD465"/>
      <c r="XDE465"/>
      <c r="XDF465"/>
      <c r="XDG465"/>
      <c r="XDH465"/>
      <c r="XDI465"/>
      <c r="XDJ465"/>
      <c r="XDK465"/>
      <c r="XDL465"/>
      <c r="XDM465"/>
      <c r="XDN465"/>
      <c r="XDO465"/>
      <c r="XDP465"/>
      <c r="XDQ465"/>
      <c r="XDR465"/>
      <c r="XDS465"/>
      <c r="XDT465"/>
      <c r="XDU465"/>
      <c r="XDV465"/>
      <c r="XDW465"/>
      <c r="XDX465"/>
      <c r="XDY465"/>
      <c r="XDZ465"/>
      <c r="XEA465"/>
      <c r="XEB465"/>
      <c r="XEC465"/>
      <c r="XED465"/>
      <c r="XEE465"/>
      <c r="XEF465"/>
      <c r="XEG465"/>
      <c r="XEH465"/>
      <c r="XEI465"/>
      <c r="XEJ465"/>
      <c r="XEK465"/>
      <c r="XEL465"/>
      <c r="XEM465"/>
      <c r="XEN465"/>
      <c r="XEO465"/>
      <c r="XEP465"/>
      <c r="XEQ465"/>
      <c r="XER465"/>
      <c r="XES465"/>
      <c r="XET465"/>
      <c r="XEU465"/>
      <c r="XEV465"/>
      <c r="XEW465"/>
      <c r="XEX465"/>
      <c r="XEY465"/>
      <c r="XEZ465"/>
      <c r="XFA465"/>
      <c r="XFB465"/>
      <c r="XFC465"/>
    </row>
    <row r="466" spans="1:20 16329:16383" s="38" customFormat="1" ht="29.1" customHeight="1" outlineLevel="6" x14ac:dyDescent="0.25">
      <c r="A466" s="49" t="s">
        <v>953</v>
      </c>
      <c r="B466" s="50"/>
      <c r="C466" s="50"/>
      <c r="D466" s="3" t="s">
        <v>899</v>
      </c>
      <c r="E466" s="3"/>
      <c r="F466" s="51" t="s">
        <v>894</v>
      </c>
      <c r="G466" s="50" t="s">
        <v>102</v>
      </c>
      <c r="H466" s="52">
        <f>1</f>
        <v>1</v>
      </c>
      <c r="I466" s="36"/>
      <c r="J466" s="52">
        <v>1</v>
      </c>
      <c r="K466" s="53">
        <f>0</f>
        <v>0</v>
      </c>
      <c r="L466" s="53">
        <f>0</f>
        <v>0</v>
      </c>
      <c r="M466" s="53">
        <f>0</f>
        <v>0</v>
      </c>
      <c r="N466" s="54">
        <f>SUM(K466:M466)</f>
        <v>0</v>
      </c>
      <c r="O466" s="54">
        <f>ROUND((H466*K466),2)</f>
        <v>0</v>
      </c>
      <c r="P466" s="54">
        <f>ROUND((H466*L466),2)</f>
        <v>0</v>
      </c>
      <c r="Q466" s="54">
        <f>ROUND((H466*M466),2)</f>
        <v>0</v>
      </c>
      <c r="R466" s="54">
        <f>ROUND((H466*N466),2)</f>
        <v>0</v>
      </c>
      <c r="S466" s="54"/>
      <c r="T466" s="36"/>
      <c r="XDA466"/>
      <c r="XDB466"/>
      <c r="XDC466"/>
      <c r="XDD466"/>
      <c r="XDE466"/>
      <c r="XDF466"/>
      <c r="XDG466"/>
      <c r="XDH466"/>
      <c r="XDI466"/>
      <c r="XDJ466"/>
      <c r="XDK466"/>
      <c r="XDL466"/>
      <c r="XDM466"/>
      <c r="XDN466"/>
      <c r="XDO466"/>
      <c r="XDP466"/>
      <c r="XDQ466"/>
      <c r="XDR466"/>
      <c r="XDS466"/>
      <c r="XDT466"/>
      <c r="XDU466"/>
      <c r="XDV466"/>
      <c r="XDW466"/>
      <c r="XDX466"/>
      <c r="XDY466"/>
      <c r="XDZ466"/>
      <c r="XEA466"/>
      <c r="XEB466"/>
      <c r="XEC466"/>
      <c r="XED466"/>
      <c r="XEE466"/>
      <c r="XEF466"/>
      <c r="XEG466"/>
      <c r="XEH466"/>
      <c r="XEI466"/>
      <c r="XEJ466"/>
      <c r="XEK466"/>
      <c r="XEL466"/>
      <c r="XEM466"/>
      <c r="XEN466"/>
      <c r="XEO466"/>
      <c r="XEP466"/>
      <c r="XEQ466"/>
      <c r="XER466"/>
      <c r="XES466"/>
      <c r="XET466"/>
      <c r="XEU466"/>
      <c r="XEV466"/>
      <c r="XEW466"/>
      <c r="XEX466"/>
      <c r="XEY466"/>
      <c r="XEZ466"/>
      <c r="XFA466"/>
      <c r="XFB466"/>
      <c r="XFC466"/>
    </row>
    <row r="467" spans="1:20 16329:16383" s="38" customFormat="1" ht="29.1" customHeight="1" outlineLevel="4" x14ac:dyDescent="0.25">
      <c r="A467" s="60" t="s">
        <v>954</v>
      </c>
      <c r="B467" s="61" t="s">
        <v>955</v>
      </c>
      <c r="C467" s="61"/>
      <c r="D467" s="1" t="s">
        <v>956</v>
      </c>
      <c r="E467" s="1"/>
      <c r="F467" s="62"/>
      <c r="G467" s="61"/>
      <c r="H467" s="63"/>
      <c r="I467" s="36"/>
      <c r="J467" s="63"/>
      <c r="K467" s="64"/>
      <c r="L467" s="64"/>
      <c r="M467" s="64"/>
      <c r="N467" s="64"/>
      <c r="O467" s="64">
        <f>O468+O471+O475+O479+O481+O483</f>
        <v>0</v>
      </c>
      <c r="P467" s="64">
        <f>P468+P471+P475+P479+P481+P483</f>
        <v>0</v>
      </c>
      <c r="Q467" s="64">
        <f>Q468+Q471+Q475+Q479+Q481+Q483</f>
        <v>0</v>
      </c>
      <c r="R467" s="64">
        <f>R468+R471+R475+R479+R481+R483</f>
        <v>0</v>
      </c>
      <c r="S467" s="64"/>
      <c r="T467" s="36"/>
      <c r="XDA467"/>
      <c r="XDB467"/>
      <c r="XDC467"/>
      <c r="XDD467"/>
      <c r="XDE467"/>
      <c r="XDF467"/>
      <c r="XDG467"/>
      <c r="XDH467"/>
      <c r="XDI467"/>
      <c r="XDJ467"/>
      <c r="XDK467"/>
      <c r="XDL467"/>
      <c r="XDM467"/>
      <c r="XDN467"/>
      <c r="XDO467"/>
      <c r="XDP467"/>
      <c r="XDQ467"/>
      <c r="XDR467"/>
      <c r="XDS467"/>
      <c r="XDT467"/>
      <c r="XDU467"/>
      <c r="XDV467"/>
      <c r="XDW467"/>
      <c r="XDX467"/>
      <c r="XDY467"/>
      <c r="XDZ467"/>
      <c r="XEA467"/>
      <c r="XEB467"/>
      <c r="XEC467"/>
      <c r="XED467"/>
      <c r="XEE467"/>
      <c r="XEF467"/>
      <c r="XEG467"/>
      <c r="XEH467"/>
      <c r="XEI467"/>
      <c r="XEJ467"/>
      <c r="XEK467"/>
      <c r="XEL467"/>
      <c r="XEM467"/>
      <c r="XEN467"/>
      <c r="XEO467"/>
      <c r="XEP467"/>
      <c r="XEQ467"/>
      <c r="XER467"/>
      <c r="XES467"/>
      <c r="XET467"/>
      <c r="XEU467"/>
      <c r="XEV467"/>
      <c r="XEW467"/>
      <c r="XEX467"/>
      <c r="XEY467"/>
      <c r="XEZ467"/>
      <c r="XFA467"/>
      <c r="XFB467"/>
      <c r="XFC467"/>
    </row>
    <row r="468" spans="1:20 16329:16383" s="38" customFormat="1" ht="29.1" customHeight="1" outlineLevel="5" x14ac:dyDescent="0.25">
      <c r="A468" s="65" t="s">
        <v>957</v>
      </c>
      <c r="B468" s="66" t="s">
        <v>958</v>
      </c>
      <c r="C468" s="66"/>
      <c r="D468" s="98" t="s">
        <v>959</v>
      </c>
      <c r="E468" s="98"/>
      <c r="F468" s="67" t="s">
        <v>960</v>
      </c>
      <c r="G468" s="66"/>
      <c r="H468" s="68"/>
      <c r="I468" s="36"/>
      <c r="J468" s="68"/>
      <c r="K468" s="69"/>
      <c r="L468" s="69"/>
      <c r="M468" s="69"/>
      <c r="N468" s="69"/>
      <c r="O468" s="69">
        <f>O469+O470</f>
        <v>0</v>
      </c>
      <c r="P468" s="69">
        <f>P469+P470</f>
        <v>0</v>
      </c>
      <c r="Q468" s="69">
        <f>Q469+Q470</f>
        <v>0</v>
      </c>
      <c r="R468" s="69">
        <f>R469+R470</f>
        <v>0</v>
      </c>
      <c r="S468" s="69"/>
      <c r="T468" s="36"/>
      <c r="XDA468"/>
      <c r="XDB468"/>
      <c r="XDC468"/>
      <c r="XDD468"/>
      <c r="XDE468"/>
      <c r="XDF468"/>
      <c r="XDG468"/>
      <c r="XDH468"/>
      <c r="XDI468"/>
      <c r="XDJ468"/>
      <c r="XDK468"/>
      <c r="XDL468"/>
      <c r="XDM468"/>
      <c r="XDN468"/>
      <c r="XDO468"/>
      <c r="XDP468"/>
      <c r="XDQ468"/>
      <c r="XDR468"/>
      <c r="XDS468"/>
      <c r="XDT468"/>
      <c r="XDU468"/>
      <c r="XDV468"/>
      <c r="XDW468"/>
      <c r="XDX468"/>
      <c r="XDY468"/>
      <c r="XDZ468"/>
      <c r="XEA468"/>
      <c r="XEB468"/>
      <c r="XEC468"/>
      <c r="XED468"/>
      <c r="XEE468"/>
      <c r="XEF468"/>
      <c r="XEG468"/>
      <c r="XEH468"/>
      <c r="XEI468"/>
      <c r="XEJ468"/>
      <c r="XEK468"/>
      <c r="XEL468"/>
      <c r="XEM468"/>
      <c r="XEN468"/>
      <c r="XEO468"/>
      <c r="XEP468"/>
      <c r="XEQ468"/>
      <c r="XER468"/>
      <c r="XES468"/>
      <c r="XET468"/>
      <c r="XEU468"/>
      <c r="XEV468"/>
      <c r="XEW468"/>
      <c r="XEX468"/>
      <c r="XEY468"/>
      <c r="XEZ468"/>
      <c r="XFA468"/>
      <c r="XFB468"/>
      <c r="XFC468"/>
    </row>
    <row r="469" spans="1:20 16329:16383" s="38" customFormat="1" ht="29.1" customHeight="1" outlineLevel="6" x14ac:dyDescent="0.25">
      <c r="A469" s="49" t="s">
        <v>961</v>
      </c>
      <c r="B469" s="50"/>
      <c r="C469" s="50"/>
      <c r="D469" s="3" t="s">
        <v>751</v>
      </c>
      <c r="E469" s="3"/>
      <c r="F469" s="51" t="s">
        <v>752</v>
      </c>
      <c r="G469" s="50" t="s">
        <v>102</v>
      </c>
      <c r="H469" s="52">
        <f>1</f>
        <v>1</v>
      </c>
      <c r="I469" s="36"/>
      <c r="J469" s="52">
        <v>1</v>
      </c>
      <c r="K469" s="53">
        <f>0</f>
        <v>0</v>
      </c>
      <c r="L469" s="53">
        <f>0</f>
        <v>0</v>
      </c>
      <c r="M469" s="53">
        <f>0</f>
        <v>0</v>
      </c>
      <c r="N469" s="54">
        <f>SUM(K469:M469)</f>
        <v>0</v>
      </c>
      <c r="O469" s="54">
        <f>ROUND((H469*K469),2)</f>
        <v>0</v>
      </c>
      <c r="P469" s="54">
        <f>ROUND((H469*L469),2)</f>
        <v>0</v>
      </c>
      <c r="Q469" s="54">
        <f>ROUND((H469*M469),2)</f>
        <v>0</v>
      </c>
      <c r="R469" s="54">
        <f>ROUND((H469*N469),2)</f>
        <v>0</v>
      </c>
      <c r="S469" s="54"/>
      <c r="T469" s="36"/>
      <c r="XDA469"/>
      <c r="XDB469"/>
      <c r="XDC469"/>
      <c r="XDD469"/>
      <c r="XDE469"/>
      <c r="XDF469"/>
      <c r="XDG469"/>
      <c r="XDH469"/>
      <c r="XDI469"/>
      <c r="XDJ469"/>
      <c r="XDK469"/>
      <c r="XDL469"/>
      <c r="XDM469"/>
      <c r="XDN469"/>
      <c r="XDO469"/>
      <c r="XDP469"/>
      <c r="XDQ469"/>
      <c r="XDR469"/>
      <c r="XDS469"/>
      <c r="XDT469"/>
      <c r="XDU469"/>
      <c r="XDV469"/>
      <c r="XDW469"/>
      <c r="XDX469"/>
      <c r="XDY469"/>
      <c r="XDZ469"/>
      <c r="XEA469"/>
      <c r="XEB469"/>
      <c r="XEC469"/>
      <c r="XED469"/>
      <c r="XEE469"/>
      <c r="XEF469"/>
      <c r="XEG469"/>
      <c r="XEH469"/>
      <c r="XEI469"/>
      <c r="XEJ469"/>
      <c r="XEK469"/>
      <c r="XEL469"/>
      <c r="XEM469"/>
      <c r="XEN469"/>
      <c r="XEO469"/>
      <c r="XEP469"/>
      <c r="XEQ469"/>
      <c r="XER469"/>
      <c r="XES469"/>
      <c r="XET469"/>
      <c r="XEU469"/>
      <c r="XEV469"/>
      <c r="XEW469"/>
      <c r="XEX469"/>
      <c r="XEY469"/>
      <c r="XEZ469"/>
      <c r="XFA469"/>
      <c r="XFB469"/>
      <c r="XFC469"/>
    </row>
    <row r="470" spans="1:20 16329:16383" s="38" customFormat="1" ht="29.1" customHeight="1" outlineLevel="6" x14ac:dyDescent="0.25">
      <c r="A470" s="49" t="s">
        <v>962</v>
      </c>
      <c r="B470" s="50"/>
      <c r="C470" s="50"/>
      <c r="D470" s="3" t="s">
        <v>754</v>
      </c>
      <c r="E470" s="3"/>
      <c r="F470" s="51" t="s">
        <v>752</v>
      </c>
      <c r="G470" s="50" t="s">
        <v>102</v>
      </c>
      <c r="H470" s="52">
        <f>1</f>
        <v>1</v>
      </c>
      <c r="I470" s="36"/>
      <c r="J470" s="52">
        <v>1</v>
      </c>
      <c r="K470" s="53">
        <f>0</f>
        <v>0</v>
      </c>
      <c r="L470" s="53">
        <f>0</f>
        <v>0</v>
      </c>
      <c r="M470" s="53">
        <f>0</f>
        <v>0</v>
      </c>
      <c r="N470" s="54">
        <f>SUM(K470:M470)</f>
        <v>0</v>
      </c>
      <c r="O470" s="54">
        <f>ROUND((H470*K470),2)</f>
        <v>0</v>
      </c>
      <c r="P470" s="54">
        <f>ROUND((H470*L470),2)</f>
        <v>0</v>
      </c>
      <c r="Q470" s="54">
        <f>ROUND((H470*M470),2)</f>
        <v>0</v>
      </c>
      <c r="R470" s="54">
        <f>ROUND((H470*N470),2)</f>
        <v>0</v>
      </c>
      <c r="S470" s="54"/>
      <c r="T470" s="36"/>
      <c r="XDA470"/>
      <c r="XDB470"/>
      <c r="XDC470"/>
      <c r="XDD470"/>
      <c r="XDE470"/>
      <c r="XDF470"/>
      <c r="XDG470"/>
      <c r="XDH470"/>
      <c r="XDI470"/>
      <c r="XDJ470"/>
      <c r="XDK470"/>
      <c r="XDL470"/>
      <c r="XDM470"/>
      <c r="XDN470"/>
      <c r="XDO470"/>
      <c r="XDP470"/>
      <c r="XDQ470"/>
      <c r="XDR470"/>
      <c r="XDS470"/>
      <c r="XDT470"/>
      <c r="XDU470"/>
      <c r="XDV470"/>
      <c r="XDW470"/>
      <c r="XDX470"/>
      <c r="XDY470"/>
      <c r="XDZ470"/>
      <c r="XEA470"/>
      <c r="XEB470"/>
      <c r="XEC470"/>
      <c r="XED470"/>
      <c r="XEE470"/>
      <c r="XEF470"/>
      <c r="XEG470"/>
      <c r="XEH470"/>
      <c r="XEI470"/>
      <c r="XEJ470"/>
      <c r="XEK470"/>
      <c r="XEL470"/>
      <c r="XEM470"/>
      <c r="XEN470"/>
      <c r="XEO470"/>
      <c r="XEP470"/>
      <c r="XEQ470"/>
      <c r="XER470"/>
      <c r="XES470"/>
      <c r="XET470"/>
      <c r="XEU470"/>
      <c r="XEV470"/>
      <c r="XEW470"/>
      <c r="XEX470"/>
      <c r="XEY470"/>
      <c r="XEZ470"/>
      <c r="XFA470"/>
      <c r="XFB470"/>
      <c r="XFC470"/>
    </row>
    <row r="471" spans="1:20 16329:16383" s="38" customFormat="1" ht="29.1" customHeight="1" outlineLevel="5" x14ac:dyDescent="0.25">
      <c r="A471" s="65" t="s">
        <v>963</v>
      </c>
      <c r="B471" s="66" t="s">
        <v>964</v>
      </c>
      <c r="C471" s="66"/>
      <c r="D471" s="98" t="s">
        <v>965</v>
      </c>
      <c r="E471" s="98"/>
      <c r="F471" s="67" t="s">
        <v>966</v>
      </c>
      <c r="G471" s="66"/>
      <c r="H471" s="68"/>
      <c r="I471" s="36"/>
      <c r="J471" s="68"/>
      <c r="K471" s="69"/>
      <c r="L471" s="69"/>
      <c r="M471" s="69"/>
      <c r="N471" s="69"/>
      <c r="O471" s="69">
        <f>SUM(O472:O474)</f>
        <v>0</v>
      </c>
      <c r="P471" s="69">
        <f>SUM(P472:P474)</f>
        <v>0</v>
      </c>
      <c r="Q471" s="69">
        <f>SUM(Q472:Q474)</f>
        <v>0</v>
      </c>
      <c r="R471" s="69">
        <f>SUM(R472:R474)</f>
        <v>0</v>
      </c>
      <c r="S471" s="69"/>
      <c r="T471" s="36"/>
      <c r="XDA471"/>
      <c r="XDB471"/>
      <c r="XDC471"/>
      <c r="XDD471"/>
      <c r="XDE471"/>
      <c r="XDF471"/>
      <c r="XDG471"/>
      <c r="XDH471"/>
      <c r="XDI471"/>
      <c r="XDJ471"/>
      <c r="XDK471"/>
      <c r="XDL471"/>
      <c r="XDM471"/>
      <c r="XDN471"/>
      <c r="XDO471"/>
      <c r="XDP471"/>
      <c r="XDQ471"/>
      <c r="XDR471"/>
      <c r="XDS471"/>
      <c r="XDT471"/>
      <c r="XDU471"/>
      <c r="XDV471"/>
      <c r="XDW471"/>
      <c r="XDX471"/>
      <c r="XDY471"/>
      <c r="XDZ471"/>
      <c r="XEA471"/>
      <c r="XEB471"/>
      <c r="XEC471"/>
      <c r="XED471"/>
      <c r="XEE471"/>
      <c r="XEF471"/>
      <c r="XEG471"/>
      <c r="XEH471"/>
      <c r="XEI471"/>
      <c r="XEJ471"/>
      <c r="XEK471"/>
      <c r="XEL471"/>
      <c r="XEM471"/>
      <c r="XEN471"/>
      <c r="XEO471"/>
      <c r="XEP471"/>
      <c r="XEQ471"/>
      <c r="XER471"/>
      <c r="XES471"/>
      <c r="XET471"/>
      <c r="XEU471"/>
      <c r="XEV471"/>
      <c r="XEW471"/>
      <c r="XEX471"/>
      <c r="XEY471"/>
      <c r="XEZ471"/>
      <c r="XFA471"/>
      <c r="XFB471"/>
      <c r="XFC471"/>
    </row>
    <row r="472" spans="1:20 16329:16383" s="38" customFormat="1" ht="29.1" customHeight="1" outlineLevel="6" x14ac:dyDescent="0.25">
      <c r="A472" s="49" t="s">
        <v>967</v>
      </c>
      <c r="B472" s="50"/>
      <c r="C472" s="50"/>
      <c r="D472" s="3" t="s">
        <v>751</v>
      </c>
      <c r="E472" s="3"/>
      <c r="F472" s="51" t="s">
        <v>752</v>
      </c>
      <c r="G472" s="50" t="s">
        <v>102</v>
      </c>
      <c r="H472" s="52">
        <f>1</f>
        <v>1</v>
      </c>
      <c r="I472" s="36"/>
      <c r="J472" s="52">
        <v>1</v>
      </c>
      <c r="K472" s="53">
        <f>0</f>
        <v>0</v>
      </c>
      <c r="L472" s="53">
        <f>0</f>
        <v>0</v>
      </c>
      <c r="M472" s="53">
        <f>0</f>
        <v>0</v>
      </c>
      <c r="N472" s="54">
        <f>SUM(K472:M472)</f>
        <v>0</v>
      </c>
      <c r="O472" s="54">
        <f>ROUND((H472*K472),2)</f>
        <v>0</v>
      </c>
      <c r="P472" s="54">
        <f>ROUND((H472*L472),2)</f>
        <v>0</v>
      </c>
      <c r="Q472" s="54">
        <f>ROUND((H472*M472),2)</f>
        <v>0</v>
      </c>
      <c r="R472" s="54">
        <f>ROUND((H472*N472),2)</f>
        <v>0</v>
      </c>
      <c r="S472" s="54"/>
      <c r="T472" s="36"/>
      <c r="XDA472"/>
      <c r="XDB472"/>
      <c r="XDC472"/>
      <c r="XDD472"/>
      <c r="XDE472"/>
      <c r="XDF472"/>
      <c r="XDG472"/>
      <c r="XDH472"/>
      <c r="XDI472"/>
      <c r="XDJ472"/>
      <c r="XDK472"/>
      <c r="XDL472"/>
      <c r="XDM472"/>
      <c r="XDN472"/>
      <c r="XDO472"/>
      <c r="XDP472"/>
      <c r="XDQ472"/>
      <c r="XDR472"/>
      <c r="XDS472"/>
      <c r="XDT472"/>
      <c r="XDU472"/>
      <c r="XDV472"/>
      <c r="XDW472"/>
      <c r="XDX472"/>
      <c r="XDY472"/>
      <c r="XDZ472"/>
      <c r="XEA472"/>
      <c r="XEB472"/>
      <c r="XEC472"/>
      <c r="XED472"/>
      <c r="XEE472"/>
      <c r="XEF472"/>
      <c r="XEG472"/>
      <c r="XEH472"/>
      <c r="XEI472"/>
      <c r="XEJ472"/>
      <c r="XEK472"/>
      <c r="XEL472"/>
      <c r="XEM472"/>
      <c r="XEN472"/>
      <c r="XEO472"/>
      <c r="XEP472"/>
      <c r="XEQ472"/>
      <c r="XER472"/>
      <c r="XES472"/>
      <c r="XET472"/>
      <c r="XEU472"/>
      <c r="XEV472"/>
      <c r="XEW472"/>
      <c r="XEX472"/>
      <c r="XEY472"/>
      <c r="XEZ472"/>
      <c r="XFA472"/>
      <c r="XFB472"/>
      <c r="XFC472"/>
    </row>
    <row r="473" spans="1:20 16329:16383" s="38" customFormat="1" ht="29.1" customHeight="1" outlineLevel="6" x14ac:dyDescent="0.25">
      <c r="A473" s="49" t="s">
        <v>968</v>
      </c>
      <c r="B473" s="50"/>
      <c r="C473" s="50"/>
      <c r="D473" s="3" t="s">
        <v>754</v>
      </c>
      <c r="E473" s="3"/>
      <c r="F473" s="51" t="s">
        <v>752</v>
      </c>
      <c r="G473" s="50" t="s">
        <v>102</v>
      </c>
      <c r="H473" s="52">
        <f>1</f>
        <v>1</v>
      </c>
      <c r="I473" s="36"/>
      <c r="J473" s="52">
        <v>1</v>
      </c>
      <c r="K473" s="53">
        <f>0</f>
        <v>0</v>
      </c>
      <c r="L473" s="53">
        <f>0</f>
        <v>0</v>
      </c>
      <c r="M473" s="53">
        <f>0</f>
        <v>0</v>
      </c>
      <c r="N473" s="54">
        <f>SUM(K473:M473)</f>
        <v>0</v>
      </c>
      <c r="O473" s="54">
        <f>ROUND((H473*K473),2)</f>
        <v>0</v>
      </c>
      <c r="P473" s="54">
        <f>ROUND((H473*L473),2)</f>
        <v>0</v>
      </c>
      <c r="Q473" s="54">
        <f>ROUND((H473*M473),2)</f>
        <v>0</v>
      </c>
      <c r="R473" s="54">
        <f>ROUND((H473*N473),2)</f>
        <v>0</v>
      </c>
      <c r="S473" s="54"/>
      <c r="T473" s="36"/>
      <c r="XDA473"/>
      <c r="XDB473"/>
      <c r="XDC473"/>
      <c r="XDD473"/>
      <c r="XDE473"/>
      <c r="XDF473"/>
      <c r="XDG473"/>
      <c r="XDH473"/>
      <c r="XDI473"/>
      <c r="XDJ473"/>
      <c r="XDK473"/>
      <c r="XDL473"/>
      <c r="XDM473"/>
      <c r="XDN473"/>
      <c r="XDO473"/>
      <c r="XDP473"/>
      <c r="XDQ473"/>
      <c r="XDR473"/>
      <c r="XDS473"/>
      <c r="XDT473"/>
      <c r="XDU473"/>
      <c r="XDV473"/>
      <c r="XDW473"/>
      <c r="XDX473"/>
      <c r="XDY473"/>
      <c r="XDZ473"/>
      <c r="XEA473"/>
      <c r="XEB473"/>
      <c r="XEC473"/>
      <c r="XED473"/>
      <c r="XEE473"/>
      <c r="XEF473"/>
      <c r="XEG473"/>
      <c r="XEH473"/>
      <c r="XEI473"/>
      <c r="XEJ473"/>
      <c r="XEK473"/>
      <c r="XEL473"/>
      <c r="XEM473"/>
      <c r="XEN473"/>
      <c r="XEO473"/>
      <c r="XEP473"/>
      <c r="XEQ473"/>
      <c r="XER473"/>
      <c r="XES473"/>
      <c r="XET473"/>
      <c r="XEU473"/>
      <c r="XEV473"/>
      <c r="XEW473"/>
      <c r="XEX473"/>
      <c r="XEY473"/>
      <c r="XEZ473"/>
      <c r="XFA473"/>
      <c r="XFB473"/>
      <c r="XFC473"/>
    </row>
    <row r="474" spans="1:20 16329:16383" s="38" customFormat="1" ht="29.1" customHeight="1" outlineLevel="6" x14ac:dyDescent="0.25">
      <c r="A474" s="49" t="s">
        <v>969</v>
      </c>
      <c r="B474" s="50"/>
      <c r="C474" s="50"/>
      <c r="D474" s="3" t="s">
        <v>931</v>
      </c>
      <c r="E474" s="3"/>
      <c r="F474" s="51" t="s">
        <v>752</v>
      </c>
      <c r="G474" s="50" t="s">
        <v>102</v>
      </c>
      <c r="H474" s="52">
        <f>1</f>
        <v>1</v>
      </c>
      <c r="I474" s="36"/>
      <c r="J474" s="52">
        <v>1</v>
      </c>
      <c r="K474" s="53">
        <f>0</f>
        <v>0</v>
      </c>
      <c r="L474" s="53">
        <f>0</f>
        <v>0</v>
      </c>
      <c r="M474" s="53">
        <f>0</f>
        <v>0</v>
      </c>
      <c r="N474" s="54">
        <f>SUM(K474:M474)</f>
        <v>0</v>
      </c>
      <c r="O474" s="54">
        <f>ROUND((H474*K474),2)</f>
        <v>0</v>
      </c>
      <c r="P474" s="54">
        <f>ROUND((H474*L474),2)</f>
        <v>0</v>
      </c>
      <c r="Q474" s="54">
        <f>ROUND((H474*M474),2)</f>
        <v>0</v>
      </c>
      <c r="R474" s="54">
        <f>ROUND((H474*N474),2)</f>
        <v>0</v>
      </c>
      <c r="S474" s="54"/>
      <c r="T474" s="36"/>
      <c r="XDA474"/>
      <c r="XDB474"/>
      <c r="XDC474"/>
      <c r="XDD474"/>
      <c r="XDE474"/>
      <c r="XDF474"/>
      <c r="XDG474"/>
      <c r="XDH474"/>
      <c r="XDI474"/>
      <c r="XDJ474"/>
      <c r="XDK474"/>
      <c r="XDL474"/>
      <c r="XDM474"/>
      <c r="XDN474"/>
      <c r="XDO474"/>
      <c r="XDP474"/>
      <c r="XDQ474"/>
      <c r="XDR474"/>
      <c r="XDS474"/>
      <c r="XDT474"/>
      <c r="XDU474"/>
      <c r="XDV474"/>
      <c r="XDW474"/>
      <c r="XDX474"/>
      <c r="XDY474"/>
      <c r="XDZ474"/>
      <c r="XEA474"/>
      <c r="XEB474"/>
      <c r="XEC474"/>
      <c r="XED474"/>
      <c r="XEE474"/>
      <c r="XEF474"/>
      <c r="XEG474"/>
      <c r="XEH474"/>
      <c r="XEI474"/>
      <c r="XEJ474"/>
      <c r="XEK474"/>
      <c r="XEL474"/>
      <c r="XEM474"/>
      <c r="XEN474"/>
      <c r="XEO474"/>
      <c r="XEP474"/>
      <c r="XEQ474"/>
      <c r="XER474"/>
      <c r="XES474"/>
      <c r="XET474"/>
      <c r="XEU474"/>
      <c r="XEV474"/>
      <c r="XEW474"/>
      <c r="XEX474"/>
      <c r="XEY474"/>
      <c r="XEZ474"/>
      <c r="XFA474"/>
      <c r="XFB474"/>
      <c r="XFC474"/>
    </row>
    <row r="475" spans="1:20 16329:16383" s="38" customFormat="1" ht="29.1" customHeight="1" outlineLevel="5" x14ac:dyDescent="0.25">
      <c r="A475" s="65" t="s">
        <v>970</v>
      </c>
      <c r="B475" s="66" t="s">
        <v>971</v>
      </c>
      <c r="C475" s="66"/>
      <c r="D475" s="98" t="s">
        <v>872</v>
      </c>
      <c r="E475" s="98"/>
      <c r="F475" s="67" t="s">
        <v>972</v>
      </c>
      <c r="G475" s="66"/>
      <c r="H475" s="68"/>
      <c r="I475" s="36"/>
      <c r="J475" s="68"/>
      <c r="K475" s="69"/>
      <c r="L475" s="69"/>
      <c r="M475" s="69"/>
      <c r="N475" s="69"/>
      <c r="O475" s="69">
        <f>SUM(O476:O478)</f>
        <v>0</v>
      </c>
      <c r="P475" s="69">
        <f>SUM(P476:P478)</f>
        <v>0</v>
      </c>
      <c r="Q475" s="69">
        <f>SUM(Q476:Q478)</f>
        <v>0</v>
      </c>
      <c r="R475" s="69">
        <f>SUM(R476:R478)</f>
        <v>0</v>
      </c>
      <c r="S475" s="69"/>
      <c r="T475" s="36"/>
      <c r="XDA475"/>
      <c r="XDB475"/>
      <c r="XDC475"/>
      <c r="XDD475"/>
      <c r="XDE475"/>
      <c r="XDF475"/>
      <c r="XDG475"/>
      <c r="XDH475"/>
      <c r="XDI475"/>
      <c r="XDJ475"/>
      <c r="XDK475"/>
      <c r="XDL475"/>
      <c r="XDM475"/>
      <c r="XDN475"/>
      <c r="XDO475"/>
      <c r="XDP475"/>
      <c r="XDQ475"/>
      <c r="XDR475"/>
      <c r="XDS475"/>
      <c r="XDT475"/>
      <c r="XDU475"/>
      <c r="XDV475"/>
      <c r="XDW475"/>
      <c r="XDX475"/>
      <c r="XDY475"/>
      <c r="XDZ475"/>
      <c r="XEA475"/>
      <c r="XEB475"/>
      <c r="XEC475"/>
      <c r="XED475"/>
      <c r="XEE475"/>
      <c r="XEF475"/>
      <c r="XEG475"/>
      <c r="XEH475"/>
      <c r="XEI475"/>
      <c r="XEJ475"/>
      <c r="XEK475"/>
      <c r="XEL475"/>
      <c r="XEM475"/>
      <c r="XEN475"/>
      <c r="XEO475"/>
      <c r="XEP475"/>
      <c r="XEQ475"/>
      <c r="XER475"/>
      <c r="XES475"/>
      <c r="XET475"/>
      <c r="XEU475"/>
      <c r="XEV475"/>
      <c r="XEW475"/>
      <c r="XEX475"/>
      <c r="XEY475"/>
      <c r="XEZ475"/>
      <c r="XFA475"/>
      <c r="XFB475"/>
      <c r="XFC475"/>
    </row>
    <row r="476" spans="1:20 16329:16383" s="38" customFormat="1" ht="29.1" customHeight="1" outlineLevel="6" x14ac:dyDescent="0.25">
      <c r="A476" s="49" t="s">
        <v>973</v>
      </c>
      <c r="B476" s="50"/>
      <c r="C476" s="50"/>
      <c r="D476" s="3" t="s">
        <v>751</v>
      </c>
      <c r="E476" s="3"/>
      <c r="F476" s="51" t="s">
        <v>752</v>
      </c>
      <c r="G476" s="50" t="s">
        <v>102</v>
      </c>
      <c r="H476" s="52">
        <f>1</f>
        <v>1</v>
      </c>
      <c r="I476" s="36"/>
      <c r="J476" s="52">
        <v>1</v>
      </c>
      <c r="K476" s="53">
        <f>0</f>
        <v>0</v>
      </c>
      <c r="L476" s="53">
        <f>0</f>
        <v>0</v>
      </c>
      <c r="M476" s="53">
        <f>0</f>
        <v>0</v>
      </c>
      <c r="N476" s="54">
        <f>SUM(K476:M476)</f>
        <v>0</v>
      </c>
      <c r="O476" s="54">
        <f>ROUND((H476*K476),2)</f>
        <v>0</v>
      </c>
      <c r="P476" s="54">
        <f>ROUND((H476*L476),2)</f>
        <v>0</v>
      </c>
      <c r="Q476" s="54">
        <f>ROUND((H476*M476),2)</f>
        <v>0</v>
      </c>
      <c r="R476" s="54">
        <f>ROUND((H476*N476),2)</f>
        <v>0</v>
      </c>
      <c r="S476" s="54"/>
      <c r="T476" s="36"/>
      <c r="XDA476"/>
      <c r="XDB476"/>
      <c r="XDC476"/>
      <c r="XDD476"/>
      <c r="XDE476"/>
      <c r="XDF476"/>
      <c r="XDG476"/>
      <c r="XDH476"/>
      <c r="XDI476"/>
      <c r="XDJ476"/>
      <c r="XDK476"/>
      <c r="XDL476"/>
      <c r="XDM476"/>
      <c r="XDN476"/>
      <c r="XDO476"/>
      <c r="XDP476"/>
      <c r="XDQ476"/>
      <c r="XDR476"/>
      <c r="XDS476"/>
      <c r="XDT476"/>
      <c r="XDU476"/>
      <c r="XDV476"/>
      <c r="XDW476"/>
      <c r="XDX476"/>
      <c r="XDY476"/>
      <c r="XDZ476"/>
      <c r="XEA476"/>
      <c r="XEB476"/>
      <c r="XEC476"/>
      <c r="XED476"/>
      <c r="XEE476"/>
      <c r="XEF476"/>
      <c r="XEG476"/>
      <c r="XEH476"/>
      <c r="XEI476"/>
      <c r="XEJ476"/>
      <c r="XEK476"/>
      <c r="XEL476"/>
      <c r="XEM476"/>
      <c r="XEN476"/>
      <c r="XEO476"/>
      <c r="XEP476"/>
      <c r="XEQ476"/>
      <c r="XER476"/>
      <c r="XES476"/>
      <c r="XET476"/>
      <c r="XEU476"/>
      <c r="XEV476"/>
      <c r="XEW476"/>
      <c r="XEX476"/>
      <c r="XEY476"/>
      <c r="XEZ476"/>
      <c r="XFA476"/>
      <c r="XFB476"/>
      <c r="XFC476"/>
    </row>
    <row r="477" spans="1:20 16329:16383" s="38" customFormat="1" ht="29.1" customHeight="1" outlineLevel="6" x14ac:dyDescent="0.25">
      <c r="A477" s="49" t="s">
        <v>974</v>
      </c>
      <c r="B477" s="50"/>
      <c r="C477" s="50"/>
      <c r="D477" s="3" t="s">
        <v>754</v>
      </c>
      <c r="E477" s="3"/>
      <c r="F477" s="51" t="s">
        <v>752</v>
      </c>
      <c r="G477" s="50" t="s">
        <v>102</v>
      </c>
      <c r="H477" s="52">
        <f>1</f>
        <v>1</v>
      </c>
      <c r="I477" s="36"/>
      <c r="J477" s="52">
        <v>1</v>
      </c>
      <c r="K477" s="53">
        <f>0</f>
        <v>0</v>
      </c>
      <c r="L477" s="53">
        <f>0</f>
        <v>0</v>
      </c>
      <c r="M477" s="53">
        <f>0</f>
        <v>0</v>
      </c>
      <c r="N477" s="54">
        <f>SUM(K477:M477)</f>
        <v>0</v>
      </c>
      <c r="O477" s="54">
        <f>ROUND((H477*K477),2)</f>
        <v>0</v>
      </c>
      <c r="P477" s="54">
        <f>ROUND((H477*L477),2)</f>
        <v>0</v>
      </c>
      <c r="Q477" s="54">
        <f>ROUND((H477*M477),2)</f>
        <v>0</v>
      </c>
      <c r="R477" s="54">
        <f>ROUND((H477*N477),2)</f>
        <v>0</v>
      </c>
      <c r="S477" s="54"/>
      <c r="T477" s="36"/>
      <c r="XDA477"/>
      <c r="XDB477"/>
      <c r="XDC477"/>
      <c r="XDD477"/>
      <c r="XDE477"/>
      <c r="XDF477"/>
      <c r="XDG477"/>
      <c r="XDH477"/>
      <c r="XDI477"/>
      <c r="XDJ477"/>
      <c r="XDK477"/>
      <c r="XDL477"/>
      <c r="XDM477"/>
      <c r="XDN477"/>
      <c r="XDO477"/>
      <c r="XDP477"/>
      <c r="XDQ477"/>
      <c r="XDR477"/>
      <c r="XDS477"/>
      <c r="XDT477"/>
      <c r="XDU477"/>
      <c r="XDV477"/>
      <c r="XDW477"/>
      <c r="XDX477"/>
      <c r="XDY477"/>
      <c r="XDZ477"/>
      <c r="XEA477"/>
      <c r="XEB477"/>
      <c r="XEC477"/>
      <c r="XED477"/>
      <c r="XEE477"/>
      <c r="XEF477"/>
      <c r="XEG477"/>
      <c r="XEH477"/>
      <c r="XEI477"/>
      <c r="XEJ477"/>
      <c r="XEK477"/>
      <c r="XEL477"/>
      <c r="XEM477"/>
      <c r="XEN477"/>
      <c r="XEO477"/>
      <c r="XEP477"/>
      <c r="XEQ477"/>
      <c r="XER477"/>
      <c r="XES477"/>
      <c r="XET477"/>
      <c r="XEU477"/>
      <c r="XEV477"/>
      <c r="XEW477"/>
      <c r="XEX477"/>
      <c r="XEY477"/>
      <c r="XEZ477"/>
      <c r="XFA477"/>
      <c r="XFB477"/>
      <c r="XFC477"/>
    </row>
    <row r="478" spans="1:20 16329:16383" s="38" customFormat="1" ht="29.1" customHeight="1" outlineLevel="6" x14ac:dyDescent="0.25">
      <c r="A478" s="49" t="s">
        <v>975</v>
      </c>
      <c r="B478" s="50"/>
      <c r="C478" s="50"/>
      <c r="D478" s="3" t="s">
        <v>877</v>
      </c>
      <c r="E478" s="3"/>
      <c r="F478" s="51" t="s">
        <v>752</v>
      </c>
      <c r="G478" s="50" t="s">
        <v>102</v>
      </c>
      <c r="H478" s="52">
        <f>1</f>
        <v>1</v>
      </c>
      <c r="I478" s="36"/>
      <c r="J478" s="52">
        <v>1</v>
      </c>
      <c r="K478" s="53">
        <f>0</f>
        <v>0</v>
      </c>
      <c r="L478" s="53">
        <f>0</f>
        <v>0</v>
      </c>
      <c r="M478" s="53">
        <f>0</f>
        <v>0</v>
      </c>
      <c r="N478" s="54">
        <f>SUM(K478:M478)</f>
        <v>0</v>
      </c>
      <c r="O478" s="54">
        <f>ROUND((H478*K478),2)</f>
        <v>0</v>
      </c>
      <c r="P478" s="54">
        <f>ROUND((H478*L478),2)</f>
        <v>0</v>
      </c>
      <c r="Q478" s="54">
        <f>ROUND((H478*M478),2)</f>
        <v>0</v>
      </c>
      <c r="R478" s="54">
        <f>ROUND((H478*N478),2)</f>
        <v>0</v>
      </c>
      <c r="S478" s="54"/>
      <c r="T478" s="36"/>
      <c r="XDA478"/>
      <c r="XDB478"/>
      <c r="XDC478"/>
      <c r="XDD478"/>
      <c r="XDE478"/>
      <c r="XDF478"/>
      <c r="XDG478"/>
      <c r="XDH478"/>
      <c r="XDI478"/>
      <c r="XDJ478"/>
      <c r="XDK478"/>
      <c r="XDL478"/>
      <c r="XDM478"/>
      <c r="XDN478"/>
      <c r="XDO478"/>
      <c r="XDP478"/>
      <c r="XDQ478"/>
      <c r="XDR478"/>
      <c r="XDS478"/>
      <c r="XDT478"/>
      <c r="XDU478"/>
      <c r="XDV478"/>
      <c r="XDW478"/>
      <c r="XDX478"/>
      <c r="XDY478"/>
      <c r="XDZ478"/>
      <c r="XEA478"/>
      <c r="XEB478"/>
      <c r="XEC478"/>
      <c r="XED478"/>
      <c r="XEE478"/>
      <c r="XEF478"/>
      <c r="XEG478"/>
      <c r="XEH478"/>
      <c r="XEI478"/>
      <c r="XEJ478"/>
      <c r="XEK478"/>
      <c r="XEL478"/>
      <c r="XEM478"/>
      <c r="XEN478"/>
      <c r="XEO478"/>
      <c r="XEP478"/>
      <c r="XEQ478"/>
      <c r="XER478"/>
      <c r="XES478"/>
      <c r="XET478"/>
      <c r="XEU478"/>
      <c r="XEV478"/>
      <c r="XEW478"/>
      <c r="XEX478"/>
      <c r="XEY478"/>
      <c r="XEZ478"/>
      <c r="XFA478"/>
      <c r="XFB478"/>
      <c r="XFC478"/>
    </row>
    <row r="479" spans="1:20 16329:16383" s="38" customFormat="1" ht="29.1" customHeight="1" outlineLevel="5" x14ac:dyDescent="0.25">
      <c r="A479" s="65" t="s">
        <v>976</v>
      </c>
      <c r="B479" s="66" t="s">
        <v>977</v>
      </c>
      <c r="C479" s="66"/>
      <c r="D479" s="98" t="s">
        <v>770</v>
      </c>
      <c r="E479" s="98"/>
      <c r="F479" s="67" t="s">
        <v>941</v>
      </c>
      <c r="G479" s="66"/>
      <c r="H479" s="68"/>
      <c r="I479" s="36"/>
      <c r="J479" s="68"/>
      <c r="K479" s="69"/>
      <c r="L479" s="69"/>
      <c r="M479" s="69"/>
      <c r="N479" s="69"/>
      <c r="O479" s="69">
        <f>O480</f>
        <v>0</v>
      </c>
      <c r="P479" s="69">
        <f>P480</f>
        <v>0</v>
      </c>
      <c r="Q479" s="69">
        <f>Q480</f>
        <v>0</v>
      </c>
      <c r="R479" s="69">
        <f>R480</f>
        <v>0</v>
      </c>
      <c r="S479" s="69"/>
      <c r="T479" s="36"/>
      <c r="XDA479"/>
      <c r="XDB479"/>
      <c r="XDC479"/>
      <c r="XDD479"/>
      <c r="XDE479"/>
      <c r="XDF479"/>
      <c r="XDG479"/>
      <c r="XDH479"/>
      <c r="XDI479"/>
      <c r="XDJ479"/>
      <c r="XDK479"/>
      <c r="XDL479"/>
      <c r="XDM479"/>
      <c r="XDN479"/>
      <c r="XDO479"/>
      <c r="XDP479"/>
      <c r="XDQ479"/>
      <c r="XDR479"/>
      <c r="XDS479"/>
      <c r="XDT479"/>
      <c r="XDU479"/>
      <c r="XDV479"/>
      <c r="XDW479"/>
      <c r="XDX479"/>
      <c r="XDY479"/>
      <c r="XDZ479"/>
      <c r="XEA479"/>
      <c r="XEB479"/>
      <c r="XEC479"/>
      <c r="XED479"/>
      <c r="XEE479"/>
      <c r="XEF479"/>
      <c r="XEG479"/>
      <c r="XEH479"/>
      <c r="XEI479"/>
      <c r="XEJ479"/>
      <c r="XEK479"/>
      <c r="XEL479"/>
      <c r="XEM479"/>
      <c r="XEN479"/>
      <c r="XEO479"/>
      <c r="XEP479"/>
      <c r="XEQ479"/>
      <c r="XER479"/>
      <c r="XES479"/>
      <c r="XET479"/>
      <c r="XEU479"/>
      <c r="XEV479"/>
      <c r="XEW479"/>
      <c r="XEX479"/>
      <c r="XEY479"/>
      <c r="XEZ479"/>
      <c r="XFA479"/>
      <c r="XFB479"/>
      <c r="XFC479"/>
    </row>
    <row r="480" spans="1:20 16329:16383" s="38" customFormat="1" ht="29.1" customHeight="1" outlineLevel="6" x14ac:dyDescent="0.25">
      <c r="A480" s="49" t="s">
        <v>978</v>
      </c>
      <c r="B480" s="50"/>
      <c r="C480" s="50"/>
      <c r="D480" s="3" t="s">
        <v>773</v>
      </c>
      <c r="E480" s="3"/>
      <c r="F480" s="51" t="s">
        <v>752</v>
      </c>
      <c r="G480" s="50" t="s">
        <v>102</v>
      </c>
      <c r="H480" s="52">
        <f>1</f>
        <v>1</v>
      </c>
      <c r="I480" s="36"/>
      <c r="J480" s="52">
        <v>1</v>
      </c>
      <c r="K480" s="53">
        <f>0</f>
        <v>0</v>
      </c>
      <c r="L480" s="53">
        <f>0</f>
        <v>0</v>
      </c>
      <c r="M480" s="53">
        <f>0</f>
        <v>0</v>
      </c>
      <c r="N480" s="54">
        <f>SUM(K480:M480)</f>
        <v>0</v>
      </c>
      <c r="O480" s="54">
        <f>ROUND((H480*K480),2)</f>
        <v>0</v>
      </c>
      <c r="P480" s="54">
        <f>ROUND((H480*L480),2)</f>
        <v>0</v>
      </c>
      <c r="Q480" s="54">
        <f>ROUND((H480*M480),2)</f>
        <v>0</v>
      </c>
      <c r="R480" s="54">
        <f>ROUND((H480*N480),2)</f>
        <v>0</v>
      </c>
      <c r="S480" s="54"/>
      <c r="T480" s="36"/>
      <c r="XDA480"/>
      <c r="XDB480"/>
      <c r="XDC480"/>
      <c r="XDD480"/>
      <c r="XDE480"/>
      <c r="XDF480"/>
      <c r="XDG480"/>
      <c r="XDH480"/>
      <c r="XDI480"/>
      <c r="XDJ480"/>
      <c r="XDK480"/>
      <c r="XDL480"/>
      <c r="XDM480"/>
      <c r="XDN480"/>
      <c r="XDO480"/>
      <c r="XDP480"/>
      <c r="XDQ480"/>
      <c r="XDR480"/>
      <c r="XDS480"/>
      <c r="XDT480"/>
      <c r="XDU480"/>
      <c r="XDV480"/>
      <c r="XDW480"/>
      <c r="XDX480"/>
      <c r="XDY480"/>
      <c r="XDZ480"/>
      <c r="XEA480"/>
      <c r="XEB480"/>
      <c r="XEC480"/>
      <c r="XED480"/>
      <c r="XEE480"/>
      <c r="XEF480"/>
      <c r="XEG480"/>
      <c r="XEH480"/>
      <c r="XEI480"/>
      <c r="XEJ480"/>
      <c r="XEK480"/>
      <c r="XEL480"/>
      <c r="XEM480"/>
      <c r="XEN480"/>
      <c r="XEO480"/>
      <c r="XEP480"/>
      <c r="XEQ480"/>
      <c r="XER480"/>
      <c r="XES480"/>
      <c r="XET480"/>
      <c r="XEU480"/>
      <c r="XEV480"/>
      <c r="XEW480"/>
      <c r="XEX480"/>
      <c r="XEY480"/>
      <c r="XEZ480"/>
      <c r="XFA480"/>
      <c r="XFB480"/>
      <c r="XFC480"/>
    </row>
    <row r="481" spans="1:20 16329:16383" s="38" customFormat="1" ht="29.1" customHeight="1" outlineLevel="5" x14ac:dyDescent="0.25">
      <c r="A481" s="65" t="s">
        <v>979</v>
      </c>
      <c r="B481" s="66" t="s">
        <v>980</v>
      </c>
      <c r="C481" s="66"/>
      <c r="D481" s="98" t="s">
        <v>981</v>
      </c>
      <c r="E481" s="98"/>
      <c r="F481" s="67" t="s">
        <v>982</v>
      </c>
      <c r="G481" s="66"/>
      <c r="H481" s="68"/>
      <c r="I481" s="36"/>
      <c r="J481" s="68"/>
      <c r="K481" s="69"/>
      <c r="L481" s="69"/>
      <c r="M481" s="69"/>
      <c r="N481" s="69"/>
      <c r="O481" s="69">
        <f>O482</f>
        <v>0</v>
      </c>
      <c r="P481" s="69">
        <f>P482</f>
        <v>0</v>
      </c>
      <c r="Q481" s="69">
        <f>Q482</f>
        <v>0</v>
      </c>
      <c r="R481" s="69">
        <f>R482</f>
        <v>0</v>
      </c>
      <c r="S481" s="69"/>
      <c r="T481" s="36"/>
      <c r="XDA481"/>
      <c r="XDB481"/>
      <c r="XDC481"/>
      <c r="XDD481"/>
      <c r="XDE481"/>
      <c r="XDF481"/>
      <c r="XDG481"/>
      <c r="XDH481"/>
      <c r="XDI481"/>
      <c r="XDJ481"/>
      <c r="XDK481"/>
      <c r="XDL481"/>
      <c r="XDM481"/>
      <c r="XDN481"/>
      <c r="XDO481"/>
      <c r="XDP481"/>
      <c r="XDQ481"/>
      <c r="XDR481"/>
      <c r="XDS481"/>
      <c r="XDT481"/>
      <c r="XDU481"/>
      <c r="XDV481"/>
      <c r="XDW481"/>
      <c r="XDX481"/>
      <c r="XDY481"/>
      <c r="XDZ481"/>
      <c r="XEA481"/>
      <c r="XEB481"/>
      <c r="XEC481"/>
      <c r="XED481"/>
      <c r="XEE481"/>
      <c r="XEF481"/>
      <c r="XEG481"/>
      <c r="XEH481"/>
      <c r="XEI481"/>
      <c r="XEJ481"/>
      <c r="XEK481"/>
      <c r="XEL481"/>
      <c r="XEM481"/>
      <c r="XEN481"/>
      <c r="XEO481"/>
      <c r="XEP481"/>
      <c r="XEQ481"/>
      <c r="XER481"/>
      <c r="XES481"/>
      <c r="XET481"/>
      <c r="XEU481"/>
      <c r="XEV481"/>
      <c r="XEW481"/>
      <c r="XEX481"/>
      <c r="XEY481"/>
      <c r="XEZ481"/>
      <c r="XFA481"/>
      <c r="XFB481"/>
      <c r="XFC481"/>
    </row>
    <row r="482" spans="1:20 16329:16383" s="38" customFormat="1" ht="29.1" customHeight="1" outlineLevel="6" x14ac:dyDescent="0.25">
      <c r="A482" s="49" t="s">
        <v>983</v>
      </c>
      <c r="B482" s="50"/>
      <c r="C482" s="50"/>
      <c r="D482" s="3" t="s">
        <v>888</v>
      </c>
      <c r="E482" s="3"/>
      <c r="F482" s="51" t="s">
        <v>752</v>
      </c>
      <c r="G482" s="50" t="s">
        <v>102</v>
      </c>
      <c r="H482" s="52">
        <f>1</f>
        <v>1</v>
      </c>
      <c r="I482" s="36"/>
      <c r="J482" s="52">
        <v>1</v>
      </c>
      <c r="K482" s="53">
        <f>0</f>
        <v>0</v>
      </c>
      <c r="L482" s="53">
        <f>0</f>
        <v>0</v>
      </c>
      <c r="M482" s="53">
        <f>0</f>
        <v>0</v>
      </c>
      <c r="N482" s="54">
        <f>SUM(K482:M482)</f>
        <v>0</v>
      </c>
      <c r="O482" s="54">
        <f>ROUND((H482*K482),2)</f>
        <v>0</v>
      </c>
      <c r="P482" s="54">
        <f>ROUND((H482*L482),2)</f>
        <v>0</v>
      </c>
      <c r="Q482" s="54">
        <f>ROUND((H482*M482),2)</f>
        <v>0</v>
      </c>
      <c r="R482" s="54">
        <f>ROUND((H482*N482),2)</f>
        <v>0</v>
      </c>
      <c r="S482" s="54"/>
      <c r="T482" s="36"/>
      <c r="XDA482"/>
      <c r="XDB482"/>
      <c r="XDC482"/>
      <c r="XDD482"/>
      <c r="XDE482"/>
      <c r="XDF482"/>
      <c r="XDG482"/>
      <c r="XDH482"/>
      <c r="XDI482"/>
      <c r="XDJ482"/>
      <c r="XDK482"/>
      <c r="XDL482"/>
      <c r="XDM482"/>
      <c r="XDN482"/>
      <c r="XDO482"/>
      <c r="XDP482"/>
      <c r="XDQ482"/>
      <c r="XDR482"/>
      <c r="XDS482"/>
      <c r="XDT482"/>
      <c r="XDU482"/>
      <c r="XDV482"/>
      <c r="XDW482"/>
      <c r="XDX482"/>
      <c r="XDY482"/>
      <c r="XDZ482"/>
      <c r="XEA482"/>
      <c r="XEB482"/>
      <c r="XEC482"/>
      <c r="XED482"/>
      <c r="XEE482"/>
      <c r="XEF482"/>
      <c r="XEG482"/>
      <c r="XEH482"/>
      <c r="XEI482"/>
      <c r="XEJ482"/>
      <c r="XEK482"/>
      <c r="XEL482"/>
      <c r="XEM482"/>
      <c r="XEN482"/>
      <c r="XEO482"/>
      <c r="XEP482"/>
      <c r="XEQ482"/>
      <c r="XER482"/>
      <c r="XES482"/>
      <c r="XET482"/>
      <c r="XEU482"/>
      <c r="XEV482"/>
      <c r="XEW482"/>
      <c r="XEX482"/>
      <c r="XEY482"/>
      <c r="XEZ482"/>
      <c r="XFA482"/>
      <c r="XFB482"/>
      <c r="XFC482"/>
    </row>
    <row r="483" spans="1:20 16329:16383" s="38" customFormat="1" ht="29.1" customHeight="1" outlineLevel="5" x14ac:dyDescent="0.25">
      <c r="A483" s="65" t="s">
        <v>984</v>
      </c>
      <c r="B483" s="66" t="s">
        <v>985</v>
      </c>
      <c r="C483" s="66"/>
      <c r="D483" s="98" t="s">
        <v>782</v>
      </c>
      <c r="E483" s="98"/>
      <c r="F483" s="67" t="s">
        <v>986</v>
      </c>
      <c r="G483" s="66"/>
      <c r="H483" s="68"/>
      <c r="I483" s="36"/>
      <c r="J483" s="68"/>
      <c r="K483" s="69"/>
      <c r="L483" s="69"/>
      <c r="M483" s="69"/>
      <c r="N483" s="69"/>
      <c r="O483" s="69">
        <f>SUM(O484:O487)</f>
        <v>0</v>
      </c>
      <c r="P483" s="69">
        <f>SUM(P484:P487)</f>
        <v>0</v>
      </c>
      <c r="Q483" s="69">
        <f>SUM(Q484:Q487)</f>
        <v>0</v>
      </c>
      <c r="R483" s="69">
        <f>SUM(R484:R487)</f>
        <v>0</v>
      </c>
      <c r="S483" s="69"/>
      <c r="T483" s="36"/>
      <c r="XDA483"/>
      <c r="XDB483"/>
      <c r="XDC483"/>
      <c r="XDD483"/>
      <c r="XDE483"/>
      <c r="XDF483"/>
      <c r="XDG483"/>
      <c r="XDH483"/>
      <c r="XDI483"/>
      <c r="XDJ483"/>
      <c r="XDK483"/>
      <c r="XDL483"/>
      <c r="XDM483"/>
      <c r="XDN483"/>
      <c r="XDO483"/>
      <c r="XDP483"/>
      <c r="XDQ483"/>
      <c r="XDR483"/>
      <c r="XDS483"/>
      <c r="XDT483"/>
      <c r="XDU483"/>
      <c r="XDV483"/>
      <c r="XDW483"/>
      <c r="XDX483"/>
      <c r="XDY483"/>
      <c r="XDZ483"/>
      <c r="XEA483"/>
      <c r="XEB483"/>
      <c r="XEC483"/>
      <c r="XED483"/>
      <c r="XEE483"/>
      <c r="XEF483"/>
      <c r="XEG483"/>
      <c r="XEH483"/>
      <c r="XEI483"/>
      <c r="XEJ483"/>
      <c r="XEK483"/>
      <c r="XEL483"/>
      <c r="XEM483"/>
      <c r="XEN483"/>
      <c r="XEO483"/>
      <c r="XEP483"/>
      <c r="XEQ483"/>
      <c r="XER483"/>
      <c r="XES483"/>
      <c r="XET483"/>
      <c r="XEU483"/>
      <c r="XEV483"/>
      <c r="XEW483"/>
      <c r="XEX483"/>
      <c r="XEY483"/>
      <c r="XEZ483"/>
      <c r="XFA483"/>
      <c r="XFB483"/>
      <c r="XFC483"/>
    </row>
    <row r="484" spans="1:20 16329:16383" s="38" customFormat="1" ht="29.1" customHeight="1" outlineLevel="6" x14ac:dyDescent="0.25">
      <c r="A484" s="49" t="s">
        <v>987</v>
      </c>
      <c r="B484" s="50"/>
      <c r="C484" s="50"/>
      <c r="D484" s="3" t="s">
        <v>785</v>
      </c>
      <c r="E484" s="3"/>
      <c r="F484" s="51" t="s">
        <v>894</v>
      </c>
      <c r="G484" s="50" t="s">
        <v>102</v>
      </c>
      <c r="H484" s="52">
        <f>1</f>
        <v>1</v>
      </c>
      <c r="I484" s="36"/>
      <c r="J484" s="52">
        <v>1</v>
      </c>
      <c r="K484" s="53">
        <f>0</f>
        <v>0</v>
      </c>
      <c r="L484" s="53">
        <f>0</f>
        <v>0</v>
      </c>
      <c r="M484" s="53">
        <f>0</f>
        <v>0</v>
      </c>
      <c r="N484" s="54">
        <f>SUM(K484:M484)</f>
        <v>0</v>
      </c>
      <c r="O484" s="54">
        <f>ROUND((H484*K484),2)</f>
        <v>0</v>
      </c>
      <c r="P484" s="54">
        <f>ROUND((H484*L484),2)</f>
        <v>0</v>
      </c>
      <c r="Q484" s="54">
        <f>ROUND((H484*M484),2)</f>
        <v>0</v>
      </c>
      <c r="R484" s="54">
        <f>ROUND((H484*N484),2)</f>
        <v>0</v>
      </c>
      <c r="S484" s="54"/>
      <c r="T484" s="36"/>
      <c r="XDA484"/>
      <c r="XDB484"/>
      <c r="XDC484"/>
      <c r="XDD484"/>
      <c r="XDE484"/>
      <c r="XDF484"/>
      <c r="XDG484"/>
      <c r="XDH484"/>
      <c r="XDI484"/>
      <c r="XDJ484"/>
      <c r="XDK484"/>
      <c r="XDL484"/>
      <c r="XDM484"/>
      <c r="XDN484"/>
      <c r="XDO484"/>
      <c r="XDP484"/>
      <c r="XDQ484"/>
      <c r="XDR484"/>
      <c r="XDS484"/>
      <c r="XDT484"/>
      <c r="XDU484"/>
      <c r="XDV484"/>
      <c r="XDW484"/>
      <c r="XDX484"/>
      <c r="XDY484"/>
      <c r="XDZ484"/>
      <c r="XEA484"/>
      <c r="XEB484"/>
      <c r="XEC484"/>
      <c r="XED484"/>
      <c r="XEE484"/>
      <c r="XEF484"/>
      <c r="XEG484"/>
      <c r="XEH484"/>
      <c r="XEI484"/>
      <c r="XEJ484"/>
      <c r="XEK484"/>
      <c r="XEL484"/>
      <c r="XEM484"/>
      <c r="XEN484"/>
      <c r="XEO484"/>
      <c r="XEP484"/>
      <c r="XEQ484"/>
      <c r="XER484"/>
      <c r="XES484"/>
      <c r="XET484"/>
      <c r="XEU484"/>
      <c r="XEV484"/>
      <c r="XEW484"/>
      <c r="XEX484"/>
      <c r="XEY484"/>
      <c r="XEZ484"/>
      <c r="XFA484"/>
      <c r="XFB484"/>
      <c r="XFC484"/>
    </row>
    <row r="485" spans="1:20 16329:16383" s="38" customFormat="1" ht="29.1" customHeight="1" outlineLevel="6" x14ac:dyDescent="0.25">
      <c r="A485" s="49" t="s">
        <v>988</v>
      </c>
      <c r="B485" s="50"/>
      <c r="C485" s="50"/>
      <c r="D485" s="3" t="s">
        <v>787</v>
      </c>
      <c r="E485" s="3"/>
      <c r="F485" s="51" t="s">
        <v>894</v>
      </c>
      <c r="G485" s="50" t="s">
        <v>102</v>
      </c>
      <c r="H485" s="52">
        <f>1</f>
        <v>1</v>
      </c>
      <c r="I485" s="36"/>
      <c r="J485" s="52">
        <v>1</v>
      </c>
      <c r="K485" s="53">
        <f>0</f>
        <v>0</v>
      </c>
      <c r="L485" s="53">
        <f>0</f>
        <v>0</v>
      </c>
      <c r="M485" s="53">
        <f>0</f>
        <v>0</v>
      </c>
      <c r="N485" s="54">
        <f>SUM(K485:M485)</f>
        <v>0</v>
      </c>
      <c r="O485" s="54">
        <f>ROUND((H485*K485),2)</f>
        <v>0</v>
      </c>
      <c r="P485" s="54">
        <f>ROUND((H485*L485),2)</f>
        <v>0</v>
      </c>
      <c r="Q485" s="54">
        <f>ROUND((H485*M485),2)</f>
        <v>0</v>
      </c>
      <c r="R485" s="54">
        <f>ROUND((H485*N485),2)</f>
        <v>0</v>
      </c>
      <c r="S485" s="54"/>
      <c r="T485" s="36"/>
      <c r="XDA485"/>
      <c r="XDB485"/>
      <c r="XDC485"/>
      <c r="XDD485"/>
      <c r="XDE485"/>
      <c r="XDF485"/>
      <c r="XDG485"/>
      <c r="XDH485"/>
      <c r="XDI485"/>
      <c r="XDJ485"/>
      <c r="XDK485"/>
      <c r="XDL485"/>
      <c r="XDM485"/>
      <c r="XDN485"/>
      <c r="XDO485"/>
      <c r="XDP485"/>
      <c r="XDQ485"/>
      <c r="XDR485"/>
      <c r="XDS485"/>
      <c r="XDT485"/>
      <c r="XDU485"/>
      <c r="XDV485"/>
      <c r="XDW485"/>
      <c r="XDX485"/>
      <c r="XDY485"/>
      <c r="XDZ485"/>
      <c r="XEA485"/>
      <c r="XEB485"/>
      <c r="XEC485"/>
      <c r="XED485"/>
      <c r="XEE485"/>
      <c r="XEF485"/>
      <c r="XEG485"/>
      <c r="XEH485"/>
      <c r="XEI485"/>
      <c r="XEJ485"/>
      <c r="XEK485"/>
      <c r="XEL485"/>
      <c r="XEM485"/>
      <c r="XEN485"/>
      <c r="XEO485"/>
      <c r="XEP485"/>
      <c r="XEQ485"/>
      <c r="XER485"/>
      <c r="XES485"/>
      <c r="XET485"/>
      <c r="XEU485"/>
      <c r="XEV485"/>
      <c r="XEW485"/>
      <c r="XEX485"/>
      <c r="XEY485"/>
      <c r="XEZ485"/>
      <c r="XFA485"/>
      <c r="XFB485"/>
      <c r="XFC485"/>
    </row>
    <row r="486" spans="1:20 16329:16383" s="38" customFormat="1" ht="29.1" customHeight="1" outlineLevel="6" x14ac:dyDescent="0.25">
      <c r="A486" s="49" t="s">
        <v>989</v>
      </c>
      <c r="B486" s="50"/>
      <c r="C486" s="50"/>
      <c r="D486" s="3" t="s">
        <v>897</v>
      </c>
      <c r="E486" s="3"/>
      <c r="F486" s="51" t="s">
        <v>894</v>
      </c>
      <c r="G486" s="50" t="s">
        <v>102</v>
      </c>
      <c r="H486" s="52">
        <f>1</f>
        <v>1</v>
      </c>
      <c r="I486" s="36"/>
      <c r="J486" s="52">
        <v>1</v>
      </c>
      <c r="K486" s="53">
        <f>0</f>
        <v>0</v>
      </c>
      <c r="L486" s="53">
        <f>0</f>
        <v>0</v>
      </c>
      <c r="M486" s="53">
        <f>0</f>
        <v>0</v>
      </c>
      <c r="N486" s="54">
        <f>SUM(K486:M486)</f>
        <v>0</v>
      </c>
      <c r="O486" s="54">
        <f>ROUND((H486*K486),2)</f>
        <v>0</v>
      </c>
      <c r="P486" s="54">
        <f>ROUND((H486*L486),2)</f>
        <v>0</v>
      </c>
      <c r="Q486" s="54">
        <f>ROUND((H486*M486),2)</f>
        <v>0</v>
      </c>
      <c r="R486" s="54">
        <f>ROUND((H486*N486),2)</f>
        <v>0</v>
      </c>
      <c r="S486" s="54"/>
      <c r="T486" s="36"/>
      <c r="XDA486"/>
      <c r="XDB486"/>
      <c r="XDC486"/>
      <c r="XDD486"/>
      <c r="XDE486"/>
      <c r="XDF486"/>
      <c r="XDG486"/>
      <c r="XDH486"/>
      <c r="XDI486"/>
      <c r="XDJ486"/>
      <c r="XDK486"/>
      <c r="XDL486"/>
      <c r="XDM486"/>
      <c r="XDN486"/>
      <c r="XDO486"/>
      <c r="XDP486"/>
      <c r="XDQ486"/>
      <c r="XDR486"/>
      <c r="XDS486"/>
      <c r="XDT486"/>
      <c r="XDU486"/>
      <c r="XDV486"/>
      <c r="XDW486"/>
      <c r="XDX486"/>
      <c r="XDY486"/>
      <c r="XDZ486"/>
      <c r="XEA486"/>
      <c r="XEB486"/>
      <c r="XEC486"/>
      <c r="XED486"/>
      <c r="XEE486"/>
      <c r="XEF486"/>
      <c r="XEG486"/>
      <c r="XEH486"/>
      <c r="XEI486"/>
      <c r="XEJ486"/>
      <c r="XEK486"/>
      <c r="XEL486"/>
      <c r="XEM486"/>
      <c r="XEN486"/>
      <c r="XEO486"/>
      <c r="XEP486"/>
      <c r="XEQ486"/>
      <c r="XER486"/>
      <c r="XES486"/>
      <c r="XET486"/>
      <c r="XEU486"/>
      <c r="XEV486"/>
      <c r="XEW486"/>
      <c r="XEX486"/>
      <c r="XEY486"/>
      <c r="XEZ486"/>
      <c r="XFA486"/>
      <c r="XFB486"/>
      <c r="XFC486"/>
    </row>
    <row r="487" spans="1:20 16329:16383" s="38" customFormat="1" ht="29.1" customHeight="1" outlineLevel="6" x14ac:dyDescent="0.25">
      <c r="A487" s="49" t="s">
        <v>990</v>
      </c>
      <c r="B487" s="50"/>
      <c r="C487" s="50"/>
      <c r="D487" s="3" t="s">
        <v>899</v>
      </c>
      <c r="E487" s="3"/>
      <c r="F487" s="51" t="s">
        <v>894</v>
      </c>
      <c r="G487" s="50" t="s">
        <v>102</v>
      </c>
      <c r="H487" s="52">
        <f>1</f>
        <v>1</v>
      </c>
      <c r="I487" s="36"/>
      <c r="J487" s="52">
        <v>1</v>
      </c>
      <c r="K487" s="53">
        <f>0</f>
        <v>0</v>
      </c>
      <c r="L487" s="53">
        <f>0</f>
        <v>0</v>
      </c>
      <c r="M487" s="53">
        <f>0</f>
        <v>0</v>
      </c>
      <c r="N487" s="54">
        <f>SUM(K487:M487)</f>
        <v>0</v>
      </c>
      <c r="O487" s="54">
        <f>ROUND((H487*K487),2)</f>
        <v>0</v>
      </c>
      <c r="P487" s="54">
        <f>ROUND((H487*L487),2)</f>
        <v>0</v>
      </c>
      <c r="Q487" s="54">
        <f>ROUND((H487*M487),2)</f>
        <v>0</v>
      </c>
      <c r="R487" s="54">
        <f>ROUND((H487*N487),2)</f>
        <v>0</v>
      </c>
      <c r="S487" s="54"/>
      <c r="T487" s="36"/>
      <c r="XDA487"/>
      <c r="XDB487"/>
      <c r="XDC487"/>
      <c r="XDD487"/>
      <c r="XDE487"/>
      <c r="XDF487"/>
      <c r="XDG487"/>
      <c r="XDH487"/>
      <c r="XDI487"/>
      <c r="XDJ487"/>
      <c r="XDK487"/>
      <c r="XDL487"/>
      <c r="XDM487"/>
      <c r="XDN487"/>
      <c r="XDO487"/>
      <c r="XDP487"/>
      <c r="XDQ487"/>
      <c r="XDR487"/>
      <c r="XDS487"/>
      <c r="XDT487"/>
      <c r="XDU487"/>
      <c r="XDV487"/>
      <c r="XDW487"/>
      <c r="XDX487"/>
      <c r="XDY487"/>
      <c r="XDZ487"/>
      <c r="XEA487"/>
      <c r="XEB487"/>
      <c r="XEC487"/>
      <c r="XED487"/>
      <c r="XEE487"/>
      <c r="XEF487"/>
      <c r="XEG487"/>
      <c r="XEH487"/>
      <c r="XEI487"/>
      <c r="XEJ487"/>
      <c r="XEK487"/>
      <c r="XEL487"/>
      <c r="XEM487"/>
      <c r="XEN487"/>
      <c r="XEO487"/>
      <c r="XEP487"/>
      <c r="XEQ487"/>
      <c r="XER487"/>
      <c r="XES487"/>
      <c r="XET487"/>
      <c r="XEU487"/>
      <c r="XEV487"/>
      <c r="XEW487"/>
      <c r="XEX487"/>
      <c r="XEY487"/>
      <c r="XEZ487"/>
      <c r="XFA487"/>
      <c r="XFB487"/>
      <c r="XFC487"/>
    </row>
    <row r="488" spans="1:20 16329:16383" s="38" customFormat="1" ht="29.1" customHeight="1" outlineLevel="3" x14ac:dyDescent="0.25">
      <c r="A488" s="55" t="s">
        <v>991</v>
      </c>
      <c r="B488" s="56" t="s">
        <v>992</v>
      </c>
      <c r="C488" s="56" t="s">
        <v>993</v>
      </c>
      <c r="D488" s="2" t="s">
        <v>792</v>
      </c>
      <c r="E488" s="2"/>
      <c r="F488" s="57"/>
      <c r="G488" s="56" t="s">
        <v>102</v>
      </c>
      <c r="H488" s="58"/>
      <c r="I488" s="36"/>
      <c r="J488" s="58"/>
      <c r="K488" s="59"/>
      <c r="L488" s="59"/>
      <c r="M488" s="59"/>
      <c r="N488" s="59"/>
      <c r="O488" s="59">
        <f>O489+O510+O521+O542</f>
        <v>0</v>
      </c>
      <c r="P488" s="59">
        <f>P489+P510+P521+P542</f>
        <v>0</v>
      </c>
      <c r="Q488" s="59">
        <f>Q489+Q510+Q521+Q542</f>
        <v>0</v>
      </c>
      <c r="R488" s="59">
        <f>R489+R510+R521+R542</f>
        <v>0</v>
      </c>
      <c r="S488" s="59"/>
      <c r="T488" s="36"/>
      <c r="XDA488"/>
      <c r="XDB488"/>
      <c r="XDC488"/>
      <c r="XDD488"/>
      <c r="XDE488"/>
      <c r="XDF488"/>
      <c r="XDG488"/>
      <c r="XDH488"/>
      <c r="XDI488"/>
      <c r="XDJ488"/>
      <c r="XDK488"/>
      <c r="XDL488"/>
      <c r="XDM488"/>
      <c r="XDN488"/>
      <c r="XDO488"/>
      <c r="XDP488"/>
      <c r="XDQ488"/>
      <c r="XDR488"/>
      <c r="XDS488"/>
      <c r="XDT488"/>
      <c r="XDU488"/>
      <c r="XDV488"/>
      <c r="XDW488"/>
      <c r="XDX488"/>
      <c r="XDY488"/>
      <c r="XDZ488"/>
      <c r="XEA488"/>
      <c r="XEB488"/>
      <c r="XEC488"/>
      <c r="XED488"/>
      <c r="XEE488"/>
      <c r="XEF488"/>
      <c r="XEG488"/>
      <c r="XEH488"/>
      <c r="XEI488"/>
      <c r="XEJ488"/>
      <c r="XEK488"/>
      <c r="XEL488"/>
      <c r="XEM488"/>
      <c r="XEN488"/>
      <c r="XEO488"/>
      <c r="XEP488"/>
      <c r="XEQ488"/>
      <c r="XER488"/>
      <c r="XES488"/>
      <c r="XET488"/>
      <c r="XEU488"/>
      <c r="XEV488"/>
      <c r="XEW488"/>
      <c r="XEX488"/>
      <c r="XEY488"/>
      <c r="XEZ488"/>
      <c r="XFA488"/>
      <c r="XFB488"/>
      <c r="XFC488"/>
    </row>
    <row r="489" spans="1:20 16329:16383" s="38" customFormat="1" ht="29.1" customHeight="1" outlineLevel="4" x14ac:dyDescent="0.25">
      <c r="A489" s="60" t="s">
        <v>994</v>
      </c>
      <c r="B489" s="61" t="s">
        <v>995</v>
      </c>
      <c r="C489" s="61"/>
      <c r="D489" s="1" t="s">
        <v>857</v>
      </c>
      <c r="E489" s="1"/>
      <c r="F489" s="62"/>
      <c r="G489" s="61"/>
      <c r="H489" s="63"/>
      <c r="I489" s="36"/>
      <c r="J489" s="63"/>
      <c r="K489" s="64"/>
      <c r="L489" s="64"/>
      <c r="M489" s="64"/>
      <c r="N489" s="64"/>
      <c r="O489" s="64">
        <f>O490+O493+O496+O500+O502+O504</f>
        <v>0</v>
      </c>
      <c r="P489" s="64">
        <f>P490+P493+P496+P500+P502+P504</f>
        <v>0</v>
      </c>
      <c r="Q489" s="64">
        <f>Q490+Q493+Q496+Q500+Q502+Q504</f>
        <v>0</v>
      </c>
      <c r="R489" s="64">
        <f>R490+R493+R496+R500+R502+R504</f>
        <v>0</v>
      </c>
      <c r="S489" s="64"/>
      <c r="T489" s="36"/>
      <c r="XDA489"/>
      <c r="XDB489"/>
      <c r="XDC489"/>
      <c r="XDD489"/>
      <c r="XDE489"/>
      <c r="XDF489"/>
      <c r="XDG489"/>
      <c r="XDH489"/>
      <c r="XDI489"/>
      <c r="XDJ489"/>
      <c r="XDK489"/>
      <c r="XDL489"/>
      <c r="XDM489"/>
      <c r="XDN489"/>
      <c r="XDO489"/>
      <c r="XDP489"/>
      <c r="XDQ489"/>
      <c r="XDR489"/>
      <c r="XDS489"/>
      <c r="XDT489"/>
      <c r="XDU489"/>
      <c r="XDV489"/>
      <c r="XDW489"/>
      <c r="XDX489"/>
      <c r="XDY489"/>
      <c r="XDZ489"/>
      <c r="XEA489"/>
      <c r="XEB489"/>
      <c r="XEC489"/>
      <c r="XED489"/>
      <c r="XEE489"/>
      <c r="XEF489"/>
      <c r="XEG489"/>
      <c r="XEH489"/>
      <c r="XEI489"/>
      <c r="XEJ489"/>
      <c r="XEK489"/>
      <c r="XEL489"/>
      <c r="XEM489"/>
      <c r="XEN489"/>
      <c r="XEO489"/>
      <c r="XEP489"/>
      <c r="XEQ489"/>
      <c r="XER489"/>
      <c r="XES489"/>
      <c r="XET489"/>
      <c r="XEU489"/>
      <c r="XEV489"/>
      <c r="XEW489"/>
      <c r="XEX489"/>
      <c r="XEY489"/>
      <c r="XEZ489"/>
      <c r="XFA489"/>
      <c r="XFB489"/>
      <c r="XFC489"/>
    </row>
    <row r="490" spans="1:20 16329:16383" s="38" customFormat="1" ht="29.1" customHeight="1" outlineLevel="5" x14ac:dyDescent="0.25">
      <c r="A490" s="65" t="s">
        <v>996</v>
      </c>
      <c r="B490" s="66" t="s">
        <v>997</v>
      </c>
      <c r="C490" s="66"/>
      <c r="D490" s="98" t="s">
        <v>860</v>
      </c>
      <c r="E490" s="98"/>
      <c r="F490" s="67" t="s">
        <v>861</v>
      </c>
      <c r="G490" s="66"/>
      <c r="H490" s="68"/>
      <c r="I490" s="36"/>
      <c r="J490" s="68"/>
      <c r="K490" s="69"/>
      <c r="L490" s="69"/>
      <c r="M490" s="69"/>
      <c r="N490" s="69"/>
      <c r="O490" s="69">
        <f>O491+O492</f>
        <v>0</v>
      </c>
      <c r="P490" s="69">
        <f>P491+P492</f>
        <v>0</v>
      </c>
      <c r="Q490" s="69">
        <f>Q491+Q492</f>
        <v>0</v>
      </c>
      <c r="R490" s="69">
        <f>R491+R492</f>
        <v>0</v>
      </c>
      <c r="S490" s="69"/>
      <c r="T490" s="36"/>
      <c r="XDA490"/>
      <c r="XDB490"/>
      <c r="XDC490"/>
      <c r="XDD490"/>
      <c r="XDE490"/>
      <c r="XDF490"/>
      <c r="XDG490"/>
      <c r="XDH490"/>
      <c r="XDI490"/>
      <c r="XDJ490"/>
      <c r="XDK490"/>
      <c r="XDL490"/>
      <c r="XDM490"/>
      <c r="XDN490"/>
      <c r="XDO490"/>
      <c r="XDP490"/>
      <c r="XDQ490"/>
      <c r="XDR490"/>
      <c r="XDS490"/>
      <c r="XDT490"/>
      <c r="XDU490"/>
      <c r="XDV490"/>
      <c r="XDW490"/>
      <c r="XDX490"/>
      <c r="XDY490"/>
      <c r="XDZ490"/>
      <c r="XEA490"/>
      <c r="XEB490"/>
      <c r="XEC490"/>
      <c r="XED490"/>
      <c r="XEE490"/>
      <c r="XEF490"/>
      <c r="XEG490"/>
      <c r="XEH490"/>
      <c r="XEI490"/>
      <c r="XEJ490"/>
      <c r="XEK490"/>
      <c r="XEL490"/>
      <c r="XEM490"/>
      <c r="XEN490"/>
      <c r="XEO490"/>
      <c r="XEP490"/>
      <c r="XEQ490"/>
      <c r="XER490"/>
      <c r="XES490"/>
      <c r="XET490"/>
      <c r="XEU490"/>
      <c r="XEV490"/>
      <c r="XEW490"/>
      <c r="XEX490"/>
      <c r="XEY490"/>
      <c r="XEZ490"/>
      <c r="XFA490"/>
      <c r="XFB490"/>
      <c r="XFC490"/>
    </row>
    <row r="491" spans="1:20 16329:16383" s="38" customFormat="1" ht="29.1" customHeight="1" outlineLevel="6" x14ac:dyDescent="0.25">
      <c r="A491" s="49" t="s">
        <v>998</v>
      </c>
      <c r="B491" s="50"/>
      <c r="C491" s="50"/>
      <c r="D491" s="3" t="s">
        <v>751</v>
      </c>
      <c r="E491" s="3"/>
      <c r="F491" s="51" t="s">
        <v>798</v>
      </c>
      <c r="G491" s="50" t="s">
        <v>102</v>
      </c>
      <c r="H491" s="52">
        <f>1</f>
        <v>1</v>
      </c>
      <c r="I491" s="36"/>
      <c r="J491" s="52">
        <v>1</v>
      </c>
      <c r="K491" s="53">
        <f>0</f>
        <v>0</v>
      </c>
      <c r="L491" s="53">
        <f>0</f>
        <v>0</v>
      </c>
      <c r="M491" s="53">
        <f>0</f>
        <v>0</v>
      </c>
      <c r="N491" s="54">
        <f>SUM(K491:M491)</f>
        <v>0</v>
      </c>
      <c r="O491" s="54">
        <f>ROUND((H491*K491),2)</f>
        <v>0</v>
      </c>
      <c r="P491" s="54">
        <f>ROUND((H491*L491),2)</f>
        <v>0</v>
      </c>
      <c r="Q491" s="54">
        <f>ROUND((H491*M491),2)</f>
        <v>0</v>
      </c>
      <c r="R491" s="54">
        <f>ROUND((H491*N491),2)</f>
        <v>0</v>
      </c>
      <c r="S491" s="54"/>
      <c r="T491" s="36"/>
      <c r="XDA491"/>
      <c r="XDB491"/>
      <c r="XDC491"/>
      <c r="XDD491"/>
      <c r="XDE491"/>
      <c r="XDF491"/>
      <c r="XDG491"/>
      <c r="XDH491"/>
      <c r="XDI491"/>
      <c r="XDJ491"/>
      <c r="XDK491"/>
      <c r="XDL491"/>
      <c r="XDM491"/>
      <c r="XDN491"/>
      <c r="XDO491"/>
      <c r="XDP491"/>
      <c r="XDQ491"/>
      <c r="XDR491"/>
      <c r="XDS491"/>
      <c r="XDT491"/>
      <c r="XDU491"/>
      <c r="XDV491"/>
      <c r="XDW491"/>
      <c r="XDX491"/>
      <c r="XDY491"/>
      <c r="XDZ491"/>
      <c r="XEA491"/>
      <c r="XEB491"/>
      <c r="XEC491"/>
      <c r="XED491"/>
      <c r="XEE491"/>
      <c r="XEF491"/>
      <c r="XEG491"/>
      <c r="XEH491"/>
      <c r="XEI491"/>
      <c r="XEJ491"/>
      <c r="XEK491"/>
      <c r="XEL491"/>
      <c r="XEM491"/>
      <c r="XEN491"/>
      <c r="XEO491"/>
      <c r="XEP491"/>
      <c r="XEQ491"/>
      <c r="XER491"/>
      <c r="XES491"/>
      <c r="XET491"/>
      <c r="XEU491"/>
      <c r="XEV491"/>
      <c r="XEW491"/>
      <c r="XEX491"/>
      <c r="XEY491"/>
      <c r="XEZ491"/>
      <c r="XFA491"/>
      <c r="XFB491"/>
      <c r="XFC491"/>
    </row>
    <row r="492" spans="1:20 16329:16383" s="38" customFormat="1" ht="29.1" customHeight="1" outlineLevel="6" x14ac:dyDescent="0.25">
      <c r="A492" s="49" t="s">
        <v>999</v>
      </c>
      <c r="B492" s="50"/>
      <c r="C492" s="50"/>
      <c r="D492" s="3" t="s">
        <v>754</v>
      </c>
      <c r="E492" s="3"/>
      <c r="F492" s="51" t="s">
        <v>800</v>
      </c>
      <c r="G492" s="50" t="s">
        <v>102</v>
      </c>
      <c r="H492" s="52">
        <f>1</f>
        <v>1</v>
      </c>
      <c r="I492" s="36"/>
      <c r="J492" s="52">
        <v>1</v>
      </c>
      <c r="K492" s="53">
        <f>0</f>
        <v>0</v>
      </c>
      <c r="L492" s="53">
        <f>0</f>
        <v>0</v>
      </c>
      <c r="M492" s="53">
        <f>0</f>
        <v>0</v>
      </c>
      <c r="N492" s="54">
        <f>SUM(K492:M492)</f>
        <v>0</v>
      </c>
      <c r="O492" s="54">
        <f>ROUND((H492*K492),2)</f>
        <v>0</v>
      </c>
      <c r="P492" s="54">
        <f>ROUND((H492*L492),2)</f>
        <v>0</v>
      </c>
      <c r="Q492" s="54">
        <f>ROUND((H492*M492),2)</f>
        <v>0</v>
      </c>
      <c r="R492" s="54">
        <f>ROUND((H492*N492),2)</f>
        <v>0</v>
      </c>
      <c r="S492" s="54"/>
      <c r="T492" s="36"/>
      <c r="XDA492"/>
      <c r="XDB492"/>
      <c r="XDC492"/>
      <c r="XDD492"/>
      <c r="XDE492"/>
      <c r="XDF492"/>
      <c r="XDG492"/>
      <c r="XDH492"/>
      <c r="XDI492"/>
      <c r="XDJ492"/>
      <c r="XDK492"/>
      <c r="XDL492"/>
      <c r="XDM492"/>
      <c r="XDN492"/>
      <c r="XDO492"/>
      <c r="XDP492"/>
      <c r="XDQ492"/>
      <c r="XDR492"/>
      <c r="XDS492"/>
      <c r="XDT492"/>
      <c r="XDU492"/>
      <c r="XDV492"/>
      <c r="XDW492"/>
      <c r="XDX492"/>
      <c r="XDY492"/>
      <c r="XDZ492"/>
      <c r="XEA492"/>
      <c r="XEB492"/>
      <c r="XEC492"/>
      <c r="XED492"/>
      <c r="XEE492"/>
      <c r="XEF492"/>
      <c r="XEG492"/>
      <c r="XEH492"/>
      <c r="XEI492"/>
      <c r="XEJ492"/>
      <c r="XEK492"/>
      <c r="XEL492"/>
      <c r="XEM492"/>
      <c r="XEN492"/>
      <c r="XEO492"/>
      <c r="XEP492"/>
      <c r="XEQ492"/>
      <c r="XER492"/>
      <c r="XES492"/>
      <c r="XET492"/>
      <c r="XEU492"/>
      <c r="XEV492"/>
      <c r="XEW492"/>
      <c r="XEX492"/>
      <c r="XEY492"/>
      <c r="XEZ492"/>
      <c r="XFA492"/>
      <c r="XFB492"/>
      <c r="XFC492"/>
    </row>
    <row r="493" spans="1:20 16329:16383" s="38" customFormat="1" ht="29.1" customHeight="1" outlineLevel="5" x14ac:dyDescent="0.25">
      <c r="A493" s="65" t="s">
        <v>1000</v>
      </c>
      <c r="B493" s="66" t="s">
        <v>1001</v>
      </c>
      <c r="C493" s="66"/>
      <c r="D493" s="98" t="s">
        <v>866</v>
      </c>
      <c r="E493" s="98"/>
      <c r="F493" s="67" t="s">
        <v>867</v>
      </c>
      <c r="G493" s="66"/>
      <c r="H493" s="68"/>
      <c r="I493" s="36"/>
      <c r="J493" s="68"/>
      <c r="K493" s="69"/>
      <c r="L493" s="69"/>
      <c r="M493" s="69"/>
      <c r="N493" s="69"/>
      <c r="O493" s="69">
        <f>O494+O495</f>
        <v>0</v>
      </c>
      <c r="P493" s="69">
        <f>P494+P495</f>
        <v>0</v>
      </c>
      <c r="Q493" s="69">
        <f>Q494+Q495</f>
        <v>0</v>
      </c>
      <c r="R493" s="69">
        <f>R494+R495</f>
        <v>0</v>
      </c>
      <c r="S493" s="69"/>
      <c r="T493" s="36"/>
      <c r="XDA493"/>
      <c r="XDB493"/>
      <c r="XDC493"/>
      <c r="XDD493"/>
      <c r="XDE493"/>
      <c r="XDF493"/>
      <c r="XDG493"/>
      <c r="XDH493"/>
      <c r="XDI493"/>
      <c r="XDJ493"/>
      <c r="XDK493"/>
      <c r="XDL493"/>
      <c r="XDM493"/>
      <c r="XDN493"/>
      <c r="XDO493"/>
      <c r="XDP493"/>
      <c r="XDQ493"/>
      <c r="XDR493"/>
      <c r="XDS493"/>
      <c r="XDT493"/>
      <c r="XDU493"/>
      <c r="XDV493"/>
      <c r="XDW493"/>
      <c r="XDX493"/>
      <c r="XDY493"/>
      <c r="XDZ493"/>
      <c r="XEA493"/>
      <c r="XEB493"/>
      <c r="XEC493"/>
      <c r="XED493"/>
      <c r="XEE493"/>
      <c r="XEF493"/>
      <c r="XEG493"/>
      <c r="XEH493"/>
      <c r="XEI493"/>
      <c r="XEJ493"/>
      <c r="XEK493"/>
      <c r="XEL493"/>
      <c r="XEM493"/>
      <c r="XEN493"/>
      <c r="XEO493"/>
      <c r="XEP493"/>
      <c r="XEQ493"/>
      <c r="XER493"/>
      <c r="XES493"/>
      <c r="XET493"/>
      <c r="XEU493"/>
      <c r="XEV493"/>
      <c r="XEW493"/>
      <c r="XEX493"/>
      <c r="XEY493"/>
      <c r="XEZ493"/>
      <c r="XFA493"/>
      <c r="XFB493"/>
      <c r="XFC493"/>
    </row>
    <row r="494" spans="1:20 16329:16383" s="38" customFormat="1" ht="29.1" customHeight="1" outlineLevel="6" x14ac:dyDescent="0.25">
      <c r="A494" s="49" t="s">
        <v>1002</v>
      </c>
      <c r="B494" s="50"/>
      <c r="C494" s="50"/>
      <c r="D494" s="3" t="s">
        <v>751</v>
      </c>
      <c r="E494" s="3"/>
      <c r="F494" s="51" t="s">
        <v>798</v>
      </c>
      <c r="G494" s="50" t="s">
        <v>102</v>
      </c>
      <c r="H494" s="52">
        <f>1</f>
        <v>1</v>
      </c>
      <c r="I494" s="36"/>
      <c r="J494" s="52">
        <v>1</v>
      </c>
      <c r="K494" s="53">
        <f>0</f>
        <v>0</v>
      </c>
      <c r="L494" s="53">
        <f>0</f>
        <v>0</v>
      </c>
      <c r="M494" s="53">
        <f>0</f>
        <v>0</v>
      </c>
      <c r="N494" s="54">
        <f>SUM(K494:M494)</f>
        <v>0</v>
      </c>
      <c r="O494" s="54">
        <f>ROUND((H494*K494),2)</f>
        <v>0</v>
      </c>
      <c r="P494" s="54">
        <f>ROUND((H494*L494),2)</f>
        <v>0</v>
      </c>
      <c r="Q494" s="54">
        <f>ROUND((H494*M494),2)</f>
        <v>0</v>
      </c>
      <c r="R494" s="54">
        <f>ROUND((H494*N494),2)</f>
        <v>0</v>
      </c>
      <c r="S494" s="54"/>
      <c r="T494" s="36"/>
      <c r="XDA494"/>
      <c r="XDB494"/>
      <c r="XDC494"/>
      <c r="XDD494"/>
      <c r="XDE494"/>
      <c r="XDF494"/>
      <c r="XDG494"/>
      <c r="XDH494"/>
      <c r="XDI494"/>
      <c r="XDJ494"/>
      <c r="XDK494"/>
      <c r="XDL494"/>
      <c r="XDM494"/>
      <c r="XDN494"/>
      <c r="XDO494"/>
      <c r="XDP494"/>
      <c r="XDQ494"/>
      <c r="XDR494"/>
      <c r="XDS494"/>
      <c r="XDT494"/>
      <c r="XDU494"/>
      <c r="XDV494"/>
      <c r="XDW494"/>
      <c r="XDX494"/>
      <c r="XDY494"/>
      <c r="XDZ494"/>
      <c r="XEA494"/>
      <c r="XEB494"/>
      <c r="XEC494"/>
      <c r="XED494"/>
      <c r="XEE494"/>
      <c r="XEF494"/>
      <c r="XEG494"/>
      <c r="XEH494"/>
      <c r="XEI494"/>
      <c r="XEJ494"/>
      <c r="XEK494"/>
      <c r="XEL494"/>
      <c r="XEM494"/>
      <c r="XEN494"/>
      <c r="XEO494"/>
      <c r="XEP494"/>
      <c r="XEQ494"/>
      <c r="XER494"/>
      <c r="XES494"/>
      <c r="XET494"/>
      <c r="XEU494"/>
      <c r="XEV494"/>
      <c r="XEW494"/>
      <c r="XEX494"/>
      <c r="XEY494"/>
      <c r="XEZ494"/>
      <c r="XFA494"/>
      <c r="XFB494"/>
      <c r="XFC494"/>
    </row>
    <row r="495" spans="1:20 16329:16383" s="38" customFormat="1" ht="29.1" customHeight="1" outlineLevel="6" x14ac:dyDescent="0.25">
      <c r="A495" s="49" t="s">
        <v>1003</v>
      </c>
      <c r="B495" s="50"/>
      <c r="C495" s="50"/>
      <c r="D495" s="3" t="s">
        <v>754</v>
      </c>
      <c r="E495" s="3"/>
      <c r="F495" s="51" t="s">
        <v>800</v>
      </c>
      <c r="G495" s="50" t="s">
        <v>102</v>
      </c>
      <c r="H495" s="52">
        <f>1</f>
        <v>1</v>
      </c>
      <c r="I495" s="36"/>
      <c r="J495" s="52">
        <v>1</v>
      </c>
      <c r="K495" s="53">
        <f>0</f>
        <v>0</v>
      </c>
      <c r="L495" s="53">
        <f>0</f>
        <v>0</v>
      </c>
      <c r="M495" s="53">
        <f>0</f>
        <v>0</v>
      </c>
      <c r="N495" s="54">
        <f>SUM(K495:M495)</f>
        <v>0</v>
      </c>
      <c r="O495" s="54">
        <f>ROUND((H495*K495),2)</f>
        <v>0</v>
      </c>
      <c r="P495" s="54">
        <f>ROUND((H495*L495),2)</f>
        <v>0</v>
      </c>
      <c r="Q495" s="54">
        <f>ROUND((H495*M495),2)</f>
        <v>0</v>
      </c>
      <c r="R495" s="54">
        <f>ROUND((H495*N495),2)</f>
        <v>0</v>
      </c>
      <c r="S495" s="54"/>
      <c r="T495" s="36"/>
      <c r="XDA495"/>
      <c r="XDB495"/>
      <c r="XDC495"/>
      <c r="XDD495"/>
      <c r="XDE495"/>
      <c r="XDF495"/>
      <c r="XDG495"/>
      <c r="XDH495"/>
      <c r="XDI495"/>
      <c r="XDJ495"/>
      <c r="XDK495"/>
      <c r="XDL495"/>
      <c r="XDM495"/>
      <c r="XDN495"/>
      <c r="XDO495"/>
      <c r="XDP495"/>
      <c r="XDQ495"/>
      <c r="XDR495"/>
      <c r="XDS495"/>
      <c r="XDT495"/>
      <c r="XDU495"/>
      <c r="XDV495"/>
      <c r="XDW495"/>
      <c r="XDX495"/>
      <c r="XDY495"/>
      <c r="XDZ495"/>
      <c r="XEA495"/>
      <c r="XEB495"/>
      <c r="XEC495"/>
      <c r="XED495"/>
      <c r="XEE495"/>
      <c r="XEF495"/>
      <c r="XEG495"/>
      <c r="XEH495"/>
      <c r="XEI495"/>
      <c r="XEJ495"/>
      <c r="XEK495"/>
      <c r="XEL495"/>
      <c r="XEM495"/>
      <c r="XEN495"/>
      <c r="XEO495"/>
      <c r="XEP495"/>
      <c r="XEQ495"/>
      <c r="XER495"/>
      <c r="XES495"/>
      <c r="XET495"/>
      <c r="XEU495"/>
      <c r="XEV495"/>
      <c r="XEW495"/>
      <c r="XEX495"/>
      <c r="XEY495"/>
      <c r="XEZ495"/>
      <c r="XFA495"/>
      <c r="XFB495"/>
      <c r="XFC495"/>
    </row>
    <row r="496" spans="1:20 16329:16383" s="38" customFormat="1" ht="29.1" customHeight="1" outlineLevel="5" x14ac:dyDescent="0.25">
      <c r="A496" s="65" t="s">
        <v>1004</v>
      </c>
      <c r="B496" s="66" t="s">
        <v>1005</v>
      </c>
      <c r="C496" s="66"/>
      <c r="D496" s="98" t="s">
        <v>1006</v>
      </c>
      <c r="E496" s="98"/>
      <c r="F496" s="67" t="s">
        <v>1007</v>
      </c>
      <c r="G496" s="66"/>
      <c r="H496" s="68"/>
      <c r="I496" s="36"/>
      <c r="J496" s="68"/>
      <c r="K496" s="69"/>
      <c r="L496" s="69"/>
      <c r="M496" s="69"/>
      <c r="N496" s="69"/>
      <c r="O496" s="69">
        <f>SUM(O497:O499)</f>
        <v>0</v>
      </c>
      <c r="P496" s="69">
        <f>SUM(P497:P499)</f>
        <v>0</v>
      </c>
      <c r="Q496" s="69">
        <f>SUM(Q497:Q499)</f>
        <v>0</v>
      </c>
      <c r="R496" s="69">
        <f>SUM(R497:R499)</f>
        <v>0</v>
      </c>
      <c r="S496" s="69"/>
      <c r="T496" s="36"/>
      <c r="XDA496"/>
      <c r="XDB496"/>
      <c r="XDC496"/>
      <c r="XDD496"/>
      <c r="XDE496"/>
      <c r="XDF496"/>
      <c r="XDG496"/>
      <c r="XDH496"/>
      <c r="XDI496"/>
      <c r="XDJ496"/>
      <c r="XDK496"/>
      <c r="XDL496"/>
      <c r="XDM496"/>
      <c r="XDN496"/>
      <c r="XDO496"/>
      <c r="XDP496"/>
      <c r="XDQ496"/>
      <c r="XDR496"/>
      <c r="XDS496"/>
      <c r="XDT496"/>
      <c r="XDU496"/>
      <c r="XDV496"/>
      <c r="XDW496"/>
      <c r="XDX496"/>
      <c r="XDY496"/>
      <c r="XDZ496"/>
      <c r="XEA496"/>
      <c r="XEB496"/>
      <c r="XEC496"/>
      <c r="XED496"/>
      <c r="XEE496"/>
      <c r="XEF496"/>
      <c r="XEG496"/>
      <c r="XEH496"/>
      <c r="XEI496"/>
      <c r="XEJ496"/>
      <c r="XEK496"/>
      <c r="XEL496"/>
      <c r="XEM496"/>
      <c r="XEN496"/>
      <c r="XEO496"/>
      <c r="XEP496"/>
      <c r="XEQ496"/>
      <c r="XER496"/>
      <c r="XES496"/>
      <c r="XET496"/>
      <c r="XEU496"/>
      <c r="XEV496"/>
      <c r="XEW496"/>
      <c r="XEX496"/>
      <c r="XEY496"/>
      <c r="XEZ496"/>
      <c r="XFA496"/>
      <c r="XFB496"/>
      <c r="XFC496"/>
    </row>
    <row r="497" spans="1:20 16329:16383" s="38" customFormat="1" ht="29.1" customHeight="1" outlineLevel="6" x14ac:dyDescent="0.25">
      <c r="A497" s="49" t="s">
        <v>1008</v>
      </c>
      <c r="B497" s="50"/>
      <c r="C497" s="50"/>
      <c r="D497" s="3" t="s">
        <v>751</v>
      </c>
      <c r="E497" s="3"/>
      <c r="F497" s="51" t="s">
        <v>1009</v>
      </c>
      <c r="G497" s="50" t="s">
        <v>102</v>
      </c>
      <c r="H497" s="52">
        <f>1</f>
        <v>1</v>
      </c>
      <c r="I497" s="36"/>
      <c r="J497" s="52">
        <v>1</v>
      </c>
      <c r="K497" s="53">
        <f>0</f>
        <v>0</v>
      </c>
      <c r="L497" s="53">
        <f>0</f>
        <v>0</v>
      </c>
      <c r="M497" s="53">
        <f>0</f>
        <v>0</v>
      </c>
      <c r="N497" s="54">
        <f>SUM(K497:M497)</f>
        <v>0</v>
      </c>
      <c r="O497" s="54">
        <f>ROUND((H497*K497),2)</f>
        <v>0</v>
      </c>
      <c r="P497" s="54">
        <f>ROUND((H497*L497),2)</f>
        <v>0</v>
      </c>
      <c r="Q497" s="54">
        <f>ROUND((H497*M497),2)</f>
        <v>0</v>
      </c>
      <c r="R497" s="54">
        <f>ROUND((H497*N497),2)</f>
        <v>0</v>
      </c>
      <c r="S497" s="54"/>
      <c r="T497" s="36"/>
      <c r="XDA497"/>
      <c r="XDB497"/>
      <c r="XDC497"/>
      <c r="XDD497"/>
      <c r="XDE497"/>
      <c r="XDF497"/>
      <c r="XDG497"/>
      <c r="XDH497"/>
      <c r="XDI497"/>
      <c r="XDJ497"/>
      <c r="XDK497"/>
      <c r="XDL497"/>
      <c r="XDM497"/>
      <c r="XDN497"/>
      <c r="XDO497"/>
      <c r="XDP497"/>
      <c r="XDQ497"/>
      <c r="XDR497"/>
      <c r="XDS497"/>
      <c r="XDT497"/>
      <c r="XDU497"/>
      <c r="XDV497"/>
      <c r="XDW497"/>
      <c r="XDX497"/>
      <c r="XDY497"/>
      <c r="XDZ497"/>
      <c r="XEA497"/>
      <c r="XEB497"/>
      <c r="XEC497"/>
      <c r="XED497"/>
      <c r="XEE497"/>
      <c r="XEF497"/>
      <c r="XEG497"/>
      <c r="XEH497"/>
      <c r="XEI497"/>
      <c r="XEJ497"/>
      <c r="XEK497"/>
      <c r="XEL497"/>
      <c r="XEM497"/>
      <c r="XEN497"/>
      <c r="XEO497"/>
      <c r="XEP497"/>
      <c r="XEQ497"/>
      <c r="XER497"/>
      <c r="XES497"/>
      <c r="XET497"/>
      <c r="XEU497"/>
      <c r="XEV497"/>
      <c r="XEW497"/>
      <c r="XEX497"/>
      <c r="XEY497"/>
      <c r="XEZ497"/>
      <c r="XFA497"/>
      <c r="XFB497"/>
      <c r="XFC497"/>
    </row>
    <row r="498" spans="1:20 16329:16383" s="38" customFormat="1" ht="29.1" customHeight="1" outlineLevel="6" x14ac:dyDescent="0.25">
      <c r="A498" s="49" t="s">
        <v>1010</v>
      </c>
      <c r="B498" s="50"/>
      <c r="C498" s="50"/>
      <c r="D498" s="3" t="s">
        <v>754</v>
      </c>
      <c r="E498" s="3"/>
      <c r="F498" s="51" t="s">
        <v>1011</v>
      </c>
      <c r="G498" s="50" t="s">
        <v>102</v>
      </c>
      <c r="H498" s="52">
        <f>1</f>
        <v>1</v>
      </c>
      <c r="I498" s="36"/>
      <c r="J498" s="52">
        <v>1</v>
      </c>
      <c r="K498" s="53">
        <f>0</f>
        <v>0</v>
      </c>
      <c r="L498" s="53">
        <f>0</f>
        <v>0</v>
      </c>
      <c r="M498" s="53">
        <f>0</f>
        <v>0</v>
      </c>
      <c r="N498" s="54">
        <f>SUM(K498:M498)</f>
        <v>0</v>
      </c>
      <c r="O498" s="54">
        <f>ROUND((H498*K498),2)</f>
        <v>0</v>
      </c>
      <c r="P498" s="54">
        <f>ROUND((H498*L498),2)</f>
        <v>0</v>
      </c>
      <c r="Q498" s="54">
        <f>ROUND((H498*M498),2)</f>
        <v>0</v>
      </c>
      <c r="R498" s="54">
        <f>ROUND((H498*N498),2)</f>
        <v>0</v>
      </c>
      <c r="S498" s="54"/>
      <c r="T498" s="36"/>
      <c r="XDA498"/>
      <c r="XDB498"/>
      <c r="XDC498"/>
      <c r="XDD498"/>
      <c r="XDE498"/>
      <c r="XDF498"/>
      <c r="XDG498"/>
      <c r="XDH498"/>
      <c r="XDI498"/>
      <c r="XDJ498"/>
      <c r="XDK498"/>
      <c r="XDL498"/>
      <c r="XDM498"/>
      <c r="XDN498"/>
      <c r="XDO498"/>
      <c r="XDP498"/>
      <c r="XDQ498"/>
      <c r="XDR498"/>
      <c r="XDS498"/>
      <c r="XDT498"/>
      <c r="XDU498"/>
      <c r="XDV498"/>
      <c r="XDW498"/>
      <c r="XDX498"/>
      <c r="XDY498"/>
      <c r="XDZ498"/>
      <c r="XEA498"/>
      <c r="XEB498"/>
      <c r="XEC498"/>
      <c r="XED498"/>
      <c r="XEE498"/>
      <c r="XEF498"/>
      <c r="XEG498"/>
      <c r="XEH498"/>
      <c r="XEI498"/>
      <c r="XEJ498"/>
      <c r="XEK498"/>
      <c r="XEL498"/>
      <c r="XEM498"/>
      <c r="XEN498"/>
      <c r="XEO498"/>
      <c r="XEP498"/>
      <c r="XEQ498"/>
      <c r="XER498"/>
      <c r="XES498"/>
      <c r="XET498"/>
      <c r="XEU498"/>
      <c r="XEV498"/>
      <c r="XEW498"/>
      <c r="XEX498"/>
      <c r="XEY498"/>
      <c r="XEZ498"/>
      <c r="XFA498"/>
      <c r="XFB498"/>
      <c r="XFC498"/>
    </row>
    <row r="499" spans="1:20 16329:16383" s="38" customFormat="1" ht="29.1" customHeight="1" outlineLevel="6" x14ac:dyDescent="0.25">
      <c r="A499" s="49" t="s">
        <v>1012</v>
      </c>
      <c r="B499" s="50"/>
      <c r="C499" s="50"/>
      <c r="D499" s="3" t="s">
        <v>877</v>
      </c>
      <c r="E499" s="3"/>
      <c r="F499" s="51" t="s">
        <v>1011</v>
      </c>
      <c r="G499" s="50" t="s">
        <v>102</v>
      </c>
      <c r="H499" s="52">
        <f>1</f>
        <v>1</v>
      </c>
      <c r="I499" s="36"/>
      <c r="J499" s="52">
        <v>1</v>
      </c>
      <c r="K499" s="53">
        <f>0</f>
        <v>0</v>
      </c>
      <c r="L499" s="53">
        <f>0</f>
        <v>0</v>
      </c>
      <c r="M499" s="53">
        <f>0</f>
        <v>0</v>
      </c>
      <c r="N499" s="54">
        <f>SUM(K499:M499)</f>
        <v>0</v>
      </c>
      <c r="O499" s="54">
        <f>ROUND((H499*K499),2)</f>
        <v>0</v>
      </c>
      <c r="P499" s="54">
        <f>ROUND((H499*L499),2)</f>
        <v>0</v>
      </c>
      <c r="Q499" s="54">
        <f>ROUND((H499*M499),2)</f>
        <v>0</v>
      </c>
      <c r="R499" s="54">
        <f>ROUND((H499*N499),2)</f>
        <v>0</v>
      </c>
      <c r="S499" s="54"/>
      <c r="T499" s="36"/>
      <c r="XDA499"/>
      <c r="XDB499"/>
      <c r="XDC499"/>
      <c r="XDD499"/>
      <c r="XDE499"/>
      <c r="XDF499"/>
      <c r="XDG499"/>
      <c r="XDH499"/>
      <c r="XDI499"/>
      <c r="XDJ499"/>
      <c r="XDK499"/>
      <c r="XDL499"/>
      <c r="XDM499"/>
      <c r="XDN499"/>
      <c r="XDO499"/>
      <c r="XDP499"/>
      <c r="XDQ499"/>
      <c r="XDR499"/>
      <c r="XDS499"/>
      <c r="XDT499"/>
      <c r="XDU499"/>
      <c r="XDV499"/>
      <c r="XDW499"/>
      <c r="XDX499"/>
      <c r="XDY499"/>
      <c r="XDZ499"/>
      <c r="XEA499"/>
      <c r="XEB499"/>
      <c r="XEC499"/>
      <c r="XED499"/>
      <c r="XEE499"/>
      <c r="XEF499"/>
      <c r="XEG499"/>
      <c r="XEH499"/>
      <c r="XEI499"/>
      <c r="XEJ499"/>
      <c r="XEK499"/>
      <c r="XEL499"/>
      <c r="XEM499"/>
      <c r="XEN499"/>
      <c r="XEO499"/>
      <c r="XEP499"/>
      <c r="XEQ499"/>
      <c r="XER499"/>
      <c r="XES499"/>
      <c r="XET499"/>
      <c r="XEU499"/>
      <c r="XEV499"/>
      <c r="XEW499"/>
      <c r="XEX499"/>
      <c r="XEY499"/>
      <c r="XEZ499"/>
      <c r="XFA499"/>
      <c r="XFB499"/>
      <c r="XFC499"/>
    </row>
    <row r="500" spans="1:20 16329:16383" s="38" customFormat="1" ht="29.1" customHeight="1" outlineLevel="5" x14ac:dyDescent="0.25">
      <c r="A500" s="65" t="s">
        <v>1013</v>
      </c>
      <c r="B500" s="66" t="s">
        <v>1014</v>
      </c>
      <c r="C500" s="66"/>
      <c r="D500" s="98" t="s">
        <v>880</v>
      </c>
      <c r="E500" s="98"/>
      <c r="F500" s="67" t="s">
        <v>881</v>
      </c>
      <c r="G500" s="66"/>
      <c r="H500" s="68"/>
      <c r="I500" s="36"/>
      <c r="J500" s="68"/>
      <c r="K500" s="69"/>
      <c r="L500" s="69"/>
      <c r="M500" s="69"/>
      <c r="N500" s="69"/>
      <c r="O500" s="69">
        <f>O501</f>
        <v>0</v>
      </c>
      <c r="P500" s="69">
        <f>P501</f>
        <v>0</v>
      </c>
      <c r="Q500" s="69">
        <f>Q501</f>
        <v>0</v>
      </c>
      <c r="R500" s="69">
        <f>R501</f>
        <v>0</v>
      </c>
      <c r="S500" s="69"/>
      <c r="T500" s="36"/>
      <c r="XDA500"/>
      <c r="XDB500"/>
      <c r="XDC500"/>
      <c r="XDD500"/>
      <c r="XDE500"/>
      <c r="XDF500"/>
      <c r="XDG500"/>
      <c r="XDH500"/>
      <c r="XDI500"/>
      <c r="XDJ500"/>
      <c r="XDK500"/>
      <c r="XDL500"/>
      <c r="XDM500"/>
      <c r="XDN500"/>
      <c r="XDO500"/>
      <c r="XDP500"/>
      <c r="XDQ500"/>
      <c r="XDR500"/>
      <c r="XDS500"/>
      <c r="XDT500"/>
      <c r="XDU500"/>
      <c r="XDV500"/>
      <c r="XDW500"/>
      <c r="XDX500"/>
      <c r="XDY500"/>
      <c r="XDZ500"/>
      <c r="XEA500"/>
      <c r="XEB500"/>
      <c r="XEC500"/>
      <c r="XED500"/>
      <c r="XEE500"/>
      <c r="XEF500"/>
      <c r="XEG500"/>
      <c r="XEH500"/>
      <c r="XEI500"/>
      <c r="XEJ500"/>
      <c r="XEK500"/>
      <c r="XEL500"/>
      <c r="XEM500"/>
      <c r="XEN500"/>
      <c r="XEO500"/>
      <c r="XEP500"/>
      <c r="XEQ500"/>
      <c r="XER500"/>
      <c r="XES500"/>
      <c r="XET500"/>
      <c r="XEU500"/>
      <c r="XEV500"/>
      <c r="XEW500"/>
      <c r="XEX500"/>
      <c r="XEY500"/>
      <c r="XEZ500"/>
      <c r="XFA500"/>
      <c r="XFB500"/>
      <c r="XFC500"/>
    </row>
    <row r="501" spans="1:20 16329:16383" s="38" customFormat="1" ht="29.1" customHeight="1" outlineLevel="6" x14ac:dyDescent="0.25">
      <c r="A501" s="49" t="s">
        <v>1015</v>
      </c>
      <c r="B501" s="50"/>
      <c r="C501" s="50"/>
      <c r="D501" s="3" t="s">
        <v>773</v>
      </c>
      <c r="E501" s="3"/>
      <c r="F501" s="51" t="s">
        <v>816</v>
      </c>
      <c r="G501" s="50" t="s">
        <v>102</v>
      </c>
      <c r="H501" s="52">
        <f>1</f>
        <v>1</v>
      </c>
      <c r="I501" s="36"/>
      <c r="J501" s="52">
        <v>1</v>
      </c>
      <c r="K501" s="53">
        <f>0</f>
        <v>0</v>
      </c>
      <c r="L501" s="53">
        <f>0</f>
        <v>0</v>
      </c>
      <c r="M501" s="53">
        <f>0</f>
        <v>0</v>
      </c>
      <c r="N501" s="54">
        <f>SUM(K501:M501)</f>
        <v>0</v>
      </c>
      <c r="O501" s="54">
        <f>ROUND((H501*K501),2)</f>
        <v>0</v>
      </c>
      <c r="P501" s="54">
        <f>ROUND((H501*L501),2)</f>
        <v>0</v>
      </c>
      <c r="Q501" s="54">
        <f>ROUND((H501*M501),2)</f>
        <v>0</v>
      </c>
      <c r="R501" s="54">
        <f>ROUND((H501*N501),2)</f>
        <v>0</v>
      </c>
      <c r="S501" s="54"/>
      <c r="T501" s="36"/>
      <c r="XDA501"/>
      <c r="XDB501"/>
      <c r="XDC501"/>
      <c r="XDD501"/>
      <c r="XDE501"/>
      <c r="XDF501"/>
      <c r="XDG501"/>
      <c r="XDH501"/>
      <c r="XDI501"/>
      <c r="XDJ501"/>
      <c r="XDK501"/>
      <c r="XDL501"/>
      <c r="XDM501"/>
      <c r="XDN501"/>
      <c r="XDO501"/>
      <c r="XDP501"/>
      <c r="XDQ501"/>
      <c r="XDR501"/>
      <c r="XDS501"/>
      <c r="XDT501"/>
      <c r="XDU501"/>
      <c r="XDV501"/>
      <c r="XDW501"/>
      <c r="XDX501"/>
      <c r="XDY501"/>
      <c r="XDZ501"/>
      <c r="XEA501"/>
      <c r="XEB501"/>
      <c r="XEC501"/>
      <c r="XED501"/>
      <c r="XEE501"/>
      <c r="XEF501"/>
      <c r="XEG501"/>
      <c r="XEH501"/>
      <c r="XEI501"/>
      <c r="XEJ501"/>
      <c r="XEK501"/>
      <c r="XEL501"/>
      <c r="XEM501"/>
      <c r="XEN501"/>
      <c r="XEO501"/>
      <c r="XEP501"/>
      <c r="XEQ501"/>
      <c r="XER501"/>
      <c r="XES501"/>
      <c r="XET501"/>
      <c r="XEU501"/>
      <c r="XEV501"/>
      <c r="XEW501"/>
      <c r="XEX501"/>
      <c r="XEY501"/>
      <c r="XEZ501"/>
      <c r="XFA501"/>
      <c r="XFB501"/>
      <c r="XFC501"/>
    </row>
    <row r="502" spans="1:20 16329:16383" s="38" customFormat="1" ht="29.1" customHeight="1" outlineLevel="5" x14ac:dyDescent="0.25">
      <c r="A502" s="65" t="s">
        <v>1016</v>
      </c>
      <c r="B502" s="66" t="s">
        <v>1017</v>
      </c>
      <c r="C502" s="66"/>
      <c r="D502" s="98" t="s">
        <v>885</v>
      </c>
      <c r="E502" s="98"/>
      <c r="F502" s="67" t="s">
        <v>886</v>
      </c>
      <c r="G502" s="66"/>
      <c r="H502" s="68"/>
      <c r="I502" s="36"/>
      <c r="J502" s="68"/>
      <c r="K502" s="69"/>
      <c r="L502" s="69"/>
      <c r="M502" s="69"/>
      <c r="N502" s="69"/>
      <c r="O502" s="69">
        <f>O503</f>
        <v>0</v>
      </c>
      <c r="P502" s="69">
        <f>P503</f>
        <v>0</v>
      </c>
      <c r="Q502" s="69">
        <f>Q503</f>
        <v>0</v>
      </c>
      <c r="R502" s="69">
        <f>R503</f>
        <v>0</v>
      </c>
      <c r="S502" s="69"/>
      <c r="T502" s="36"/>
      <c r="XDA502"/>
      <c r="XDB502"/>
      <c r="XDC502"/>
      <c r="XDD502"/>
      <c r="XDE502"/>
      <c r="XDF502"/>
      <c r="XDG502"/>
      <c r="XDH502"/>
      <c r="XDI502"/>
      <c r="XDJ502"/>
      <c r="XDK502"/>
      <c r="XDL502"/>
      <c r="XDM502"/>
      <c r="XDN502"/>
      <c r="XDO502"/>
      <c r="XDP502"/>
      <c r="XDQ502"/>
      <c r="XDR502"/>
      <c r="XDS502"/>
      <c r="XDT502"/>
      <c r="XDU502"/>
      <c r="XDV502"/>
      <c r="XDW502"/>
      <c r="XDX502"/>
      <c r="XDY502"/>
      <c r="XDZ502"/>
      <c r="XEA502"/>
      <c r="XEB502"/>
      <c r="XEC502"/>
      <c r="XED502"/>
      <c r="XEE502"/>
      <c r="XEF502"/>
      <c r="XEG502"/>
      <c r="XEH502"/>
      <c r="XEI502"/>
      <c r="XEJ502"/>
      <c r="XEK502"/>
      <c r="XEL502"/>
      <c r="XEM502"/>
      <c r="XEN502"/>
      <c r="XEO502"/>
      <c r="XEP502"/>
      <c r="XEQ502"/>
      <c r="XER502"/>
      <c r="XES502"/>
      <c r="XET502"/>
      <c r="XEU502"/>
      <c r="XEV502"/>
      <c r="XEW502"/>
      <c r="XEX502"/>
      <c r="XEY502"/>
      <c r="XEZ502"/>
      <c r="XFA502"/>
      <c r="XFB502"/>
      <c r="XFC502"/>
    </row>
    <row r="503" spans="1:20 16329:16383" s="38" customFormat="1" ht="29.1" customHeight="1" outlineLevel="6" x14ac:dyDescent="0.25">
      <c r="A503" s="49" t="s">
        <v>1018</v>
      </c>
      <c r="B503" s="50"/>
      <c r="C503" s="50"/>
      <c r="D503" s="3" t="s">
        <v>888</v>
      </c>
      <c r="E503" s="3"/>
      <c r="F503" s="51" t="s">
        <v>1019</v>
      </c>
      <c r="G503" s="50" t="s">
        <v>102</v>
      </c>
      <c r="H503" s="52">
        <f>1</f>
        <v>1</v>
      </c>
      <c r="I503" s="36"/>
      <c r="J503" s="52">
        <v>1</v>
      </c>
      <c r="K503" s="53">
        <f>0</f>
        <v>0</v>
      </c>
      <c r="L503" s="53">
        <f>0</f>
        <v>0</v>
      </c>
      <c r="M503" s="53">
        <f>0</f>
        <v>0</v>
      </c>
      <c r="N503" s="54">
        <f>SUM(K503:M503)</f>
        <v>0</v>
      </c>
      <c r="O503" s="54">
        <f>ROUND((H503*K503),2)</f>
        <v>0</v>
      </c>
      <c r="P503" s="54">
        <f>ROUND((H503*L503),2)</f>
        <v>0</v>
      </c>
      <c r="Q503" s="54">
        <f>ROUND((H503*M503),2)</f>
        <v>0</v>
      </c>
      <c r="R503" s="54">
        <f>ROUND((H503*N503),2)</f>
        <v>0</v>
      </c>
      <c r="S503" s="54"/>
      <c r="T503" s="36"/>
      <c r="XDA503"/>
      <c r="XDB503"/>
      <c r="XDC503"/>
      <c r="XDD503"/>
      <c r="XDE503"/>
      <c r="XDF503"/>
      <c r="XDG503"/>
      <c r="XDH503"/>
      <c r="XDI503"/>
      <c r="XDJ503"/>
      <c r="XDK503"/>
      <c r="XDL503"/>
      <c r="XDM503"/>
      <c r="XDN503"/>
      <c r="XDO503"/>
      <c r="XDP503"/>
      <c r="XDQ503"/>
      <c r="XDR503"/>
      <c r="XDS503"/>
      <c r="XDT503"/>
      <c r="XDU503"/>
      <c r="XDV503"/>
      <c r="XDW503"/>
      <c r="XDX503"/>
      <c r="XDY503"/>
      <c r="XDZ503"/>
      <c r="XEA503"/>
      <c r="XEB503"/>
      <c r="XEC503"/>
      <c r="XED503"/>
      <c r="XEE503"/>
      <c r="XEF503"/>
      <c r="XEG503"/>
      <c r="XEH503"/>
      <c r="XEI503"/>
      <c r="XEJ503"/>
      <c r="XEK503"/>
      <c r="XEL503"/>
      <c r="XEM503"/>
      <c r="XEN503"/>
      <c r="XEO503"/>
      <c r="XEP503"/>
      <c r="XEQ503"/>
      <c r="XER503"/>
      <c r="XES503"/>
      <c r="XET503"/>
      <c r="XEU503"/>
      <c r="XEV503"/>
      <c r="XEW503"/>
      <c r="XEX503"/>
      <c r="XEY503"/>
      <c r="XEZ503"/>
      <c r="XFA503"/>
      <c r="XFB503"/>
      <c r="XFC503"/>
    </row>
    <row r="504" spans="1:20 16329:16383" s="38" customFormat="1" ht="29.1" customHeight="1" outlineLevel="5" x14ac:dyDescent="0.25">
      <c r="A504" s="65" t="s">
        <v>1020</v>
      </c>
      <c r="B504" s="66" t="s">
        <v>1021</v>
      </c>
      <c r="C504" s="66"/>
      <c r="D504" s="98" t="s">
        <v>891</v>
      </c>
      <c r="E504" s="98"/>
      <c r="F504" s="67" t="s">
        <v>892</v>
      </c>
      <c r="G504" s="66"/>
      <c r="H504" s="68"/>
      <c r="I504" s="36"/>
      <c r="J504" s="68"/>
      <c r="K504" s="69"/>
      <c r="L504" s="69"/>
      <c r="M504" s="69"/>
      <c r="N504" s="69"/>
      <c r="O504" s="69">
        <f>SUM(O505:O509)</f>
        <v>0</v>
      </c>
      <c r="P504" s="69">
        <f>SUM(P505:P509)</f>
        <v>0</v>
      </c>
      <c r="Q504" s="69">
        <f>SUM(Q505:Q509)</f>
        <v>0</v>
      </c>
      <c r="R504" s="69">
        <f>SUM(R505:R509)</f>
        <v>0</v>
      </c>
      <c r="S504" s="69"/>
      <c r="T504" s="36"/>
      <c r="XDA504"/>
      <c r="XDB504"/>
      <c r="XDC504"/>
      <c r="XDD504"/>
      <c r="XDE504"/>
      <c r="XDF504"/>
      <c r="XDG504"/>
      <c r="XDH504"/>
      <c r="XDI504"/>
      <c r="XDJ504"/>
      <c r="XDK504"/>
      <c r="XDL504"/>
      <c r="XDM504"/>
      <c r="XDN504"/>
      <c r="XDO504"/>
      <c r="XDP504"/>
      <c r="XDQ504"/>
      <c r="XDR504"/>
      <c r="XDS504"/>
      <c r="XDT504"/>
      <c r="XDU504"/>
      <c r="XDV504"/>
      <c r="XDW504"/>
      <c r="XDX504"/>
      <c r="XDY504"/>
      <c r="XDZ504"/>
      <c r="XEA504"/>
      <c r="XEB504"/>
      <c r="XEC504"/>
      <c r="XED504"/>
      <c r="XEE504"/>
      <c r="XEF504"/>
      <c r="XEG504"/>
      <c r="XEH504"/>
      <c r="XEI504"/>
      <c r="XEJ504"/>
      <c r="XEK504"/>
      <c r="XEL504"/>
      <c r="XEM504"/>
      <c r="XEN504"/>
      <c r="XEO504"/>
      <c r="XEP504"/>
      <c r="XEQ504"/>
      <c r="XER504"/>
      <c r="XES504"/>
      <c r="XET504"/>
      <c r="XEU504"/>
      <c r="XEV504"/>
      <c r="XEW504"/>
      <c r="XEX504"/>
      <c r="XEY504"/>
      <c r="XEZ504"/>
      <c r="XFA504"/>
      <c r="XFB504"/>
      <c r="XFC504"/>
    </row>
    <row r="505" spans="1:20 16329:16383" s="38" customFormat="1" ht="29.1" customHeight="1" outlineLevel="6" x14ac:dyDescent="0.25">
      <c r="A505" s="49" t="s">
        <v>1022</v>
      </c>
      <c r="B505" s="50"/>
      <c r="C505" s="50"/>
      <c r="D505" s="3" t="s">
        <v>785</v>
      </c>
      <c r="E505" s="3"/>
      <c r="F505" s="51" t="s">
        <v>1023</v>
      </c>
      <c r="G505" s="50" t="s">
        <v>102</v>
      </c>
      <c r="H505" s="52">
        <f>1</f>
        <v>1</v>
      </c>
      <c r="I505" s="36"/>
      <c r="J505" s="52">
        <v>1</v>
      </c>
      <c r="K505" s="53">
        <f>0</f>
        <v>0</v>
      </c>
      <c r="L505" s="53">
        <f>0</f>
        <v>0</v>
      </c>
      <c r="M505" s="53">
        <f>0</f>
        <v>0</v>
      </c>
      <c r="N505" s="54">
        <f>SUM(K505:M505)</f>
        <v>0</v>
      </c>
      <c r="O505" s="54">
        <f>ROUND((H505*K505),2)</f>
        <v>0</v>
      </c>
      <c r="P505" s="54">
        <f>ROUND((H505*L505),2)</f>
        <v>0</v>
      </c>
      <c r="Q505" s="54">
        <f>ROUND((H505*M505),2)</f>
        <v>0</v>
      </c>
      <c r="R505" s="54">
        <f>ROUND((H505*N505),2)</f>
        <v>0</v>
      </c>
      <c r="S505" s="54"/>
      <c r="T505" s="36"/>
      <c r="XDA505"/>
      <c r="XDB505"/>
      <c r="XDC505"/>
      <c r="XDD505"/>
      <c r="XDE505"/>
      <c r="XDF505"/>
      <c r="XDG505"/>
      <c r="XDH505"/>
      <c r="XDI505"/>
      <c r="XDJ505"/>
      <c r="XDK505"/>
      <c r="XDL505"/>
      <c r="XDM505"/>
      <c r="XDN505"/>
      <c r="XDO505"/>
      <c r="XDP505"/>
      <c r="XDQ505"/>
      <c r="XDR505"/>
      <c r="XDS505"/>
      <c r="XDT505"/>
      <c r="XDU505"/>
      <c r="XDV505"/>
      <c r="XDW505"/>
      <c r="XDX505"/>
      <c r="XDY505"/>
      <c r="XDZ505"/>
      <c r="XEA505"/>
      <c r="XEB505"/>
      <c r="XEC505"/>
      <c r="XED505"/>
      <c r="XEE505"/>
      <c r="XEF505"/>
      <c r="XEG505"/>
      <c r="XEH505"/>
      <c r="XEI505"/>
      <c r="XEJ505"/>
      <c r="XEK505"/>
      <c r="XEL505"/>
      <c r="XEM505"/>
      <c r="XEN505"/>
      <c r="XEO505"/>
      <c r="XEP505"/>
      <c r="XEQ505"/>
      <c r="XER505"/>
      <c r="XES505"/>
      <c r="XET505"/>
      <c r="XEU505"/>
      <c r="XEV505"/>
      <c r="XEW505"/>
      <c r="XEX505"/>
      <c r="XEY505"/>
      <c r="XEZ505"/>
      <c r="XFA505"/>
      <c r="XFB505"/>
      <c r="XFC505"/>
    </row>
    <row r="506" spans="1:20 16329:16383" s="38" customFormat="1" ht="29.1" customHeight="1" outlineLevel="6" x14ac:dyDescent="0.25">
      <c r="A506" s="49" t="s">
        <v>1024</v>
      </c>
      <c r="B506" s="50"/>
      <c r="C506" s="50"/>
      <c r="D506" s="3" t="s">
        <v>785</v>
      </c>
      <c r="E506" s="3"/>
      <c r="F506" s="51" t="s">
        <v>1025</v>
      </c>
      <c r="G506" s="50" t="s">
        <v>102</v>
      </c>
      <c r="H506" s="52">
        <f>1</f>
        <v>1</v>
      </c>
      <c r="I506" s="36"/>
      <c r="J506" s="52">
        <v>1</v>
      </c>
      <c r="K506" s="53">
        <f>0</f>
        <v>0</v>
      </c>
      <c r="L506" s="53">
        <f>0</f>
        <v>0</v>
      </c>
      <c r="M506" s="53">
        <f>0</f>
        <v>0</v>
      </c>
      <c r="N506" s="54">
        <f>SUM(K506:M506)</f>
        <v>0</v>
      </c>
      <c r="O506" s="54">
        <f>ROUND((H506*K506),2)</f>
        <v>0</v>
      </c>
      <c r="P506" s="54">
        <f>ROUND((H506*L506),2)</f>
        <v>0</v>
      </c>
      <c r="Q506" s="54">
        <f>ROUND((H506*M506),2)</f>
        <v>0</v>
      </c>
      <c r="R506" s="54">
        <f>ROUND((H506*N506),2)</f>
        <v>0</v>
      </c>
      <c r="S506" s="54"/>
      <c r="T506" s="36"/>
      <c r="XDA506"/>
      <c r="XDB506"/>
      <c r="XDC506"/>
      <c r="XDD506"/>
      <c r="XDE506"/>
      <c r="XDF506"/>
      <c r="XDG506"/>
      <c r="XDH506"/>
      <c r="XDI506"/>
      <c r="XDJ506"/>
      <c r="XDK506"/>
      <c r="XDL506"/>
      <c r="XDM506"/>
      <c r="XDN506"/>
      <c r="XDO506"/>
      <c r="XDP506"/>
      <c r="XDQ506"/>
      <c r="XDR506"/>
      <c r="XDS506"/>
      <c r="XDT506"/>
      <c r="XDU506"/>
      <c r="XDV506"/>
      <c r="XDW506"/>
      <c r="XDX506"/>
      <c r="XDY506"/>
      <c r="XDZ506"/>
      <c r="XEA506"/>
      <c r="XEB506"/>
      <c r="XEC506"/>
      <c r="XED506"/>
      <c r="XEE506"/>
      <c r="XEF506"/>
      <c r="XEG506"/>
      <c r="XEH506"/>
      <c r="XEI506"/>
      <c r="XEJ506"/>
      <c r="XEK506"/>
      <c r="XEL506"/>
      <c r="XEM506"/>
      <c r="XEN506"/>
      <c r="XEO506"/>
      <c r="XEP506"/>
      <c r="XEQ506"/>
      <c r="XER506"/>
      <c r="XES506"/>
      <c r="XET506"/>
      <c r="XEU506"/>
      <c r="XEV506"/>
      <c r="XEW506"/>
      <c r="XEX506"/>
      <c r="XEY506"/>
      <c r="XEZ506"/>
      <c r="XFA506"/>
      <c r="XFB506"/>
      <c r="XFC506"/>
    </row>
    <row r="507" spans="1:20 16329:16383" s="38" customFormat="1" ht="29.1" customHeight="1" outlineLevel="6" x14ac:dyDescent="0.25">
      <c r="A507" s="49" t="s">
        <v>1026</v>
      </c>
      <c r="B507" s="50"/>
      <c r="C507" s="50"/>
      <c r="D507" s="3" t="s">
        <v>787</v>
      </c>
      <c r="E507" s="3"/>
      <c r="F507" s="51" t="s">
        <v>1027</v>
      </c>
      <c r="G507" s="50" t="s">
        <v>102</v>
      </c>
      <c r="H507" s="52">
        <f>1</f>
        <v>1</v>
      </c>
      <c r="I507" s="36"/>
      <c r="J507" s="52">
        <v>1</v>
      </c>
      <c r="K507" s="53">
        <f>0</f>
        <v>0</v>
      </c>
      <c r="L507" s="53">
        <f>0</f>
        <v>0</v>
      </c>
      <c r="M507" s="53">
        <f>0</f>
        <v>0</v>
      </c>
      <c r="N507" s="54">
        <f>SUM(K507:M507)</f>
        <v>0</v>
      </c>
      <c r="O507" s="54">
        <f>ROUND((H507*K507),2)</f>
        <v>0</v>
      </c>
      <c r="P507" s="54">
        <f>ROUND((H507*L507),2)</f>
        <v>0</v>
      </c>
      <c r="Q507" s="54">
        <f>ROUND((H507*M507),2)</f>
        <v>0</v>
      </c>
      <c r="R507" s="54">
        <f>ROUND((H507*N507),2)</f>
        <v>0</v>
      </c>
      <c r="S507" s="54"/>
      <c r="T507" s="36"/>
      <c r="XDA507"/>
      <c r="XDB507"/>
      <c r="XDC507"/>
      <c r="XDD507"/>
      <c r="XDE507"/>
      <c r="XDF507"/>
      <c r="XDG507"/>
      <c r="XDH507"/>
      <c r="XDI507"/>
      <c r="XDJ507"/>
      <c r="XDK507"/>
      <c r="XDL507"/>
      <c r="XDM507"/>
      <c r="XDN507"/>
      <c r="XDO507"/>
      <c r="XDP507"/>
      <c r="XDQ507"/>
      <c r="XDR507"/>
      <c r="XDS507"/>
      <c r="XDT507"/>
      <c r="XDU507"/>
      <c r="XDV507"/>
      <c r="XDW507"/>
      <c r="XDX507"/>
      <c r="XDY507"/>
      <c r="XDZ507"/>
      <c r="XEA507"/>
      <c r="XEB507"/>
      <c r="XEC507"/>
      <c r="XED507"/>
      <c r="XEE507"/>
      <c r="XEF507"/>
      <c r="XEG507"/>
      <c r="XEH507"/>
      <c r="XEI507"/>
      <c r="XEJ507"/>
      <c r="XEK507"/>
      <c r="XEL507"/>
      <c r="XEM507"/>
      <c r="XEN507"/>
      <c r="XEO507"/>
      <c r="XEP507"/>
      <c r="XEQ507"/>
      <c r="XER507"/>
      <c r="XES507"/>
      <c r="XET507"/>
      <c r="XEU507"/>
      <c r="XEV507"/>
      <c r="XEW507"/>
      <c r="XEX507"/>
      <c r="XEY507"/>
      <c r="XEZ507"/>
      <c r="XFA507"/>
      <c r="XFB507"/>
      <c r="XFC507"/>
    </row>
    <row r="508" spans="1:20 16329:16383" s="38" customFormat="1" ht="29.1" customHeight="1" outlineLevel="6" x14ac:dyDescent="0.25">
      <c r="A508" s="49" t="s">
        <v>1028</v>
      </c>
      <c r="B508" s="50"/>
      <c r="C508" s="50"/>
      <c r="D508" s="3" t="s">
        <v>897</v>
      </c>
      <c r="E508" s="3"/>
      <c r="F508" s="51" t="s">
        <v>1029</v>
      </c>
      <c r="G508" s="50" t="s">
        <v>102</v>
      </c>
      <c r="H508" s="52">
        <f>1</f>
        <v>1</v>
      </c>
      <c r="I508" s="36"/>
      <c r="J508" s="52">
        <v>1</v>
      </c>
      <c r="K508" s="53">
        <f>0</f>
        <v>0</v>
      </c>
      <c r="L508" s="53">
        <f>0</f>
        <v>0</v>
      </c>
      <c r="M508" s="53">
        <f>0</f>
        <v>0</v>
      </c>
      <c r="N508" s="54">
        <f>SUM(K508:M508)</f>
        <v>0</v>
      </c>
      <c r="O508" s="54">
        <f>ROUND((H508*K508),2)</f>
        <v>0</v>
      </c>
      <c r="P508" s="54">
        <f>ROUND((H508*L508),2)</f>
        <v>0</v>
      </c>
      <c r="Q508" s="54">
        <f>ROUND((H508*M508),2)</f>
        <v>0</v>
      </c>
      <c r="R508" s="54">
        <f>ROUND((H508*N508),2)</f>
        <v>0</v>
      </c>
      <c r="S508" s="54"/>
      <c r="T508" s="36"/>
      <c r="XDA508"/>
      <c r="XDB508"/>
      <c r="XDC508"/>
      <c r="XDD508"/>
      <c r="XDE508"/>
      <c r="XDF508"/>
      <c r="XDG508"/>
      <c r="XDH508"/>
      <c r="XDI508"/>
      <c r="XDJ508"/>
      <c r="XDK508"/>
      <c r="XDL508"/>
      <c r="XDM508"/>
      <c r="XDN508"/>
      <c r="XDO508"/>
      <c r="XDP508"/>
      <c r="XDQ508"/>
      <c r="XDR508"/>
      <c r="XDS508"/>
      <c r="XDT508"/>
      <c r="XDU508"/>
      <c r="XDV508"/>
      <c r="XDW508"/>
      <c r="XDX508"/>
      <c r="XDY508"/>
      <c r="XDZ508"/>
      <c r="XEA508"/>
      <c r="XEB508"/>
      <c r="XEC508"/>
      <c r="XED508"/>
      <c r="XEE508"/>
      <c r="XEF508"/>
      <c r="XEG508"/>
      <c r="XEH508"/>
      <c r="XEI508"/>
      <c r="XEJ508"/>
      <c r="XEK508"/>
      <c r="XEL508"/>
      <c r="XEM508"/>
      <c r="XEN508"/>
      <c r="XEO508"/>
      <c r="XEP508"/>
      <c r="XEQ508"/>
      <c r="XER508"/>
      <c r="XES508"/>
      <c r="XET508"/>
      <c r="XEU508"/>
      <c r="XEV508"/>
      <c r="XEW508"/>
      <c r="XEX508"/>
      <c r="XEY508"/>
      <c r="XEZ508"/>
      <c r="XFA508"/>
      <c r="XFB508"/>
      <c r="XFC508"/>
    </row>
    <row r="509" spans="1:20 16329:16383" s="38" customFormat="1" ht="29.1" customHeight="1" outlineLevel="6" x14ac:dyDescent="0.25">
      <c r="A509" s="49" t="s">
        <v>1030</v>
      </c>
      <c r="B509" s="50"/>
      <c r="C509" s="50"/>
      <c r="D509" s="3" t="s">
        <v>899</v>
      </c>
      <c r="E509" s="3"/>
      <c r="F509" s="51" t="s">
        <v>1031</v>
      </c>
      <c r="G509" s="50" t="s">
        <v>102</v>
      </c>
      <c r="H509" s="52">
        <f>1</f>
        <v>1</v>
      </c>
      <c r="I509" s="36"/>
      <c r="J509" s="52">
        <v>1</v>
      </c>
      <c r="K509" s="53">
        <f>0</f>
        <v>0</v>
      </c>
      <c r="L509" s="53">
        <f>0</f>
        <v>0</v>
      </c>
      <c r="M509" s="53">
        <f>0</f>
        <v>0</v>
      </c>
      <c r="N509" s="54">
        <f>SUM(K509:M509)</f>
        <v>0</v>
      </c>
      <c r="O509" s="54">
        <f>ROUND((H509*K509),2)</f>
        <v>0</v>
      </c>
      <c r="P509" s="54">
        <f>ROUND((H509*L509),2)</f>
        <v>0</v>
      </c>
      <c r="Q509" s="54">
        <f>ROUND((H509*M509),2)</f>
        <v>0</v>
      </c>
      <c r="R509" s="54">
        <f>ROUND((H509*N509),2)</f>
        <v>0</v>
      </c>
      <c r="S509" s="54"/>
      <c r="T509" s="36"/>
      <c r="XDA509"/>
      <c r="XDB509"/>
      <c r="XDC509"/>
      <c r="XDD509"/>
      <c r="XDE509"/>
      <c r="XDF509"/>
      <c r="XDG509"/>
      <c r="XDH509"/>
      <c r="XDI509"/>
      <c r="XDJ509"/>
      <c r="XDK509"/>
      <c r="XDL509"/>
      <c r="XDM509"/>
      <c r="XDN509"/>
      <c r="XDO509"/>
      <c r="XDP509"/>
      <c r="XDQ509"/>
      <c r="XDR509"/>
      <c r="XDS509"/>
      <c r="XDT509"/>
      <c r="XDU509"/>
      <c r="XDV509"/>
      <c r="XDW509"/>
      <c r="XDX509"/>
      <c r="XDY509"/>
      <c r="XDZ509"/>
      <c r="XEA509"/>
      <c r="XEB509"/>
      <c r="XEC509"/>
      <c r="XED509"/>
      <c r="XEE509"/>
      <c r="XEF509"/>
      <c r="XEG509"/>
      <c r="XEH509"/>
      <c r="XEI509"/>
      <c r="XEJ509"/>
      <c r="XEK509"/>
      <c r="XEL509"/>
      <c r="XEM509"/>
      <c r="XEN509"/>
      <c r="XEO509"/>
      <c r="XEP509"/>
      <c r="XEQ509"/>
      <c r="XER509"/>
      <c r="XES509"/>
      <c r="XET509"/>
      <c r="XEU509"/>
      <c r="XEV509"/>
      <c r="XEW509"/>
      <c r="XEX509"/>
      <c r="XEY509"/>
      <c r="XEZ509"/>
      <c r="XFA509"/>
      <c r="XFB509"/>
      <c r="XFC509"/>
    </row>
    <row r="510" spans="1:20 16329:16383" s="38" customFormat="1" ht="29.1" customHeight="1" outlineLevel="4" x14ac:dyDescent="0.25">
      <c r="A510" s="60" t="s">
        <v>1032</v>
      </c>
      <c r="B510" s="61" t="s">
        <v>1033</v>
      </c>
      <c r="C510" s="61"/>
      <c r="D510" s="1" t="s">
        <v>902</v>
      </c>
      <c r="E510" s="1"/>
      <c r="F510" s="62"/>
      <c r="G510" s="61"/>
      <c r="H510" s="63"/>
      <c r="I510" s="36"/>
      <c r="J510" s="63"/>
      <c r="K510" s="64"/>
      <c r="L510" s="64"/>
      <c r="M510" s="64"/>
      <c r="N510" s="64"/>
      <c r="O510" s="64">
        <f>O511+O514+O516</f>
        <v>0</v>
      </c>
      <c r="P510" s="64">
        <f>P511+P514+P516</f>
        <v>0</v>
      </c>
      <c r="Q510" s="64">
        <f>Q511+Q514+Q516</f>
        <v>0</v>
      </c>
      <c r="R510" s="64">
        <f>R511+R514+R516</f>
        <v>0</v>
      </c>
      <c r="S510" s="64"/>
      <c r="T510" s="36"/>
      <c r="XDA510"/>
      <c r="XDB510"/>
      <c r="XDC510"/>
      <c r="XDD510"/>
      <c r="XDE510"/>
      <c r="XDF510"/>
      <c r="XDG510"/>
      <c r="XDH510"/>
      <c r="XDI510"/>
      <c r="XDJ510"/>
      <c r="XDK510"/>
      <c r="XDL510"/>
      <c r="XDM510"/>
      <c r="XDN510"/>
      <c r="XDO510"/>
      <c r="XDP510"/>
      <c r="XDQ510"/>
      <c r="XDR510"/>
      <c r="XDS510"/>
      <c r="XDT510"/>
      <c r="XDU510"/>
      <c r="XDV510"/>
      <c r="XDW510"/>
      <c r="XDX510"/>
      <c r="XDY510"/>
      <c r="XDZ510"/>
      <c r="XEA510"/>
      <c r="XEB510"/>
      <c r="XEC510"/>
      <c r="XED510"/>
      <c r="XEE510"/>
      <c r="XEF510"/>
      <c r="XEG510"/>
      <c r="XEH510"/>
      <c r="XEI510"/>
      <c r="XEJ510"/>
      <c r="XEK510"/>
      <c r="XEL510"/>
      <c r="XEM510"/>
      <c r="XEN510"/>
      <c r="XEO510"/>
      <c r="XEP510"/>
      <c r="XEQ510"/>
      <c r="XER510"/>
      <c r="XES510"/>
      <c r="XET510"/>
      <c r="XEU510"/>
      <c r="XEV510"/>
      <c r="XEW510"/>
      <c r="XEX510"/>
      <c r="XEY510"/>
      <c r="XEZ510"/>
      <c r="XFA510"/>
      <c r="XFB510"/>
      <c r="XFC510"/>
    </row>
    <row r="511" spans="1:20 16329:16383" s="38" customFormat="1" ht="29.1" customHeight="1" outlineLevel="5" x14ac:dyDescent="0.25">
      <c r="A511" s="65" t="s">
        <v>1034</v>
      </c>
      <c r="B511" s="66" t="s">
        <v>1035</v>
      </c>
      <c r="C511" s="66"/>
      <c r="D511" s="98" t="s">
        <v>1036</v>
      </c>
      <c r="E511" s="98"/>
      <c r="F511" s="67" t="s">
        <v>1037</v>
      </c>
      <c r="G511" s="66"/>
      <c r="H511" s="68"/>
      <c r="I511" s="36"/>
      <c r="J511" s="68"/>
      <c r="K511" s="69"/>
      <c r="L511" s="69"/>
      <c r="M511" s="69"/>
      <c r="N511" s="69"/>
      <c r="O511" s="69">
        <f>O512+O513</f>
        <v>0</v>
      </c>
      <c r="P511" s="69">
        <f>P512+P513</f>
        <v>0</v>
      </c>
      <c r="Q511" s="69">
        <f>Q512+Q513</f>
        <v>0</v>
      </c>
      <c r="R511" s="69">
        <f>R512+R513</f>
        <v>0</v>
      </c>
      <c r="S511" s="69"/>
      <c r="T511" s="36"/>
      <c r="XDA511"/>
      <c r="XDB511"/>
      <c r="XDC511"/>
      <c r="XDD511"/>
      <c r="XDE511"/>
      <c r="XDF511"/>
      <c r="XDG511"/>
      <c r="XDH511"/>
      <c r="XDI511"/>
      <c r="XDJ511"/>
      <c r="XDK511"/>
      <c r="XDL511"/>
      <c r="XDM511"/>
      <c r="XDN511"/>
      <c r="XDO511"/>
      <c r="XDP511"/>
      <c r="XDQ511"/>
      <c r="XDR511"/>
      <c r="XDS511"/>
      <c r="XDT511"/>
      <c r="XDU511"/>
      <c r="XDV511"/>
      <c r="XDW511"/>
      <c r="XDX511"/>
      <c r="XDY511"/>
      <c r="XDZ511"/>
      <c r="XEA511"/>
      <c r="XEB511"/>
      <c r="XEC511"/>
      <c r="XED511"/>
      <c r="XEE511"/>
      <c r="XEF511"/>
      <c r="XEG511"/>
      <c r="XEH511"/>
      <c r="XEI511"/>
      <c r="XEJ511"/>
      <c r="XEK511"/>
      <c r="XEL511"/>
      <c r="XEM511"/>
      <c r="XEN511"/>
      <c r="XEO511"/>
      <c r="XEP511"/>
      <c r="XEQ511"/>
      <c r="XER511"/>
      <c r="XES511"/>
      <c r="XET511"/>
      <c r="XEU511"/>
      <c r="XEV511"/>
      <c r="XEW511"/>
      <c r="XEX511"/>
      <c r="XEY511"/>
      <c r="XEZ511"/>
      <c r="XFA511"/>
      <c r="XFB511"/>
      <c r="XFC511"/>
    </row>
    <row r="512" spans="1:20 16329:16383" s="38" customFormat="1" ht="29.1" customHeight="1" outlineLevel="6" x14ac:dyDescent="0.25">
      <c r="A512" s="49" t="s">
        <v>1038</v>
      </c>
      <c r="B512" s="50"/>
      <c r="C512" s="50"/>
      <c r="D512" s="3" t="s">
        <v>751</v>
      </c>
      <c r="E512" s="3"/>
      <c r="F512" s="51" t="s">
        <v>798</v>
      </c>
      <c r="G512" s="50" t="s">
        <v>102</v>
      </c>
      <c r="H512" s="52">
        <f>1</f>
        <v>1</v>
      </c>
      <c r="I512" s="36"/>
      <c r="J512" s="52">
        <v>1</v>
      </c>
      <c r="K512" s="53">
        <f>0</f>
        <v>0</v>
      </c>
      <c r="L512" s="53">
        <f>0</f>
        <v>0</v>
      </c>
      <c r="M512" s="53">
        <f>0</f>
        <v>0</v>
      </c>
      <c r="N512" s="54">
        <f>SUM(K512:M512)</f>
        <v>0</v>
      </c>
      <c r="O512" s="54">
        <f>ROUND((H512*K512),2)</f>
        <v>0</v>
      </c>
      <c r="P512" s="54">
        <f>ROUND((H512*L512),2)</f>
        <v>0</v>
      </c>
      <c r="Q512" s="54">
        <f>ROUND((H512*M512),2)</f>
        <v>0</v>
      </c>
      <c r="R512" s="54">
        <f>ROUND((H512*N512),2)</f>
        <v>0</v>
      </c>
      <c r="S512" s="54"/>
      <c r="T512" s="36"/>
      <c r="XDA512"/>
      <c r="XDB512"/>
      <c r="XDC512"/>
      <c r="XDD512"/>
      <c r="XDE512"/>
      <c r="XDF512"/>
      <c r="XDG512"/>
      <c r="XDH512"/>
      <c r="XDI512"/>
      <c r="XDJ512"/>
      <c r="XDK512"/>
      <c r="XDL512"/>
      <c r="XDM512"/>
      <c r="XDN512"/>
      <c r="XDO512"/>
      <c r="XDP512"/>
      <c r="XDQ512"/>
      <c r="XDR512"/>
      <c r="XDS512"/>
      <c r="XDT512"/>
      <c r="XDU512"/>
      <c r="XDV512"/>
      <c r="XDW512"/>
      <c r="XDX512"/>
      <c r="XDY512"/>
      <c r="XDZ512"/>
      <c r="XEA512"/>
      <c r="XEB512"/>
      <c r="XEC512"/>
      <c r="XED512"/>
      <c r="XEE512"/>
      <c r="XEF512"/>
      <c r="XEG512"/>
      <c r="XEH512"/>
      <c r="XEI512"/>
      <c r="XEJ512"/>
      <c r="XEK512"/>
      <c r="XEL512"/>
      <c r="XEM512"/>
      <c r="XEN512"/>
      <c r="XEO512"/>
      <c r="XEP512"/>
      <c r="XEQ512"/>
      <c r="XER512"/>
      <c r="XES512"/>
      <c r="XET512"/>
      <c r="XEU512"/>
      <c r="XEV512"/>
      <c r="XEW512"/>
      <c r="XEX512"/>
      <c r="XEY512"/>
      <c r="XEZ512"/>
      <c r="XFA512"/>
      <c r="XFB512"/>
      <c r="XFC512"/>
    </row>
    <row r="513" spans="1:20 16329:16383" s="38" customFormat="1" ht="29.1" customHeight="1" outlineLevel="6" x14ac:dyDescent="0.25">
      <c r="A513" s="49" t="s">
        <v>1039</v>
      </c>
      <c r="B513" s="50"/>
      <c r="C513" s="50"/>
      <c r="D513" s="3" t="s">
        <v>754</v>
      </c>
      <c r="E513" s="3"/>
      <c r="F513" s="51" t="s">
        <v>800</v>
      </c>
      <c r="G513" s="50" t="s">
        <v>102</v>
      </c>
      <c r="H513" s="52">
        <f>1</f>
        <v>1</v>
      </c>
      <c r="I513" s="36"/>
      <c r="J513" s="52">
        <v>1</v>
      </c>
      <c r="K513" s="53">
        <f>0</f>
        <v>0</v>
      </c>
      <c r="L513" s="53">
        <f>0</f>
        <v>0</v>
      </c>
      <c r="M513" s="53">
        <f>0</f>
        <v>0</v>
      </c>
      <c r="N513" s="54">
        <f>SUM(K513:M513)</f>
        <v>0</v>
      </c>
      <c r="O513" s="54">
        <f>ROUND((H513*K513),2)</f>
        <v>0</v>
      </c>
      <c r="P513" s="54">
        <f>ROUND((H513*L513),2)</f>
        <v>0</v>
      </c>
      <c r="Q513" s="54">
        <f>ROUND((H513*M513),2)</f>
        <v>0</v>
      </c>
      <c r="R513" s="54">
        <f>ROUND((H513*N513),2)</f>
        <v>0</v>
      </c>
      <c r="S513" s="54"/>
      <c r="T513" s="36"/>
      <c r="XDA513"/>
      <c r="XDB513"/>
      <c r="XDC513"/>
      <c r="XDD513"/>
      <c r="XDE513"/>
      <c r="XDF513"/>
      <c r="XDG513"/>
      <c r="XDH513"/>
      <c r="XDI513"/>
      <c r="XDJ513"/>
      <c r="XDK513"/>
      <c r="XDL513"/>
      <c r="XDM513"/>
      <c r="XDN513"/>
      <c r="XDO513"/>
      <c r="XDP513"/>
      <c r="XDQ513"/>
      <c r="XDR513"/>
      <c r="XDS513"/>
      <c r="XDT513"/>
      <c r="XDU513"/>
      <c r="XDV513"/>
      <c r="XDW513"/>
      <c r="XDX513"/>
      <c r="XDY513"/>
      <c r="XDZ513"/>
      <c r="XEA513"/>
      <c r="XEB513"/>
      <c r="XEC513"/>
      <c r="XED513"/>
      <c r="XEE513"/>
      <c r="XEF513"/>
      <c r="XEG513"/>
      <c r="XEH513"/>
      <c r="XEI513"/>
      <c r="XEJ513"/>
      <c r="XEK513"/>
      <c r="XEL513"/>
      <c r="XEM513"/>
      <c r="XEN513"/>
      <c r="XEO513"/>
      <c r="XEP513"/>
      <c r="XEQ513"/>
      <c r="XER513"/>
      <c r="XES513"/>
      <c r="XET513"/>
      <c r="XEU513"/>
      <c r="XEV513"/>
      <c r="XEW513"/>
      <c r="XEX513"/>
      <c r="XEY513"/>
      <c r="XEZ513"/>
      <c r="XFA513"/>
      <c r="XFB513"/>
      <c r="XFC513"/>
    </row>
    <row r="514" spans="1:20 16329:16383" s="38" customFormat="1" ht="29.1" customHeight="1" outlineLevel="5" x14ac:dyDescent="0.25">
      <c r="A514" s="65" t="s">
        <v>1040</v>
      </c>
      <c r="B514" s="66" t="s">
        <v>1041</v>
      </c>
      <c r="C514" s="66"/>
      <c r="D514" s="98" t="s">
        <v>880</v>
      </c>
      <c r="E514" s="98"/>
      <c r="F514" s="67" t="s">
        <v>881</v>
      </c>
      <c r="G514" s="66"/>
      <c r="H514" s="68"/>
      <c r="I514" s="36"/>
      <c r="J514" s="68"/>
      <c r="K514" s="69"/>
      <c r="L514" s="69"/>
      <c r="M514" s="69"/>
      <c r="N514" s="69"/>
      <c r="O514" s="69">
        <f>O515</f>
        <v>0</v>
      </c>
      <c r="P514" s="69">
        <f>P515</f>
        <v>0</v>
      </c>
      <c r="Q514" s="69">
        <f>Q515</f>
        <v>0</v>
      </c>
      <c r="R514" s="69">
        <f>R515</f>
        <v>0</v>
      </c>
      <c r="S514" s="69"/>
      <c r="T514" s="36"/>
      <c r="XDA514"/>
      <c r="XDB514"/>
      <c r="XDC514"/>
      <c r="XDD514"/>
      <c r="XDE514"/>
      <c r="XDF514"/>
      <c r="XDG514"/>
      <c r="XDH514"/>
      <c r="XDI514"/>
      <c r="XDJ514"/>
      <c r="XDK514"/>
      <c r="XDL514"/>
      <c r="XDM514"/>
      <c r="XDN514"/>
      <c r="XDO514"/>
      <c r="XDP514"/>
      <c r="XDQ514"/>
      <c r="XDR514"/>
      <c r="XDS514"/>
      <c r="XDT514"/>
      <c r="XDU514"/>
      <c r="XDV514"/>
      <c r="XDW514"/>
      <c r="XDX514"/>
      <c r="XDY514"/>
      <c r="XDZ514"/>
      <c r="XEA514"/>
      <c r="XEB514"/>
      <c r="XEC514"/>
      <c r="XED514"/>
      <c r="XEE514"/>
      <c r="XEF514"/>
      <c r="XEG514"/>
      <c r="XEH514"/>
      <c r="XEI514"/>
      <c r="XEJ514"/>
      <c r="XEK514"/>
      <c r="XEL514"/>
      <c r="XEM514"/>
      <c r="XEN514"/>
      <c r="XEO514"/>
      <c r="XEP514"/>
      <c r="XEQ514"/>
      <c r="XER514"/>
      <c r="XES514"/>
      <c r="XET514"/>
      <c r="XEU514"/>
      <c r="XEV514"/>
      <c r="XEW514"/>
      <c r="XEX514"/>
      <c r="XEY514"/>
      <c r="XEZ514"/>
      <c r="XFA514"/>
      <c r="XFB514"/>
      <c r="XFC514"/>
    </row>
    <row r="515" spans="1:20 16329:16383" s="38" customFormat="1" ht="29.1" customHeight="1" outlineLevel="6" x14ac:dyDescent="0.25">
      <c r="A515" s="49" t="s">
        <v>1042</v>
      </c>
      <c r="B515" s="50"/>
      <c r="C515" s="50"/>
      <c r="D515" s="3" t="s">
        <v>773</v>
      </c>
      <c r="E515" s="3"/>
      <c r="F515" s="51" t="s">
        <v>816</v>
      </c>
      <c r="G515" s="50" t="s">
        <v>102</v>
      </c>
      <c r="H515" s="52">
        <f>1</f>
        <v>1</v>
      </c>
      <c r="I515" s="36"/>
      <c r="J515" s="52">
        <v>1</v>
      </c>
      <c r="K515" s="53">
        <f>0</f>
        <v>0</v>
      </c>
      <c r="L515" s="53">
        <f>0</f>
        <v>0</v>
      </c>
      <c r="M515" s="53">
        <f>0</f>
        <v>0</v>
      </c>
      <c r="N515" s="54">
        <f>SUM(K515:M515)</f>
        <v>0</v>
      </c>
      <c r="O515" s="54">
        <f>ROUND((H515*K515),2)</f>
        <v>0</v>
      </c>
      <c r="P515" s="54">
        <f>ROUND((H515*L515),2)</f>
        <v>0</v>
      </c>
      <c r="Q515" s="54">
        <f>ROUND((H515*M515),2)</f>
        <v>0</v>
      </c>
      <c r="R515" s="54">
        <f>ROUND((H515*N515),2)</f>
        <v>0</v>
      </c>
      <c r="S515" s="54"/>
      <c r="T515" s="36"/>
      <c r="XDA515"/>
      <c r="XDB515"/>
      <c r="XDC515"/>
      <c r="XDD515"/>
      <c r="XDE515"/>
      <c r="XDF515"/>
      <c r="XDG515"/>
      <c r="XDH515"/>
      <c r="XDI515"/>
      <c r="XDJ515"/>
      <c r="XDK515"/>
      <c r="XDL515"/>
      <c r="XDM515"/>
      <c r="XDN515"/>
      <c r="XDO515"/>
      <c r="XDP515"/>
      <c r="XDQ515"/>
      <c r="XDR515"/>
      <c r="XDS515"/>
      <c r="XDT515"/>
      <c r="XDU515"/>
      <c r="XDV515"/>
      <c r="XDW515"/>
      <c r="XDX515"/>
      <c r="XDY515"/>
      <c r="XDZ515"/>
      <c r="XEA515"/>
      <c r="XEB515"/>
      <c r="XEC515"/>
      <c r="XED515"/>
      <c r="XEE515"/>
      <c r="XEF515"/>
      <c r="XEG515"/>
      <c r="XEH515"/>
      <c r="XEI515"/>
      <c r="XEJ515"/>
      <c r="XEK515"/>
      <c r="XEL515"/>
      <c r="XEM515"/>
      <c r="XEN515"/>
      <c r="XEO515"/>
      <c r="XEP515"/>
      <c r="XEQ515"/>
      <c r="XER515"/>
      <c r="XES515"/>
      <c r="XET515"/>
      <c r="XEU515"/>
      <c r="XEV515"/>
      <c r="XEW515"/>
      <c r="XEX515"/>
      <c r="XEY515"/>
      <c r="XEZ515"/>
      <c r="XFA515"/>
      <c r="XFB515"/>
      <c r="XFC515"/>
    </row>
    <row r="516" spans="1:20 16329:16383" s="38" customFormat="1" ht="29.1" customHeight="1" outlineLevel="5" x14ac:dyDescent="0.25">
      <c r="A516" s="65" t="s">
        <v>1043</v>
      </c>
      <c r="B516" s="66" t="s">
        <v>1044</v>
      </c>
      <c r="C516" s="66"/>
      <c r="D516" s="98" t="s">
        <v>891</v>
      </c>
      <c r="E516" s="98"/>
      <c r="F516" s="67" t="s">
        <v>892</v>
      </c>
      <c r="G516" s="66"/>
      <c r="H516" s="68"/>
      <c r="I516" s="36"/>
      <c r="J516" s="68"/>
      <c r="K516" s="69"/>
      <c r="L516" s="69"/>
      <c r="M516" s="69"/>
      <c r="N516" s="69"/>
      <c r="O516" s="69">
        <f>SUM(O517:O520)</f>
        <v>0</v>
      </c>
      <c r="P516" s="69">
        <f>SUM(P517:P520)</f>
        <v>0</v>
      </c>
      <c r="Q516" s="69">
        <f>SUM(Q517:Q520)</f>
        <v>0</v>
      </c>
      <c r="R516" s="69">
        <f>SUM(R517:R520)</f>
        <v>0</v>
      </c>
      <c r="S516" s="69"/>
      <c r="T516" s="36"/>
      <c r="XDA516"/>
      <c r="XDB516"/>
      <c r="XDC516"/>
      <c r="XDD516"/>
      <c r="XDE516"/>
      <c r="XDF516"/>
      <c r="XDG516"/>
      <c r="XDH516"/>
      <c r="XDI516"/>
      <c r="XDJ516"/>
      <c r="XDK516"/>
      <c r="XDL516"/>
      <c r="XDM516"/>
      <c r="XDN516"/>
      <c r="XDO516"/>
      <c r="XDP516"/>
      <c r="XDQ516"/>
      <c r="XDR516"/>
      <c r="XDS516"/>
      <c r="XDT516"/>
      <c r="XDU516"/>
      <c r="XDV516"/>
      <c r="XDW516"/>
      <c r="XDX516"/>
      <c r="XDY516"/>
      <c r="XDZ516"/>
      <c r="XEA516"/>
      <c r="XEB516"/>
      <c r="XEC516"/>
      <c r="XED516"/>
      <c r="XEE516"/>
      <c r="XEF516"/>
      <c r="XEG516"/>
      <c r="XEH516"/>
      <c r="XEI516"/>
      <c r="XEJ516"/>
      <c r="XEK516"/>
      <c r="XEL516"/>
      <c r="XEM516"/>
      <c r="XEN516"/>
      <c r="XEO516"/>
      <c r="XEP516"/>
      <c r="XEQ516"/>
      <c r="XER516"/>
      <c r="XES516"/>
      <c r="XET516"/>
      <c r="XEU516"/>
      <c r="XEV516"/>
      <c r="XEW516"/>
      <c r="XEX516"/>
      <c r="XEY516"/>
      <c r="XEZ516"/>
      <c r="XFA516"/>
      <c r="XFB516"/>
      <c r="XFC516"/>
    </row>
    <row r="517" spans="1:20 16329:16383" s="38" customFormat="1" ht="29.1" customHeight="1" outlineLevel="6" x14ac:dyDescent="0.25">
      <c r="A517" s="49" t="s">
        <v>1045</v>
      </c>
      <c r="B517" s="50"/>
      <c r="C517" s="50"/>
      <c r="D517" s="3" t="s">
        <v>785</v>
      </c>
      <c r="E517" s="3"/>
      <c r="F517" s="51" t="s">
        <v>1046</v>
      </c>
      <c r="G517" s="50" t="s">
        <v>102</v>
      </c>
      <c r="H517" s="52">
        <f>1</f>
        <v>1</v>
      </c>
      <c r="I517" s="36"/>
      <c r="J517" s="52">
        <v>1</v>
      </c>
      <c r="K517" s="53">
        <f>0</f>
        <v>0</v>
      </c>
      <c r="L517" s="53">
        <f>0</f>
        <v>0</v>
      </c>
      <c r="M517" s="53">
        <f>0</f>
        <v>0</v>
      </c>
      <c r="N517" s="54">
        <f>SUM(K517:M517)</f>
        <v>0</v>
      </c>
      <c r="O517" s="54">
        <f>ROUND((H517*K517),2)</f>
        <v>0</v>
      </c>
      <c r="P517" s="54">
        <f>ROUND((H517*L517),2)</f>
        <v>0</v>
      </c>
      <c r="Q517" s="54">
        <f>ROUND((H517*M517),2)</f>
        <v>0</v>
      </c>
      <c r="R517" s="54">
        <f>ROUND((H517*N517),2)</f>
        <v>0</v>
      </c>
      <c r="S517" s="54"/>
      <c r="T517" s="36"/>
      <c r="XDA517"/>
      <c r="XDB517"/>
      <c r="XDC517"/>
      <c r="XDD517"/>
      <c r="XDE517"/>
      <c r="XDF517"/>
      <c r="XDG517"/>
      <c r="XDH517"/>
      <c r="XDI517"/>
      <c r="XDJ517"/>
      <c r="XDK517"/>
      <c r="XDL517"/>
      <c r="XDM517"/>
      <c r="XDN517"/>
      <c r="XDO517"/>
      <c r="XDP517"/>
      <c r="XDQ517"/>
      <c r="XDR517"/>
      <c r="XDS517"/>
      <c r="XDT517"/>
      <c r="XDU517"/>
      <c r="XDV517"/>
      <c r="XDW517"/>
      <c r="XDX517"/>
      <c r="XDY517"/>
      <c r="XDZ517"/>
      <c r="XEA517"/>
      <c r="XEB517"/>
      <c r="XEC517"/>
      <c r="XED517"/>
      <c r="XEE517"/>
      <c r="XEF517"/>
      <c r="XEG517"/>
      <c r="XEH517"/>
      <c r="XEI517"/>
      <c r="XEJ517"/>
      <c r="XEK517"/>
      <c r="XEL517"/>
      <c r="XEM517"/>
      <c r="XEN517"/>
      <c r="XEO517"/>
      <c r="XEP517"/>
      <c r="XEQ517"/>
      <c r="XER517"/>
      <c r="XES517"/>
      <c r="XET517"/>
      <c r="XEU517"/>
      <c r="XEV517"/>
      <c r="XEW517"/>
      <c r="XEX517"/>
      <c r="XEY517"/>
      <c r="XEZ517"/>
      <c r="XFA517"/>
      <c r="XFB517"/>
      <c r="XFC517"/>
    </row>
    <row r="518" spans="1:20 16329:16383" s="38" customFormat="1" ht="29.1" customHeight="1" outlineLevel="6" x14ac:dyDescent="0.25">
      <c r="A518" s="49" t="s">
        <v>1047</v>
      </c>
      <c r="B518" s="50"/>
      <c r="C518" s="50"/>
      <c r="D518" s="3" t="s">
        <v>785</v>
      </c>
      <c r="E518" s="3"/>
      <c r="F518" s="51" t="s">
        <v>1048</v>
      </c>
      <c r="G518" s="50" t="s">
        <v>102</v>
      </c>
      <c r="H518" s="52">
        <f>1</f>
        <v>1</v>
      </c>
      <c r="I518" s="36"/>
      <c r="J518" s="52">
        <v>1</v>
      </c>
      <c r="K518" s="53">
        <f>0</f>
        <v>0</v>
      </c>
      <c r="L518" s="53">
        <f>0</f>
        <v>0</v>
      </c>
      <c r="M518" s="53">
        <f>0</f>
        <v>0</v>
      </c>
      <c r="N518" s="54">
        <f>SUM(K518:M518)</f>
        <v>0</v>
      </c>
      <c r="O518" s="54">
        <f>ROUND((H518*K518),2)</f>
        <v>0</v>
      </c>
      <c r="P518" s="54">
        <f>ROUND((H518*L518),2)</f>
        <v>0</v>
      </c>
      <c r="Q518" s="54">
        <f>ROUND((H518*M518),2)</f>
        <v>0</v>
      </c>
      <c r="R518" s="54">
        <f>ROUND((H518*N518),2)</f>
        <v>0</v>
      </c>
      <c r="S518" s="54"/>
      <c r="T518" s="36"/>
      <c r="XDA518"/>
      <c r="XDB518"/>
      <c r="XDC518"/>
      <c r="XDD518"/>
      <c r="XDE518"/>
      <c r="XDF518"/>
      <c r="XDG518"/>
      <c r="XDH518"/>
      <c r="XDI518"/>
      <c r="XDJ518"/>
      <c r="XDK518"/>
      <c r="XDL518"/>
      <c r="XDM518"/>
      <c r="XDN518"/>
      <c r="XDO518"/>
      <c r="XDP518"/>
      <c r="XDQ518"/>
      <c r="XDR518"/>
      <c r="XDS518"/>
      <c r="XDT518"/>
      <c r="XDU518"/>
      <c r="XDV518"/>
      <c r="XDW518"/>
      <c r="XDX518"/>
      <c r="XDY518"/>
      <c r="XDZ518"/>
      <c r="XEA518"/>
      <c r="XEB518"/>
      <c r="XEC518"/>
      <c r="XED518"/>
      <c r="XEE518"/>
      <c r="XEF518"/>
      <c r="XEG518"/>
      <c r="XEH518"/>
      <c r="XEI518"/>
      <c r="XEJ518"/>
      <c r="XEK518"/>
      <c r="XEL518"/>
      <c r="XEM518"/>
      <c r="XEN518"/>
      <c r="XEO518"/>
      <c r="XEP518"/>
      <c r="XEQ518"/>
      <c r="XER518"/>
      <c r="XES518"/>
      <c r="XET518"/>
      <c r="XEU518"/>
      <c r="XEV518"/>
      <c r="XEW518"/>
      <c r="XEX518"/>
      <c r="XEY518"/>
      <c r="XEZ518"/>
      <c r="XFA518"/>
      <c r="XFB518"/>
      <c r="XFC518"/>
    </row>
    <row r="519" spans="1:20 16329:16383" s="38" customFormat="1" ht="29.1" customHeight="1" outlineLevel="6" x14ac:dyDescent="0.25">
      <c r="A519" s="49" t="s">
        <v>1049</v>
      </c>
      <c r="B519" s="50"/>
      <c r="C519" s="50"/>
      <c r="D519" s="3" t="s">
        <v>787</v>
      </c>
      <c r="E519" s="3"/>
      <c r="F519" s="51" t="s">
        <v>1027</v>
      </c>
      <c r="G519" s="50" t="s">
        <v>102</v>
      </c>
      <c r="H519" s="52">
        <f>1</f>
        <v>1</v>
      </c>
      <c r="I519" s="36"/>
      <c r="J519" s="52">
        <v>1</v>
      </c>
      <c r="K519" s="53">
        <f>0</f>
        <v>0</v>
      </c>
      <c r="L519" s="53">
        <f>0</f>
        <v>0</v>
      </c>
      <c r="M519" s="53">
        <f>0</f>
        <v>0</v>
      </c>
      <c r="N519" s="54">
        <f>SUM(K519:M519)</f>
        <v>0</v>
      </c>
      <c r="O519" s="54">
        <f>ROUND((H519*K519),2)</f>
        <v>0</v>
      </c>
      <c r="P519" s="54">
        <f>ROUND((H519*L519),2)</f>
        <v>0</v>
      </c>
      <c r="Q519" s="54">
        <f>ROUND((H519*M519),2)</f>
        <v>0</v>
      </c>
      <c r="R519" s="54">
        <f>ROUND((H519*N519),2)</f>
        <v>0</v>
      </c>
      <c r="S519" s="54"/>
      <c r="T519" s="36"/>
      <c r="XDA519"/>
      <c r="XDB519"/>
      <c r="XDC519"/>
      <c r="XDD519"/>
      <c r="XDE519"/>
      <c r="XDF519"/>
      <c r="XDG519"/>
      <c r="XDH519"/>
      <c r="XDI519"/>
      <c r="XDJ519"/>
      <c r="XDK519"/>
      <c r="XDL519"/>
      <c r="XDM519"/>
      <c r="XDN519"/>
      <c r="XDO519"/>
      <c r="XDP519"/>
      <c r="XDQ519"/>
      <c r="XDR519"/>
      <c r="XDS519"/>
      <c r="XDT519"/>
      <c r="XDU519"/>
      <c r="XDV519"/>
      <c r="XDW519"/>
      <c r="XDX519"/>
      <c r="XDY519"/>
      <c r="XDZ519"/>
      <c r="XEA519"/>
      <c r="XEB519"/>
      <c r="XEC519"/>
      <c r="XED519"/>
      <c r="XEE519"/>
      <c r="XEF519"/>
      <c r="XEG519"/>
      <c r="XEH519"/>
      <c r="XEI519"/>
      <c r="XEJ519"/>
      <c r="XEK519"/>
      <c r="XEL519"/>
      <c r="XEM519"/>
      <c r="XEN519"/>
      <c r="XEO519"/>
      <c r="XEP519"/>
      <c r="XEQ519"/>
      <c r="XER519"/>
      <c r="XES519"/>
      <c r="XET519"/>
      <c r="XEU519"/>
      <c r="XEV519"/>
      <c r="XEW519"/>
      <c r="XEX519"/>
      <c r="XEY519"/>
      <c r="XEZ519"/>
      <c r="XFA519"/>
      <c r="XFB519"/>
      <c r="XFC519"/>
    </row>
    <row r="520" spans="1:20 16329:16383" s="38" customFormat="1" ht="29.1" customHeight="1" outlineLevel="6" x14ac:dyDescent="0.25">
      <c r="A520" s="49" t="s">
        <v>1050</v>
      </c>
      <c r="B520" s="50"/>
      <c r="C520" s="50"/>
      <c r="D520" s="3" t="s">
        <v>899</v>
      </c>
      <c r="E520" s="3"/>
      <c r="F520" s="51" t="s">
        <v>1051</v>
      </c>
      <c r="G520" s="50" t="s">
        <v>102</v>
      </c>
      <c r="H520" s="52">
        <f>1</f>
        <v>1</v>
      </c>
      <c r="I520" s="36"/>
      <c r="J520" s="52">
        <v>1</v>
      </c>
      <c r="K520" s="53">
        <f>0</f>
        <v>0</v>
      </c>
      <c r="L520" s="53">
        <f>0</f>
        <v>0</v>
      </c>
      <c r="M520" s="53">
        <f>0</f>
        <v>0</v>
      </c>
      <c r="N520" s="54">
        <f>SUM(K520:M520)</f>
        <v>0</v>
      </c>
      <c r="O520" s="54">
        <f>ROUND((H520*K520),2)</f>
        <v>0</v>
      </c>
      <c r="P520" s="54">
        <f>ROUND((H520*L520),2)</f>
        <v>0</v>
      </c>
      <c r="Q520" s="54">
        <f>ROUND((H520*M520),2)</f>
        <v>0</v>
      </c>
      <c r="R520" s="54">
        <f>ROUND((H520*N520),2)</f>
        <v>0</v>
      </c>
      <c r="S520" s="54"/>
      <c r="T520" s="36"/>
      <c r="XDA520"/>
      <c r="XDB520"/>
      <c r="XDC520"/>
      <c r="XDD520"/>
      <c r="XDE520"/>
      <c r="XDF520"/>
      <c r="XDG520"/>
      <c r="XDH520"/>
      <c r="XDI520"/>
      <c r="XDJ520"/>
      <c r="XDK520"/>
      <c r="XDL520"/>
      <c r="XDM520"/>
      <c r="XDN520"/>
      <c r="XDO520"/>
      <c r="XDP520"/>
      <c r="XDQ520"/>
      <c r="XDR520"/>
      <c r="XDS520"/>
      <c r="XDT520"/>
      <c r="XDU520"/>
      <c r="XDV520"/>
      <c r="XDW520"/>
      <c r="XDX520"/>
      <c r="XDY520"/>
      <c r="XDZ520"/>
      <c r="XEA520"/>
      <c r="XEB520"/>
      <c r="XEC520"/>
      <c r="XED520"/>
      <c r="XEE520"/>
      <c r="XEF520"/>
      <c r="XEG520"/>
      <c r="XEH520"/>
      <c r="XEI520"/>
      <c r="XEJ520"/>
      <c r="XEK520"/>
      <c r="XEL520"/>
      <c r="XEM520"/>
      <c r="XEN520"/>
      <c r="XEO520"/>
      <c r="XEP520"/>
      <c r="XEQ520"/>
      <c r="XER520"/>
      <c r="XES520"/>
      <c r="XET520"/>
      <c r="XEU520"/>
      <c r="XEV520"/>
      <c r="XEW520"/>
      <c r="XEX520"/>
      <c r="XEY520"/>
      <c r="XEZ520"/>
      <c r="XFA520"/>
      <c r="XFB520"/>
      <c r="XFC520"/>
    </row>
    <row r="521" spans="1:20 16329:16383" s="38" customFormat="1" ht="29.1" customHeight="1" outlineLevel="4" x14ac:dyDescent="0.25">
      <c r="A521" s="60" t="s">
        <v>1052</v>
      </c>
      <c r="B521" s="61" t="s">
        <v>1053</v>
      </c>
      <c r="C521" s="61"/>
      <c r="D521" s="1" t="s">
        <v>919</v>
      </c>
      <c r="E521" s="1"/>
      <c r="F521" s="62"/>
      <c r="G521" s="61"/>
      <c r="H521" s="63"/>
      <c r="I521" s="36"/>
      <c r="J521" s="63"/>
      <c r="K521" s="64"/>
      <c r="L521" s="64"/>
      <c r="M521" s="64"/>
      <c r="N521" s="64"/>
      <c r="O521" s="64">
        <f>O522+O525+O529+O533+O535+O537</f>
        <v>0</v>
      </c>
      <c r="P521" s="64">
        <f>P522+P525+P529+P533+P535+P537</f>
        <v>0</v>
      </c>
      <c r="Q521" s="64">
        <f>Q522+Q525+Q529+Q533+Q535+Q537</f>
        <v>0</v>
      </c>
      <c r="R521" s="64">
        <f>R522+R525+R529+R533+R535+R537</f>
        <v>0</v>
      </c>
      <c r="S521" s="64"/>
      <c r="T521" s="36"/>
      <c r="XDA521"/>
      <c r="XDB521"/>
      <c r="XDC521"/>
      <c r="XDD521"/>
      <c r="XDE521"/>
      <c r="XDF521"/>
      <c r="XDG521"/>
      <c r="XDH521"/>
      <c r="XDI521"/>
      <c r="XDJ521"/>
      <c r="XDK521"/>
      <c r="XDL521"/>
      <c r="XDM521"/>
      <c r="XDN521"/>
      <c r="XDO521"/>
      <c r="XDP521"/>
      <c r="XDQ521"/>
      <c r="XDR521"/>
      <c r="XDS521"/>
      <c r="XDT521"/>
      <c r="XDU521"/>
      <c r="XDV521"/>
      <c r="XDW521"/>
      <c r="XDX521"/>
      <c r="XDY521"/>
      <c r="XDZ521"/>
      <c r="XEA521"/>
      <c r="XEB521"/>
      <c r="XEC521"/>
      <c r="XED521"/>
      <c r="XEE521"/>
      <c r="XEF521"/>
      <c r="XEG521"/>
      <c r="XEH521"/>
      <c r="XEI521"/>
      <c r="XEJ521"/>
      <c r="XEK521"/>
      <c r="XEL521"/>
      <c r="XEM521"/>
      <c r="XEN521"/>
      <c r="XEO521"/>
      <c r="XEP521"/>
      <c r="XEQ521"/>
      <c r="XER521"/>
      <c r="XES521"/>
      <c r="XET521"/>
      <c r="XEU521"/>
      <c r="XEV521"/>
      <c r="XEW521"/>
      <c r="XEX521"/>
      <c r="XEY521"/>
      <c r="XEZ521"/>
      <c r="XFA521"/>
      <c r="XFB521"/>
      <c r="XFC521"/>
    </row>
    <row r="522" spans="1:20 16329:16383" s="38" customFormat="1" ht="29.1" customHeight="1" outlineLevel="5" x14ac:dyDescent="0.25">
      <c r="A522" s="65" t="s">
        <v>1054</v>
      </c>
      <c r="B522" s="66" t="s">
        <v>1055</v>
      </c>
      <c r="C522" s="66"/>
      <c r="D522" s="98" t="s">
        <v>1036</v>
      </c>
      <c r="E522" s="98"/>
      <c r="F522" s="67" t="s">
        <v>1056</v>
      </c>
      <c r="G522" s="66"/>
      <c r="H522" s="68"/>
      <c r="I522" s="36"/>
      <c r="J522" s="68"/>
      <c r="K522" s="69"/>
      <c r="L522" s="69"/>
      <c r="M522" s="69"/>
      <c r="N522" s="69"/>
      <c r="O522" s="69">
        <f>O523+O524</f>
        <v>0</v>
      </c>
      <c r="P522" s="69">
        <f>P523+P524</f>
        <v>0</v>
      </c>
      <c r="Q522" s="69">
        <f>Q523+Q524</f>
        <v>0</v>
      </c>
      <c r="R522" s="69">
        <f>R523+R524</f>
        <v>0</v>
      </c>
      <c r="S522" s="69"/>
      <c r="T522" s="36"/>
      <c r="XDA522"/>
      <c r="XDB522"/>
      <c r="XDC522"/>
      <c r="XDD522"/>
      <c r="XDE522"/>
      <c r="XDF522"/>
      <c r="XDG522"/>
      <c r="XDH522"/>
      <c r="XDI522"/>
      <c r="XDJ522"/>
      <c r="XDK522"/>
      <c r="XDL522"/>
      <c r="XDM522"/>
      <c r="XDN522"/>
      <c r="XDO522"/>
      <c r="XDP522"/>
      <c r="XDQ522"/>
      <c r="XDR522"/>
      <c r="XDS522"/>
      <c r="XDT522"/>
      <c r="XDU522"/>
      <c r="XDV522"/>
      <c r="XDW522"/>
      <c r="XDX522"/>
      <c r="XDY522"/>
      <c r="XDZ522"/>
      <c r="XEA522"/>
      <c r="XEB522"/>
      <c r="XEC522"/>
      <c r="XED522"/>
      <c r="XEE522"/>
      <c r="XEF522"/>
      <c r="XEG522"/>
      <c r="XEH522"/>
      <c r="XEI522"/>
      <c r="XEJ522"/>
      <c r="XEK522"/>
      <c r="XEL522"/>
      <c r="XEM522"/>
      <c r="XEN522"/>
      <c r="XEO522"/>
      <c r="XEP522"/>
      <c r="XEQ522"/>
      <c r="XER522"/>
      <c r="XES522"/>
      <c r="XET522"/>
      <c r="XEU522"/>
      <c r="XEV522"/>
      <c r="XEW522"/>
      <c r="XEX522"/>
      <c r="XEY522"/>
      <c r="XEZ522"/>
      <c r="XFA522"/>
      <c r="XFB522"/>
      <c r="XFC522"/>
    </row>
    <row r="523" spans="1:20 16329:16383" s="38" customFormat="1" ht="29.1" customHeight="1" outlineLevel="6" x14ac:dyDescent="0.25">
      <c r="A523" s="49" t="s">
        <v>1057</v>
      </c>
      <c r="B523" s="50"/>
      <c r="C523" s="50"/>
      <c r="D523" s="3" t="s">
        <v>751</v>
      </c>
      <c r="E523" s="3"/>
      <c r="F523" s="51" t="s">
        <v>798</v>
      </c>
      <c r="G523" s="50" t="s">
        <v>102</v>
      </c>
      <c r="H523" s="52">
        <f>1</f>
        <v>1</v>
      </c>
      <c r="I523" s="36"/>
      <c r="J523" s="52">
        <v>1</v>
      </c>
      <c r="K523" s="53">
        <f>0</f>
        <v>0</v>
      </c>
      <c r="L523" s="53">
        <f>0</f>
        <v>0</v>
      </c>
      <c r="M523" s="53">
        <f>0</f>
        <v>0</v>
      </c>
      <c r="N523" s="54">
        <f>SUM(K523:M523)</f>
        <v>0</v>
      </c>
      <c r="O523" s="54">
        <f>ROUND((H523*K523),2)</f>
        <v>0</v>
      </c>
      <c r="P523" s="54">
        <f>ROUND((H523*L523),2)</f>
        <v>0</v>
      </c>
      <c r="Q523" s="54">
        <f>ROUND((H523*M523),2)</f>
        <v>0</v>
      </c>
      <c r="R523" s="54">
        <f>ROUND((H523*N523),2)</f>
        <v>0</v>
      </c>
      <c r="S523" s="54"/>
      <c r="T523" s="36"/>
      <c r="XDA523"/>
      <c r="XDB523"/>
      <c r="XDC523"/>
      <c r="XDD523"/>
      <c r="XDE523"/>
      <c r="XDF523"/>
      <c r="XDG523"/>
      <c r="XDH523"/>
      <c r="XDI523"/>
      <c r="XDJ523"/>
      <c r="XDK523"/>
      <c r="XDL523"/>
      <c r="XDM523"/>
      <c r="XDN523"/>
      <c r="XDO523"/>
      <c r="XDP523"/>
      <c r="XDQ523"/>
      <c r="XDR523"/>
      <c r="XDS523"/>
      <c r="XDT523"/>
      <c r="XDU523"/>
      <c r="XDV523"/>
      <c r="XDW523"/>
      <c r="XDX523"/>
      <c r="XDY523"/>
      <c r="XDZ523"/>
      <c r="XEA523"/>
      <c r="XEB523"/>
      <c r="XEC523"/>
      <c r="XED523"/>
      <c r="XEE523"/>
      <c r="XEF523"/>
      <c r="XEG523"/>
      <c r="XEH523"/>
      <c r="XEI523"/>
      <c r="XEJ523"/>
      <c r="XEK523"/>
      <c r="XEL523"/>
      <c r="XEM523"/>
      <c r="XEN523"/>
      <c r="XEO523"/>
      <c r="XEP523"/>
      <c r="XEQ523"/>
      <c r="XER523"/>
      <c r="XES523"/>
      <c r="XET523"/>
      <c r="XEU523"/>
      <c r="XEV523"/>
      <c r="XEW523"/>
      <c r="XEX523"/>
      <c r="XEY523"/>
      <c r="XEZ523"/>
      <c r="XFA523"/>
      <c r="XFB523"/>
      <c r="XFC523"/>
    </row>
    <row r="524" spans="1:20 16329:16383" s="38" customFormat="1" ht="29.1" customHeight="1" outlineLevel="6" x14ac:dyDescent="0.25">
      <c r="A524" s="49" t="s">
        <v>1058</v>
      </c>
      <c r="B524" s="50"/>
      <c r="C524" s="50"/>
      <c r="D524" s="3" t="s">
        <v>754</v>
      </c>
      <c r="E524" s="3"/>
      <c r="F524" s="51" t="s">
        <v>800</v>
      </c>
      <c r="G524" s="50" t="s">
        <v>102</v>
      </c>
      <c r="H524" s="52">
        <f>1</f>
        <v>1</v>
      </c>
      <c r="I524" s="36"/>
      <c r="J524" s="52">
        <v>1</v>
      </c>
      <c r="K524" s="53">
        <f>0</f>
        <v>0</v>
      </c>
      <c r="L524" s="53">
        <f>0</f>
        <v>0</v>
      </c>
      <c r="M524" s="53">
        <f>0</f>
        <v>0</v>
      </c>
      <c r="N524" s="54">
        <f>SUM(K524:M524)</f>
        <v>0</v>
      </c>
      <c r="O524" s="54">
        <f>ROUND((H524*K524),2)</f>
        <v>0</v>
      </c>
      <c r="P524" s="54">
        <f>ROUND((H524*L524),2)</f>
        <v>0</v>
      </c>
      <c r="Q524" s="54">
        <f>ROUND((H524*M524),2)</f>
        <v>0</v>
      </c>
      <c r="R524" s="54">
        <f>ROUND((H524*N524),2)</f>
        <v>0</v>
      </c>
      <c r="S524" s="54"/>
      <c r="T524" s="36"/>
      <c r="XDA524"/>
      <c r="XDB524"/>
      <c r="XDC524"/>
      <c r="XDD524"/>
      <c r="XDE524"/>
      <c r="XDF524"/>
      <c r="XDG524"/>
      <c r="XDH524"/>
      <c r="XDI524"/>
      <c r="XDJ524"/>
      <c r="XDK524"/>
      <c r="XDL524"/>
      <c r="XDM524"/>
      <c r="XDN524"/>
      <c r="XDO524"/>
      <c r="XDP524"/>
      <c r="XDQ524"/>
      <c r="XDR524"/>
      <c r="XDS524"/>
      <c r="XDT524"/>
      <c r="XDU524"/>
      <c r="XDV524"/>
      <c r="XDW524"/>
      <c r="XDX524"/>
      <c r="XDY524"/>
      <c r="XDZ524"/>
      <c r="XEA524"/>
      <c r="XEB524"/>
      <c r="XEC524"/>
      <c r="XED524"/>
      <c r="XEE524"/>
      <c r="XEF524"/>
      <c r="XEG524"/>
      <c r="XEH524"/>
      <c r="XEI524"/>
      <c r="XEJ524"/>
      <c r="XEK524"/>
      <c r="XEL524"/>
      <c r="XEM524"/>
      <c r="XEN524"/>
      <c r="XEO524"/>
      <c r="XEP524"/>
      <c r="XEQ524"/>
      <c r="XER524"/>
      <c r="XES524"/>
      <c r="XET524"/>
      <c r="XEU524"/>
      <c r="XEV524"/>
      <c r="XEW524"/>
      <c r="XEX524"/>
      <c r="XEY524"/>
      <c r="XEZ524"/>
      <c r="XFA524"/>
      <c r="XFB524"/>
      <c r="XFC524"/>
    </row>
    <row r="525" spans="1:20 16329:16383" s="38" customFormat="1" ht="29.1" customHeight="1" outlineLevel="5" x14ac:dyDescent="0.25">
      <c r="A525" s="65" t="s">
        <v>1059</v>
      </c>
      <c r="B525" s="66" t="s">
        <v>1060</v>
      </c>
      <c r="C525" s="66"/>
      <c r="D525" s="98" t="s">
        <v>866</v>
      </c>
      <c r="E525" s="98"/>
      <c r="F525" s="67" t="s">
        <v>927</v>
      </c>
      <c r="G525" s="66"/>
      <c r="H525" s="68"/>
      <c r="I525" s="36"/>
      <c r="J525" s="68"/>
      <c r="K525" s="69"/>
      <c r="L525" s="69"/>
      <c r="M525" s="69"/>
      <c r="N525" s="69"/>
      <c r="O525" s="69">
        <f>SUM(O526:O528)</f>
        <v>0</v>
      </c>
      <c r="P525" s="69">
        <f>SUM(P526:P528)</f>
        <v>0</v>
      </c>
      <c r="Q525" s="69">
        <f>SUM(Q526:Q528)</f>
        <v>0</v>
      </c>
      <c r="R525" s="69">
        <f>SUM(R526:R528)</f>
        <v>0</v>
      </c>
      <c r="S525" s="69"/>
      <c r="T525" s="36"/>
      <c r="XDA525"/>
      <c r="XDB525"/>
      <c r="XDC525"/>
      <c r="XDD525"/>
      <c r="XDE525"/>
      <c r="XDF525"/>
      <c r="XDG525"/>
      <c r="XDH525"/>
      <c r="XDI525"/>
      <c r="XDJ525"/>
      <c r="XDK525"/>
      <c r="XDL525"/>
      <c r="XDM525"/>
      <c r="XDN525"/>
      <c r="XDO525"/>
      <c r="XDP525"/>
      <c r="XDQ525"/>
      <c r="XDR525"/>
      <c r="XDS525"/>
      <c r="XDT525"/>
      <c r="XDU525"/>
      <c r="XDV525"/>
      <c r="XDW525"/>
      <c r="XDX525"/>
      <c r="XDY525"/>
      <c r="XDZ525"/>
      <c r="XEA525"/>
      <c r="XEB525"/>
      <c r="XEC525"/>
      <c r="XED525"/>
      <c r="XEE525"/>
      <c r="XEF525"/>
      <c r="XEG525"/>
      <c r="XEH525"/>
      <c r="XEI525"/>
      <c r="XEJ525"/>
      <c r="XEK525"/>
      <c r="XEL525"/>
      <c r="XEM525"/>
      <c r="XEN525"/>
      <c r="XEO525"/>
      <c r="XEP525"/>
      <c r="XEQ525"/>
      <c r="XER525"/>
      <c r="XES525"/>
      <c r="XET525"/>
      <c r="XEU525"/>
      <c r="XEV525"/>
      <c r="XEW525"/>
      <c r="XEX525"/>
      <c r="XEY525"/>
      <c r="XEZ525"/>
      <c r="XFA525"/>
      <c r="XFB525"/>
      <c r="XFC525"/>
    </row>
    <row r="526" spans="1:20 16329:16383" s="38" customFormat="1" ht="29.1" customHeight="1" outlineLevel="6" x14ac:dyDescent="0.25">
      <c r="A526" s="49" t="s">
        <v>1061</v>
      </c>
      <c r="B526" s="50"/>
      <c r="C526" s="50"/>
      <c r="D526" s="3" t="s">
        <v>751</v>
      </c>
      <c r="E526" s="3"/>
      <c r="F526" s="51" t="s">
        <v>798</v>
      </c>
      <c r="G526" s="50" t="s">
        <v>102</v>
      </c>
      <c r="H526" s="52">
        <f>1</f>
        <v>1</v>
      </c>
      <c r="I526" s="36"/>
      <c r="J526" s="52">
        <v>1</v>
      </c>
      <c r="K526" s="53">
        <f>0</f>
        <v>0</v>
      </c>
      <c r="L526" s="53">
        <f>0</f>
        <v>0</v>
      </c>
      <c r="M526" s="53">
        <f>0</f>
        <v>0</v>
      </c>
      <c r="N526" s="54">
        <f>SUM(K526:M526)</f>
        <v>0</v>
      </c>
      <c r="O526" s="54">
        <f>ROUND((H526*K526),2)</f>
        <v>0</v>
      </c>
      <c r="P526" s="54">
        <f>ROUND((H526*L526),2)</f>
        <v>0</v>
      </c>
      <c r="Q526" s="54">
        <f>ROUND((H526*M526),2)</f>
        <v>0</v>
      </c>
      <c r="R526" s="54">
        <f>ROUND((H526*N526),2)</f>
        <v>0</v>
      </c>
      <c r="S526" s="54"/>
      <c r="T526" s="36"/>
      <c r="XDA526"/>
      <c r="XDB526"/>
      <c r="XDC526"/>
      <c r="XDD526"/>
      <c r="XDE526"/>
      <c r="XDF526"/>
      <c r="XDG526"/>
      <c r="XDH526"/>
      <c r="XDI526"/>
      <c r="XDJ526"/>
      <c r="XDK526"/>
      <c r="XDL526"/>
      <c r="XDM526"/>
      <c r="XDN526"/>
      <c r="XDO526"/>
      <c r="XDP526"/>
      <c r="XDQ526"/>
      <c r="XDR526"/>
      <c r="XDS526"/>
      <c r="XDT526"/>
      <c r="XDU526"/>
      <c r="XDV526"/>
      <c r="XDW526"/>
      <c r="XDX526"/>
      <c r="XDY526"/>
      <c r="XDZ526"/>
      <c r="XEA526"/>
      <c r="XEB526"/>
      <c r="XEC526"/>
      <c r="XED526"/>
      <c r="XEE526"/>
      <c r="XEF526"/>
      <c r="XEG526"/>
      <c r="XEH526"/>
      <c r="XEI526"/>
      <c r="XEJ526"/>
      <c r="XEK526"/>
      <c r="XEL526"/>
      <c r="XEM526"/>
      <c r="XEN526"/>
      <c r="XEO526"/>
      <c r="XEP526"/>
      <c r="XEQ526"/>
      <c r="XER526"/>
      <c r="XES526"/>
      <c r="XET526"/>
      <c r="XEU526"/>
      <c r="XEV526"/>
      <c r="XEW526"/>
      <c r="XEX526"/>
      <c r="XEY526"/>
      <c r="XEZ526"/>
      <c r="XFA526"/>
      <c r="XFB526"/>
      <c r="XFC526"/>
    </row>
    <row r="527" spans="1:20 16329:16383" s="38" customFormat="1" ht="29.1" customHeight="1" outlineLevel="6" x14ac:dyDescent="0.25">
      <c r="A527" s="49" t="s">
        <v>1062</v>
      </c>
      <c r="B527" s="50"/>
      <c r="C527" s="50"/>
      <c r="D527" s="3" t="s">
        <v>754</v>
      </c>
      <c r="E527" s="3"/>
      <c r="F527" s="51" t="s">
        <v>800</v>
      </c>
      <c r="G527" s="50" t="s">
        <v>102</v>
      </c>
      <c r="H527" s="52">
        <f>1</f>
        <v>1</v>
      </c>
      <c r="I527" s="36"/>
      <c r="J527" s="52">
        <v>1</v>
      </c>
      <c r="K527" s="53">
        <f>0</f>
        <v>0</v>
      </c>
      <c r="L527" s="53">
        <f>0</f>
        <v>0</v>
      </c>
      <c r="M527" s="53">
        <f>0</f>
        <v>0</v>
      </c>
      <c r="N527" s="54">
        <f>SUM(K527:M527)</f>
        <v>0</v>
      </c>
      <c r="O527" s="54">
        <f>ROUND((H527*K527),2)</f>
        <v>0</v>
      </c>
      <c r="P527" s="54">
        <f>ROUND((H527*L527),2)</f>
        <v>0</v>
      </c>
      <c r="Q527" s="54">
        <f>ROUND((H527*M527),2)</f>
        <v>0</v>
      </c>
      <c r="R527" s="54">
        <f>ROUND((H527*N527),2)</f>
        <v>0</v>
      </c>
      <c r="S527" s="54"/>
      <c r="T527" s="36"/>
      <c r="XDA527"/>
      <c r="XDB527"/>
      <c r="XDC527"/>
      <c r="XDD527"/>
      <c r="XDE527"/>
      <c r="XDF527"/>
      <c r="XDG527"/>
      <c r="XDH527"/>
      <c r="XDI527"/>
      <c r="XDJ527"/>
      <c r="XDK527"/>
      <c r="XDL527"/>
      <c r="XDM527"/>
      <c r="XDN527"/>
      <c r="XDO527"/>
      <c r="XDP527"/>
      <c r="XDQ527"/>
      <c r="XDR527"/>
      <c r="XDS527"/>
      <c r="XDT527"/>
      <c r="XDU527"/>
      <c r="XDV527"/>
      <c r="XDW527"/>
      <c r="XDX527"/>
      <c r="XDY527"/>
      <c r="XDZ527"/>
      <c r="XEA527"/>
      <c r="XEB527"/>
      <c r="XEC527"/>
      <c r="XED527"/>
      <c r="XEE527"/>
      <c r="XEF527"/>
      <c r="XEG527"/>
      <c r="XEH527"/>
      <c r="XEI527"/>
      <c r="XEJ527"/>
      <c r="XEK527"/>
      <c r="XEL527"/>
      <c r="XEM527"/>
      <c r="XEN527"/>
      <c r="XEO527"/>
      <c r="XEP527"/>
      <c r="XEQ527"/>
      <c r="XER527"/>
      <c r="XES527"/>
      <c r="XET527"/>
      <c r="XEU527"/>
      <c r="XEV527"/>
      <c r="XEW527"/>
      <c r="XEX527"/>
      <c r="XEY527"/>
      <c r="XEZ527"/>
      <c r="XFA527"/>
      <c r="XFB527"/>
      <c r="XFC527"/>
    </row>
    <row r="528" spans="1:20 16329:16383" s="38" customFormat="1" ht="29.1" customHeight="1" outlineLevel="6" x14ac:dyDescent="0.25">
      <c r="A528" s="49" t="s">
        <v>1063</v>
      </c>
      <c r="B528" s="50"/>
      <c r="C528" s="50"/>
      <c r="D528" s="3" t="s">
        <v>931</v>
      </c>
      <c r="E528" s="3"/>
      <c r="F528" s="51" t="s">
        <v>1064</v>
      </c>
      <c r="G528" s="50" t="s">
        <v>102</v>
      </c>
      <c r="H528" s="52">
        <f>1</f>
        <v>1</v>
      </c>
      <c r="I528" s="36"/>
      <c r="J528" s="52">
        <v>1</v>
      </c>
      <c r="K528" s="53">
        <f>0</f>
        <v>0</v>
      </c>
      <c r="L528" s="53">
        <f>0</f>
        <v>0</v>
      </c>
      <c r="M528" s="53">
        <f>0</f>
        <v>0</v>
      </c>
      <c r="N528" s="54">
        <f>SUM(K528:M528)</f>
        <v>0</v>
      </c>
      <c r="O528" s="54">
        <f>ROUND((H528*K528),2)</f>
        <v>0</v>
      </c>
      <c r="P528" s="54">
        <f>ROUND((H528*L528),2)</f>
        <v>0</v>
      </c>
      <c r="Q528" s="54">
        <f>ROUND((H528*M528),2)</f>
        <v>0</v>
      </c>
      <c r="R528" s="54">
        <f>ROUND((H528*N528),2)</f>
        <v>0</v>
      </c>
      <c r="S528" s="54"/>
      <c r="T528" s="36"/>
      <c r="XDA528"/>
      <c r="XDB528"/>
      <c r="XDC528"/>
      <c r="XDD528"/>
      <c r="XDE528"/>
      <c r="XDF528"/>
      <c r="XDG528"/>
      <c r="XDH528"/>
      <c r="XDI528"/>
      <c r="XDJ528"/>
      <c r="XDK528"/>
      <c r="XDL528"/>
      <c r="XDM528"/>
      <c r="XDN528"/>
      <c r="XDO528"/>
      <c r="XDP528"/>
      <c r="XDQ528"/>
      <c r="XDR528"/>
      <c r="XDS528"/>
      <c r="XDT528"/>
      <c r="XDU528"/>
      <c r="XDV528"/>
      <c r="XDW528"/>
      <c r="XDX528"/>
      <c r="XDY528"/>
      <c r="XDZ528"/>
      <c r="XEA528"/>
      <c r="XEB528"/>
      <c r="XEC528"/>
      <c r="XED528"/>
      <c r="XEE528"/>
      <c r="XEF528"/>
      <c r="XEG528"/>
      <c r="XEH528"/>
      <c r="XEI528"/>
      <c r="XEJ528"/>
      <c r="XEK528"/>
      <c r="XEL528"/>
      <c r="XEM528"/>
      <c r="XEN528"/>
      <c r="XEO528"/>
      <c r="XEP528"/>
      <c r="XEQ528"/>
      <c r="XER528"/>
      <c r="XES528"/>
      <c r="XET528"/>
      <c r="XEU528"/>
      <c r="XEV528"/>
      <c r="XEW528"/>
      <c r="XEX528"/>
      <c r="XEY528"/>
      <c r="XEZ528"/>
      <c r="XFA528"/>
      <c r="XFB528"/>
      <c r="XFC528"/>
    </row>
    <row r="529" spans="1:20 16329:16383" s="38" customFormat="1" ht="29.1" customHeight="1" outlineLevel="5" x14ac:dyDescent="0.25">
      <c r="A529" s="65" t="s">
        <v>1065</v>
      </c>
      <c r="B529" s="66" t="s">
        <v>1066</v>
      </c>
      <c r="C529" s="66"/>
      <c r="D529" s="98" t="s">
        <v>1067</v>
      </c>
      <c r="E529" s="98"/>
      <c r="F529" s="67" t="s">
        <v>935</v>
      </c>
      <c r="G529" s="66"/>
      <c r="H529" s="68"/>
      <c r="I529" s="36"/>
      <c r="J529" s="68"/>
      <c r="K529" s="69"/>
      <c r="L529" s="69"/>
      <c r="M529" s="69"/>
      <c r="N529" s="69"/>
      <c r="O529" s="69">
        <f>SUM(O530:O532)</f>
        <v>0</v>
      </c>
      <c r="P529" s="69">
        <f>SUM(P530:P532)</f>
        <v>0</v>
      </c>
      <c r="Q529" s="69">
        <f>SUM(Q530:Q532)</f>
        <v>0</v>
      </c>
      <c r="R529" s="69">
        <f>SUM(R530:R532)</f>
        <v>0</v>
      </c>
      <c r="S529" s="69"/>
      <c r="T529" s="36"/>
      <c r="XDA529"/>
      <c r="XDB529"/>
      <c r="XDC529"/>
      <c r="XDD529"/>
      <c r="XDE529"/>
      <c r="XDF529"/>
      <c r="XDG529"/>
      <c r="XDH529"/>
      <c r="XDI529"/>
      <c r="XDJ529"/>
      <c r="XDK529"/>
      <c r="XDL529"/>
      <c r="XDM529"/>
      <c r="XDN529"/>
      <c r="XDO529"/>
      <c r="XDP529"/>
      <c r="XDQ529"/>
      <c r="XDR529"/>
      <c r="XDS529"/>
      <c r="XDT529"/>
      <c r="XDU529"/>
      <c r="XDV529"/>
      <c r="XDW529"/>
      <c r="XDX529"/>
      <c r="XDY529"/>
      <c r="XDZ529"/>
      <c r="XEA529"/>
      <c r="XEB529"/>
      <c r="XEC529"/>
      <c r="XED529"/>
      <c r="XEE529"/>
      <c r="XEF529"/>
      <c r="XEG529"/>
      <c r="XEH529"/>
      <c r="XEI529"/>
      <c r="XEJ529"/>
      <c r="XEK529"/>
      <c r="XEL529"/>
      <c r="XEM529"/>
      <c r="XEN529"/>
      <c r="XEO529"/>
      <c r="XEP529"/>
      <c r="XEQ529"/>
      <c r="XER529"/>
      <c r="XES529"/>
      <c r="XET529"/>
      <c r="XEU529"/>
      <c r="XEV529"/>
      <c r="XEW529"/>
      <c r="XEX529"/>
      <c r="XEY529"/>
      <c r="XEZ529"/>
      <c r="XFA529"/>
      <c r="XFB529"/>
      <c r="XFC529"/>
    </row>
    <row r="530" spans="1:20 16329:16383" s="38" customFormat="1" ht="29.1" customHeight="1" outlineLevel="6" x14ac:dyDescent="0.25">
      <c r="A530" s="49" t="s">
        <v>1068</v>
      </c>
      <c r="B530" s="50"/>
      <c r="C530" s="50"/>
      <c r="D530" s="3" t="s">
        <v>751</v>
      </c>
      <c r="E530" s="3"/>
      <c r="F530" s="51" t="s">
        <v>1009</v>
      </c>
      <c r="G530" s="50" t="s">
        <v>102</v>
      </c>
      <c r="H530" s="52">
        <f>1</f>
        <v>1</v>
      </c>
      <c r="I530" s="36"/>
      <c r="J530" s="52">
        <v>1</v>
      </c>
      <c r="K530" s="53">
        <f>0</f>
        <v>0</v>
      </c>
      <c r="L530" s="53">
        <f>0</f>
        <v>0</v>
      </c>
      <c r="M530" s="53">
        <f>0</f>
        <v>0</v>
      </c>
      <c r="N530" s="54">
        <f>SUM(K530:M530)</f>
        <v>0</v>
      </c>
      <c r="O530" s="54">
        <f>ROUND((H530*K530),2)</f>
        <v>0</v>
      </c>
      <c r="P530" s="54">
        <f>ROUND((H530*L530),2)</f>
        <v>0</v>
      </c>
      <c r="Q530" s="54">
        <f>ROUND((H530*M530),2)</f>
        <v>0</v>
      </c>
      <c r="R530" s="54">
        <f>ROUND((H530*N530),2)</f>
        <v>0</v>
      </c>
      <c r="S530" s="54"/>
      <c r="T530" s="36"/>
      <c r="XDA530"/>
      <c r="XDB530"/>
      <c r="XDC530"/>
      <c r="XDD530"/>
      <c r="XDE530"/>
      <c r="XDF530"/>
      <c r="XDG530"/>
      <c r="XDH530"/>
      <c r="XDI530"/>
      <c r="XDJ530"/>
      <c r="XDK530"/>
      <c r="XDL530"/>
      <c r="XDM530"/>
      <c r="XDN530"/>
      <c r="XDO530"/>
      <c r="XDP530"/>
      <c r="XDQ530"/>
      <c r="XDR530"/>
      <c r="XDS530"/>
      <c r="XDT530"/>
      <c r="XDU530"/>
      <c r="XDV530"/>
      <c r="XDW530"/>
      <c r="XDX530"/>
      <c r="XDY530"/>
      <c r="XDZ530"/>
      <c r="XEA530"/>
      <c r="XEB530"/>
      <c r="XEC530"/>
      <c r="XED530"/>
      <c r="XEE530"/>
      <c r="XEF530"/>
      <c r="XEG530"/>
      <c r="XEH530"/>
      <c r="XEI530"/>
      <c r="XEJ530"/>
      <c r="XEK530"/>
      <c r="XEL530"/>
      <c r="XEM530"/>
      <c r="XEN530"/>
      <c r="XEO530"/>
      <c r="XEP530"/>
      <c r="XEQ530"/>
      <c r="XER530"/>
      <c r="XES530"/>
      <c r="XET530"/>
      <c r="XEU530"/>
      <c r="XEV530"/>
      <c r="XEW530"/>
      <c r="XEX530"/>
      <c r="XEY530"/>
      <c r="XEZ530"/>
      <c r="XFA530"/>
      <c r="XFB530"/>
      <c r="XFC530"/>
    </row>
    <row r="531" spans="1:20 16329:16383" s="38" customFormat="1" ht="29.1" customHeight="1" outlineLevel="6" x14ac:dyDescent="0.25">
      <c r="A531" s="49" t="s">
        <v>1069</v>
      </c>
      <c r="B531" s="50"/>
      <c r="C531" s="50"/>
      <c r="D531" s="3" t="s">
        <v>754</v>
      </c>
      <c r="E531" s="3"/>
      <c r="F531" s="51" t="s">
        <v>1011</v>
      </c>
      <c r="G531" s="50" t="s">
        <v>102</v>
      </c>
      <c r="H531" s="52">
        <f>1</f>
        <v>1</v>
      </c>
      <c r="I531" s="36"/>
      <c r="J531" s="52">
        <v>1</v>
      </c>
      <c r="K531" s="53">
        <f>0</f>
        <v>0</v>
      </c>
      <c r="L531" s="53">
        <f>0</f>
        <v>0</v>
      </c>
      <c r="M531" s="53">
        <f>0</f>
        <v>0</v>
      </c>
      <c r="N531" s="54">
        <f>SUM(K531:M531)</f>
        <v>0</v>
      </c>
      <c r="O531" s="54">
        <f>ROUND((H531*K531),2)</f>
        <v>0</v>
      </c>
      <c r="P531" s="54">
        <f>ROUND((H531*L531),2)</f>
        <v>0</v>
      </c>
      <c r="Q531" s="54">
        <f>ROUND((H531*M531),2)</f>
        <v>0</v>
      </c>
      <c r="R531" s="54">
        <f>ROUND((H531*N531),2)</f>
        <v>0</v>
      </c>
      <c r="S531" s="54"/>
      <c r="T531" s="36"/>
      <c r="XDA531"/>
      <c r="XDB531"/>
      <c r="XDC531"/>
      <c r="XDD531"/>
      <c r="XDE531"/>
      <c r="XDF531"/>
      <c r="XDG531"/>
      <c r="XDH531"/>
      <c r="XDI531"/>
      <c r="XDJ531"/>
      <c r="XDK531"/>
      <c r="XDL531"/>
      <c r="XDM531"/>
      <c r="XDN531"/>
      <c r="XDO531"/>
      <c r="XDP531"/>
      <c r="XDQ531"/>
      <c r="XDR531"/>
      <c r="XDS531"/>
      <c r="XDT531"/>
      <c r="XDU531"/>
      <c r="XDV531"/>
      <c r="XDW531"/>
      <c r="XDX531"/>
      <c r="XDY531"/>
      <c r="XDZ531"/>
      <c r="XEA531"/>
      <c r="XEB531"/>
      <c r="XEC531"/>
      <c r="XED531"/>
      <c r="XEE531"/>
      <c r="XEF531"/>
      <c r="XEG531"/>
      <c r="XEH531"/>
      <c r="XEI531"/>
      <c r="XEJ531"/>
      <c r="XEK531"/>
      <c r="XEL531"/>
      <c r="XEM531"/>
      <c r="XEN531"/>
      <c r="XEO531"/>
      <c r="XEP531"/>
      <c r="XEQ531"/>
      <c r="XER531"/>
      <c r="XES531"/>
      <c r="XET531"/>
      <c r="XEU531"/>
      <c r="XEV531"/>
      <c r="XEW531"/>
      <c r="XEX531"/>
      <c r="XEY531"/>
      <c r="XEZ531"/>
      <c r="XFA531"/>
      <c r="XFB531"/>
      <c r="XFC531"/>
    </row>
    <row r="532" spans="1:20 16329:16383" s="38" customFormat="1" ht="29.1" customHeight="1" outlineLevel="6" x14ac:dyDescent="0.25">
      <c r="A532" s="49" t="s">
        <v>1070</v>
      </c>
      <c r="B532" s="50"/>
      <c r="C532" s="50"/>
      <c r="D532" s="3" t="s">
        <v>877</v>
      </c>
      <c r="E532" s="3"/>
      <c r="F532" s="51" t="s">
        <v>1011</v>
      </c>
      <c r="G532" s="50" t="s">
        <v>102</v>
      </c>
      <c r="H532" s="52">
        <f>1</f>
        <v>1</v>
      </c>
      <c r="I532" s="36"/>
      <c r="J532" s="52">
        <v>1</v>
      </c>
      <c r="K532" s="53">
        <f>0</f>
        <v>0</v>
      </c>
      <c r="L532" s="53">
        <f>0</f>
        <v>0</v>
      </c>
      <c r="M532" s="53">
        <f>0</f>
        <v>0</v>
      </c>
      <c r="N532" s="54">
        <f>SUM(K532:M532)</f>
        <v>0</v>
      </c>
      <c r="O532" s="54">
        <f>ROUND((H532*K532),2)</f>
        <v>0</v>
      </c>
      <c r="P532" s="54">
        <f>ROUND((H532*L532),2)</f>
        <v>0</v>
      </c>
      <c r="Q532" s="54">
        <f>ROUND((H532*M532),2)</f>
        <v>0</v>
      </c>
      <c r="R532" s="54">
        <f>ROUND((H532*N532),2)</f>
        <v>0</v>
      </c>
      <c r="S532" s="54"/>
      <c r="T532" s="36"/>
      <c r="XDA532"/>
      <c r="XDB532"/>
      <c r="XDC532"/>
      <c r="XDD532"/>
      <c r="XDE532"/>
      <c r="XDF532"/>
      <c r="XDG532"/>
      <c r="XDH532"/>
      <c r="XDI532"/>
      <c r="XDJ532"/>
      <c r="XDK532"/>
      <c r="XDL532"/>
      <c r="XDM532"/>
      <c r="XDN532"/>
      <c r="XDO532"/>
      <c r="XDP532"/>
      <c r="XDQ532"/>
      <c r="XDR532"/>
      <c r="XDS532"/>
      <c r="XDT532"/>
      <c r="XDU532"/>
      <c r="XDV532"/>
      <c r="XDW532"/>
      <c r="XDX532"/>
      <c r="XDY532"/>
      <c r="XDZ532"/>
      <c r="XEA532"/>
      <c r="XEB532"/>
      <c r="XEC532"/>
      <c r="XED532"/>
      <c r="XEE532"/>
      <c r="XEF532"/>
      <c r="XEG532"/>
      <c r="XEH532"/>
      <c r="XEI532"/>
      <c r="XEJ532"/>
      <c r="XEK532"/>
      <c r="XEL532"/>
      <c r="XEM532"/>
      <c r="XEN532"/>
      <c r="XEO532"/>
      <c r="XEP532"/>
      <c r="XEQ532"/>
      <c r="XER532"/>
      <c r="XES532"/>
      <c r="XET532"/>
      <c r="XEU532"/>
      <c r="XEV532"/>
      <c r="XEW532"/>
      <c r="XEX532"/>
      <c r="XEY532"/>
      <c r="XEZ532"/>
      <c r="XFA532"/>
      <c r="XFB532"/>
      <c r="XFC532"/>
    </row>
    <row r="533" spans="1:20 16329:16383" s="38" customFormat="1" ht="29.1" customHeight="1" outlineLevel="5" x14ac:dyDescent="0.25">
      <c r="A533" s="65" t="s">
        <v>1071</v>
      </c>
      <c r="B533" s="66" t="s">
        <v>1072</v>
      </c>
      <c r="C533" s="66"/>
      <c r="D533" s="98" t="s">
        <v>770</v>
      </c>
      <c r="E533" s="98"/>
      <c r="F533" s="67" t="s">
        <v>941</v>
      </c>
      <c r="G533" s="66"/>
      <c r="H533" s="68"/>
      <c r="I533" s="36"/>
      <c r="J533" s="68"/>
      <c r="K533" s="69"/>
      <c r="L533" s="69"/>
      <c r="M533" s="69"/>
      <c r="N533" s="69"/>
      <c r="O533" s="69">
        <f>O534</f>
        <v>0</v>
      </c>
      <c r="P533" s="69">
        <f>P534</f>
        <v>0</v>
      </c>
      <c r="Q533" s="69">
        <f>Q534</f>
        <v>0</v>
      </c>
      <c r="R533" s="69">
        <f>R534</f>
        <v>0</v>
      </c>
      <c r="S533" s="69"/>
      <c r="T533" s="36"/>
      <c r="XDA533"/>
      <c r="XDB533"/>
      <c r="XDC533"/>
      <c r="XDD533"/>
      <c r="XDE533"/>
      <c r="XDF533"/>
      <c r="XDG533"/>
      <c r="XDH533"/>
      <c r="XDI533"/>
      <c r="XDJ533"/>
      <c r="XDK533"/>
      <c r="XDL533"/>
      <c r="XDM533"/>
      <c r="XDN533"/>
      <c r="XDO533"/>
      <c r="XDP533"/>
      <c r="XDQ533"/>
      <c r="XDR533"/>
      <c r="XDS533"/>
      <c r="XDT533"/>
      <c r="XDU533"/>
      <c r="XDV533"/>
      <c r="XDW533"/>
      <c r="XDX533"/>
      <c r="XDY533"/>
      <c r="XDZ533"/>
      <c r="XEA533"/>
      <c r="XEB533"/>
      <c r="XEC533"/>
      <c r="XED533"/>
      <c r="XEE533"/>
      <c r="XEF533"/>
      <c r="XEG533"/>
      <c r="XEH533"/>
      <c r="XEI533"/>
      <c r="XEJ533"/>
      <c r="XEK533"/>
      <c r="XEL533"/>
      <c r="XEM533"/>
      <c r="XEN533"/>
      <c r="XEO533"/>
      <c r="XEP533"/>
      <c r="XEQ533"/>
      <c r="XER533"/>
      <c r="XES533"/>
      <c r="XET533"/>
      <c r="XEU533"/>
      <c r="XEV533"/>
      <c r="XEW533"/>
      <c r="XEX533"/>
      <c r="XEY533"/>
      <c r="XEZ533"/>
      <c r="XFA533"/>
      <c r="XFB533"/>
      <c r="XFC533"/>
    </row>
    <row r="534" spans="1:20 16329:16383" s="38" customFormat="1" ht="29.1" customHeight="1" outlineLevel="6" x14ac:dyDescent="0.25">
      <c r="A534" s="49" t="s">
        <v>1073</v>
      </c>
      <c r="B534" s="50"/>
      <c r="C534" s="50"/>
      <c r="D534" s="3" t="s">
        <v>773</v>
      </c>
      <c r="E534" s="3"/>
      <c r="F534" s="51" t="s">
        <v>816</v>
      </c>
      <c r="G534" s="50" t="s">
        <v>102</v>
      </c>
      <c r="H534" s="52">
        <f>1</f>
        <v>1</v>
      </c>
      <c r="I534" s="36"/>
      <c r="J534" s="52">
        <v>1</v>
      </c>
      <c r="K534" s="53">
        <f>0</f>
        <v>0</v>
      </c>
      <c r="L534" s="53">
        <f>0</f>
        <v>0</v>
      </c>
      <c r="M534" s="53">
        <f>0</f>
        <v>0</v>
      </c>
      <c r="N534" s="54">
        <f>SUM(K534:M534)</f>
        <v>0</v>
      </c>
      <c r="O534" s="54">
        <f>ROUND((H534*K534),2)</f>
        <v>0</v>
      </c>
      <c r="P534" s="54">
        <f>ROUND((H534*L534),2)</f>
        <v>0</v>
      </c>
      <c r="Q534" s="54">
        <f>ROUND((H534*M534),2)</f>
        <v>0</v>
      </c>
      <c r="R534" s="54">
        <f>ROUND((H534*N534),2)</f>
        <v>0</v>
      </c>
      <c r="S534" s="54"/>
      <c r="T534" s="36"/>
      <c r="XDA534"/>
      <c r="XDB534"/>
      <c r="XDC534"/>
      <c r="XDD534"/>
      <c r="XDE534"/>
      <c r="XDF534"/>
      <c r="XDG534"/>
      <c r="XDH534"/>
      <c r="XDI534"/>
      <c r="XDJ534"/>
      <c r="XDK534"/>
      <c r="XDL534"/>
      <c r="XDM534"/>
      <c r="XDN534"/>
      <c r="XDO534"/>
      <c r="XDP534"/>
      <c r="XDQ534"/>
      <c r="XDR534"/>
      <c r="XDS534"/>
      <c r="XDT534"/>
      <c r="XDU534"/>
      <c r="XDV534"/>
      <c r="XDW534"/>
      <c r="XDX534"/>
      <c r="XDY534"/>
      <c r="XDZ534"/>
      <c r="XEA534"/>
      <c r="XEB534"/>
      <c r="XEC534"/>
      <c r="XED534"/>
      <c r="XEE534"/>
      <c r="XEF534"/>
      <c r="XEG534"/>
      <c r="XEH534"/>
      <c r="XEI534"/>
      <c r="XEJ534"/>
      <c r="XEK534"/>
      <c r="XEL534"/>
      <c r="XEM534"/>
      <c r="XEN534"/>
      <c r="XEO534"/>
      <c r="XEP534"/>
      <c r="XEQ534"/>
      <c r="XER534"/>
      <c r="XES534"/>
      <c r="XET534"/>
      <c r="XEU534"/>
      <c r="XEV534"/>
      <c r="XEW534"/>
      <c r="XEX534"/>
      <c r="XEY534"/>
      <c r="XEZ534"/>
      <c r="XFA534"/>
      <c r="XFB534"/>
      <c r="XFC534"/>
    </row>
    <row r="535" spans="1:20 16329:16383" s="38" customFormat="1" ht="29.1" customHeight="1" outlineLevel="5" x14ac:dyDescent="0.25">
      <c r="A535" s="65" t="s">
        <v>1074</v>
      </c>
      <c r="B535" s="66" t="s">
        <v>1075</v>
      </c>
      <c r="C535" s="66"/>
      <c r="D535" s="98" t="s">
        <v>885</v>
      </c>
      <c r="E535" s="98"/>
      <c r="F535" s="67" t="s">
        <v>982</v>
      </c>
      <c r="G535" s="66"/>
      <c r="H535" s="68"/>
      <c r="I535" s="36"/>
      <c r="J535" s="68"/>
      <c r="K535" s="69"/>
      <c r="L535" s="69"/>
      <c r="M535" s="69"/>
      <c r="N535" s="69"/>
      <c r="O535" s="69">
        <f>O536</f>
        <v>0</v>
      </c>
      <c r="P535" s="69">
        <f>P536</f>
        <v>0</v>
      </c>
      <c r="Q535" s="69">
        <f>Q536</f>
        <v>0</v>
      </c>
      <c r="R535" s="69">
        <f>R536</f>
        <v>0</v>
      </c>
      <c r="S535" s="69"/>
      <c r="T535" s="36"/>
      <c r="XDA535"/>
      <c r="XDB535"/>
      <c r="XDC535"/>
      <c r="XDD535"/>
      <c r="XDE535"/>
      <c r="XDF535"/>
      <c r="XDG535"/>
      <c r="XDH535"/>
      <c r="XDI535"/>
      <c r="XDJ535"/>
      <c r="XDK535"/>
      <c r="XDL535"/>
      <c r="XDM535"/>
      <c r="XDN535"/>
      <c r="XDO535"/>
      <c r="XDP535"/>
      <c r="XDQ535"/>
      <c r="XDR535"/>
      <c r="XDS535"/>
      <c r="XDT535"/>
      <c r="XDU535"/>
      <c r="XDV535"/>
      <c r="XDW535"/>
      <c r="XDX535"/>
      <c r="XDY535"/>
      <c r="XDZ535"/>
      <c r="XEA535"/>
      <c r="XEB535"/>
      <c r="XEC535"/>
      <c r="XED535"/>
      <c r="XEE535"/>
      <c r="XEF535"/>
      <c r="XEG535"/>
      <c r="XEH535"/>
      <c r="XEI535"/>
      <c r="XEJ535"/>
      <c r="XEK535"/>
      <c r="XEL535"/>
      <c r="XEM535"/>
      <c r="XEN535"/>
      <c r="XEO535"/>
      <c r="XEP535"/>
      <c r="XEQ535"/>
      <c r="XER535"/>
      <c r="XES535"/>
      <c r="XET535"/>
      <c r="XEU535"/>
      <c r="XEV535"/>
      <c r="XEW535"/>
      <c r="XEX535"/>
      <c r="XEY535"/>
      <c r="XEZ535"/>
      <c r="XFA535"/>
      <c r="XFB535"/>
      <c r="XFC535"/>
    </row>
    <row r="536" spans="1:20 16329:16383" s="38" customFormat="1" ht="29.1" customHeight="1" outlineLevel="6" x14ac:dyDescent="0.25">
      <c r="A536" s="49" t="s">
        <v>1076</v>
      </c>
      <c r="B536" s="50"/>
      <c r="C536" s="50"/>
      <c r="D536" s="3" t="s">
        <v>888</v>
      </c>
      <c r="E536" s="3"/>
      <c r="F536" s="51" t="s">
        <v>1019</v>
      </c>
      <c r="G536" s="50" t="s">
        <v>102</v>
      </c>
      <c r="H536" s="52">
        <f>1</f>
        <v>1</v>
      </c>
      <c r="I536" s="36"/>
      <c r="J536" s="52">
        <v>1</v>
      </c>
      <c r="K536" s="53">
        <f>0</f>
        <v>0</v>
      </c>
      <c r="L536" s="53">
        <f>0</f>
        <v>0</v>
      </c>
      <c r="M536" s="53">
        <f>0</f>
        <v>0</v>
      </c>
      <c r="N536" s="54">
        <f>SUM(K536:M536)</f>
        <v>0</v>
      </c>
      <c r="O536" s="54">
        <f>ROUND((H536*K536),2)</f>
        <v>0</v>
      </c>
      <c r="P536" s="54">
        <f>ROUND((H536*L536),2)</f>
        <v>0</v>
      </c>
      <c r="Q536" s="54">
        <f>ROUND((H536*M536),2)</f>
        <v>0</v>
      </c>
      <c r="R536" s="54">
        <f>ROUND((H536*N536),2)</f>
        <v>0</v>
      </c>
      <c r="S536" s="54"/>
      <c r="T536" s="36"/>
      <c r="XDA536"/>
      <c r="XDB536"/>
      <c r="XDC536"/>
      <c r="XDD536"/>
      <c r="XDE536"/>
      <c r="XDF536"/>
      <c r="XDG536"/>
      <c r="XDH536"/>
      <c r="XDI536"/>
      <c r="XDJ536"/>
      <c r="XDK536"/>
      <c r="XDL536"/>
      <c r="XDM536"/>
      <c r="XDN536"/>
      <c r="XDO536"/>
      <c r="XDP536"/>
      <c r="XDQ536"/>
      <c r="XDR536"/>
      <c r="XDS536"/>
      <c r="XDT536"/>
      <c r="XDU536"/>
      <c r="XDV536"/>
      <c r="XDW536"/>
      <c r="XDX536"/>
      <c r="XDY536"/>
      <c r="XDZ536"/>
      <c r="XEA536"/>
      <c r="XEB536"/>
      <c r="XEC536"/>
      <c r="XED536"/>
      <c r="XEE536"/>
      <c r="XEF536"/>
      <c r="XEG536"/>
      <c r="XEH536"/>
      <c r="XEI536"/>
      <c r="XEJ536"/>
      <c r="XEK536"/>
      <c r="XEL536"/>
      <c r="XEM536"/>
      <c r="XEN536"/>
      <c r="XEO536"/>
      <c r="XEP536"/>
      <c r="XEQ536"/>
      <c r="XER536"/>
      <c r="XES536"/>
      <c r="XET536"/>
      <c r="XEU536"/>
      <c r="XEV536"/>
      <c r="XEW536"/>
      <c r="XEX536"/>
      <c r="XEY536"/>
      <c r="XEZ536"/>
      <c r="XFA536"/>
      <c r="XFB536"/>
      <c r="XFC536"/>
    </row>
    <row r="537" spans="1:20 16329:16383" s="38" customFormat="1" ht="29.1" customHeight="1" outlineLevel="5" x14ac:dyDescent="0.25">
      <c r="A537" s="65" t="s">
        <v>1077</v>
      </c>
      <c r="B537" s="66" t="s">
        <v>1078</v>
      </c>
      <c r="C537" s="66"/>
      <c r="D537" s="98" t="s">
        <v>782</v>
      </c>
      <c r="E537" s="98"/>
      <c r="F537" s="67" t="s">
        <v>949</v>
      </c>
      <c r="G537" s="66"/>
      <c r="H537" s="68"/>
      <c r="I537" s="36"/>
      <c r="J537" s="68"/>
      <c r="K537" s="69"/>
      <c r="L537" s="69"/>
      <c r="M537" s="69"/>
      <c r="N537" s="69"/>
      <c r="O537" s="69">
        <f>SUM(O538:O541)</f>
        <v>0</v>
      </c>
      <c r="P537" s="69">
        <f>SUM(P538:P541)</f>
        <v>0</v>
      </c>
      <c r="Q537" s="69">
        <f>SUM(Q538:Q541)</f>
        <v>0</v>
      </c>
      <c r="R537" s="69">
        <f>SUM(R538:R541)</f>
        <v>0</v>
      </c>
      <c r="S537" s="69"/>
      <c r="T537" s="36"/>
      <c r="XDA537"/>
      <c r="XDB537"/>
      <c r="XDC537"/>
      <c r="XDD537"/>
      <c r="XDE537"/>
      <c r="XDF537"/>
      <c r="XDG537"/>
      <c r="XDH537"/>
      <c r="XDI537"/>
      <c r="XDJ537"/>
      <c r="XDK537"/>
      <c r="XDL537"/>
      <c r="XDM537"/>
      <c r="XDN537"/>
      <c r="XDO537"/>
      <c r="XDP537"/>
      <c r="XDQ537"/>
      <c r="XDR537"/>
      <c r="XDS537"/>
      <c r="XDT537"/>
      <c r="XDU537"/>
      <c r="XDV537"/>
      <c r="XDW537"/>
      <c r="XDX537"/>
      <c r="XDY537"/>
      <c r="XDZ537"/>
      <c r="XEA537"/>
      <c r="XEB537"/>
      <c r="XEC537"/>
      <c r="XED537"/>
      <c r="XEE537"/>
      <c r="XEF537"/>
      <c r="XEG537"/>
      <c r="XEH537"/>
      <c r="XEI537"/>
      <c r="XEJ537"/>
      <c r="XEK537"/>
      <c r="XEL537"/>
      <c r="XEM537"/>
      <c r="XEN537"/>
      <c r="XEO537"/>
      <c r="XEP537"/>
      <c r="XEQ537"/>
      <c r="XER537"/>
      <c r="XES537"/>
      <c r="XET537"/>
      <c r="XEU537"/>
      <c r="XEV537"/>
      <c r="XEW537"/>
      <c r="XEX537"/>
      <c r="XEY537"/>
      <c r="XEZ537"/>
      <c r="XFA537"/>
      <c r="XFB537"/>
      <c r="XFC537"/>
    </row>
    <row r="538" spans="1:20 16329:16383" s="38" customFormat="1" ht="29.1" customHeight="1" outlineLevel="6" x14ac:dyDescent="0.25">
      <c r="A538" s="49" t="s">
        <v>1079</v>
      </c>
      <c r="B538" s="50"/>
      <c r="C538" s="50"/>
      <c r="D538" s="3" t="s">
        <v>785</v>
      </c>
      <c r="E538" s="3"/>
      <c r="F538" s="51" t="s">
        <v>1080</v>
      </c>
      <c r="G538" s="50" t="s">
        <v>102</v>
      </c>
      <c r="H538" s="52">
        <f>1</f>
        <v>1</v>
      </c>
      <c r="I538" s="36"/>
      <c r="J538" s="52">
        <v>1</v>
      </c>
      <c r="K538" s="53">
        <f>0</f>
        <v>0</v>
      </c>
      <c r="L538" s="53">
        <f>0</f>
        <v>0</v>
      </c>
      <c r="M538" s="53">
        <f>0</f>
        <v>0</v>
      </c>
      <c r="N538" s="54">
        <f>SUM(K538:M538)</f>
        <v>0</v>
      </c>
      <c r="O538" s="54">
        <f>ROUND((H538*K538),2)</f>
        <v>0</v>
      </c>
      <c r="P538" s="54">
        <f>ROUND((H538*L538),2)</f>
        <v>0</v>
      </c>
      <c r="Q538" s="54">
        <f>ROUND((H538*M538),2)</f>
        <v>0</v>
      </c>
      <c r="R538" s="54">
        <f>ROUND((H538*N538),2)</f>
        <v>0</v>
      </c>
      <c r="S538" s="54"/>
      <c r="T538" s="36"/>
      <c r="XDA538"/>
      <c r="XDB538"/>
      <c r="XDC538"/>
      <c r="XDD538"/>
      <c r="XDE538"/>
      <c r="XDF538"/>
      <c r="XDG538"/>
      <c r="XDH538"/>
      <c r="XDI538"/>
      <c r="XDJ538"/>
      <c r="XDK538"/>
      <c r="XDL538"/>
      <c r="XDM538"/>
      <c r="XDN538"/>
      <c r="XDO538"/>
      <c r="XDP538"/>
      <c r="XDQ538"/>
      <c r="XDR538"/>
      <c r="XDS538"/>
      <c r="XDT538"/>
      <c r="XDU538"/>
      <c r="XDV538"/>
      <c r="XDW538"/>
      <c r="XDX538"/>
      <c r="XDY538"/>
      <c r="XDZ538"/>
      <c r="XEA538"/>
      <c r="XEB538"/>
      <c r="XEC538"/>
      <c r="XED538"/>
      <c r="XEE538"/>
      <c r="XEF538"/>
      <c r="XEG538"/>
      <c r="XEH538"/>
      <c r="XEI538"/>
      <c r="XEJ538"/>
      <c r="XEK538"/>
      <c r="XEL538"/>
      <c r="XEM538"/>
      <c r="XEN538"/>
      <c r="XEO538"/>
      <c r="XEP538"/>
      <c r="XEQ538"/>
      <c r="XER538"/>
      <c r="XES538"/>
      <c r="XET538"/>
      <c r="XEU538"/>
      <c r="XEV538"/>
      <c r="XEW538"/>
      <c r="XEX538"/>
      <c r="XEY538"/>
      <c r="XEZ538"/>
      <c r="XFA538"/>
      <c r="XFB538"/>
      <c r="XFC538"/>
    </row>
    <row r="539" spans="1:20 16329:16383" s="38" customFormat="1" ht="29.1" customHeight="1" outlineLevel="6" x14ac:dyDescent="0.25">
      <c r="A539" s="49" t="s">
        <v>1081</v>
      </c>
      <c r="B539" s="50"/>
      <c r="C539" s="50"/>
      <c r="D539" s="3" t="s">
        <v>787</v>
      </c>
      <c r="E539" s="3"/>
      <c r="F539" s="51" t="s">
        <v>1027</v>
      </c>
      <c r="G539" s="50" t="s">
        <v>102</v>
      </c>
      <c r="H539" s="52">
        <f>1</f>
        <v>1</v>
      </c>
      <c r="I539" s="36"/>
      <c r="J539" s="52">
        <v>1</v>
      </c>
      <c r="K539" s="53">
        <f>0</f>
        <v>0</v>
      </c>
      <c r="L539" s="53">
        <f>0</f>
        <v>0</v>
      </c>
      <c r="M539" s="53">
        <f>0</f>
        <v>0</v>
      </c>
      <c r="N539" s="54">
        <f>SUM(K539:M539)</f>
        <v>0</v>
      </c>
      <c r="O539" s="54">
        <f>ROUND((H539*K539),2)</f>
        <v>0</v>
      </c>
      <c r="P539" s="54">
        <f>ROUND((H539*L539),2)</f>
        <v>0</v>
      </c>
      <c r="Q539" s="54">
        <f>ROUND((H539*M539),2)</f>
        <v>0</v>
      </c>
      <c r="R539" s="54">
        <f>ROUND((H539*N539),2)</f>
        <v>0</v>
      </c>
      <c r="S539" s="54"/>
      <c r="T539" s="36"/>
      <c r="XDA539"/>
      <c r="XDB539"/>
      <c r="XDC539"/>
      <c r="XDD539"/>
      <c r="XDE539"/>
      <c r="XDF539"/>
      <c r="XDG539"/>
      <c r="XDH539"/>
      <c r="XDI539"/>
      <c r="XDJ539"/>
      <c r="XDK539"/>
      <c r="XDL539"/>
      <c r="XDM539"/>
      <c r="XDN539"/>
      <c r="XDO539"/>
      <c r="XDP539"/>
      <c r="XDQ539"/>
      <c r="XDR539"/>
      <c r="XDS539"/>
      <c r="XDT539"/>
      <c r="XDU539"/>
      <c r="XDV539"/>
      <c r="XDW539"/>
      <c r="XDX539"/>
      <c r="XDY539"/>
      <c r="XDZ539"/>
      <c r="XEA539"/>
      <c r="XEB539"/>
      <c r="XEC539"/>
      <c r="XED539"/>
      <c r="XEE539"/>
      <c r="XEF539"/>
      <c r="XEG539"/>
      <c r="XEH539"/>
      <c r="XEI539"/>
      <c r="XEJ539"/>
      <c r="XEK539"/>
      <c r="XEL539"/>
      <c r="XEM539"/>
      <c r="XEN539"/>
      <c r="XEO539"/>
      <c r="XEP539"/>
      <c r="XEQ539"/>
      <c r="XER539"/>
      <c r="XES539"/>
      <c r="XET539"/>
      <c r="XEU539"/>
      <c r="XEV539"/>
      <c r="XEW539"/>
      <c r="XEX539"/>
      <c r="XEY539"/>
      <c r="XEZ539"/>
      <c r="XFA539"/>
      <c r="XFB539"/>
      <c r="XFC539"/>
    </row>
    <row r="540" spans="1:20 16329:16383" s="38" customFormat="1" ht="29.1" customHeight="1" outlineLevel="6" x14ac:dyDescent="0.25">
      <c r="A540" s="49" t="s">
        <v>1082</v>
      </c>
      <c r="B540" s="50"/>
      <c r="C540" s="50"/>
      <c r="D540" s="3" t="s">
        <v>897</v>
      </c>
      <c r="E540" s="3"/>
      <c r="F540" s="51" t="s">
        <v>1083</v>
      </c>
      <c r="G540" s="50" t="s">
        <v>102</v>
      </c>
      <c r="H540" s="52">
        <f>1</f>
        <v>1</v>
      </c>
      <c r="I540" s="36"/>
      <c r="J540" s="52">
        <v>1</v>
      </c>
      <c r="K540" s="53">
        <f>0</f>
        <v>0</v>
      </c>
      <c r="L540" s="53">
        <f>0</f>
        <v>0</v>
      </c>
      <c r="M540" s="53">
        <f>0</f>
        <v>0</v>
      </c>
      <c r="N540" s="54">
        <f>SUM(K540:M540)</f>
        <v>0</v>
      </c>
      <c r="O540" s="54">
        <f>ROUND((H540*K540),2)</f>
        <v>0</v>
      </c>
      <c r="P540" s="54">
        <f>ROUND((H540*L540),2)</f>
        <v>0</v>
      </c>
      <c r="Q540" s="54">
        <f>ROUND((H540*M540),2)</f>
        <v>0</v>
      </c>
      <c r="R540" s="54">
        <f>ROUND((H540*N540),2)</f>
        <v>0</v>
      </c>
      <c r="S540" s="54"/>
      <c r="T540" s="36"/>
      <c r="XDA540"/>
      <c r="XDB540"/>
      <c r="XDC540"/>
      <c r="XDD540"/>
      <c r="XDE540"/>
      <c r="XDF540"/>
      <c r="XDG540"/>
      <c r="XDH540"/>
      <c r="XDI540"/>
      <c r="XDJ540"/>
      <c r="XDK540"/>
      <c r="XDL540"/>
      <c r="XDM540"/>
      <c r="XDN540"/>
      <c r="XDO540"/>
      <c r="XDP540"/>
      <c r="XDQ540"/>
      <c r="XDR540"/>
      <c r="XDS540"/>
      <c r="XDT540"/>
      <c r="XDU540"/>
      <c r="XDV540"/>
      <c r="XDW540"/>
      <c r="XDX540"/>
      <c r="XDY540"/>
      <c r="XDZ540"/>
      <c r="XEA540"/>
      <c r="XEB540"/>
      <c r="XEC540"/>
      <c r="XED540"/>
      <c r="XEE540"/>
      <c r="XEF540"/>
      <c r="XEG540"/>
      <c r="XEH540"/>
      <c r="XEI540"/>
      <c r="XEJ540"/>
      <c r="XEK540"/>
      <c r="XEL540"/>
      <c r="XEM540"/>
      <c r="XEN540"/>
      <c r="XEO540"/>
      <c r="XEP540"/>
      <c r="XEQ540"/>
      <c r="XER540"/>
      <c r="XES540"/>
      <c r="XET540"/>
      <c r="XEU540"/>
      <c r="XEV540"/>
      <c r="XEW540"/>
      <c r="XEX540"/>
      <c r="XEY540"/>
      <c r="XEZ540"/>
      <c r="XFA540"/>
      <c r="XFB540"/>
      <c r="XFC540"/>
    </row>
    <row r="541" spans="1:20 16329:16383" s="38" customFormat="1" ht="29.1" customHeight="1" outlineLevel="6" x14ac:dyDescent="0.25">
      <c r="A541" s="49" t="s">
        <v>1084</v>
      </c>
      <c r="B541" s="50"/>
      <c r="C541" s="50"/>
      <c r="D541" s="3" t="s">
        <v>899</v>
      </c>
      <c r="E541" s="3"/>
      <c r="F541" s="51" t="s">
        <v>1051</v>
      </c>
      <c r="G541" s="50" t="s">
        <v>102</v>
      </c>
      <c r="H541" s="52">
        <f>1</f>
        <v>1</v>
      </c>
      <c r="I541" s="36"/>
      <c r="J541" s="52">
        <v>1</v>
      </c>
      <c r="K541" s="53">
        <f>0</f>
        <v>0</v>
      </c>
      <c r="L541" s="53">
        <f>0</f>
        <v>0</v>
      </c>
      <c r="M541" s="53">
        <f>0</f>
        <v>0</v>
      </c>
      <c r="N541" s="54">
        <f>SUM(K541:M541)</f>
        <v>0</v>
      </c>
      <c r="O541" s="54">
        <f>ROUND((H541*K541),2)</f>
        <v>0</v>
      </c>
      <c r="P541" s="54">
        <f>ROUND((H541*L541),2)</f>
        <v>0</v>
      </c>
      <c r="Q541" s="54">
        <f>ROUND((H541*M541),2)</f>
        <v>0</v>
      </c>
      <c r="R541" s="54">
        <f>ROUND((H541*N541),2)</f>
        <v>0</v>
      </c>
      <c r="S541" s="54"/>
      <c r="T541" s="36"/>
      <c r="XDA541"/>
      <c r="XDB541"/>
      <c r="XDC541"/>
      <c r="XDD541"/>
      <c r="XDE541"/>
      <c r="XDF541"/>
      <c r="XDG541"/>
      <c r="XDH541"/>
      <c r="XDI541"/>
      <c r="XDJ541"/>
      <c r="XDK541"/>
      <c r="XDL541"/>
      <c r="XDM541"/>
      <c r="XDN541"/>
      <c r="XDO541"/>
      <c r="XDP541"/>
      <c r="XDQ541"/>
      <c r="XDR541"/>
      <c r="XDS541"/>
      <c r="XDT541"/>
      <c r="XDU541"/>
      <c r="XDV541"/>
      <c r="XDW541"/>
      <c r="XDX541"/>
      <c r="XDY541"/>
      <c r="XDZ541"/>
      <c r="XEA541"/>
      <c r="XEB541"/>
      <c r="XEC541"/>
      <c r="XED541"/>
      <c r="XEE541"/>
      <c r="XEF541"/>
      <c r="XEG541"/>
      <c r="XEH541"/>
      <c r="XEI541"/>
      <c r="XEJ541"/>
      <c r="XEK541"/>
      <c r="XEL541"/>
      <c r="XEM541"/>
      <c r="XEN541"/>
      <c r="XEO541"/>
      <c r="XEP541"/>
      <c r="XEQ541"/>
      <c r="XER541"/>
      <c r="XES541"/>
      <c r="XET541"/>
      <c r="XEU541"/>
      <c r="XEV541"/>
      <c r="XEW541"/>
      <c r="XEX541"/>
      <c r="XEY541"/>
      <c r="XEZ541"/>
      <c r="XFA541"/>
      <c r="XFB541"/>
      <c r="XFC541"/>
    </row>
    <row r="542" spans="1:20 16329:16383" s="38" customFormat="1" ht="29.1" customHeight="1" outlineLevel="4" x14ac:dyDescent="0.25">
      <c r="A542" s="60" t="s">
        <v>1085</v>
      </c>
      <c r="B542" s="61" t="s">
        <v>1086</v>
      </c>
      <c r="C542" s="61"/>
      <c r="D542" s="1" t="s">
        <v>956</v>
      </c>
      <c r="E542" s="1"/>
      <c r="F542" s="62"/>
      <c r="G542" s="61"/>
      <c r="H542" s="63"/>
      <c r="I542" s="36"/>
      <c r="J542" s="63"/>
      <c r="K542" s="64"/>
      <c r="L542" s="64"/>
      <c r="M542" s="64"/>
      <c r="N542" s="64"/>
      <c r="O542" s="64">
        <f>O543+O546+O550+O554+O556+O558</f>
        <v>0</v>
      </c>
      <c r="P542" s="64">
        <f>P543+P546+P550+P554+P556+P558</f>
        <v>0</v>
      </c>
      <c r="Q542" s="64">
        <f>Q543+Q546+Q550+Q554+Q556+Q558</f>
        <v>0</v>
      </c>
      <c r="R542" s="64">
        <f>R543+R546+R550+R554+R556+R558</f>
        <v>0</v>
      </c>
      <c r="S542" s="64"/>
      <c r="T542" s="36"/>
      <c r="XDA542"/>
      <c r="XDB542"/>
      <c r="XDC542"/>
      <c r="XDD542"/>
      <c r="XDE542"/>
      <c r="XDF542"/>
      <c r="XDG542"/>
      <c r="XDH542"/>
      <c r="XDI542"/>
      <c r="XDJ542"/>
      <c r="XDK542"/>
      <c r="XDL542"/>
      <c r="XDM542"/>
      <c r="XDN542"/>
      <c r="XDO542"/>
      <c r="XDP542"/>
      <c r="XDQ542"/>
      <c r="XDR542"/>
      <c r="XDS542"/>
      <c r="XDT542"/>
      <c r="XDU542"/>
      <c r="XDV542"/>
      <c r="XDW542"/>
      <c r="XDX542"/>
      <c r="XDY542"/>
      <c r="XDZ542"/>
      <c r="XEA542"/>
      <c r="XEB542"/>
      <c r="XEC542"/>
      <c r="XED542"/>
      <c r="XEE542"/>
      <c r="XEF542"/>
      <c r="XEG542"/>
      <c r="XEH542"/>
      <c r="XEI542"/>
      <c r="XEJ542"/>
      <c r="XEK542"/>
      <c r="XEL542"/>
      <c r="XEM542"/>
      <c r="XEN542"/>
      <c r="XEO542"/>
      <c r="XEP542"/>
      <c r="XEQ542"/>
      <c r="XER542"/>
      <c r="XES542"/>
      <c r="XET542"/>
      <c r="XEU542"/>
      <c r="XEV542"/>
      <c r="XEW542"/>
      <c r="XEX542"/>
      <c r="XEY542"/>
      <c r="XEZ542"/>
      <c r="XFA542"/>
      <c r="XFB542"/>
      <c r="XFC542"/>
    </row>
    <row r="543" spans="1:20 16329:16383" s="38" customFormat="1" ht="29.1" customHeight="1" outlineLevel="5" x14ac:dyDescent="0.25">
      <c r="A543" s="65" t="s">
        <v>1087</v>
      </c>
      <c r="B543" s="66" t="s">
        <v>1088</v>
      </c>
      <c r="C543" s="66"/>
      <c r="D543" s="98" t="s">
        <v>1036</v>
      </c>
      <c r="E543" s="98"/>
      <c r="F543" s="67" t="s">
        <v>1089</v>
      </c>
      <c r="G543" s="66"/>
      <c r="H543" s="68"/>
      <c r="I543" s="36"/>
      <c r="J543" s="68"/>
      <c r="K543" s="69"/>
      <c r="L543" s="69"/>
      <c r="M543" s="69"/>
      <c r="N543" s="69"/>
      <c r="O543" s="69">
        <f>O544+O545</f>
        <v>0</v>
      </c>
      <c r="P543" s="69">
        <f>P544+P545</f>
        <v>0</v>
      </c>
      <c r="Q543" s="69">
        <f>Q544+Q545</f>
        <v>0</v>
      </c>
      <c r="R543" s="69">
        <f>R544+R545</f>
        <v>0</v>
      </c>
      <c r="S543" s="69"/>
      <c r="T543" s="36"/>
      <c r="XDA543"/>
      <c r="XDB543"/>
      <c r="XDC543"/>
      <c r="XDD543"/>
      <c r="XDE543"/>
      <c r="XDF543"/>
      <c r="XDG543"/>
      <c r="XDH543"/>
      <c r="XDI543"/>
      <c r="XDJ543"/>
      <c r="XDK543"/>
      <c r="XDL543"/>
      <c r="XDM543"/>
      <c r="XDN543"/>
      <c r="XDO543"/>
      <c r="XDP543"/>
      <c r="XDQ543"/>
      <c r="XDR543"/>
      <c r="XDS543"/>
      <c r="XDT543"/>
      <c r="XDU543"/>
      <c r="XDV543"/>
      <c r="XDW543"/>
      <c r="XDX543"/>
      <c r="XDY543"/>
      <c r="XDZ543"/>
      <c r="XEA543"/>
      <c r="XEB543"/>
      <c r="XEC543"/>
      <c r="XED543"/>
      <c r="XEE543"/>
      <c r="XEF543"/>
      <c r="XEG543"/>
      <c r="XEH543"/>
      <c r="XEI543"/>
      <c r="XEJ543"/>
      <c r="XEK543"/>
      <c r="XEL543"/>
      <c r="XEM543"/>
      <c r="XEN543"/>
      <c r="XEO543"/>
      <c r="XEP543"/>
      <c r="XEQ543"/>
      <c r="XER543"/>
      <c r="XES543"/>
      <c r="XET543"/>
      <c r="XEU543"/>
      <c r="XEV543"/>
      <c r="XEW543"/>
      <c r="XEX543"/>
      <c r="XEY543"/>
      <c r="XEZ543"/>
      <c r="XFA543"/>
      <c r="XFB543"/>
      <c r="XFC543"/>
    </row>
    <row r="544" spans="1:20 16329:16383" s="38" customFormat="1" ht="29.1" customHeight="1" outlineLevel="6" x14ac:dyDescent="0.25">
      <c r="A544" s="49" t="s">
        <v>1090</v>
      </c>
      <c r="B544" s="50"/>
      <c r="C544" s="50"/>
      <c r="D544" s="3" t="s">
        <v>751</v>
      </c>
      <c r="E544" s="3"/>
      <c r="F544" s="51" t="s">
        <v>798</v>
      </c>
      <c r="G544" s="50" t="s">
        <v>102</v>
      </c>
      <c r="H544" s="52">
        <f>1</f>
        <v>1</v>
      </c>
      <c r="I544" s="36"/>
      <c r="J544" s="52">
        <v>1</v>
      </c>
      <c r="K544" s="53">
        <f>0</f>
        <v>0</v>
      </c>
      <c r="L544" s="53">
        <f>0</f>
        <v>0</v>
      </c>
      <c r="M544" s="53">
        <f>0</f>
        <v>0</v>
      </c>
      <c r="N544" s="54">
        <f>SUM(K544:M544)</f>
        <v>0</v>
      </c>
      <c r="O544" s="54">
        <f>ROUND((H544*K544),2)</f>
        <v>0</v>
      </c>
      <c r="P544" s="54">
        <f>ROUND((H544*L544),2)</f>
        <v>0</v>
      </c>
      <c r="Q544" s="54">
        <f>ROUND((H544*M544),2)</f>
        <v>0</v>
      </c>
      <c r="R544" s="54">
        <f>ROUND((H544*N544),2)</f>
        <v>0</v>
      </c>
      <c r="S544" s="54"/>
      <c r="T544" s="36"/>
      <c r="XDA544"/>
      <c r="XDB544"/>
      <c r="XDC544"/>
      <c r="XDD544"/>
      <c r="XDE544"/>
      <c r="XDF544"/>
      <c r="XDG544"/>
      <c r="XDH544"/>
      <c r="XDI544"/>
      <c r="XDJ544"/>
      <c r="XDK544"/>
      <c r="XDL544"/>
      <c r="XDM544"/>
      <c r="XDN544"/>
      <c r="XDO544"/>
      <c r="XDP544"/>
      <c r="XDQ544"/>
      <c r="XDR544"/>
      <c r="XDS544"/>
      <c r="XDT544"/>
      <c r="XDU544"/>
      <c r="XDV544"/>
      <c r="XDW544"/>
      <c r="XDX544"/>
      <c r="XDY544"/>
      <c r="XDZ544"/>
      <c r="XEA544"/>
      <c r="XEB544"/>
      <c r="XEC544"/>
      <c r="XED544"/>
      <c r="XEE544"/>
      <c r="XEF544"/>
      <c r="XEG544"/>
      <c r="XEH544"/>
      <c r="XEI544"/>
      <c r="XEJ544"/>
      <c r="XEK544"/>
      <c r="XEL544"/>
      <c r="XEM544"/>
      <c r="XEN544"/>
      <c r="XEO544"/>
      <c r="XEP544"/>
      <c r="XEQ544"/>
      <c r="XER544"/>
      <c r="XES544"/>
      <c r="XET544"/>
      <c r="XEU544"/>
      <c r="XEV544"/>
      <c r="XEW544"/>
      <c r="XEX544"/>
      <c r="XEY544"/>
      <c r="XEZ544"/>
      <c r="XFA544"/>
      <c r="XFB544"/>
      <c r="XFC544"/>
    </row>
    <row r="545" spans="1:20 16329:16383" s="38" customFormat="1" ht="29.1" customHeight="1" outlineLevel="6" x14ac:dyDescent="0.25">
      <c r="A545" s="49" t="s">
        <v>1091</v>
      </c>
      <c r="B545" s="50"/>
      <c r="C545" s="50"/>
      <c r="D545" s="3" t="s">
        <v>754</v>
      </c>
      <c r="E545" s="3"/>
      <c r="F545" s="51" t="s">
        <v>800</v>
      </c>
      <c r="G545" s="50" t="s">
        <v>102</v>
      </c>
      <c r="H545" s="52">
        <f>1</f>
        <v>1</v>
      </c>
      <c r="I545" s="36"/>
      <c r="J545" s="52">
        <v>1</v>
      </c>
      <c r="K545" s="53">
        <f>0</f>
        <v>0</v>
      </c>
      <c r="L545" s="53">
        <f>0</f>
        <v>0</v>
      </c>
      <c r="M545" s="53">
        <f>0</f>
        <v>0</v>
      </c>
      <c r="N545" s="54">
        <f>SUM(K545:M545)</f>
        <v>0</v>
      </c>
      <c r="O545" s="54">
        <f>ROUND((H545*K545),2)</f>
        <v>0</v>
      </c>
      <c r="P545" s="54">
        <f>ROUND((H545*L545),2)</f>
        <v>0</v>
      </c>
      <c r="Q545" s="54">
        <f>ROUND((H545*M545),2)</f>
        <v>0</v>
      </c>
      <c r="R545" s="54">
        <f>ROUND((H545*N545),2)</f>
        <v>0</v>
      </c>
      <c r="S545" s="54"/>
      <c r="T545" s="36"/>
      <c r="XDA545"/>
      <c r="XDB545"/>
      <c r="XDC545"/>
      <c r="XDD545"/>
      <c r="XDE545"/>
      <c r="XDF545"/>
      <c r="XDG545"/>
      <c r="XDH545"/>
      <c r="XDI545"/>
      <c r="XDJ545"/>
      <c r="XDK545"/>
      <c r="XDL545"/>
      <c r="XDM545"/>
      <c r="XDN545"/>
      <c r="XDO545"/>
      <c r="XDP545"/>
      <c r="XDQ545"/>
      <c r="XDR545"/>
      <c r="XDS545"/>
      <c r="XDT545"/>
      <c r="XDU545"/>
      <c r="XDV545"/>
      <c r="XDW545"/>
      <c r="XDX545"/>
      <c r="XDY545"/>
      <c r="XDZ545"/>
      <c r="XEA545"/>
      <c r="XEB545"/>
      <c r="XEC545"/>
      <c r="XED545"/>
      <c r="XEE545"/>
      <c r="XEF545"/>
      <c r="XEG545"/>
      <c r="XEH545"/>
      <c r="XEI545"/>
      <c r="XEJ545"/>
      <c r="XEK545"/>
      <c r="XEL545"/>
      <c r="XEM545"/>
      <c r="XEN545"/>
      <c r="XEO545"/>
      <c r="XEP545"/>
      <c r="XEQ545"/>
      <c r="XER545"/>
      <c r="XES545"/>
      <c r="XET545"/>
      <c r="XEU545"/>
      <c r="XEV545"/>
      <c r="XEW545"/>
      <c r="XEX545"/>
      <c r="XEY545"/>
      <c r="XEZ545"/>
      <c r="XFA545"/>
      <c r="XFB545"/>
      <c r="XFC545"/>
    </row>
    <row r="546" spans="1:20 16329:16383" s="38" customFormat="1" ht="29.1" customHeight="1" outlineLevel="5" x14ac:dyDescent="0.25">
      <c r="A546" s="65" t="s">
        <v>1092</v>
      </c>
      <c r="B546" s="66" t="s">
        <v>1093</v>
      </c>
      <c r="C546" s="66"/>
      <c r="D546" s="98" t="s">
        <v>866</v>
      </c>
      <c r="E546" s="98"/>
      <c r="F546" s="67" t="s">
        <v>1094</v>
      </c>
      <c r="G546" s="66"/>
      <c r="H546" s="68"/>
      <c r="I546" s="36"/>
      <c r="J546" s="68"/>
      <c r="K546" s="69"/>
      <c r="L546" s="69"/>
      <c r="M546" s="69"/>
      <c r="N546" s="69"/>
      <c r="O546" s="69">
        <f>SUM(O547:O549)</f>
        <v>0</v>
      </c>
      <c r="P546" s="69">
        <f>SUM(P547:P549)</f>
        <v>0</v>
      </c>
      <c r="Q546" s="69">
        <f>SUM(Q547:Q549)</f>
        <v>0</v>
      </c>
      <c r="R546" s="69">
        <f>SUM(R547:R549)</f>
        <v>0</v>
      </c>
      <c r="S546" s="69"/>
      <c r="T546" s="36"/>
      <c r="XDA546"/>
      <c r="XDB546"/>
      <c r="XDC546"/>
      <c r="XDD546"/>
      <c r="XDE546"/>
      <c r="XDF546"/>
      <c r="XDG546"/>
      <c r="XDH546"/>
      <c r="XDI546"/>
      <c r="XDJ546"/>
      <c r="XDK546"/>
      <c r="XDL546"/>
      <c r="XDM546"/>
      <c r="XDN546"/>
      <c r="XDO546"/>
      <c r="XDP546"/>
      <c r="XDQ546"/>
      <c r="XDR546"/>
      <c r="XDS546"/>
      <c r="XDT546"/>
      <c r="XDU546"/>
      <c r="XDV546"/>
      <c r="XDW546"/>
      <c r="XDX546"/>
      <c r="XDY546"/>
      <c r="XDZ546"/>
      <c r="XEA546"/>
      <c r="XEB546"/>
      <c r="XEC546"/>
      <c r="XED546"/>
      <c r="XEE546"/>
      <c r="XEF546"/>
      <c r="XEG546"/>
      <c r="XEH546"/>
      <c r="XEI546"/>
      <c r="XEJ546"/>
      <c r="XEK546"/>
      <c r="XEL546"/>
      <c r="XEM546"/>
      <c r="XEN546"/>
      <c r="XEO546"/>
      <c r="XEP546"/>
      <c r="XEQ546"/>
      <c r="XER546"/>
      <c r="XES546"/>
      <c r="XET546"/>
      <c r="XEU546"/>
      <c r="XEV546"/>
      <c r="XEW546"/>
      <c r="XEX546"/>
      <c r="XEY546"/>
      <c r="XEZ546"/>
      <c r="XFA546"/>
      <c r="XFB546"/>
      <c r="XFC546"/>
    </row>
    <row r="547" spans="1:20 16329:16383" s="38" customFormat="1" ht="29.1" customHeight="1" outlineLevel="6" x14ac:dyDescent="0.25">
      <c r="A547" s="49" t="s">
        <v>1095</v>
      </c>
      <c r="B547" s="50"/>
      <c r="C547" s="50"/>
      <c r="D547" s="3" t="s">
        <v>751</v>
      </c>
      <c r="E547" s="3"/>
      <c r="F547" s="51" t="s">
        <v>798</v>
      </c>
      <c r="G547" s="50" t="s">
        <v>102</v>
      </c>
      <c r="H547" s="52">
        <f>1</f>
        <v>1</v>
      </c>
      <c r="I547" s="36"/>
      <c r="J547" s="52">
        <v>1</v>
      </c>
      <c r="K547" s="53">
        <f>0</f>
        <v>0</v>
      </c>
      <c r="L547" s="53">
        <f>0</f>
        <v>0</v>
      </c>
      <c r="M547" s="53">
        <f>0</f>
        <v>0</v>
      </c>
      <c r="N547" s="54">
        <f>SUM(K547:M547)</f>
        <v>0</v>
      </c>
      <c r="O547" s="54">
        <f>ROUND((H547*K547),2)</f>
        <v>0</v>
      </c>
      <c r="P547" s="54">
        <f>ROUND((H547*L547),2)</f>
        <v>0</v>
      </c>
      <c r="Q547" s="54">
        <f>ROUND((H547*M547),2)</f>
        <v>0</v>
      </c>
      <c r="R547" s="54">
        <f>ROUND((H547*N547),2)</f>
        <v>0</v>
      </c>
      <c r="S547" s="54"/>
      <c r="T547" s="36"/>
      <c r="XDA547"/>
      <c r="XDB547"/>
      <c r="XDC547"/>
      <c r="XDD547"/>
      <c r="XDE547"/>
      <c r="XDF547"/>
      <c r="XDG547"/>
      <c r="XDH547"/>
      <c r="XDI547"/>
      <c r="XDJ547"/>
      <c r="XDK547"/>
      <c r="XDL547"/>
      <c r="XDM547"/>
      <c r="XDN547"/>
      <c r="XDO547"/>
      <c r="XDP547"/>
      <c r="XDQ547"/>
      <c r="XDR547"/>
      <c r="XDS547"/>
      <c r="XDT547"/>
      <c r="XDU547"/>
      <c r="XDV547"/>
      <c r="XDW547"/>
      <c r="XDX547"/>
      <c r="XDY547"/>
      <c r="XDZ547"/>
      <c r="XEA547"/>
      <c r="XEB547"/>
      <c r="XEC547"/>
      <c r="XED547"/>
      <c r="XEE547"/>
      <c r="XEF547"/>
      <c r="XEG547"/>
      <c r="XEH547"/>
      <c r="XEI547"/>
      <c r="XEJ547"/>
      <c r="XEK547"/>
      <c r="XEL547"/>
      <c r="XEM547"/>
      <c r="XEN547"/>
      <c r="XEO547"/>
      <c r="XEP547"/>
      <c r="XEQ547"/>
      <c r="XER547"/>
      <c r="XES547"/>
      <c r="XET547"/>
      <c r="XEU547"/>
      <c r="XEV547"/>
      <c r="XEW547"/>
      <c r="XEX547"/>
      <c r="XEY547"/>
      <c r="XEZ547"/>
      <c r="XFA547"/>
      <c r="XFB547"/>
      <c r="XFC547"/>
    </row>
    <row r="548" spans="1:20 16329:16383" s="38" customFormat="1" ht="29.1" customHeight="1" outlineLevel="6" x14ac:dyDescent="0.25">
      <c r="A548" s="49" t="s">
        <v>1096</v>
      </c>
      <c r="B548" s="50"/>
      <c r="C548" s="50"/>
      <c r="D548" s="3" t="s">
        <v>754</v>
      </c>
      <c r="E548" s="3"/>
      <c r="F548" s="51" t="s">
        <v>800</v>
      </c>
      <c r="G548" s="50" t="s">
        <v>102</v>
      </c>
      <c r="H548" s="52">
        <f>1</f>
        <v>1</v>
      </c>
      <c r="I548" s="36"/>
      <c r="J548" s="52">
        <v>1</v>
      </c>
      <c r="K548" s="53">
        <f>0</f>
        <v>0</v>
      </c>
      <c r="L548" s="53">
        <f>0</f>
        <v>0</v>
      </c>
      <c r="M548" s="53">
        <f>0</f>
        <v>0</v>
      </c>
      <c r="N548" s="54">
        <f>SUM(K548:M548)</f>
        <v>0</v>
      </c>
      <c r="O548" s="54">
        <f>ROUND((H548*K548),2)</f>
        <v>0</v>
      </c>
      <c r="P548" s="54">
        <f>ROUND((H548*L548),2)</f>
        <v>0</v>
      </c>
      <c r="Q548" s="54">
        <f>ROUND((H548*M548),2)</f>
        <v>0</v>
      </c>
      <c r="R548" s="54">
        <f>ROUND((H548*N548),2)</f>
        <v>0</v>
      </c>
      <c r="S548" s="54"/>
      <c r="T548" s="36"/>
      <c r="XDA548"/>
      <c r="XDB548"/>
      <c r="XDC548"/>
      <c r="XDD548"/>
      <c r="XDE548"/>
      <c r="XDF548"/>
      <c r="XDG548"/>
      <c r="XDH548"/>
      <c r="XDI548"/>
      <c r="XDJ548"/>
      <c r="XDK548"/>
      <c r="XDL548"/>
      <c r="XDM548"/>
      <c r="XDN548"/>
      <c r="XDO548"/>
      <c r="XDP548"/>
      <c r="XDQ548"/>
      <c r="XDR548"/>
      <c r="XDS548"/>
      <c r="XDT548"/>
      <c r="XDU548"/>
      <c r="XDV548"/>
      <c r="XDW548"/>
      <c r="XDX548"/>
      <c r="XDY548"/>
      <c r="XDZ548"/>
      <c r="XEA548"/>
      <c r="XEB548"/>
      <c r="XEC548"/>
      <c r="XED548"/>
      <c r="XEE548"/>
      <c r="XEF548"/>
      <c r="XEG548"/>
      <c r="XEH548"/>
      <c r="XEI548"/>
      <c r="XEJ548"/>
      <c r="XEK548"/>
      <c r="XEL548"/>
      <c r="XEM548"/>
      <c r="XEN548"/>
      <c r="XEO548"/>
      <c r="XEP548"/>
      <c r="XEQ548"/>
      <c r="XER548"/>
      <c r="XES548"/>
      <c r="XET548"/>
      <c r="XEU548"/>
      <c r="XEV548"/>
      <c r="XEW548"/>
      <c r="XEX548"/>
      <c r="XEY548"/>
      <c r="XEZ548"/>
      <c r="XFA548"/>
      <c r="XFB548"/>
      <c r="XFC548"/>
    </row>
    <row r="549" spans="1:20 16329:16383" s="38" customFormat="1" ht="29.1" customHeight="1" outlineLevel="6" x14ac:dyDescent="0.25">
      <c r="A549" s="49" t="s">
        <v>1097</v>
      </c>
      <c r="B549" s="50"/>
      <c r="C549" s="50"/>
      <c r="D549" s="3" t="s">
        <v>931</v>
      </c>
      <c r="E549" s="3"/>
      <c r="F549" s="51" t="s">
        <v>1064</v>
      </c>
      <c r="G549" s="50" t="s">
        <v>102</v>
      </c>
      <c r="H549" s="52">
        <f>1</f>
        <v>1</v>
      </c>
      <c r="I549" s="36"/>
      <c r="J549" s="52">
        <v>1</v>
      </c>
      <c r="K549" s="53">
        <f>0</f>
        <v>0</v>
      </c>
      <c r="L549" s="53">
        <f>0</f>
        <v>0</v>
      </c>
      <c r="M549" s="53">
        <f>0</f>
        <v>0</v>
      </c>
      <c r="N549" s="54">
        <f>SUM(K549:M549)</f>
        <v>0</v>
      </c>
      <c r="O549" s="54">
        <f>ROUND((H549*K549),2)</f>
        <v>0</v>
      </c>
      <c r="P549" s="54">
        <f>ROUND((H549*L549),2)</f>
        <v>0</v>
      </c>
      <c r="Q549" s="54">
        <f>ROUND((H549*M549),2)</f>
        <v>0</v>
      </c>
      <c r="R549" s="54">
        <f>ROUND((H549*N549),2)</f>
        <v>0</v>
      </c>
      <c r="S549" s="54"/>
      <c r="T549" s="36"/>
      <c r="XDA549"/>
      <c r="XDB549"/>
      <c r="XDC549"/>
      <c r="XDD549"/>
      <c r="XDE549"/>
      <c r="XDF549"/>
      <c r="XDG549"/>
      <c r="XDH549"/>
      <c r="XDI549"/>
      <c r="XDJ549"/>
      <c r="XDK549"/>
      <c r="XDL549"/>
      <c r="XDM549"/>
      <c r="XDN549"/>
      <c r="XDO549"/>
      <c r="XDP549"/>
      <c r="XDQ549"/>
      <c r="XDR549"/>
      <c r="XDS549"/>
      <c r="XDT549"/>
      <c r="XDU549"/>
      <c r="XDV549"/>
      <c r="XDW549"/>
      <c r="XDX549"/>
      <c r="XDY549"/>
      <c r="XDZ549"/>
      <c r="XEA549"/>
      <c r="XEB549"/>
      <c r="XEC549"/>
      <c r="XED549"/>
      <c r="XEE549"/>
      <c r="XEF549"/>
      <c r="XEG549"/>
      <c r="XEH549"/>
      <c r="XEI549"/>
      <c r="XEJ549"/>
      <c r="XEK549"/>
      <c r="XEL549"/>
      <c r="XEM549"/>
      <c r="XEN549"/>
      <c r="XEO549"/>
      <c r="XEP549"/>
      <c r="XEQ549"/>
      <c r="XER549"/>
      <c r="XES549"/>
      <c r="XET549"/>
      <c r="XEU549"/>
      <c r="XEV549"/>
      <c r="XEW549"/>
      <c r="XEX549"/>
      <c r="XEY549"/>
      <c r="XEZ549"/>
      <c r="XFA549"/>
      <c r="XFB549"/>
      <c r="XFC549"/>
    </row>
    <row r="550" spans="1:20 16329:16383" s="38" customFormat="1" ht="29.1" customHeight="1" outlineLevel="5" x14ac:dyDescent="0.25">
      <c r="A550" s="65" t="s">
        <v>1098</v>
      </c>
      <c r="B550" s="66" t="s">
        <v>1099</v>
      </c>
      <c r="C550" s="66"/>
      <c r="D550" s="98" t="s">
        <v>934</v>
      </c>
      <c r="E550" s="98"/>
      <c r="F550" s="67" t="s">
        <v>935</v>
      </c>
      <c r="G550" s="66"/>
      <c r="H550" s="68"/>
      <c r="I550" s="36"/>
      <c r="J550" s="68"/>
      <c r="K550" s="69"/>
      <c r="L550" s="69"/>
      <c r="M550" s="69"/>
      <c r="N550" s="69"/>
      <c r="O550" s="69">
        <f>SUM(O551:O553)</f>
        <v>0</v>
      </c>
      <c r="P550" s="69">
        <f>SUM(P551:P553)</f>
        <v>0</v>
      </c>
      <c r="Q550" s="69">
        <f>SUM(Q551:Q553)</f>
        <v>0</v>
      </c>
      <c r="R550" s="69">
        <f>SUM(R551:R553)</f>
        <v>0</v>
      </c>
      <c r="S550" s="69"/>
      <c r="T550" s="36"/>
      <c r="XDA550"/>
      <c r="XDB550"/>
      <c r="XDC550"/>
      <c r="XDD550"/>
      <c r="XDE550"/>
      <c r="XDF550"/>
      <c r="XDG550"/>
      <c r="XDH550"/>
      <c r="XDI550"/>
      <c r="XDJ550"/>
      <c r="XDK550"/>
      <c r="XDL550"/>
      <c r="XDM550"/>
      <c r="XDN550"/>
      <c r="XDO550"/>
      <c r="XDP550"/>
      <c r="XDQ550"/>
      <c r="XDR550"/>
      <c r="XDS550"/>
      <c r="XDT550"/>
      <c r="XDU550"/>
      <c r="XDV550"/>
      <c r="XDW550"/>
      <c r="XDX550"/>
      <c r="XDY550"/>
      <c r="XDZ550"/>
      <c r="XEA550"/>
      <c r="XEB550"/>
      <c r="XEC550"/>
      <c r="XED550"/>
      <c r="XEE550"/>
      <c r="XEF550"/>
      <c r="XEG550"/>
      <c r="XEH550"/>
      <c r="XEI550"/>
      <c r="XEJ550"/>
      <c r="XEK550"/>
      <c r="XEL550"/>
      <c r="XEM550"/>
      <c r="XEN550"/>
      <c r="XEO550"/>
      <c r="XEP550"/>
      <c r="XEQ550"/>
      <c r="XER550"/>
      <c r="XES550"/>
      <c r="XET550"/>
      <c r="XEU550"/>
      <c r="XEV550"/>
      <c r="XEW550"/>
      <c r="XEX550"/>
      <c r="XEY550"/>
      <c r="XEZ550"/>
      <c r="XFA550"/>
      <c r="XFB550"/>
      <c r="XFC550"/>
    </row>
    <row r="551" spans="1:20 16329:16383" s="38" customFormat="1" ht="29.1" customHeight="1" outlineLevel="6" x14ac:dyDescent="0.25">
      <c r="A551" s="49" t="s">
        <v>1100</v>
      </c>
      <c r="B551" s="50"/>
      <c r="C551" s="50"/>
      <c r="D551" s="3" t="s">
        <v>751</v>
      </c>
      <c r="E551" s="3"/>
      <c r="F551" s="51" t="s">
        <v>1009</v>
      </c>
      <c r="G551" s="50" t="s">
        <v>102</v>
      </c>
      <c r="H551" s="52">
        <f>1</f>
        <v>1</v>
      </c>
      <c r="I551" s="36"/>
      <c r="J551" s="52">
        <v>1</v>
      </c>
      <c r="K551" s="53">
        <f>0</f>
        <v>0</v>
      </c>
      <c r="L551" s="53">
        <f>0</f>
        <v>0</v>
      </c>
      <c r="M551" s="53">
        <f>0</f>
        <v>0</v>
      </c>
      <c r="N551" s="54">
        <f>SUM(K551:M551)</f>
        <v>0</v>
      </c>
      <c r="O551" s="54">
        <f>ROUND((H551*K551),2)</f>
        <v>0</v>
      </c>
      <c r="P551" s="54">
        <f>ROUND((H551*L551),2)</f>
        <v>0</v>
      </c>
      <c r="Q551" s="54">
        <f>ROUND((H551*M551),2)</f>
        <v>0</v>
      </c>
      <c r="R551" s="54">
        <f>ROUND((H551*N551),2)</f>
        <v>0</v>
      </c>
      <c r="S551" s="54"/>
      <c r="T551" s="36"/>
      <c r="XDA551"/>
      <c r="XDB551"/>
      <c r="XDC551"/>
      <c r="XDD551"/>
      <c r="XDE551"/>
      <c r="XDF551"/>
      <c r="XDG551"/>
      <c r="XDH551"/>
      <c r="XDI551"/>
      <c r="XDJ551"/>
      <c r="XDK551"/>
      <c r="XDL551"/>
      <c r="XDM551"/>
      <c r="XDN551"/>
      <c r="XDO551"/>
      <c r="XDP551"/>
      <c r="XDQ551"/>
      <c r="XDR551"/>
      <c r="XDS551"/>
      <c r="XDT551"/>
      <c r="XDU551"/>
      <c r="XDV551"/>
      <c r="XDW551"/>
      <c r="XDX551"/>
      <c r="XDY551"/>
      <c r="XDZ551"/>
      <c r="XEA551"/>
      <c r="XEB551"/>
      <c r="XEC551"/>
      <c r="XED551"/>
      <c r="XEE551"/>
      <c r="XEF551"/>
      <c r="XEG551"/>
      <c r="XEH551"/>
      <c r="XEI551"/>
      <c r="XEJ551"/>
      <c r="XEK551"/>
      <c r="XEL551"/>
      <c r="XEM551"/>
      <c r="XEN551"/>
      <c r="XEO551"/>
      <c r="XEP551"/>
      <c r="XEQ551"/>
      <c r="XER551"/>
      <c r="XES551"/>
      <c r="XET551"/>
      <c r="XEU551"/>
      <c r="XEV551"/>
      <c r="XEW551"/>
      <c r="XEX551"/>
      <c r="XEY551"/>
      <c r="XEZ551"/>
      <c r="XFA551"/>
      <c r="XFB551"/>
      <c r="XFC551"/>
    </row>
    <row r="552" spans="1:20 16329:16383" s="38" customFormat="1" ht="29.1" customHeight="1" outlineLevel="6" x14ac:dyDescent="0.25">
      <c r="A552" s="49" t="s">
        <v>1101</v>
      </c>
      <c r="B552" s="50"/>
      <c r="C552" s="50"/>
      <c r="D552" s="3" t="s">
        <v>754</v>
      </c>
      <c r="E552" s="3"/>
      <c r="F552" s="51" t="s">
        <v>1011</v>
      </c>
      <c r="G552" s="50" t="s">
        <v>102</v>
      </c>
      <c r="H552" s="52">
        <f>1</f>
        <v>1</v>
      </c>
      <c r="I552" s="36"/>
      <c r="J552" s="52">
        <v>1</v>
      </c>
      <c r="K552" s="53">
        <f>0</f>
        <v>0</v>
      </c>
      <c r="L552" s="53">
        <f>0</f>
        <v>0</v>
      </c>
      <c r="M552" s="53">
        <f>0</f>
        <v>0</v>
      </c>
      <c r="N552" s="54">
        <f>SUM(K552:M552)</f>
        <v>0</v>
      </c>
      <c r="O552" s="54">
        <f>ROUND((H552*K552),2)</f>
        <v>0</v>
      </c>
      <c r="P552" s="54">
        <f>ROUND((H552*L552),2)</f>
        <v>0</v>
      </c>
      <c r="Q552" s="54">
        <f>ROUND((H552*M552),2)</f>
        <v>0</v>
      </c>
      <c r="R552" s="54">
        <f>ROUND((H552*N552),2)</f>
        <v>0</v>
      </c>
      <c r="S552" s="54"/>
      <c r="T552" s="36"/>
      <c r="XDA552"/>
      <c r="XDB552"/>
      <c r="XDC552"/>
      <c r="XDD552"/>
      <c r="XDE552"/>
      <c r="XDF552"/>
      <c r="XDG552"/>
      <c r="XDH552"/>
      <c r="XDI552"/>
      <c r="XDJ552"/>
      <c r="XDK552"/>
      <c r="XDL552"/>
      <c r="XDM552"/>
      <c r="XDN552"/>
      <c r="XDO552"/>
      <c r="XDP552"/>
      <c r="XDQ552"/>
      <c r="XDR552"/>
      <c r="XDS552"/>
      <c r="XDT552"/>
      <c r="XDU552"/>
      <c r="XDV552"/>
      <c r="XDW552"/>
      <c r="XDX552"/>
      <c r="XDY552"/>
      <c r="XDZ552"/>
      <c r="XEA552"/>
      <c r="XEB552"/>
      <c r="XEC552"/>
      <c r="XED552"/>
      <c r="XEE552"/>
      <c r="XEF552"/>
      <c r="XEG552"/>
      <c r="XEH552"/>
      <c r="XEI552"/>
      <c r="XEJ552"/>
      <c r="XEK552"/>
      <c r="XEL552"/>
      <c r="XEM552"/>
      <c r="XEN552"/>
      <c r="XEO552"/>
      <c r="XEP552"/>
      <c r="XEQ552"/>
      <c r="XER552"/>
      <c r="XES552"/>
      <c r="XET552"/>
      <c r="XEU552"/>
      <c r="XEV552"/>
      <c r="XEW552"/>
      <c r="XEX552"/>
      <c r="XEY552"/>
      <c r="XEZ552"/>
      <c r="XFA552"/>
      <c r="XFB552"/>
      <c r="XFC552"/>
    </row>
    <row r="553" spans="1:20 16329:16383" s="38" customFormat="1" ht="29.1" customHeight="1" outlineLevel="6" x14ac:dyDescent="0.25">
      <c r="A553" s="49" t="s">
        <v>1102</v>
      </c>
      <c r="B553" s="50"/>
      <c r="C553" s="50"/>
      <c r="D553" s="3" t="s">
        <v>877</v>
      </c>
      <c r="E553" s="3"/>
      <c r="F553" s="51" t="s">
        <v>1011</v>
      </c>
      <c r="G553" s="50" t="s">
        <v>102</v>
      </c>
      <c r="H553" s="52">
        <f>1</f>
        <v>1</v>
      </c>
      <c r="I553" s="36"/>
      <c r="J553" s="52">
        <v>1</v>
      </c>
      <c r="K553" s="53">
        <f>0</f>
        <v>0</v>
      </c>
      <c r="L553" s="53">
        <f>0</f>
        <v>0</v>
      </c>
      <c r="M553" s="53">
        <f>0</f>
        <v>0</v>
      </c>
      <c r="N553" s="54">
        <f>SUM(K553:M553)</f>
        <v>0</v>
      </c>
      <c r="O553" s="54">
        <f>ROUND((H553*K553),2)</f>
        <v>0</v>
      </c>
      <c r="P553" s="54">
        <f>ROUND((H553*L553),2)</f>
        <v>0</v>
      </c>
      <c r="Q553" s="54">
        <f>ROUND((H553*M553),2)</f>
        <v>0</v>
      </c>
      <c r="R553" s="54">
        <f>ROUND((H553*N553),2)</f>
        <v>0</v>
      </c>
      <c r="S553" s="54"/>
      <c r="T553" s="36"/>
      <c r="XDA553"/>
      <c r="XDB553"/>
      <c r="XDC553"/>
      <c r="XDD553"/>
      <c r="XDE553"/>
      <c r="XDF553"/>
      <c r="XDG553"/>
      <c r="XDH553"/>
      <c r="XDI553"/>
      <c r="XDJ553"/>
      <c r="XDK553"/>
      <c r="XDL553"/>
      <c r="XDM553"/>
      <c r="XDN553"/>
      <c r="XDO553"/>
      <c r="XDP553"/>
      <c r="XDQ553"/>
      <c r="XDR553"/>
      <c r="XDS553"/>
      <c r="XDT553"/>
      <c r="XDU553"/>
      <c r="XDV553"/>
      <c r="XDW553"/>
      <c r="XDX553"/>
      <c r="XDY553"/>
      <c r="XDZ553"/>
      <c r="XEA553"/>
      <c r="XEB553"/>
      <c r="XEC553"/>
      <c r="XED553"/>
      <c r="XEE553"/>
      <c r="XEF553"/>
      <c r="XEG553"/>
      <c r="XEH553"/>
      <c r="XEI553"/>
      <c r="XEJ553"/>
      <c r="XEK553"/>
      <c r="XEL553"/>
      <c r="XEM553"/>
      <c r="XEN553"/>
      <c r="XEO553"/>
      <c r="XEP553"/>
      <c r="XEQ553"/>
      <c r="XER553"/>
      <c r="XES553"/>
      <c r="XET553"/>
      <c r="XEU553"/>
      <c r="XEV553"/>
      <c r="XEW553"/>
      <c r="XEX553"/>
      <c r="XEY553"/>
      <c r="XEZ553"/>
      <c r="XFA553"/>
      <c r="XFB553"/>
      <c r="XFC553"/>
    </row>
    <row r="554" spans="1:20 16329:16383" s="38" customFormat="1" ht="29.1" customHeight="1" outlineLevel="5" x14ac:dyDescent="0.25">
      <c r="A554" s="65" t="s">
        <v>1103</v>
      </c>
      <c r="B554" s="66" t="s">
        <v>1104</v>
      </c>
      <c r="C554" s="66"/>
      <c r="D554" s="98" t="s">
        <v>1105</v>
      </c>
      <c r="E554" s="98"/>
      <c r="F554" s="67" t="s">
        <v>1106</v>
      </c>
      <c r="G554" s="66"/>
      <c r="H554" s="68"/>
      <c r="I554" s="36"/>
      <c r="J554" s="68"/>
      <c r="K554" s="69"/>
      <c r="L554" s="69"/>
      <c r="M554" s="69"/>
      <c r="N554" s="69"/>
      <c r="O554" s="69">
        <f>O555</f>
        <v>0</v>
      </c>
      <c r="P554" s="69">
        <f>P555</f>
        <v>0</v>
      </c>
      <c r="Q554" s="69">
        <f>Q555</f>
        <v>0</v>
      </c>
      <c r="R554" s="69">
        <f>R555</f>
        <v>0</v>
      </c>
      <c r="S554" s="69"/>
      <c r="T554" s="36"/>
      <c r="XDA554"/>
      <c r="XDB554"/>
      <c r="XDC554"/>
      <c r="XDD554"/>
      <c r="XDE554"/>
      <c r="XDF554"/>
      <c r="XDG554"/>
      <c r="XDH554"/>
      <c r="XDI554"/>
      <c r="XDJ554"/>
      <c r="XDK554"/>
      <c r="XDL554"/>
      <c r="XDM554"/>
      <c r="XDN554"/>
      <c r="XDO554"/>
      <c r="XDP554"/>
      <c r="XDQ554"/>
      <c r="XDR554"/>
      <c r="XDS554"/>
      <c r="XDT554"/>
      <c r="XDU554"/>
      <c r="XDV554"/>
      <c r="XDW554"/>
      <c r="XDX554"/>
      <c r="XDY554"/>
      <c r="XDZ554"/>
      <c r="XEA554"/>
      <c r="XEB554"/>
      <c r="XEC554"/>
      <c r="XED554"/>
      <c r="XEE554"/>
      <c r="XEF554"/>
      <c r="XEG554"/>
      <c r="XEH554"/>
      <c r="XEI554"/>
      <c r="XEJ554"/>
      <c r="XEK554"/>
      <c r="XEL554"/>
      <c r="XEM554"/>
      <c r="XEN554"/>
      <c r="XEO554"/>
      <c r="XEP554"/>
      <c r="XEQ554"/>
      <c r="XER554"/>
      <c r="XES554"/>
      <c r="XET554"/>
      <c r="XEU554"/>
      <c r="XEV554"/>
      <c r="XEW554"/>
      <c r="XEX554"/>
      <c r="XEY554"/>
      <c r="XEZ554"/>
      <c r="XFA554"/>
      <c r="XFB554"/>
      <c r="XFC554"/>
    </row>
    <row r="555" spans="1:20 16329:16383" s="38" customFormat="1" ht="29.1" customHeight="1" outlineLevel="6" x14ac:dyDescent="0.25">
      <c r="A555" s="49" t="s">
        <v>1107</v>
      </c>
      <c r="B555" s="50"/>
      <c r="C555" s="50"/>
      <c r="D555" s="3" t="s">
        <v>773</v>
      </c>
      <c r="E555" s="3"/>
      <c r="F555" s="51" t="s">
        <v>816</v>
      </c>
      <c r="G555" s="50" t="s">
        <v>102</v>
      </c>
      <c r="H555" s="52">
        <f>1</f>
        <v>1</v>
      </c>
      <c r="I555" s="36"/>
      <c r="J555" s="52">
        <v>1</v>
      </c>
      <c r="K555" s="53">
        <f>0</f>
        <v>0</v>
      </c>
      <c r="L555" s="53">
        <f>0</f>
        <v>0</v>
      </c>
      <c r="M555" s="53">
        <f>0</f>
        <v>0</v>
      </c>
      <c r="N555" s="54">
        <f>SUM(K555:M555)</f>
        <v>0</v>
      </c>
      <c r="O555" s="54">
        <f>ROUND((H555*K555),2)</f>
        <v>0</v>
      </c>
      <c r="P555" s="54">
        <f>ROUND((H555*L555),2)</f>
        <v>0</v>
      </c>
      <c r="Q555" s="54">
        <f>ROUND((H555*M555),2)</f>
        <v>0</v>
      </c>
      <c r="R555" s="54">
        <f>ROUND((H555*N555),2)</f>
        <v>0</v>
      </c>
      <c r="S555" s="54"/>
      <c r="T555" s="36"/>
      <c r="XDA555"/>
      <c r="XDB555"/>
      <c r="XDC555"/>
      <c r="XDD555"/>
      <c r="XDE555"/>
      <c r="XDF555"/>
      <c r="XDG555"/>
      <c r="XDH555"/>
      <c r="XDI555"/>
      <c r="XDJ555"/>
      <c r="XDK555"/>
      <c r="XDL555"/>
      <c r="XDM555"/>
      <c r="XDN555"/>
      <c r="XDO555"/>
      <c r="XDP555"/>
      <c r="XDQ555"/>
      <c r="XDR555"/>
      <c r="XDS555"/>
      <c r="XDT555"/>
      <c r="XDU555"/>
      <c r="XDV555"/>
      <c r="XDW555"/>
      <c r="XDX555"/>
      <c r="XDY555"/>
      <c r="XDZ555"/>
      <c r="XEA555"/>
      <c r="XEB555"/>
      <c r="XEC555"/>
      <c r="XED555"/>
      <c r="XEE555"/>
      <c r="XEF555"/>
      <c r="XEG555"/>
      <c r="XEH555"/>
      <c r="XEI555"/>
      <c r="XEJ555"/>
      <c r="XEK555"/>
      <c r="XEL555"/>
      <c r="XEM555"/>
      <c r="XEN555"/>
      <c r="XEO555"/>
      <c r="XEP555"/>
      <c r="XEQ555"/>
      <c r="XER555"/>
      <c r="XES555"/>
      <c r="XET555"/>
      <c r="XEU555"/>
      <c r="XEV555"/>
      <c r="XEW555"/>
      <c r="XEX555"/>
      <c r="XEY555"/>
      <c r="XEZ555"/>
      <c r="XFA555"/>
      <c r="XFB555"/>
      <c r="XFC555"/>
    </row>
    <row r="556" spans="1:20 16329:16383" s="38" customFormat="1" ht="29.1" customHeight="1" outlineLevel="5" x14ac:dyDescent="0.25">
      <c r="A556" s="65" t="s">
        <v>1108</v>
      </c>
      <c r="B556" s="66" t="s">
        <v>1109</v>
      </c>
      <c r="C556" s="66"/>
      <c r="D556" s="98" t="s">
        <v>885</v>
      </c>
      <c r="E556" s="98"/>
      <c r="F556" s="67" t="s">
        <v>982</v>
      </c>
      <c r="G556" s="66"/>
      <c r="H556" s="68"/>
      <c r="I556" s="36"/>
      <c r="J556" s="68"/>
      <c r="K556" s="69"/>
      <c r="L556" s="69"/>
      <c r="M556" s="69"/>
      <c r="N556" s="69"/>
      <c r="O556" s="69">
        <f>O557</f>
        <v>0</v>
      </c>
      <c r="P556" s="69">
        <f>P557</f>
        <v>0</v>
      </c>
      <c r="Q556" s="69">
        <f>Q557</f>
        <v>0</v>
      </c>
      <c r="R556" s="69">
        <f>R557</f>
        <v>0</v>
      </c>
      <c r="S556" s="69"/>
      <c r="T556" s="36"/>
      <c r="XDA556"/>
      <c r="XDB556"/>
      <c r="XDC556"/>
      <c r="XDD556"/>
      <c r="XDE556"/>
      <c r="XDF556"/>
      <c r="XDG556"/>
      <c r="XDH556"/>
      <c r="XDI556"/>
      <c r="XDJ556"/>
      <c r="XDK556"/>
      <c r="XDL556"/>
      <c r="XDM556"/>
      <c r="XDN556"/>
      <c r="XDO556"/>
      <c r="XDP556"/>
      <c r="XDQ556"/>
      <c r="XDR556"/>
      <c r="XDS556"/>
      <c r="XDT556"/>
      <c r="XDU556"/>
      <c r="XDV556"/>
      <c r="XDW556"/>
      <c r="XDX556"/>
      <c r="XDY556"/>
      <c r="XDZ556"/>
      <c r="XEA556"/>
      <c r="XEB556"/>
      <c r="XEC556"/>
      <c r="XED556"/>
      <c r="XEE556"/>
      <c r="XEF556"/>
      <c r="XEG556"/>
      <c r="XEH556"/>
      <c r="XEI556"/>
      <c r="XEJ556"/>
      <c r="XEK556"/>
      <c r="XEL556"/>
      <c r="XEM556"/>
      <c r="XEN556"/>
      <c r="XEO556"/>
      <c r="XEP556"/>
      <c r="XEQ556"/>
      <c r="XER556"/>
      <c r="XES556"/>
      <c r="XET556"/>
      <c r="XEU556"/>
      <c r="XEV556"/>
      <c r="XEW556"/>
      <c r="XEX556"/>
      <c r="XEY556"/>
      <c r="XEZ556"/>
      <c r="XFA556"/>
      <c r="XFB556"/>
      <c r="XFC556"/>
    </row>
    <row r="557" spans="1:20 16329:16383" s="38" customFormat="1" ht="29.1" customHeight="1" outlineLevel="6" x14ac:dyDescent="0.25">
      <c r="A557" s="49" t="s">
        <v>1110</v>
      </c>
      <c r="B557" s="50"/>
      <c r="C557" s="50"/>
      <c r="D557" s="3" t="s">
        <v>888</v>
      </c>
      <c r="E557" s="3"/>
      <c r="F557" s="51" t="s">
        <v>1019</v>
      </c>
      <c r="G557" s="50" t="s">
        <v>102</v>
      </c>
      <c r="H557" s="52">
        <f>1</f>
        <v>1</v>
      </c>
      <c r="I557" s="36"/>
      <c r="J557" s="52">
        <v>1</v>
      </c>
      <c r="K557" s="53">
        <f>0</f>
        <v>0</v>
      </c>
      <c r="L557" s="53">
        <f>0</f>
        <v>0</v>
      </c>
      <c r="M557" s="53">
        <f>0</f>
        <v>0</v>
      </c>
      <c r="N557" s="54">
        <f>SUM(K557:M557)</f>
        <v>0</v>
      </c>
      <c r="O557" s="54">
        <f>ROUND((H557*K557),2)</f>
        <v>0</v>
      </c>
      <c r="P557" s="54">
        <f>ROUND((H557*L557),2)</f>
        <v>0</v>
      </c>
      <c r="Q557" s="54">
        <f>ROUND((H557*M557),2)</f>
        <v>0</v>
      </c>
      <c r="R557" s="54">
        <f>ROUND((H557*N557),2)</f>
        <v>0</v>
      </c>
      <c r="S557" s="54"/>
      <c r="T557" s="36"/>
      <c r="XDA557"/>
      <c r="XDB557"/>
      <c r="XDC557"/>
      <c r="XDD557"/>
      <c r="XDE557"/>
      <c r="XDF557"/>
      <c r="XDG557"/>
      <c r="XDH557"/>
      <c r="XDI557"/>
      <c r="XDJ557"/>
      <c r="XDK557"/>
      <c r="XDL557"/>
      <c r="XDM557"/>
      <c r="XDN557"/>
      <c r="XDO557"/>
      <c r="XDP557"/>
      <c r="XDQ557"/>
      <c r="XDR557"/>
      <c r="XDS557"/>
      <c r="XDT557"/>
      <c r="XDU557"/>
      <c r="XDV557"/>
      <c r="XDW557"/>
      <c r="XDX557"/>
      <c r="XDY557"/>
      <c r="XDZ557"/>
      <c r="XEA557"/>
      <c r="XEB557"/>
      <c r="XEC557"/>
      <c r="XED557"/>
      <c r="XEE557"/>
      <c r="XEF557"/>
      <c r="XEG557"/>
      <c r="XEH557"/>
      <c r="XEI557"/>
      <c r="XEJ557"/>
      <c r="XEK557"/>
      <c r="XEL557"/>
      <c r="XEM557"/>
      <c r="XEN557"/>
      <c r="XEO557"/>
      <c r="XEP557"/>
      <c r="XEQ557"/>
      <c r="XER557"/>
      <c r="XES557"/>
      <c r="XET557"/>
      <c r="XEU557"/>
      <c r="XEV557"/>
      <c r="XEW557"/>
      <c r="XEX557"/>
      <c r="XEY557"/>
      <c r="XEZ557"/>
      <c r="XFA557"/>
      <c r="XFB557"/>
      <c r="XFC557"/>
    </row>
    <row r="558" spans="1:20 16329:16383" s="38" customFormat="1" ht="29.1" customHeight="1" outlineLevel="5" x14ac:dyDescent="0.25">
      <c r="A558" s="65" t="s">
        <v>1111</v>
      </c>
      <c r="B558" s="66" t="s">
        <v>1112</v>
      </c>
      <c r="C558" s="66"/>
      <c r="D558" s="98" t="s">
        <v>782</v>
      </c>
      <c r="E558" s="98"/>
      <c r="F558" s="67" t="s">
        <v>986</v>
      </c>
      <c r="G558" s="66"/>
      <c r="H558" s="68"/>
      <c r="I558" s="36"/>
      <c r="J558" s="68"/>
      <c r="K558" s="69"/>
      <c r="L558" s="69"/>
      <c r="M558" s="69"/>
      <c r="N558" s="69"/>
      <c r="O558" s="69">
        <f>SUM(O559:O563)</f>
        <v>0</v>
      </c>
      <c r="P558" s="69">
        <f>SUM(P559:P563)</f>
        <v>0</v>
      </c>
      <c r="Q558" s="69">
        <f>SUM(Q559:Q563)</f>
        <v>0</v>
      </c>
      <c r="R558" s="69">
        <f>SUM(R559:R563)</f>
        <v>0</v>
      </c>
      <c r="S558" s="69"/>
      <c r="T558" s="36"/>
      <c r="XDA558"/>
      <c r="XDB558"/>
      <c r="XDC558"/>
      <c r="XDD558"/>
      <c r="XDE558"/>
      <c r="XDF558"/>
      <c r="XDG558"/>
      <c r="XDH558"/>
      <c r="XDI558"/>
      <c r="XDJ558"/>
      <c r="XDK558"/>
      <c r="XDL558"/>
      <c r="XDM558"/>
      <c r="XDN558"/>
      <c r="XDO558"/>
      <c r="XDP558"/>
      <c r="XDQ558"/>
      <c r="XDR558"/>
      <c r="XDS558"/>
      <c r="XDT558"/>
      <c r="XDU558"/>
      <c r="XDV558"/>
      <c r="XDW558"/>
      <c r="XDX558"/>
      <c r="XDY558"/>
      <c r="XDZ558"/>
      <c r="XEA558"/>
      <c r="XEB558"/>
      <c r="XEC558"/>
      <c r="XED558"/>
      <c r="XEE558"/>
      <c r="XEF558"/>
      <c r="XEG558"/>
      <c r="XEH558"/>
      <c r="XEI558"/>
      <c r="XEJ558"/>
      <c r="XEK558"/>
      <c r="XEL558"/>
      <c r="XEM558"/>
      <c r="XEN558"/>
      <c r="XEO558"/>
      <c r="XEP558"/>
      <c r="XEQ558"/>
      <c r="XER558"/>
      <c r="XES558"/>
      <c r="XET558"/>
      <c r="XEU558"/>
      <c r="XEV558"/>
      <c r="XEW558"/>
      <c r="XEX558"/>
      <c r="XEY558"/>
      <c r="XEZ558"/>
      <c r="XFA558"/>
      <c r="XFB558"/>
      <c r="XFC558"/>
    </row>
    <row r="559" spans="1:20 16329:16383" s="38" customFormat="1" ht="29.1" customHeight="1" outlineLevel="6" x14ac:dyDescent="0.25">
      <c r="A559" s="49" t="s">
        <v>1113</v>
      </c>
      <c r="B559" s="50"/>
      <c r="C559" s="50"/>
      <c r="D559" s="3" t="s">
        <v>785</v>
      </c>
      <c r="E559" s="3"/>
      <c r="F559" s="51" t="s">
        <v>1114</v>
      </c>
      <c r="G559" s="50" t="s">
        <v>102</v>
      </c>
      <c r="H559" s="52">
        <f>1</f>
        <v>1</v>
      </c>
      <c r="I559" s="36"/>
      <c r="J559" s="52">
        <v>1</v>
      </c>
      <c r="K559" s="53">
        <f>0</f>
        <v>0</v>
      </c>
      <c r="L559" s="53">
        <f>0</f>
        <v>0</v>
      </c>
      <c r="M559" s="53">
        <f>0</f>
        <v>0</v>
      </c>
      <c r="N559" s="54">
        <f>SUM(K559:M559)</f>
        <v>0</v>
      </c>
      <c r="O559" s="54">
        <f>ROUND((H559*K559),2)</f>
        <v>0</v>
      </c>
      <c r="P559" s="54">
        <f>ROUND((H559*L559),2)</f>
        <v>0</v>
      </c>
      <c r="Q559" s="54">
        <f>ROUND((H559*M559),2)</f>
        <v>0</v>
      </c>
      <c r="R559" s="54">
        <f>ROUND((H559*N559),2)</f>
        <v>0</v>
      </c>
      <c r="S559" s="54"/>
      <c r="T559" s="36"/>
      <c r="XDA559"/>
      <c r="XDB559"/>
      <c r="XDC559"/>
      <c r="XDD559"/>
      <c r="XDE559"/>
      <c r="XDF559"/>
      <c r="XDG559"/>
      <c r="XDH559"/>
      <c r="XDI559"/>
      <c r="XDJ559"/>
      <c r="XDK559"/>
      <c r="XDL559"/>
      <c r="XDM559"/>
      <c r="XDN559"/>
      <c r="XDO559"/>
      <c r="XDP559"/>
      <c r="XDQ559"/>
      <c r="XDR559"/>
      <c r="XDS559"/>
      <c r="XDT559"/>
      <c r="XDU559"/>
      <c r="XDV559"/>
      <c r="XDW559"/>
      <c r="XDX559"/>
      <c r="XDY559"/>
      <c r="XDZ559"/>
      <c r="XEA559"/>
      <c r="XEB559"/>
      <c r="XEC559"/>
      <c r="XED559"/>
      <c r="XEE559"/>
      <c r="XEF559"/>
      <c r="XEG559"/>
      <c r="XEH559"/>
      <c r="XEI559"/>
      <c r="XEJ559"/>
      <c r="XEK559"/>
      <c r="XEL559"/>
      <c r="XEM559"/>
      <c r="XEN559"/>
      <c r="XEO559"/>
      <c r="XEP559"/>
      <c r="XEQ559"/>
      <c r="XER559"/>
      <c r="XES559"/>
      <c r="XET559"/>
      <c r="XEU559"/>
      <c r="XEV559"/>
      <c r="XEW559"/>
      <c r="XEX559"/>
      <c r="XEY559"/>
      <c r="XEZ559"/>
      <c r="XFA559"/>
      <c r="XFB559"/>
      <c r="XFC559"/>
    </row>
    <row r="560" spans="1:20 16329:16383" s="38" customFormat="1" ht="29.1" customHeight="1" outlineLevel="6" x14ac:dyDescent="0.25">
      <c r="A560" s="49" t="s">
        <v>1115</v>
      </c>
      <c r="B560" s="50"/>
      <c r="C560" s="50"/>
      <c r="D560" s="3" t="s">
        <v>785</v>
      </c>
      <c r="E560" s="3"/>
      <c r="F560" s="51" t="s">
        <v>1025</v>
      </c>
      <c r="G560" s="50" t="s">
        <v>102</v>
      </c>
      <c r="H560" s="52">
        <f>1</f>
        <v>1</v>
      </c>
      <c r="I560" s="36"/>
      <c r="J560" s="52">
        <v>1</v>
      </c>
      <c r="K560" s="53">
        <f>0</f>
        <v>0</v>
      </c>
      <c r="L560" s="53">
        <f>0</f>
        <v>0</v>
      </c>
      <c r="M560" s="53">
        <f>0</f>
        <v>0</v>
      </c>
      <c r="N560" s="54">
        <f>SUM(K560:M560)</f>
        <v>0</v>
      </c>
      <c r="O560" s="54">
        <f>ROUND((H560*K560),2)</f>
        <v>0</v>
      </c>
      <c r="P560" s="54">
        <f>ROUND((H560*L560),2)</f>
        <v>0</v>
      </c>
      <c r="Q560" s="54">
        <f>ROUND((H560*M560),2)</f>
        <v>0</v>
      </c>
      <c r="R560" s="54">
        <f>ROUND((H560*N560),2)</f>
        <v>0</v>
      </c>
      <c r="S560" s="54"/>
      <c r="T560" s="36"/>
      <c r="XDA560"/>
      <c r="XDB560"/>
      <c r="XDC560"/>
      <c r="XDD560"/>
      <c r="XDE560"/>
      <c r="XDF560"/>
      <c r="XDG560"/>
      <c r="XDH560"/>
      <c r="XDI560"/>
      <c r="XDJ560"/>
      <c r="XDK560"/>
      <c r="XDL560"/>
      <c r="XDM560"/>
      <c r="XDN560"/>
      <c r="XDO560"/>
      <c r="XDP560"/>
      <c r="XDQ560"/>
      <c r="XDR560"/>
      <c r="XDS560"/>
      <c r="XDT560"/>
      <c r="XDU560"/>
      <c r="XDV560"/>
      <c r="XDW560"/>
      <c r="XDX560"/>
      <c r="XDY560"/>
      <c r="XDZ560"/>
      <c r="XEA560"/>
      <c r="XEB560"/>
      <c r="XEC560"/>
      <c r="XED560"/>
      <c r="XEE560"/>
      <c r="XEF560"/>
      <c r="XEG560"/>
      <c r="XEH560"/>
      <c r="XEI560"/>
      <c r="XEJ560"/>
      <c r="XEK560"/>
      <c r="XEL560"/>
      <c r="XEM560"/>
      <c r="XEN560"/>
      <c r="XEO560"/>
      <c r="XEP560"/>
      <c r="XEQ560"/>
      <c r="XER560"/>
      <c r="XES560"/>
      <c r="XET560"/>
      <c r="XEU560"/>
      <c r="XEV560"/>
      <c r="XEW560"/>
      <c r="XEX560"/>
      <c r="XEY560"/>
      <c r="XEZ560"/>
      <c r="XFA560"/>
      <c r="XFB560"/>
      <c r="XFC560"/>
    </row>
    <row r="561" spans="1:20 16329:16383" s="38" customFormat="1" ht="29.1" customHeight="1" outlineLevel="6" x14ac:dyDescent="0.25">
      <c r="A561" s="49" t="s">
        <v>1116</v>
      </c>
      <c r="B561" s="50"/>
      <c r="C561" s="50"/>
      <c r="D561" s="3" t="s">
        <v>787</v>
      </c>
      <c r="E561" s="3"/>
      <c r="F561" s="51" t="s">
        <v>1027</v>
      </c>
      <c r="G561" s="50" t="s">
        <v>102</v>
      </c>
      <c r="H561" s="52">
        <f>1</f>
        <v>1</v>
      </c>
      <c r="I561" s="36"/>
      <c r="J561" s="52">
        <v>1</v>
      </c>
      <c r="K561" s="53">
        <f>0</f>
        <v>0</v>
      </c>
      <c r="L561" s="53">
        <f>0</f>
        <v>0</v>
      </c>
      <c r="M561" s="53">
        <f>0</f>
        <v>0</v>
      </c>
      <c r="N561" s="54">
        <f>SUM(K561:M561)</f>
        <v>0</v>
      </c>
      <c r="O561" s="54">
        <f>ROUND((H561*K561),2)</f>
        <v>0</v>
      </c>
      <c r="P561" s="54">
        <f>ROUND((H561*L561),2)</f>
        <v>0</v>
      </c>
      <c r="Q561" s="54">
        <f>ROUND((H561*M561),2)</f>
        <v>0</v>
      </c>
      <c r="R561" s="54">
        <f>ROUND((H561*N561),2)</f>
        <v>0</v>
      </c>
      <c r="S561" s="54"/>
      <c r="T561" s="36"/>
      <c r="XDA561"/>
      <c r="XDB561"/>
      <c r="XDC561"/>
      <c r="XDD561"/>
      <c r="XDE561"/>
      <c r="XDF561"/>
      <c r="XDG561"/>
      <c r="XDH561"/>
      <c r="XDI561"/>
      <c r="XDJ561"/>
      <c r="XDK561"/>
      <c r="XDL561"/>
      <c r="XDM561"/>
      <c r="XDN561"/>
      <c r="XDO561"/>
      <c r="XDP561"/>
      <c r="XDQ561"/>
      <c r="XDR561"/>
      <c r="XDS561"/>
      <c r="XDT561"/>
      <c r="XDU561"/>
      <c r="XDV561"/>
      <c r="XDW561"/>
      <c r="XDX561"/>
      <c r="XDY561"/>
      <c r="XDZ561"/>
      <c r="XEA561"/>
      <c r="XEB561"/>
      <c r="XEC561"/>
      <c r="XED561"/>
      <c r="XEE561"/>
      <c r="XEF561"/>
      <c r="XEG561"/>
      <c r="XEH561"/>
      <c r="XEI561"/>
      <c r="XEJ561"/>
      <c r="XEK561"/>
      <c r="XEL561"/>
      <c r="XEM561"/>
      <c r="XEN561"/>
      <c r="XEO561"/>
      <c r="XEP561"/>
      <c r="XEQ561"/>
      <c r="XER561"/>
      <c r="XES561"/>
      <c r="XET561"/>
      <c r="XEU561"/>
      <c r="XEV561"/>
      <c r="XEW561"/>
      <c r="XEX561"/>
      <c r="XEY561"/>
      <c r="XEZ561"/>
      <c r="XFA561"/>
      <c r="XFB561"/>
      <c r="XFC561"/>
    </row>
    <row r="562" spans="1:20 16329:16383" s="38" customFormat="1" ht="29.1" customHeight="1" outlineLevel="6" x14ac:dyDescent="0.25">
      <c r="A562" s="49" t="s">
        <v>1117</v>
      </c>
      <c r="B562" s="50"/>
      <c r="C562" s="50"/>
      <c r="D562" s="3" t="s">
        <v>897</v>
      </c>
      <c r="E562" s="3"/>
      <c r="F562" s="51" t="s">
        <v>1118</v>
      </c>
      <c r="G562" s="50" t="s">
        <v>102</v>
      </c>
      <c r="H562" s="52">
        <f>1</f>
        <v>1</v>
      </c>
      <c r="I562" s="36"/>
      <c r="J562" s="52">
        <v>1</v>
      </c>
      <c r="K562" s="53">
        <f>0</f>
        <v>0</v>
      </c>
      <c r="L562" s="53">
        <f>0</f>
        <v>0</v>
      </c>
      <c r="M562" s="53">
        <f>0</f>
        <v>0</v>
      </c>
      <c r="N562" s="54">
        <f>SUM(K562:M562)</f>
        <v>0</v>
      </c>
      <c r="O562" s="54">
        <f>ROUND((H562*K562),2)</f>
        <v>0</v>
      </c>
      <c r="P562" s="54">
        <f>ROUND((H562*L562),2)</f>
        <v>0</v>
      </c>
      <c r="Q562" s="54">
        <f>ROUND((H562*M562),2)</f>
        <v>0</v>
      </c>
      <c r="R562" s="54">
        <f>ROUND((H562*N562),2)</f>
        <v>0</v>
      </c>
      <c r="S562" s="54"/>
      <c r="T562" s="36"/>
      <c r="XDA562"/>
      <c r="XDB562"/>
      <c r="XDC562"/>
      <c r="XDD562"/>
      <c r="XDE562"/>
      <c r="XDF562"/>
      <c r="XDG562"/>
      <c r="XDH562"/>
      <c r="XDI562"/>
      <c r="XDJ562"/>
      <c r="XDK562"/>
      <c r="XDL562"/>
      <c r="XDM562"/>
      <c r="XDN562"/>
      <c r="XDO562"/>
      <c r="XDP562"/>
      <c r="XDQ562"/>
      <c r="XDR562"/>
      <c r="XDS562"/>
      <c r="XDT562"/>
      <c r="XDU562"/>
      <c r="XDV562"/>
      <c r="XDW562"/>
      <c r="XDX562"/>
      <c r="XDY562"/>
      <c r="XDZ562"/>
      <c r="XEA562"/>
      <c r="XEB562"/>
      <c r="XEC562"/>
      <c r="XED562"/>
      <c r="XEE562"/>
      <c r="XEF562"/>
      <c r="XEG562"/>
      <c r="XEH562"/>
      <c r="XEI562"/>
      <c r="XEJ562"/>
      <c r="XEK562"/>
      <c r="XEL562"/>
      <c r="XEM562"/>
      <c r="XEN562"/>
      <c r="XEO562"/>
      <c r="XEP562"/>
      <c r="XEQ562"/>
      <c r="XER562"/>
      <c r="XES562"/>
      <c r="XET562"/>
      <c r="XEU562"/>
      <c r="XEV562"/>
      <c r="XEW562"/>
      <c r="XEX562"/>
      <c r="XEY562"/>
      <c r="XEZ562"/>
      <c r="XFA562"/>
      <c r="XFB562"/>
      <c r="XFC562"/>
    </row>
    <row r="563" spans="1:20 16329:16383" s="38" customFormat="1" ht="29.1" customHeight="1" outlineLevel="6" x14ac:dyDescent="0.25">
      <c r="A563" s="49" t="s">
        <v>1119</v>
      </c>
      <c r="B563" s="50"/>
      <c r="C563" s="50"/>
      <c r="D563" s="3" t="s">
        <v>899</v>
      </c>
      <c r="E563" s="3"/>
      <c r="F563" s="51" t="s">
        <v>1051</v>
      </c>
      <c r="G563" s="50" t="s">
        <v>102</v>
      </c>
      <c r="H563" s="52">
        <f>1</f>
        <v>1</v>
      </c>
      <c r="I563" s="36"/>
      <c r="J563" s="52">
        <v>1</v>
      </c>
      <c r="K563" s="53">
        <f>0</f>
        <v>0</v>
      </c>
      <c r="L563" s="53">
        <f>0</f>
        <v>0</v>
      </c>
      <c r="M563" s="53">
        <f>0</f>
        <v>0</v>
      </c>
      <c r="N563" s="54">
        <f>SUM(K563:M563)</f>
        <v>0</v>
      </c>
      <c r="O563" s="54">
        <f>ROUND((H563*K563),2)</f>
        <v>0</v>
      </c>
      <c r="P563" s="54">
        <f>ROUND((H563*L563),2)</f>
        <v>0</v>
      </c>
      <c r="Q563" s="54">
        <f>ROUND((H563*M563),2)</f>
        <v>0</v>
      </c>
      <c r="R563" s="54">
        <f>ROUND((H563*N563),2)</f>
        <v>0</v>
      </c>
      <c r="S563" s="54"/>
      <c r="T563" s="36"/>
      <c r="XDA563"/>
      <c r="XDB563"/>
      <c r="XDC563"/>
      <c r="XDD563"/>
      <c r="XDE563"/>
      <c r="XDF563"/>
      <c r="XDG563"/>
      <c r="XDH563"/>
      <c r="XDI563"/>
      <c r="XDJ563"/>
      <c r="XDK563"/>
      <c r="XDL563"/>
      <c r="XDM563"/>
      <c r="XDN563"/>
      <c r="XDO563"/>
      <c r="XDP563"/>
      <c r="XDQ563"/>
      <c r="XDR563"/>
      <c r="XDS563"/>
      <c r="XDT563"/>
      <c r="XDU563"/>
      <c r="XDV563"/>
      <c r="XDW563"/>
      <c r="XDX563"/>
      <c r="XDY563"/>
      <c r="XDZ563"/>
      <c r="XEA563"/>
      <c r="XEB563"/>
      <c r="XEC563"/>
      <c r="XED563"/>
      <c r="XEE563"/>
      <c r="XEF563"/>
      <c r="XEG563"/>
      <c r="XEH563"/>
      <c r="XEI563"/>
      <c r="XEJ563"/>
      <c r="XEK563"/>
      <c r="XEL563"/>
      <c r="XEM563"/>
      <c r="XEN563"/>
      <c r="XEO563"/>
      <c r="XEP563"/>
      <c r="XEQ563"/>
      <c r="XER563"/>
      <c r="XES563"/>
      <c r="XET563"/>
      <c r="XEU563"/>
      <c r="XEV563"/>
      <c r="XEW563"/>
      <c r="XEX563"/>
      <c r="XEY563"/>
      <c r="XEZ563"/>
      <c r="XFA563"/>
      <c r="XFB563"/>
      <c r="XFC563"/>
    </row>
    <row r="564" spans="1:20 16329:16383" s="38" customFormat="1" ht="29.1" customHeight="1" outlineLevel="3" x14ac:dyDescent="0.25">
      <c r="A564" s="55" t="s">
        <v>1120</v>
      </c>
      <c r="B564" s="56" t="s">
        <v>1121</v>
      </c>
      <c r="C564" s="56" t="s">
        <v>1122</v>
      </c>
      <c r="D564" s="2" t="s">
        <v>834</v>
      </c>
      <c r="E564" s="2"/>
      <c r="F564" s="57"/>
      <c r="G564" s="56" t="s">
        <v>102</v>
      </c>
      <c r="H564" s="58"/>
      <c r="I564" s="36"/>
      <c r="J564" s="58"/>
      <c r="K564" s="59"/>
      <c r="L564" s="59"/>
      <c r="M564" s="59"/>
      <c r="N564" s="59"/>
      <c r="O564" s="59">
        <f>O565+O568+O571+O574</f>
        <v>0</v>
      </c>
      <c r="P564" s="59">
        <f>P565+P568+P571+P574</f>
        <v>0</v>
      </c>
      <c r="Q564" s="59">
        <f>Q565+Q568+Q571+Q574</f>
        <v>0</v>
      </c>
      <c r="R564" s="59">
        <f>R565+R568+R571+R574</f>
        <v>0</v>
      </c>
      <c r="S564" s="59"/>
      <c r="T564" s="36"/>
      <c r="XDA564"/>
      <c r="XDB564"/>
      <c r="XDC564"/>
      <c r="XDD564"/>
      <c r="XDE564"/>
      <c r="XDF564"/>
      <c r="XDG564"/>
      <c r="XDH564"/>
      <c r="XDI564"/>
      <c r="XDJ564"/>
      <c r="XDK564"/>
      <c r="XDL564"/>
      <c r="XDM564"/>
      <c r="XDN564"/>
      <c r="XDO564"/>
      <c r="XDP564"/>
      <c r="XDQ564"/>
      <c r="XDR564"/>
      <c r="XDS564"/>
      <c r="XDT564"/>
      <c r="XDU564"/>
      <c r="XDV564"/>
      <c r="XDW564"/>
      <c r="XDX564"/>
      <c r="XDY564"/>
      <c r="XDZ564"/>
      <c r="XEA564"/>
      <c r="XEB564"/>
      <c r="XEC564"/>
      <c r="XED564"/>
      <c r="XEE564"/>
      <c r="XEF564"/>
      <c r="XEG564"/>
      <c r="XEH564"/>
      <c r="XEI564"/>
      <c r="XEJ564"/>
      <c r="XEK564"/>
      <c r="XEL564"/>
      <c r="XEM564"/>
      <c r="XEN564"/>
      <c r="XEO564"/>
      <c r="XEP564"/>
      <c r="XEQ564"/>
      <c r="XER564"/>
      <c r="XES564"/>
      <c r="XET564"/>
      <c r="XEU564"/>
      <c r="XEV564"/>
      <c r="XEW564"/>
      <c r="XEX564"/>
      <c r="XEY564"/>
      <c r="XEZ564"/>
      <c r="XFA564"/>
      <c r="XFB564"/>
      <c r="XFC564"/>
    </row>
    <row r="565" spans="1:20 16329:16383" s="38" customFormat="1" ht="29.1" customHeight="1" outlineLevel="4" x14ac:dyDescent="0.25">
      <c r="A565" s="60" t="s">
        <v>1123</v>
      </c>
      <c r="B565" s="61" t="s">
        <v>1124</v>
      </c>
      <c r="C565" s="61"/>
      <c r="D565" s="1" t="s">
        <v>857</v>
      </c>
      <c r="E565" s="1"/>
      <c r="F565" s="62"/>
      <c r="G565" s="61"/>
      <c r="H565" s="63"/>
      <c r="I565" s="36"/>
      <c r="J565" s="63"/>
      <c r="K565" s="64"/>
      <c r="L565" s="64"/>
      <c r="M565" s="64"/>
      <c r="N565" s="64"/>
      <c r="O565" s="64">
        <f t="shared" ref="O565:R566" si="30">O566</f>
        <v>0</v>
      </c>
      <c r="P565" s="64">
        <f t="shared" si="30"/>
        <v>0</v>
      </c>
      <c r="Q565" s="64">
        <f t="shared" si="30"/>
        <v>0</v>
      </c>
      <c r="R565" s="64">
        <f t="shared" si="30"/>
        <v>0</v>
      </c>
      <c r="S565" s="64"/>
      <c r="T565" s="36"/>
      <c r="XDA565"/>
      <c r="XDB565"/>
      <c r="XDC565"/>
      <c r="XDD565"/>
      <c r="XDE565"/>
      <c r="XDF565"/>
      <c r="XDG565"/>
      <c r="XDH565"/>
      <c r="XDI565"/>
      <c r="XDJ565"/>
      <c r="XDK565"/>
      <c r="XDL565"/>
      <c r="XDM565"/>
      <c r="XDN565"/>
      <c r="XDO565"/>
      <c r="XDP565"/>
      <c r="XDQ565"/>
      <c r="XDR565"/>
      <c r="XDS565"/>
      <c r="XDT565"/>
      <c r="XDU565"/>
      <c r="XDV565"/>
      <c r="XDW565"/>
      <c r="XDX565"/>
      <c r="XDY565"/>
      <c r="XDZ565"/>
      <c r="XEA565"/>
      <c r="XEB565"/>
      <c r="XEC565"/>
      <c r="XED565"/>
      <c r="XEE565"/>
      <c r="XEF565"/>
      <c r="XEG565"/>
      <c r="XEH565"/>
      <c r="XEI565"/>
      <c r="XEJ565"/>
      <c r="XEK565"/>
      <c r="XEL565"/>
      <c r="XEM565"/>
      <c r="XEN565"/>
      <c r="XEO565"/>
      <c r="XEP565"/>
      <c r="XEQ565"/>
      <c r="XER565"/>
      <c r="XES565"/>
      <c r="XET565"/>
      <c r="XEU565"/>
      <c r="XEV565"/>
      <c r="XEW565"/>
      <c r="XEX565"/>
      <c r="XEY565"/>
      <c r="XEZ565"/>
      <c r="XFA565"/>
      <c r="XFB565"/>
      <c r="XFC565"/>
    </row>
    <row r="566" spans="1:20 16329:16383" s="38" customFormat="1" ht="29.1" customHeight="1" outlineLevel="5" x14ac:dyDescent="0.25">
      <c r="A566" s="65" t="s">
        <v>1125</v>
      </c>
      <c r="B566" s="66" t="s">
        <v>1126</v>
      </c>
      <c r="C566" s="66"/>
      <c r="D566" s="98" t="s">
        <v>880</v>
      </c>
      <c r="E566" s="98"/>
      <c r="F566" s="67" t="s">
        <v>881</v>
      </c>
      <c r="G566" s="66"/>
      <c r="H566" s="68"/>
      <c r="I566" s="36"/>
      <c r="J566" s="68"/>
      <c r="K566" s="69"/>
      <c r="L566" s="69"/>
      <c r="M566" s="69"/>
      <c r="N566" s="69"/>
      <c r="O566" s="69">
        <f t="shared" si="30"/>
        <v>0</v>
      </c>
      <c r="P566" s="69">
        <f t="shared" si="30"/>
        <v>0</v>
      </c>
      <c r="Q566" s="69">
        <f t="shared" si="30"/>
        <v>0</v>
      </c>
      <c r="R566" s="69">
        <f t="shared" si="30"/>
        <v>0</v>
      </c>
      <c r="S566" s="69"/>
      <c r="T566" s="36"/>
      <c r="XDA566"/>
      <c r="XDB566"/>
      <c r="XDC566"/>
      <c r="XDD566"/>
      <c r="XDE566"/>
      <c r="XDF566"/>
      <c r="XDG566"/>
      <c r="XDH566"/>
      <c r="XDI566"/>
      <c r="XDJ566"/>
      <c r="XDK566"/>
      <c r="XDL566"/>
      <c r="XDM566"/>
      <c r="XDN566"/>
      <c r="XDO566"/>
      <c r="XDP566"/>
      <c r="XDQ566"/>
      <c r="XDR566"/>
      <c r="XDS566"/>
      <c r="XDT566"/>
      <c r="XDU566"/>
      <c r="XDV566"/>
      <c r="XDW566"/>
      <c r="XDX566"/>
      <c r="XDY566"/>
      <c r="XDZ566"/>
      <c r="XEA566"/>
      <c r="XEB566"/>
      <c r="XEC566"/>
      <c r="XED566"/>
      <c r="XEE566"/>
      <c r="XEF566"/>
      <c r="XEG566"/>
      <c r="XEH566"/>
      <c r="XEI566"/>
      <c r="XEJ566"/>
      <c r="XEK566"/>
      <c r="XEL566"/>
      <c r="XEM566"/>
      <c r="XEN566"/>
      <c r="XEO566"/>
      <c r="XEP566"/>
      <c r="XEQ566"/>
      <c r="XER566"/>
      <c r="XES566"/>
      <c r="XET566"/>
      <c r="XEU566"/>
      <c r="XEV566"/>
      <c r="XEW566"/>
      <c r="XEX566"/>
      <c r="XEY566"/>
      <c r="XEZ566"/>
      <c r="XFA566"/>
      <c r="XFB566"/>
      <c r="XFC566"/>
    </row>
    <row r="567" spans="1:20 16329:16383" s="38" customFormat="1" ht="29.1" customHeight="1" outlineLevel="6" x14ac:dyDescent="0.25">
      <c r="A567" s="49" t="s">
        <v>1127</v>
      </c>
      <c r="B567" s="50"/>
      <c r="C567" s="50"/>
      <c r="D567" s="3" t="s">
        <v>846</v>
      </c>
      <c r="E567" s="3"/>
      <c r="F567" s="51" t="s">
        <v>847</v>
      </c>
      <c r="G567" s="50" t="s">
        <v>102</v>
      </c>
      <c r="H567" s="52">
        <f>1</f>
        <v>1</v>
      </c>
      <c r="I567" s="36"/>
      <c r="J567" s="52">
        <v>1</v>
      </c>
      <c r="K567" s="53">
        <f>0</f>
        <v>0</v>
      </c>
      <c r="L567" s="53">
        <f>0</f>
        <v>0</v>
      </c>
      <c r="M567" s="53">
        <f>0</f>
        <v>0</v>
      </c>
      <c r="N567" s="54">
        <f>SUM(K567:M567)</f>
        <v>0</v>
      </c>
      <c r="O567" s="54">
        <f>ROUND((H567*K567),2)</f>
        <v>0</v>
      </c>
      <c r="P567" s="54">
        <f>ROUND((H567*L567),2)</f>
        <v>0</v>
      </c>
      <c r="Q567" s="54">
        <f>ROUND((H567*M567),2)</f>
        <v>0</v>
      </c>
      <c r="R567" s="54">
        <f>ROUND((H567*N567),2)</f>
        <v>0</v>
      </c>
      <c r="S567" s="54"/>
      <c r="T567" s="36"/>
      <c r="XDA567"/>
      <c r="XDB567"/>
      <c r="XDC567"/>
      <c r="XDD567"/>
      <c r="XDE567"/>
      <c r="XDF567"/>
      <c r="XDG567"/>
      <c r="XDH567"/>
      <c r="XDI567"/>
      <c r="XDJ567"/>
      <c r="XDK567"/>
      <c r="XDL567"/>
      <c r="XDM567"/>
      <c r="XDN567"/>
      <c r="XDO567"/>
      <c r="XDP567"/>
      <c r="XDQ567"/>
      <c r="XDR567"/>
      <c r="XDS567"/>
      <c r="XDT567"/>
      <c r="XDU567"/>
      <c r="XDV567"/>
      <c r="XDW567"/>
      <c r="XDX567"/>
      <c r="XDY567"/>
      <c r="XDZ567"/>
      <c r="XEA567"/>
      <c r="XEB567"/>
      <c r="XEC567"/>
      <c r="XED567"/>
      <c r="XEE567"/>
      <c r="XEF567"/>
      <c r="XEG567"/>
      <c r="XEH567"/>
      <c r="XEI567"/>
      <c r="XEJ567"/>
      <c r="XEK567"/>
      <c r="XEL567"/>
      <c r="XEM567"/>
      <c r="XEN567"/>
      <c r="XEO567"/>
      <c r="XEP567"/>
      <c r="XEQ567"/>
      <c r="XER567"/>
      <c r="XES567"/>
      <c r="XET567"/>
      <c r="XEU567"/>
      <c r="XEV567"/>
      <c r="XEW567"/>
      <c r="XEX567"/>
      <c r="XEY567"/>
      <c r="XEZ567"/>
      <c r="XFA567"/>
      <c r="XFB567"/>
      <c r="XFC567"/>
    </row>
    <row r="568" spans="1:20 16329:16383" s="38" customFormat="1" ht="29.1" customHeight="1" outlineLevel="4" x14ac:dyDescent="0.25">
      <c r="A568" s="60" t="s">
        <v>1128</v>
      </c>
      <c r="B568" s="61" t="s">
        <v>1129</v>
      </c>
      <c r="C568" s="61"/>
      <c r="D568" s="1" t="s">
        <v>902</v>
      </c>
      <c r="E568" s="1"/>
      <c r="F568" s="62"/>
      <c r="G568" s="61"/>
      <c r="H568" s="63"/>
      <c r="I568" s="36"/>
      <c r="J568" s="63"/>
      <c r="K568" s="64"/>
      <c r="L568" s="64"/>
      <c r="M568" s="64"/>
      <c r="N568" s="64"/>
      <c r="O568" s="64">
        <f t="shared" ref="O568:R569" si="31">O569</f>
        <v>0</v>
      </c>
      <c r="P568" s="64">
        <f t="shared" si="31"/>
        <v>0</v>
      </c>
      <c r="Q568" s="64">
        <f t="shared" si="31"/>
        <v>0</v>
      </c>
      <c r="R568" s="64">
        <f t="shared" si="31"/>
        <v>0</v>
      </c>
      <c r="S568" s="64"/>
      <c r="T568" s="36"/>
      <c r="XDA568"/>
      <c r="XDB568"/>
      <c r="XDC568"/>
      <c r="XDD568"/>
      <c r="XDE568"/>
      <c r="XDF568"/>
      <c r="XDG568"/>
      <c r="XDH568"/>
      <c r="XDI568"/>
      <c r="XDJ568"/>
      <c r="XDK568"/>
      <c r="XDL568"/>
      <c r="XDM568"/>
      <c r="XDN568"/>
      <c r="XDO568"/>
      <c r="XDP568"/>
      <c r="XDQ568"/>
      <c r="XDR568"/>
      <c r="XDS568"/>
      <c r="XDT568"/>
      <c r="XDU568"/>
      <c r="XDV568"/>
      <c r="XDW568"/>
      <c r="XDX568"/>
      <c r="XDY568"/>
      <c r="XDZ568"/>
      <c r="XEA568"/>
      <c r="XEB568"/>
      <c r="XEC568"/>
      <c r="XED568"/>
      <c r="XEE568"/>
      <c r="XEF568"/>
      <c r="XEG568"/>
      <c r="XEH568"/>
      <c r="XEI568"/>
      <c r="XEJ568"/>
      <c r="XEK568"/>
      <c r="XEL568"/>
      <c r="XEM568"/>
      <c r="XEN568"/>
      <c r="XEO568"/>
      <c r="XEP568"/>
      <c r="XEQ568"/>
      <c r="XER568"/>
      <c r="XES568"/>
      <c r="XET568"/>
      <c r="XEU568"/>
      <c r="XEV568"/>
      <c r="XEW568"/>
      <c r="XEX568"/>
      <c r="XEY568"/>
      <c r="XEZ568"/>
      <c r="XFA568"/>
      <c r="XFB568"/>
      <c r="XFC568"/>
    </row>
    <row r="569" spans="1:20 16329:16383" s="38" customFormat="1" ht="29.1" customHeight="1" outlineLevel="5" x14ac:dyDescent="0.25">
      <c r="A569" s="65" t="s">
        <v>1130</v>
      </c>
      <c r="B569" s="66" t="s">
        <v>1131</v>
      </c>
      <c r="C569" s="66"/>
      <c r="D569" s="98" t="s">
        <v>880</v>
      </c>
      <c r="E569" s="98"/>
      <c r="F569" s="67" t="s">
        <v>881</v>
      </c>
      <c r="G569" s="66"/>
      <c r="H569" s="68"/>
      <c r="I569" s="36"/>
      <c r="J569" s="68"/>
      <c r="K569" s="69"/>
      <c r="L569" s="69"/>
      <c r="M569" s="69"/>
      <c r="N569" s="69"/>
      <c r="O569" s="69">
        <f t="shared" si="31"/>
        <v>0</v>
      </c>
      <c r="P569" s="69">
        <f t="shared" si="31"/>
        <v>0</v>
      </c>
      <c r="Q569" s="69">
        <f t="shared" si="31"/>
        <v>0</v>
      </c>
      <c r="R569" s="69">
        <f t="shared" si="31"/>
        <v>0</v>
      </c>
      <c r="S569" s="69"/>
      <c r="T569" s="36"/>
      <c r="XDA569"/>
      <c r="XDB569"/>
      <c r="XDC569"/>
      <c r="XDD569"/>
      <c r="XDE569"/>
      <c r="XDF569"/>
      <c r="XDG569"/>
      <c r="XDH569"/>
      <c r="XDI569"/>
      <c r="XDJ569"/>
      <c r="XDK569"/>
      <c r="XDL569"/>
      <c r="XDM569"/>
      <c r="XDN569"/>
      <c r="XDO569"/>
      <c r="XDP569"/>
      <c r="XDQ569"/>
      <c r="XDR569"/>
      <c r="XDS569"/>
      <c r="XDT569"/>
      <c r="XDU569"/>
      <c r="XDV569"/>
      <c r="XDW569"/>
      <c r="XDX569"/>
      <c r="XDY569"/>
      <c r="XDZ569"/>
      <c r="XEA569"/>
      <c r="XEB569"/>
      <c r="XEC569"/>
      <c r="XED569"/>
      <c r="XEE569"/>
      <c r="XEF569"/>
      <c r="XEG569"/>
      <c r="XEH569"/>
      <c r="XEI569"/>
      <c r="XEJ569"/>
      <c r="XEK569"/>
      <c r="XEL569"/>
      <c r="XEM569"/>
      <c r="XEN569"/>
      <c r="XEO569"/>
      <c r="XEP569"/>
      <c r="XEQ569"/>
      <c r="XER569"/>
      <c r="XES569"/>
      <c r="XET569"/>
      <c r="XEU569"/>
      <c r="XEV569"/>
      <c r="XEW569"/>
      <c r="XEX569"/>
      <c r="XEY569"/>
      <c r="XEZ569"/>
      <c r="XFA569"/>
      <c r="XFB569"/>
      <c r="XFC569"/>
    </row>
    <row r="570" spans="1:20 16329:16383" s="38" customFormat="1" ht="29.1" customHeight="1" outlineLevel="6" x14ac:dyDescent="0.25">
      <c r="A570" s="49" t="s">
        <v>1132</v>
      </c>
      <c r="B570" s="50"/>
      <c r="C570" s="50"/>
      <c r="D570" s="3" t="s">
        <v>846</v>
      </c>
      <c r="E570" s="3"/>
      <c r="F570" s="51" t="s">
        <v>847</v>
      </c>
      <c r="G570" s="50" t="s">
        <v>102</v>
      </c>
      <c r="H570" s="52">
        <f>1</f>
        <v>1</v>
      </c>
      <c r="I570" s="36"/>
      <c r="J570" s="52">
        <v>1</v>
      </c>
      <c r="K570" s="53">
        <f>0</f>
        <v>0</v>
      </c>
      <c r="L570" s="53">
        <f>0</f>
        <v>0</v>
      </c>
      <c r="M570" s="53">
        <f>0</f>
        <v>0</v>
      </c>
      <c r="N570" s="54">
        <f>SUM(K570:M570)</f>
        <v>0</v>
      </c>
      <c r="O570" s="54">
        <f>ROUND((H570*K570),2)</f>
        <v>0</v>
      </c>
      <c r="P570" s="54">
        <f>ROUND((H570*L570),2)</f>
        <v>0</v>
      </c>
      <c r="Q570" s="54">
        <f>ROUND((H570*M570),2)</f>
        <v>0</v>
      </c>
      <c r="R570" s="54">
        <f>ROUND((H570*N570),2)</f>
        <v>0</v>
      </c>
      <c r="S570" s="54"/>
      <c r="T570" s="36"/>
      <c r="XDA570"/>
      <c r="XDB570"/>
      <c r="XDC570"/>
      <c r="XDD570"/>
      <c r="XDE570"/>
      <c r="XDF570"/>
      <c r="XDG570"/>
      <c r="XDH570"/>
      <c r="XDI570"/>
      <c r="XDJ570"/>
      <c r="XDK570"/>
      <c r="XDL570"/>
      <c r="XDM570"/>
      <c r="XDN570"/>
      <c r="XDO570"/>
      <c r="XDP570"/>
      <c r="XDQ570"/>
      <c r="XDR570"/>
      <c r="XDS570"/>
      <c r="XDT570"/>
      <c r="XDU570"/>
      <c r="XDV570"/>
      <c r="XDW570"/>
      <c r="XDX570"/>
      <c r="XDY570"/>
      <c r="XDZ570"/>
      <c r="XEA570"/>
      <c r="XEB570"/>
      <c r="XEC570"/>
      <c r="XED570"/>
      <c r="XEE570"/>
      <c r="XEF570"/>
      <c r="XEG570"/>
      <c r="XEH570"/>
      <c r="XEI570"/>
      <c r="XEJ570"/>
      <c r="XEK570"/>
      <c r="XEL570"/>
      <c r="XEM570"/>
      <c r="XEN570"/>
      <c r="XEO570"/>
      <c r="XEP570"/>
      <c r="XEQ570"/>
      <c r="XER570"/>
      <c r="XES570"/>
      <c r="XET570"/>
      <c r="XEU570"/>
      <c r="XEV570"/>
      <c r="XEW570"/>
      <c r="XEX570"/>
      <c r="XEY570"/>
      <c r="XEZ570"/>
      <c r="XFA570"/>
      <c r="XFB570"/>
      <c r="XFC570"/>
    </row>
    <row r="571" spans="1:20 16329:16383" s="38" customFormat="1" ht="29.1" customHeight="1" outlineLevel="4" x14ac:dyDescent="0.25">
      <c r="A571" s="60" t="s">
        <v>1133</v>
      </c>
      <c r="B571" s="61" t="s">
        <v>1134</v>
      </c>
      <c r="C571" s="61"/>
      <c r="D571" s="1" t="s">
        <v>919</v>
      </c>
      <c r="E571" s="1"/>
      <c r="F571" s="62"/>
      <c r="G571" s="61"/>
      <c r="H571" s="63"/>
      <c r="I571" s="36"/>
      <c r="J571" s="63"/>
      <c r="K571" s="64"/>
      <c r="L571" s="64"/>
      <c r="M571" s="64"/>
      <c r="N571" s="64"/>
      <c r="O571" s="64">
        <f t="shared" ref="O571:R572" si="32">O572</f>
        <v>0</v>
      </c>
      <c r="P571" s="64">
        <f t="shared" si="32"/>
        <v>0</v>
      </c>
      <c r="Q571" s="64">
        <f t="shared" si="32"/>
        <v>0</v>
      </c>
      <c r="R571" s="64">
        <f t="shared" si="32"/>
        <v>0</v>
      </c>
      <c r="S571" s="64"/>
      <c r="T571" s="36"/>
      <c r="XDA571"/>
      <c r="XDB571"/>
      <c r="XDC571"/>
      <c r="XDD571"/>
      <c r="XDE571"/>
      <c r="XDF571"/>
      <c r="XDG571"/>
      <c r="XDH571"/>
      <c r="XDI571"/>
      <c r="XDJ571"/>
      <c r="XDK571"/>
      <c r="XDL571"/>
      <c r="XDM571"/>
      <c r="XDN571"/>
      <c r="XDO571"/>
      <c r="XDP571"/>
      <c r="XDQ571"/>
      <c r="XDR571"/>
      <c r="XDS571"/>
      <c r="XDT571"/>
      <c r="XDU571"/>
      <c r="XDV571"/>
      <c r="XDW571"/>
      <c r="XDX571"/>
      <c r="XDY571"/>
      <c r="XDZ571"/>
      <c r="XEA571"/>
      <c r="XEB571"/>
      <c r="XEC571"/>
      <c r="XED571"/>
      <c r="XEE571"/>
      <c r="XEF571"/>
      <c r="XEG571"/>
      <c r="XEH571"/>
      <c r="XEI571"/>
      <c r="XEJ571"/>
      <c r="XEK571"/>
      <c r="XEL571"/>
      <c r="XEM571"/>
      <c r="XEN571"/>
      <c r="XEO571"/>
      <c r="XEP571"/>
      <c r="XEQ571"/>
      <c r="XER571"/>
      <c r="XES571"/>
      <c r="XET571"/>
      <c r="XEU571"/>
      <c r="XEV571"/>
      <c r="XEW571"/>
      <c r="XEX571"/>
      <c r="XEY571"/>
      <c r="XEZ571"/>
      <c r="XFA571"/>
      <c r="XFB571"/>
      <c r="XFC571"/>
    </row>
    <row r="572" spans="1:20 16329:16383" s="38" customFormat="1" ht="29.1" customHeight="1" outlineLevel="5" x14ac:dyDescent="0.25">
      <c r="A572" s="65" t="s">
        <v>1135</v>
      </c>
      <c r="B572" s="66" t="s">
        <v>1136</v>
      </c>
      <c r="C572" s="66"/>
      <c r="D572" s="98" t="s">
        <v>1137</v>
      </c>
      <c r="E572" s="98"/>
      <c r="F572" s="67" t="s">
        <v>1138</v>
      </c>
      <c r="G572" s="66"/>
      <c r="H572" s="68"/>
      <c r="I572" s="36"/>
      <c r="J572" s="68"/>
      <c r="K572" s="69"/>
      <c r="L572" s="69"/>
      <c r="M572" s="69"/>
      <c r="N572" s="69"/>
      <c r="O572" s="69">
        <f t="shared" si="32"/>
        <v>0</v>
      </c>
      <c r="P572" s="69">
        <f t="shared" si="32"/>
        <v>0</v>
      </c>
      <c r="Q572" s="69">
        <f t="shared" si="32"/>
        <v>0</v>
      </c>
      <c r="R572" s="69">
        <f t="shared" si="32"/>
        <v>0</v>
      </c>
      <c r="S572" s="69"/>
      <c r="T572" s="36"/>
      <c r="XDA572"/>
      <c r="XDB572"/>
      <c r="XDC572"/>
      <c r="XDD572"/>
      <c r="XDE572"/>
      <c r="XDF572"/>
      <c r="XDG572"/>
      <c r="XDH572"/>
      <c r="XDI572"/>
      <c r="XDJ572"/>
      <c r="XDK572"/>
      <c r="XDL572"/>
      <c r="XDM572"/>
      <c r="XDN572"/>
      <c r="XDO572"/>
      <c r="XDP572"/>
      <c r="XDQ572"/>
      <c r="XDR572"/>
      <c r="XDS572"/>
      <c r="XDT572"/>
      <c r="XDU572"/>
      <c r="XDV572"/>
      <c r="XDW572"/>
      <c r="XDX572"/>
      <c r="XDY572"/>
      <c r="XDZ572"/>
      <c r="XEA572"/>
      <c r="XEB572"/>
      <c r="XEC572"/>
      <c r="XED572"/>
      <c r="XEE572"/>
      <c r="XEF572"/>
      <c r="XEG572"/>
      <c r="XEH572"/>
      <c r="XEI572"/>
      <c r="XEJ572"/>
      <c r="XEK572"/>
      <c r="XEL572"/>
      <c r="XEM572"/>
      <c r="XEN572"/>
      <c r="XEO572"/>
      <c r="XEP572"/>
      <c r="XEQ572"/>
      <c r="XER572"/>
      <c r="XES572"/>
      <c r="XET572"/>
      <c r="XEU572"/>
      <c r="XEV572"/>
      <c r="XEW572"/>
      <c r="XEX572"/>
      <c r="XEY572"/>
      <c r="XEZ572"/>
      <c r="XFA572"/>
      <c r="XFB572"/>
      <c r="XFC572"/>
    </row>
    <row r="573" spans="1:20 16329:16383" s="38" customFormat="1" ht="29.1" customHeight="1" outlineLevel="6" x14ac:dyDescent="0.25">
      <c r="A573" s="49" t="s">
        <v>1139</v>
      </c>
      <c r="B573" s="50"/>
      <c r="C573" s="50"/>
      <c r="D573" s="3" t="s">
        <v>846</v>
      </c>
      <c r="E573" s="3"/>
      <c r="F573" s="51" t="s">
        <v>847</v>
      </c>
      <c r="G573" s="50" t="s">
        <v>102</v>
      </c>
      <c r="H573" s="52">
        <f>1</f>
        <v>1</v>
      </c>
      <c r="I573" s="36"/>
      <c r="J573" s="52">
        <v>1</v>
      </c>
      <c r="K573" s="53">
        <f>0</f>
        <v>0</v>
      </c>
      <c r="L573" s="53">
        <f>0</f>
        <v>0</v>
      </c>
      <c r="M573" s="53">
        <f>0</f>
        <v>0</v>
      </c>
      <c r="N573" s="54">
        <f>SUM(K573:M573)</f>
        <v>0</v>
      </c>
      <c r="O573" s="54">
        <f>ROUND((H573*K573),2)</f>
        <v>0</v>
      </c>
      <c r="P573" s="54">
        <f>ROUND((H573*L573),2)</f>
        <v>0</v>
      </c>
      <c r="Q573" s="54">
        <f>ROUND((H573*M573),2)</f>
        <v>0</v>
      </c>
      <c r="R573" s="54">
        <f>ROUND((H573*N573),2)</f>
        <v>0</v>
      </c>
      <c r="S573" s="54"/>
      <c r="T573" s="36"/>
      <c r="XDA573"/>
      <c r="XDB573"/>
      <c r="XDC573"/>
      <c r="XDD573"/>
      <c r="XDE573"/>
      <c r="XDF573"/>
      <c r="XDG573"/>
      <c r="XDH573"/>
      <c r="XDI573"/>
      <c r="XDJ573"/>
      <c r="XDK573"/>
      <c r="XDL573"/>
      <c r="XDM573"/>
      <c r="XDN573"/>
      <c r="XDO573"/>
      <c r="XDP573"/>
      <c r="XDQ573"/>
      <c r="XDR573"/>
      <c r="XDS573"/>
      <c r="XDT573"/>
      <c r="XDU573"/>
      <c r="XDV573"/>
      <c r="XDW573"/>
      <c r="XDX573"/>
      <c r="XDY573"/>
      <c r="XDZ573"/>
      <c r="XEA573"/>
      <c r="XEB573"/>
      <c r="XEC573"/>
      <c r="XED573"/>
      <c r="XEE573"/>
      <c r="XEF573"/>
      <c r="XEG573"/>
      <c r="XEH573"/>
      <c r="XEI573"/>
      <c r="XEJ573"/>
      <c r="XEK573"/>
      <c r="XEL573"/>
      <c r="XEM573"/>
      <c r="XEN573"/>
      <c r="XEO573"/>
      <c r="XEP573"/>
      <c r="XEQ573"/>
      <c r="XER573"/>
      <c r="XES573"/>
      <c r="XET573"/>
      <c r="XEU573"/>
      <c r="XEV573"/>
      <c r="XEW573"/>
      <c r="XEX573"/>
      <c r="XEY573"/>
      <c r="XEZ573"/>
      <c r="XFA573"/>
      <c r="XFB573"/>
      <c r="XFC573"/>
    </row>
    <row r="574" spans="1:20 16329:16383" s="38" customFormat="1" ht="29.1" customHeight="1" outlineLevel="4" x14ac:dyDescent="0.25">
      <c r="A574" s="60" t="s">
        <v>1140</v>
      </c>
      <c r="B574" s="61" t="s">
        <v>1141</v>
      </c>
      <c r="C574" s="61"/>
      <c r="D574" s="1" t="s">
        <v>956</v>
      </c>
      <c r="E574" s="1"/>
      <c r="F574" s="62"/>
      <c r="G574" s="61"/>
      <c r="H574" s="63"/>
      <c r="I574" s="36"/>
      <c r="J574" s="63"/>
      <c r="K574" s="64"/>
      <c r="L574" s="64"/>
      <c r="M574" s="64"/>
      <c r="N574" s="64"/>
      <c r="O574" s="64">
        <f t="shared" ref="O574:R575" si="33">O575</f>
        <v>0</v>
      </c>
      <c r="P574" s="64">
        <f t="shared" si="33"/>
        <v>0</v>
      </c>
      <c r="Q574" s="64">
        <f t="shared" si="33"/>
        <v>0</v>
      </c>
      <c r="R574" s="64">
        <f t="shared" si="33"/>
        <v>0</v>
      </c>
      <c r="S574" s="64"/>
      <c r="T574" s="36"/>
      <c r="XDA574"/>
      <c r="XDB574"/>
      <c r="XDC574"/>
      <c r="XDD574"/>
      <c r="XDE574"/>
      <c r="XDF574"/>
      <c r="XDG574"/>
      <c r="XDH574"/>
      <c r="XDI574"/>
      <c r="XDJ574"/>
      <c r="XDK574"/>
      <c r="XDL574"/>
      <c r="XDM574"/>
      <c r="XDN574"/>
      <c r="XDO574"/>
      <c r="XDP574"/>
      <c r="XDQ574"/>
      <c r="XDR574"/>
      <c r="XDS574"/>
      <c r="XDT574"/>
      <c r="XDU574"/>
      <c r="XDV574"/>
      <c r="XDW574"/>
      <c r="XDX574"/>
      <c r="XDY574"/>
      <c r="XDZ574"/>
      <c r="XEA574"/>
      <c r="XEB574"/>
      <c r="XEC574"/>
      <c r="XED574"/>
      <c r="XEE574"/>
      <c r="XEF574"/>
      <c r="XEG574"/>
      <c r="XEH574"/>
      <c r="XEI574"/>
      <c r="XEJ574"/>
      <c r="XEK574"/>
      <c r="XEL574"/>
      <c r="XEM574"/>
      <c r="XEN574"/>
      <c r="XEO574"/>
      <c r="XEP574"/>
      <c r="XEQ574"/>
      <c r="XER574"/>
      <c r="XES574"/>
      <c r="XET574"/>
      <c r="XEU574"/>
      <c r="XEV574"/>
      <c r="XEW574"/>
      <c r="XEX574"/>
      <c r="XEY574"/>
      <c r="XEZ574"/>
      <c r="XFA574"/>
      <c r="XFB574"/>
      <c r="XFC574"/>
    </row>
    <row r="575" spans="1:20 16329:16383" s="38" customFormat="1" ht="29.1" customHeight="1" outlineLevel="5" x14ac:dyDescent="0.25">
      <c r="A575" s="65" t="s">
        <v>1142</v>
      </c>
      <c r="B575" s="66" t="s">
        <v>1143</v>
      </c>
      <c r="C575" s="66"/>
      <c r="D575" s="98" t="s">
        <v>1144</v>
      </c>
      <c r="E575" s="98"/>
      <c r="F575" s="67" t="s">
        <v>1145</v>
      </c>
      <c r="G575" s="66"/>
      <c r="H575" s="68"/>
      <c r="I575" s="36"/>
      <c r="J575" s="68"/>
      <c r="K575" s="69"/>
      <c r="L575" s="69"/>
      <c r="M575" s="69"/>
      <c r="N575" s="69"/>
      <c r="O575" s="69">
        <f t="shared" si="33"/>
        <v>0</v>
      </c>
      <c r="P575" s="69">
        <f t="shared" si="33"/>
        <v>0</v>
      </c>
      <c r="Q575" s="69">
        <f t="shared" si="33"/>
        <v>0</v>
      </c>
      <c r="R575" s="69">
        <f t="shared" si="33"/>
        <v>0</v>
      </c>
      <c r="S575" s="69"/>
      <c r="T575" s="36"/>
      <c r="XDA575"/>
      <c r="XDB575"/>
      <c r="XDC575"/>
      <c r="XDD575"/>
      <c r="XDE575"/>
      <c r="XDF575"/>
      <c r="XDG575"/>
      <c r="XDH575"/>
      <c r="XDI575"/>
      <c r="XDJ575"/>
      <c r="XDK575"/>
      <c r="XDL575"/>
      <c r="XDM575"/>
      <c r="XDN575"/>
      <c r="XDO575"/>
      <c r="XDP575"/>
      <c r="XDQ575"/>
      <c r="XDR575"/>
      <c r="XDS575"/>
      <c r="XDT575"/>
      <c r="XDU575"/>
      <c r="XDV575"/>
      <c r="XDW575"/>
      <c r="XDX575"/>
      <c r="XDY575"/>
      <c r="XDZ575"/>
      <c r="XEA575"/>
      <c r="XEB575"/>
      <c r="XEC575"/>
      <c r="XED575"/>
      <c r="XEE575"/>
      <c r="XEF575"/>
      <c r="XEG575"/>
      <c r="XEH575"/>
      <c r="XEI575"/>
      <c r="XEJ575"/>
      <c r="XEK575"/>
      <c r="XEL575"/>
      <c r="XEM575"/>
      <c r="XEN575"/>
      <c r="XEO575"/>
      <c r="XEP575"/>
      <c r="XEQ575"/>
      <c r="XER575"/>
      <c r="XES575"/>
      <c r="XET575"/>
      <c r="XEU575"/>
      <c r="XEV575"/>
      <c r="XEW575"/>
      <c r="XEX575"/>
      <c r="XEY575"/>
      <c r="XEZ575"/>
      <c r="XFA575"/>
      <c r="XFB575"/>
      <c r="XFC575"/>
    </row>
    <row r="576" spans="1:20 16329:16383" s="38" customFormat="1" ht="29.1" customHeight="1" outlineLevel="6" x14ac:dyDescent="0.25">
      <c r="A576" s="49" t="s">
        <v>1146</v>
      </c>
      <c r="B576" s="50"/>
      <c r="C576" s="50"/>
      <c r="D576" s="3" t="s">
        <v>846</v>
      </c>
      <c r="E576" s="3"/>
      <c r="F576" s="51" t="s">
        <v>847</v>
      </c>
      <c r="G576" s="50" t="s">
        <v>102</v>
      </c>
      <c r="H576" s="52">
        <f>1</f>
        <v>1</v>
      </c>
      <c r="I576" s="36"/>
      <c r="J576" s="52">
        <v>1</v>
      </c>
      <c r="K576" s="53">
        <f>0</f>
        <v>0</v>
      </c>
      <c r="L576" s="53">
        <f>0</f>
        <v>0</v>
      </c>
      <c r="M576" s="53">
        <f>0</f>
        <v>0</v>
      </c>
      <c r="N576" s="54">
        <f>SUM(K576:M576)</f>
        <v>0</v>
      </c>
      <c r="O576" s="54">
        <f>ROUND((H576*K576),2)</f>
        <v>0</v>
      </c>
      <c r="P576" s="54">
        <f>ROUND((H576*L576),2)</f>
        <v>0</v>
      </c>
      <c r="Q576" s="54">
        <f>ROUND((H576*M576),2)</f>
        <v>0</v>
      </c>
      <c r="R576" s="54">
        <f>ROUND((H576*N576),2)</f>
        <v>0</v>
      </c>
      <c r="S576" s="54"/>
      <c r="T576" s="36"/>
      <c r="XDA576"/>
      <c r="XDB576"/>
      <c r="XDC576"/>
      <c r="XDD576"/>
      <c r="XDE576"/>
      <c r="XDF576"/>
      <c r="XDG576"/>
      <c r="XDH576"/>
      <c r="XDI576"/>
      <c r="XDJ576"/>
      <c r="XDK576"/>
      <c r="XDL576"/>
      <c r="XDM576"/>
      <c r="XDN576"/>
      <c r="XDO576"/>
      <c r="XDP576"/>
      <c r="XDQ576"/>
      <c r="XDR576"/>
      <c r="XDS576"/>
      <c r="XDT576"/>
      <c r="XDU576"/>
      <c r="XDV576"/>
      <c r="XDW576"/>
      <c r="XDX576"/>
      <c r="XDY576"/>
      <c r="XDZ576"/>
      <c r="XEA576"/>
      <c r="XEB576"/>
      <c r="XEC576"/>
      <c r="XED576"/>
      <c r="XEE576"/>
      <c r="XEF576"/>
      <c r="XEG576"/>
      <c r="XEH576"/>
      <c r="XEI576"/>
      <c r="XEJ576"/>
      <c r="XEK576"/>
      <c r="XEL576"/>
      <c r="XEM576"/>
      <c r="XEN576"/>
      <c r="XEO576"/>
      <c r="XEP576"/>
      <c r="XEQ576"/>
      <c r="XER576"/>
      <c r="XES576"/>
      <c r="XET576"/>
      <c r="XEU576"/>
      <c r="XEV576"/>
      <c r="XEW576"/>
      <c r="XEX576"/>
      <c r="XEY576"/>
      <c r="XEZ576"/>
      <c r="XFA576"/>
      <c r="XFB576"/>
      <c r="XFC576"/>
    </row>
    <row r="577" spans="1:20 16329:16383" s="38" customFormat="1" ht="29.1" customHeight="1" outlineLevel="2" x14ac:dyDescent="0.25">
      <c r="A577" s="44" t="s">
        <v>1147</v>
      </c>
      <c r="B577" s="45" t="s">
        <v>1148</v>
      </c>
      <c r="C577" s="45" t="s">
        <v>1149</v>
      </c>
      <c r="D577" s="4" t="s">
        <v>1150</v>
      </c>
      <c r="E577" s="4"/>
      <c r="F577" s="46"/>
      <c r="G577" s="45" t="s">
        <v>102</v>
      </c>
      <c r="H577" s="47"/>
      <c r="I577" s="36"/>
      <c r="J577" s="47"/>
      <c r="K577" s="48"/>
      <c r="L577" s="48"/>
      <c r="M577" s="48"/>
      <c r="N577" s="48"/>
      <c r="O577" s="48">
        <f>O578+O590+O600</f>
        <v>0</v>
      </c>
      <c r="P577" s="48">
        <f>P578+P590+P600</f>
        <v>0</v>
      </c>
      <c r="Q577" s="48">
        <f>Q578+Q590+Q600</f>
        <v>0</v>
      </c>
      <c r="R577" s="48">
        <f>R578+R590+R600</f>
        <v>0</v>
      </c>
      <c r="S577" s="48"/>
      <c r="T577" s="36"/>
      <c r="XDA577"/>
      <c r="XDB577"/>
      <c r="XDC577"/>
      <c r="XDD577"/>
      <c r="XDE577"/>
      <c r="XDF577"/>
      <c r="XDG577"/>
      <c r="XDH577"/>
      <c r="XDI577"/>
      <c r="XDJ577"/>
      <c r="XDK577"/>
      <c r="XDL577"/>
      <c r="XDM577"/>
      <c r="XDN577"/>
      <c r="XDO577"/>
      <c r="XDP577"/>
      <c r="XDQ577"/>
      <c r="XDR577"/>
      <c r="XDS577"/>
      <c r="XDT577"/>
      <c r="XDU577"/>
      <c r="XDV577"/>
      <c r="XDW577"/>
      <c r="XDX577"/>
      <c r="XDY577"/>
      <c r="XDZ577"/>
      <c r="XEA577"/>
      <c r="XEB577"/>
      <c r="XEC577"/>
      <c r="XED577"/>
      <c r="XEE577"/>
      <c r="XEF577"/>
      <c r="XEG577"/>
      <c r="XEH577"/>
      <c r="XEI577"/>
      <c r="XEJ577"/>
      <c r="XEK577"/>
      <c r="XEL577"/>
      <c r="XEM577"/>
      <c r="XEN577"/>
      <c r="XEO577"/>
      <c r="XEP577"/>
      <c r="XEQ577"/>
      <c r="XER577"/>
      <c r="XES577"/>
      <c r="XET577"/>
      <c r="XEU577"/>
      <c r="XEV577"/>
      <c r="XEW577"/>
      <c r="XEX577"/>
      <c r="XEY577"/>
      <c r="XEZ577"/>
      <c r="XFA577"/>
      <c r="XFB577"/>
      <c r="XFC577"/>
    </row>
    <row r="578" spans="1:20 16329:16383" s="38" customFormat="1" ht="29.1" customHeight="1" outlineLevel="3" x14ac:dyDescent="0.25">
      <c r="A578" s="55" t="s">
        <v>1151</v>
      </c>
      <c r="B578" s="56" t="s">
        <v>1152</v>
      </c>
      <c r="C578" s="56" t="s">
        <v>1153</v>
      </c>
      <c r="D578" s="2" t="s">
        <v>1154</v>
      </c>
      <c r="E578" s="2"/>
      <c r="F578" s="57"/>
      <c r="G578" s="56" t="s">
        <v>102</v>
      </c>
      <c r="H578" s="58"/>
      <c r="I578" s="36"/>
      <c r="J578" s="58"/>
      <c r="K578" s="59"/>
      <c r="L578" s="59"/>
      <c r="M578" s="59"/>
      <c r="N578" s="59"/>
      <c r="O578" s="59">
        <f>O579</f>
        <v>0</v>
      </c>
      <c r="P578" s="59">
        <f>P579</f>
        <v>0</v>
      </c>
      <c r="Q578" s="59">
        <f>Q579</f>
        <v>0</v>
      </c>
      <c r="R578" s="59">
        <f>R579</f>
        <v>0</v>
      </c>
      <c r="S578" s="59"/>
      <c r="T578" s="36"/>
      <c r="XDA578"/>
      <c r="XDB578"/>
      <c r="XDC578"/>
      <c r="XDD578"/>
      <c r="XDE578"/>
      <c r="XDF578"/>
      <c r="XDG578"/>
      <c r="XDH578"/>
      <c r="XDI578"/>
      <c r="XDJ578"/>
      <c r="XDK578"/>
      <c r="XDL578"/>
      <c r="XDM578"/>
      <c r="XDN578"/>
      <c r="XDO578"/>
      <c r="XDP578"/>
      <c r="XDQ578"/>
      <c r="XDR578"/>
      <c r="XDS578"/>
      <c r="XDT578"/>
      <c r="XDU578"/>
      <c r="XDV578"/>
      <c r="XDW578"/>
      <c r="XDX578"/>
      <c r="XDY578"/>
      <c r="XDZ578"/>
      <c r="XEA578"/>
      <c r="XEB578"/>
      <c r="XEC578"/>
      <c r="XED578"/>
      <c r="XEE578"/>
      <c r="XEF578"/>
      <c r="XEG578"/>
      <c r="XEH578"/>
      <c r="XEI578"/>
      <c r="XEJ578"/>
      <c r="XEK578"/>
      <c r="XEL578"/>
      <c r="XEM578"/>
      <c r="XEN578"/>
      <c r="XEO578"/>
      <c r="XEP578"/>
      <c r="XEQ578"/>
      <c r="XER578"/>
      <c r="XES578"/>
      <c r="XET578"/>
      <c r="XEU578"/>
      <c r="XEV578"/>
      <c r="XEW578"/>
      <c r="XEX578"/>
      <c r="XEY578"/>
      <c r="XEZ578"/>
      <c r="XFA578"/>
      <c r="XFB578"/>
      <c r="XFC578"/>
    </row>
    <row r="579" spans="1:20 16329:16383" s="38" customFormat="1" ht="29.1" customHeight="1" outlineLevel="4" x14ac:dyDescent="0.25">
      <c r="A579" s="60" t="s">
        <v>1155</v>
      </c>
      <c r="B579" s="61" t="s">
        <v>1156</v>
      </c>
      <c r="C579" s="61"/>
      <c r="D579" s="1" t="s">
        <v>745</v>
      </c>
      <c r="E579" s="1"/>
      <c r="F579" s="62"/>
      <c r="G579" s="61"/>
      <c r="H579" s="63"/>
      <c r="I579" s="36"/>
      <c r="J579" s="63"/>
      <c r="K579" s="64"/>
      <c r="L579" s="64"/>
      <c r="M579" s="64"/>
      <c r="N579" s="64"/>
      <c r="O579" s="64">
        <f>O580+O582+O584+O586+O588</f>
        <v>0</v>
      </c>
      <c r="P579" s="64">
        <f>P580+P582+P584+P586+P588</f>
        <v>0</v>
      </c>
      <c r="Q579" s="64">
        <f>Q580+Q582+Q584+Q586+Q588</f>
        <v>0</v>
      </c>
      <c r="R579" s="64">
        <f>R580+R582+R584+R586+R588</f>
        <v>0</v>
      </c>
      <c r="S579" s="64"/>
      <c r="T579" s="36"/>
      <c r="XDA579"/>
      <c r="XDB579"/>
      <c r="XDC579"/>
      <c r="XDD579"/>
      <c r="XDE579"/>
      <c r="XDF579"/>
      <c r="XDG579"/>
      <c r="XDH579"/>
      <c r="XDI579"/>
      <c r="XDJ579"/>
      <c r="XDK579"/>
      <c r="XDL579"/>
      <c r="XDM579"/>
      <c r="XDN579"/>
      <c r="XDO579"/>
      <c r="XDP579"/>
      <c r="XDQ579"/>
      <c r="XDR579"/>
      <c r="XDS579"/>
      <c r="XDT579"/>
      <c r="XDU579"/>
      <c r="XDV579"/>
      <c r="XDW579"/>
      <c r="XDX579"/>
      <c r="XDY579"/>
      <c r="XDZ579"/>
      <c r="XEA579"/>
      <c r="XEB579"/>
      <c r="XEC579"/>
      <c r="XED579"/>
      <c r="XEE579"/>
      <c r="XEF579"/>
      <c r="XEG579"/>
      <c r="XEH579"/>
      <c r="XEI579"/>
      <c r="XEJ579"/>
      <c r="XEK579"/>
      <c r="XEL579"/>
      <c r="XEM579"/>
      <c r="XEN579"/>
      <c r="XEO579"/>
      <c r="XEP579"/>
      <c r="XEQ579"/>
      <c r="XER579"/>
      <c r="XES579"/>
      <c r="XET579"/>
      <c r="XEU579"/>
      <c r="XEV579"/>
      <c r="XEW579"/>
      <c r="XEX579"/>
      <c r="XEY579"/>
      <c r="XEZ579"/>
      <c r="XFA579"/>
      <c r="XFB579"/>
      <c r="XFC579"/>
    </row>
    <row r="580" spans="1:20 16329:16383" s="38" customFormat="1" ht="29.1" customHeight="1" outlineLevel="5" x14ac:dyDescent="0.25">
      <c r="A580" s="65" t="s">
        <v>1157</v>
      </c>
      <c r="B580" s="66" t="s">
        <v>1158</v>
      </c>
      <c r="C580" s="66"/>
      <c r="D580" s="98" t="s">
        <v>1159</v>
      </c>
      <c r="E580" s="98"/>
      <c r="F580" s="67" t="s">
        <v>1160</v>
      </c>
      <c r="G580" s="66"/>
      <c r="H580" s="68"/>
      <c r="I580" s="36"/>
      <c r="J580" s="68"/>
      <c r="K580" s="69"/>
      <c r="L580" s="69"/>
      <c r="M580" s="69"/>
      <c r="N580" s="69"/>
      <c r="O580" s="69">
        <f>O581</f>
        <v>0</v>
      </c>
      <c r="P580" s="69">
        <f>P581</f>
        <v>0</v>
      </c>
      <c r="Q580" s="69">
        <f>Q581</f>
        <v>0</v>
      </c>
      <c r="R580" s="69">
        <f>R581</f>
        <v>0</v>
      </c>
      <c r="S580" s="69"/>
      <c r="T580" s="36"/>
      <c r="XDA580"/>
      <c r="XDB580"/>
      <c r="XDC580"/>
      <c r="XDD580"/>
      <c r="XDE580"/>
      <c r="XDF580"/>
      <c r="XDG580"/>
      <c r="XDH580"/>
      <c r="XDI580"/>
      <c r="XDJ580"/>
      <c r="XDK580"/>
      <c r="XDL580"/>
      <c r="XDM580"/>
      <c r="XDN580"/>
      <c r="XDO580"/>
      <c r="XDP580"/>
      <c r="XDQ580"/>
      <c r="XDR580"/>
      <c r="XDS580"/>
      <c r="XDT580"/>
      <c r="XDU580"/>
      <c r="XDV580"/>
      <c r="XDW580"/>
      <c r="XDX580"/>
      <c r="XDY580"/>
      <c r="XDZ580"/>
      <c r="XEA580"/>
      <c r="XEB580"/>
      <c r="XEC580"/>
      <c r="XED580"/>
      <c r="XEE580"/>
      <c r="XEF580"/>
      <c r="XEG580"/>
      <c r="XEH580"/>
      <c r="XEI580"/>
      <c r="XEJ580"/>
      <c r="XEK580"/>
      <c r="XEL580"/>
      <c r="XEM580"/>
      <c r="XEN580"/>
      <c r="XEO580"/>
      <c r="XEP580"/>
      <c r="XEQ580"/>
      <c r="XER580"/>
      <c r="XES580"/>
      <c r="XET580"/>
      <c r="XEU580"/>
      <c r="XEV580"/>
      <c r="XEW580"/>
      <c r="XEX580"/>
      <c r="XEY580"/>
      <c r="XEZ580"/>
      <c r="XFA580"/>
      <c r="XFB580"/>
      <c r="XFC580"/>
    </row>
    <row r="581" spans="1:20 16329:16383" s="38" customFormat="1" ht="29.1" customHeight="1" outlineLevel="6" x14ac:dyDescent="0.25">
      <c r="A581" s="49" t="s">
        <v>1161</v>
      </c>
      <c r="B581" s="50"/>
      <c r="C581" s="50"/>
      <c r="D581" s="3" t="s">
        <v>1162</v>
      </c>
      <c r="E581" s="3"/>
      <c r="F581" s="51" t="s">
        <v>1163</v>
      </c>
      <c r="G581" s="50" t="s">
        <v>102</v>
      </c>
      <c r="H581" s="52">
        <f>1</f>
        <v>1</v>
      </c>
      <c r="I581" s="36"/>
      <c r="J581" s="52">
        <v>1</v>
      </c>
      <c r="K581" s="53">
        <f>0</f>
        <v>0</v>
      </c>
      <c r="L581" s="53">
        <f>0</f>
        <v>0</v>
      </c>
      <c r="M581" s="53">
        <f>0</f>
        <v>0</v>
      </c>
      <c r="N581" s="54">
        <f>SUM(K581:M581)</f>
        <v>0</v>
      </c>
      <c r="O581" s="54">
        <f>ROUND((H581*K581),2)</f>
        <v>0</v>
      </c>
      <c r="P581" s="54">
        <f>ROUND((H581*L581),2)</f>
        <v>0</v>
      </c>
      <c r="Q581" s="54">
        <f>ROUND((H581*M581),2)</f>
        <v>0</v>
      </c>
      <c r="R581" s="54">
        <f>ROUND((H581*N581),2)</f>
        <v>0</v>
      </c>
      <c r="S581" s="54"/>
      <c r="T581" s="36"/>
      <c r="XDA581"/>
      <c r="XDB581"/>
      <c r="XDC581"/>
      <c r="XDD581"/>
      <c r="XDE581"/>
      <c r="XDF581"/>
      <c r="XDG581"/>
      <c r="XDH581"/>
      <c r="XDI581"/>
      <c r="XDJ581"/>
      <c r="XDK581"/>
      <c r="XDL581"/>
      <c r="XDM581"/>
      <c r="XDN581"/>
      <c r="XDO581"/>
      <c r="XDP581"/>
      <c r="XDQ581"/>
      <c r="XDR581"/>
      <c r="XDS581"/>
      <c r="XDT581"/>
      <c r="XDU581"/>
      <c r="XDV581"/>
      <c r="XDW581"/>
      <c r="XDX581"/>
      <c r="XDY581"/>
      <c r="XDZ581"/>
      <c r="XEA581"/>
      <c r="XEB581"/>
      <c r="XEC581"/>
      <c r="XED581"/>
      <c r="XEE581"/>
      <c r="XEF581"/>
      <c r="XEG581"/>
      <c r="XEH581"/>
      <c r="XEI581"/>
      <c r="XEJ581"/>
      <c r="XEK581"/>
      <c r="XEL581"/>
      <c r="XEM581"/>
      <c r="XEN581"/>
      <c r="XEO581"/>
      <c r="XEP581"/>
      <c r="XEQ581"/>
      <c r="XER581"/>
      <c r="XES581"/>
      <c r="XET581"/>
      <c r="XEU581"/>
      <c r="XEV581"/>
      <c r="XEW581"/>
      <c r="XEX581"/>
      <c r="XEY581"/>
      <c r="XEZ581"/>
      <c r="XFA581"/>
      <c r="XFB581"/>
      <c r="XFC581"/>
    </row>
    <row r="582" spans="1:20 16329:16383" s="38" customFormat="1" ht="29.1" customHeight="1" outlineLevel="5" x14ac:dyDescent="0.25">
      <c r="A582" s="65" t="s">
        <v>1164</v>
      </c>
      <c r="B582" s="66" t="s">
        <v>1165</v>
      </c>
      <c r="C582" s="66"/>
      <c r="D582" s="98" t="s">
        <v>1166</v>
      </c>
      <c r="E582" s="98"/>
      <c r="F582" s="67" t="s">
        <v>1167</v>
      </c>
      <c r="G582" s="66"/>
      <c r="H582" s="68"/>
      <c r="I582" s="36"/>
      <c r="J582" s="68"/>
      <c r="K582" s="69"/>
      <c r="L582" s="69"/>
      <c r="M582" s="69"/>
      <c r="N582" s="69"/>
      <c r="O582" s="69">
        <f>O583</f>
        <v>0</v>
      </c>
      <c r="P582" s="69">
        <f>P583</f>
        <v>0</v>
      </c>
      <c r="Q582" s="69">
        <f>Q583</f>
        <v>0</v>
      </c>
      <c r="R582" s="69">
        <f>R583</f>
        <v>0</v>
      </c>
      <c r="S582" s="69"/>
      <c r="T582" s="36"/>
      <c r="XDA582"/>
      <c r="XDB582"/>
      <c r="XDC582"/>
      <c r="XDD582"/>
      <c r="XDE582"/>
      <c r="XDF582"/>
      <c r="XDG582"/>
      <c r="XDH582"/>
      <c r="XDI582"/>
      <c r="XDJ582"/>
      <c r="XDK582"/>
      <c r="XDL582"/>
      <c r="XDM582"/>
      <c r="XDN582"/>
      <c r="XDO582"/>
      <c r="XDP582"/>
      <c r="XDQ582"/>
      <c r="XDR582"/>
      <c r="XDS582"/>
      <c r="XDT582"/>
      <c r="XDU582"/>
      <c r="XDV582"/>
      <c r="XDW582"/>
      <c r="XDX582"/>
      <c r="XDY582"/>
      <c r="XDZ582"/>
      <c r="XEA582"/>
      <c r="XEB582"/>
      <c r="XEC582"/>
      <c r="XED582"/>
      <c r="XEE582"/>
      <c r="XEF582"/>
      <c r="XEG582"/>
      <c r="XEH582"/>
      <c r="XEI582"/>
      <c r="XEJ582"/>
      <c r="XEK582"/>
      <c r="XEL582"/>
      <c r="XEM582"/>
      <c r="XEN582"/>
      <c r="XEO582"/>
      <c r="XEP582"/>
      <c r="XEQ582"/>
      <c r="XER582"/>
      <c r="XES582"/>
      <c r="XET582"/>
      <c r="XEU582"/>
      <c r="XEV582"/>
      <c r="XEW582"/>
      <c r="XEX582"/>
      <c r="XEY582"/>
      <c r="XEZ582"/>
      <c r="XFA582"/>
      <c r="XFB582"/>
      <c r="XFC582"/>
    </row>
    <row r="583" spans="1:20 16329:16383" s="38" customFormat="1" ht="29.1" customHeight="1" outlineLevel="6" x14ac:dyDescent="0.25">
      <c r="A583" s="49" t="s">
        <v>1168</v>
      </c>
      <c r="B583" s="50"/>
      <c r="C583" s="50"/>
      <c r="D583" s="3" t="s">
        <v>1169</v>
      </c>
      <c r="E583" s="3"/>
      <c r="F583" s="51" t="s">
        <v>1163</v>
      </c>
      <c r="G583" s="50" t="s">
        <v>102</v>
      </c>
      <c r="H583" s="52">
        <f>1</f>
        <v>1</v>
      </c>
      <c r="I583" s="36"/>
      <c r="J583" s="52">
        <v>1</v>
      </c>
      <c r="K583" s="53">
        <f>0</f>
        <v>0</v>
      </c>
      <c r="L583" s="53">
        <f>0</f>
        <v>0</v>
      </c>
      <c r="M583" s="53">
        <f>0</f>
        <v>0</v>
      </c>
      <c r="N583" s="54">
        <f>SUM(K583:M583)</f>
        <v>0</v>
      </c>
      <c r="O583" s="54">
        <f>ROUND((H583*K583),2)</f>
        <v>0</v>
      </c>
      <c r="P583" s="54">
        <f>ROUND((H583*L583),2)</f>
        <v>0</v>
      </c>
      <c r="Q583" s="54">
        <f>ROUND((H583*M583),2)</f>
        <v>0</v>
      </c>
      <c r="R583" s="54">
        <f>ROUND((H583*N583),2)</f>
        <v>0</v>
      </c>
      <c r="S583" s="54"/>
      <c r="T583" s="36"/>
      <c r="XDA583"/>
      <c r="XDB583"/>
      <c r="XDC583"/>
      <c r="XDD583"/>
      <c r="XDE583"/>
      <c r="XDF583"/>
      <c r="XDG583"/>
      <c r="XDH583"/>
      <c r="XDI583"/>
      <c r="XDJ583"/>
      <c r="XDK583"/>
      <c r="XDL583"/>
      <c r="XDM583"/>
      <c r="XDN583"/>
      <c r="XDO583"/>
      <c r="XDP583"/>
      <c r="XDQ583"/>
      <c r="XDR583"/>
      <c r="XDS583"/>
      <c r="XDT583"/>
      <c r="XDU583"/>
      <c r="XDV583"/>
      <c r="XDW583"/>
      <c r="XDX583"/>
      <c r="XDY583"/>
      <c r="XDZ583"/>
      <c r="XEA583"/>
      <c r="XEB583"/>
      <c r="XEC583"/>
      <c r="XED583"/>
      <c r="XEE583"/>
      <c r="XEF583"/>
      <c r="XEG583"/>
      <c r="XEH583"/>
      <c r="XEI583"/>
      <c r="XEJ583"/>
      <c r="XEK583"/>
      <c r="XEL583"/>
      <c r="XEM583"/>
      <c r="XEN583"/>
      <c r="XEO583"/>
      <c r="XEP583"/>
      <c r="XEQ583"/>
      <c r="XER583"/>
      <c r="XES583"/>
      <c r="XET583"/>
      <c r="XEU583"/>
      <c r="XEV583"/>
      <c r="XEW583"/>
      <c r="XEX583"/>
      <c r="XEY583"/>
      <c r="XEZ583"/>
      <c r="XFA583"/>
      <c r="XFB583"/>
      <c r="XFC583"/>
    </row>
    <row r="584" spans="1:20 16329:16383" s="38" customFormat="1" ht="29.1" customHeight="1" outlineLevel="5" x14ac:dyDescent="0.25">
      <c r="A584" s="65" t="s">
        <v>1170</v>
      </c>
      <c r="B584" s="66" t="s">
        <v>1171</v>
      </c>
      <c r="C584" s="66"/>
      <c r="D584" s="98" t="s">
        <v>1172</v>
      </c>
      <c r="E584" s="98"/>
      <c r="F584" s="67" t="s">
        <v>1173</v>
      </c>
      <c r="G584" s="66"/>
      <c r="H584" s="68"/>
      <c r="I584" s="36"/>
      <c r="J584" s="68"/>
      <c r="K584" s="69"/>
      <c r="L584" s="69"/>
      <c r="M584" s="69"/>
      <c r="N584" s="69"/>
      <c r="O584" s="69">
        <f>O585</f>
        <v>0</v>
      </c>
      <c r="P584" s="69">
        <f>P585</f>
        <v>0</v>
      </c>
      <c r="Q584" s="69">
        <f>Q585</f>
        <v>0</v>
      </c>
      <c r="R584" s="69">
        <f>R585</f>
        <v>0</v>
      </c>
      <c r="S584" s="69"/>
      <c r="T584" s="36"/>
      <c r="XDA584"/>
      <c r="XDB584"/>
      <c r="XDC584"/>
      <c r="XDD584"/>
      <c r="XDE584"/>
      <c r="XDF584"/>
      <c r="XDG584"/>
      <c r="XDH584"/>
      <c r="XDI584"/>
      <c r="XDJ584"/>
      <c r="XDK584"/>
      <c r="XDL584"/>
      <c r="XDM584"/>
      <c r="XDN584"/>
      <c r="XDO584"/>
      <c r="XDP584"/>
      <c r="XDQ584"/>
      <c r="XDR584"/>
      <c r="XDS584"/>
      <c r="XDT584"/>
      <c r="XDU584"/>
      <c r="XDV584"/>
      <c r="XDW584"/>
      <c r="XDX584"/>
      <c r="XDY584"/>
      <c r="XDZ584"/>
      <c r="XEA584"/>
      <c r="XEB584"/>
      <c r="XEC584"/>
      <c r="XED584"/>
      <c r="XEE584"/>
      <c r="XEF584"/>
      <c r="XEG584"/>
      <c r="XEH584"/>
      <c r="XEI584"/>
      <c r="XEJ584"/>
      <c r="XEK584"/>
      <c r="XEL584"/>
      <c r="XEM584"/>
      <c r="XEN584"/>
      <c r="XEO584"/>
      <c r="XEP584"/>
      <c r="XEQ584"/>
      <c r="XER584"/>
      <c r="XES584"/>
      <c r="XET584"/>
      <c r="XEU584"/>
      <c r="XEV584"/>
      <c r="XEW584"/>
      <c r="XEX584"/>
      <c r="XEY584"/>
      <c r="XEZ584"/>
      <c r="XFA584"/>
      <c r="XFB584"/>
      <c r="XFC584"/>
    </row>
    <row r="585" spans="1:20 16329:16383" s="38" customFormat="1" ht="29.1" customHeight="1" outlineLevel="6" x14ac:dyDescent="0.25">
      <c r="A585" s="49" t="s">
        <v>1174</v>
      </c>
      <c r="B585" s="50"/>
      <c r="C585" s="50"/>
      <c r="D585" s="3" t="s">
        <v>1175</v>
      </c>
      <c r="E585" s="3"/>
      <c r="F585" s="51" t="s">
        <v>1163</v>
      </c>
      <c r="G585" s="50" t="s">
        <v>102</v>
      </c>
      <c r="H585" s="52">
        <f>1</f>
        <v>1</v>
      </c>
      <c r="I585" s="36"/>
      <c r="J585" s="52">
        <v>1</v>
      </c>
      <c r="K585" s="53">
        <f>0</f>
        <v>0</v>
      </c>
      <c r="L585" s="53">
        <f>0</f>
        <v>0</v>
      </c>
      <c r="M585" s="53">
        <f>0</f>
        <v>0</v>
      </c>
      <c r="N585" s="54">
        <f>SUM(K585:M585)</f>
        <v>0</v>
      </c>
      <c r="O585" s="54">
        <f>ROUND((H585*K585),2)</f>
        <v>0</v>
      </c>
      <c r="P585" s="54">
        <f>ROUND((H585*L585),2)</f>
        <v>0</v>
      </c>
      <c r="Q585" s="54">
        <f>ROUND((H585*M585),2)</f>
        <v>0</v>
      </c>
      <c r="R585" s="54">
        <f>ROUND((H585*N585),2)</f>
        <v>0</v>
      </c>
      <c r="S585" s="54"/>
      <c r="T585" s="36"/>
      <c r="XDA585"/>
      <c r="XDB585"/>
      <c r="XDC585"/>
      <c r="XDD585"/>
      <c r="XDE585"/>
      <c r="XDF585"/>
      <c r="XDG585"/>
      <c r="XDH585"/>
      <c r="XDI585"/>
      <c r="XDJ585"/>
      <c r="XDK585"/>
      <c r="XDL585"/>
      <c r="XDM585"/>
      <c r="XDN585"/>
      <c r="XDO585"/>
      <c r="XDP585"/>
      <c r="XDQ585"/>
      <c r="XDR585"/>
      <c r="XDS585"/>
      <c r="XDT585"/>
      <c r="XDU585"/>
      <c r="XDV585"/>
      <c r="XDW585"/>
      <c r="XDX585"/>
      <c r="XDY585"/>
      <c r="XDZ585"/>
      <c r="XEA585"/>
      <c r="XEB585"/>
      <c r="XEC585"/>
      <c r="XED585"/>
      <c r="XEE585"/>
      <c r="XEF585"/>
      <c r="XEG585"/>
      <c r="XEH585"/>
      <c r="XEI585"/>
      <c r="XEJ585"/>
      <c r="XEK585"/>
      <c r="XEL585"/>
      <c r="XEM585"/>
      <c r="XEN585"/>
      <c r="XEO585"/>
      <c r="XEP585"/>
      <c r="XEQ585"/>
      <c r="XER585"/>
      <c r="XES585"/>
      <c r="XET585"/>
      <c r="XEU585"/>
      <c r="XEV585"/>
      <c r="XEW585"/>
      <c r="XEX585"/>
      <c r="XEY585"/>
      <c r="XEZ585"/>
      <c r="XFA585"/>
      <c r="XFB585"/>
      <c r="XFC585"/>
    </row>
    <row r="586" spans="1:20 16329:16383" s="38" customFormat="1" ht="29.1" customHeight="1" outlineLevel="5" x14ac:dyDescent="0.25">
      <c r="A586" s="65" t="s">
        <v>1176</v>
      </c>
      <c r="B586" s="66" t="s">
        <v>1177</v>
      </c>
      <c r="C586" s="66"/>
      <c r="D586" s="98" t="s">
        <v>1178</v>
      </c>
      <c r="E586" s="98"/>
      <c r="F586" s="67" t="s">
        <v>1179</v>
      </c>
      <c r="G586" s="66"/>
      <c r="H586" s="68"/>
      <c r="I586" s="36"/>
      <c r="J586" s="68"/>
      <c r="K586" s="69"/>
      <c r="L586" s="69"/>
      <c r="M586" s="69"/>
      <c r="N586" s="69"/>
      <c r="O586" s="69">
        <f>O587</f>
        <v>0</v>
      </c>
      <c r="P586" s="69">
        <f>P587</f>
        <v>0</v>
      </c>
      <c r="Q586" s="69">
        <f>Q587</f>
        <v>0</v>
      </c>
      <c r="R586" s="69">
        <f>R587</f>
        <v>0</v>
      </c>
      <c r="S586" s="69"/>
      <c r="T586" s="36"/>
      <c r="XDA586"/>
      <c r="XDB586"/>
      <c r="XDC586"/>
      <c r="XDD586"/>
      <c r="XDE586"/>
      <c r="XDF586"/>
      <c r="XDG586"/>
      <c r="XDH586"/>
      <c r="XDI586"/>
      <c r="XDJ586"/>
      <c r="XDK586"/>
      <c r="XDL586"/>
      <c r="XDM586"/>
      <c r="XDN586"/>
      <c r="XDO586"/>
      <c r="XDP586"/>
      <c r="XDQ586"/>
      <c r="XDR586"/>
      <c r="XDS586"/>
      <c r="XDT586"/>
      <c r="XDU586"/>
      <c r="XDV586"/>
      <c r="XDW586"/>
      <c r="XDX586"/>
      <c r="XDY586"/>
      <c r="XDZ586"/>
      <c r="XEA586"/>
      <c r="XEB586"/>
      <c r="XEC586"/>
      <c r="XED586"/>
      <c r="XEE586"/>
      <c r="XEF586"/>
      <c r="XEG586"/>
      <c r="XEH586"/>
      <c r="XEI586"/>
      <c r="XEJ586"/>
      <c r="XEK586"/>
      <c r="XEL586"/>
      <c r="XEM586"/>
      <c r="XEN586"/>
      <c r="XEO586"/>
      <c r="XEP586"/>
      <c r="XEQ586"/>
      <c r="XER586"/>
      <c r="XES586"/>
      <c r="XET586"/>
      <c r="XEU586"/>
      <c r="XEV586"/>
      <c r="XEW586"/>
      <c r="XEX586"/>
      <c r="XEY586"/>
      <c r="XEZ586"/>
      <c r="XFA586"/>
      <c r="XFB586"/>
      <c r="XFC586"/>
    </row>
    <row r="587" spans="1:20 16329:16383" s="38" customFormat="1" ht="29.1" customHeight="1" outlineLevel="6" x14ac:dyDescent="0.25">
      <c r="A587" s="49" t="s">
        <v>1180</v>
      </c>
      <c r="B587" s="50"/>
      <c r="C587" s="50"/>
      <c r="D587" s="3" t="s">
        <v>1181</v>
      </c>
      <c r="E587" s="3"/>
      <c r="F587" s="51" t="s">
        <v>1163</v>
      </c>
      <c r="G587" s="50" t="s">
        <v>102</v>
      </c>
      <c r="H587" s="52">
        <f>1</f>
        <v>1</v>
      </c>
      <c r="I587" s="36"/>
      <c r="J587" s="52">
        <v>1</v>
      </c>
      <c r="K587" s="53">
        <f>0</f>
        <v>0</v>
      </c>
      <c r="L587" s="53">
        <f>0</f>
        <v>0</v>
      </c>
      <c r="M587" s="53">
        <f>0</f>
        <v>0</v>
      </c>
      <c r="N587" s="54">
        <f>SUM(K587:M587)</f>
        <v>0</v>
      </c>
      <c r="O587" s="54">
        <f>ROUND((H587*K587),2)</f>
        <v>0</v>
      </c>
      <c r="P587" s="54">
        <f>ROUND((H587*L587),2)</f>
        <v>0</v>
      </c>
      <c r="Q587" s="54">
        <f>ROUND((H587*M587),2)</f>
        <v>0</v>
      </c>
      <c r="R587" s="54">
        <f>ROUND((H587*N587),2)</f>
        <v>0</v>
      </c>
      <c r="S587" s="54"/>
      <c r="T587" s="36"/>
      <c r="XDA587"/>
      <c r="XDB587"/>
      <c r="XDC587"/>
      <c r="XDD587"/>
      <c r="XDE587"/>
      <c r="XDF587"/>
      <c r="XDG587"/>
      <c r="XDH587"/>
      <c r="XDI587"/>
      <c r="XDJ587"/>
      <c r="XDK587"/>
      <c r="XDL587"/>
      <c r="XDM587"/>
      <c r="XDN587"/>
      <c r="XDO587"/>
      <c r="XDP587"/>
      <c r="XDQ587"/>
      <c r="XDR587"/>
      <c r="XDS587"/>
      <c r="XDT587"/>
      <c r="XDU587"/>
      <c r="XDV587"/>
      <c r="XDW587"/>
      <c r="XDX587"/>
      <c r="XDY587"/>
      <c r="XDZ587"/>
      <c r="XEA587"/>
      <c r="XEB587"/>
      <c r="XEC587"/>
      <c r="XED587"/>
      <c r="XEE587"/>
      <c r="XEF587"/>
      <c r="XEG587"/>
      <c r="XEH587"/>
      <c r="XEI587"/>
      <c r="XEJ587"/>
      <c r="XEK587"/>
      <c r="XEL587"/>
      <c r="XEM587"/>
      <c r="XEN587"/>
      <c r="XEO587"/>
      <c r="XEP587"/>
      <c r="XEQ587"/>
      <c r="XER587"/>
      <c r="XES587"/>
      <c r="XET587"/>
      <c r="XEU587"/>
      <c r="XEV587"/>
      <c r="XEW587"/>
      <c r="XEX587"/>
      <c r="XEY587"/>
      <c r="XEZ587"/>
      <c r="XFA587"/>
      <c r="XFB587"/>
      <c r="XFC587"/>
    </row>
    <row r="588" spans="1:20 16329:16383" s="38" customFormat="1" ht="29.1" customHeight="1" outlineLevel="5" x14ac:dyDescent="0.25">
      <c r="A588" s="65" t="s">
        <v>1182</v>
      </c>
      <c r="B588" s="66" t="s">
        <v>1183</v>
      </c>
      <c r="C588" s="66"/>
      <c r="D588" s="98" t="s">
        <v>782</v>
      </c>
      <c r="E588" s="98"/>
      <c r="F588" s="67" t="s">
        <v>783</v>
      </c>
      <c r="G588" s="66"/>
      <c r="H588" s="68"/>
      <c r="I588" s="36"/>
      <c r="J588" s="68"/>
      <c r="K588" s="69"/>
      <c r="L588" s="69"/>
      <c r="M588" s="69"/>
      <c r="N588" s="69"/>
      <c r="O588" s="69">
        <f>O589</f>
        <v>0</v>
      </c>
      <c r="P588" s="69">
        <f>P589</f>
        <v>0</v>
      </c>
      <c r="Q588" s="69">
        <f>Q589</f>
        <v>0</v>
      </c>
      <c r="R588" s="69">
        <f>R589</f>
        <v>0</v>
      </c>
      <c r="S588" s="69"/>
      <c r="T588" s="36"/>
      <c r="XDA588"/>
      <c r="XDB588"/>
      <c r="XDC588"/>
      <c r="XDD588"/>
      <c r="XDE588"/>
      <c r="XDF588"/>
      <c r="XDG588"/>
      <c r="XDH588"/>
      <c r="XDI588"/>
      <c r="XDJ588"/>
      <c r="XDK588"/>
      <c r="XDL588"/>
      <c r="XDM588"/>
      <c r="XDN588"/>
      <c r="XDO588"/>
      <c r="XDP588"/>
      <c r="XDQ588"/>
      <c r="XDR588"/>
      <c r="XDS588"/>
      <c r="XDT588"/>
      <c r="XDU588"/>
      <c r="XDV588"/>
      <c r="XDW588"/>
      <c r="XDX588"/>
      <c r="XDY588"/>
      <c r="XDZ588"/>
      <c r="XEA588"/>
      <c r="XEB588"/>
      <c r="XEC588"/>
      <c r="XED588"/>
      <c r="XEE588"/>
      <c r="XEF588"/>
      <c r="XEG588"/>
      <c r="XEH588"/>
      <c r="XEI588"/>
      <c r="XEJ588"/>
      <c r="XEK588"/>
      <c r="XEL588"/>
      <c r="XEM588"/>
      <c r="XEN588"/>
      <c r="XEO588"/>
      <c r="XEP588"/>
      <c r="XEQ588"/>
      <c r="XER588"/>
      <c r="XES588"/>
      <c r="XET588"/>
      <c r="XEU588"/>
      <c r="XEV588"/>
      <c r="XEW588"/>
      <c r="XEX588"/>
      <c r="XEY588"/>
      <c r="XEZ588"/>
      <c r="XFA588"/>
      <c r="XFB588"/>
      <c r="XFC588"/>
    </row>
    <row r="589" spans="1:20 16329:16383" s="38" customFormat="1" ht="29.1" customHeight="1" outlineLevel="6" x14ac:dyDescent="0.25">
      <c r="A589" s="49" t="s">
        <v>1184</v>
      </c>
      <c r="B589" s="50"/>
      <c r="C589" s="50"/>
      <c r="D589" s="3" t="s">
        <v>931</v>
      </c>
      <c r="E589" s="3"/>
      <c r="F589" s="51" t="s">
        <v>1185</v>
      </c>
      <c r="G589" s="50" t="s">
        <v>102</v>
      </c>
      <c r="H589" s="52">
        <f>1</f>
        <v>1</v>
      </c>
      <c r="I589" s="36"/>
      <c r="J589" s="52">
        <v>1</v>
      </c>
      <c r="K589" s="53">
        <f>0</f>
        <v>0</v>
      </c>
      <c r="L589" s="53">
        <f>0</f>
        <v>0</v>
      </c>
      <c r="M589" s="53">
        <f>0</f>
        <v>0</v>
      </c>
      <c r="N589" s="54">
        <f>SUM(K589:M589)</f>
        <v>0</v>
      </c>
      <c r="O589" s="54">
        <f>ROUND((H589*K589),2)</f>
        <v>0</v>
      </c>
      <c r="P589" s="54">
        <f>ROUND((H589*L589),2)</f>
        <v>0</v>
      </c>
      <c r="Q589" s="54">
        <f>ROUND((H589*M589),2)</f>
        <v>0</v>
      </c>
      <c r="R589" s="54">
        <f>ROUND((H589*N589),2)</f>
        <v>0</v>
      </c>
      <c r="S589" s="54"/>
      <c r="T589" s="36"/>
      <c r="XDA589"/>
      <c r="XDB589"/>
      <c r="XDC589"/>
      <c r="XDD589"/>
      <c r="XDE589"/>
      <c r="XDF589"/>
      <c r="XDG589"/>
      <c r="XDH589"/>
      <c r="XDI589"/>
      <c r="XDJ589"/>
      <c r="XDK589"/>
      <c r="XDL589"/>
      <c r="XDM589"/>
      <c r="XDN589"/>
      <c r="XDO589"/>
      <c r="XDP589"/>
      <c r="XDQ589"/>
      <c r="XDR589"/>
      <c r="XDS589"/>
      <c r="XDT589"/>
      <c r="XDU589"/>
      <c r="XDV589"/>
      <c r="XDW589"/>
      <c r="XDX589"/>
      <c r="XDY589"/>
      <c r="XDZ589"/>
      <c r="XEA589"/>
      <c r="XEB589"/>
      <c r="XEC589"/>
      <c r="XED589"/>
      <c r="XEE589"/>
      <c r="XEF589"/>
      <c r="XEG589"/>
      <c r="XEH589"/>
      <c r="XEI589"/>
      <c r="XEJ589"/>
      <c r="XEK589"/>
      <c r="XEL589"/>
      <c r="XEM589"/>
      <c r="XEN589"/>
      <c r="XEO589"/>
      <c r="XEP589"/>
      <c r="XEQ589"/>
      <c r="XER589"/>
      <c r="XES589"/>
      <c r="XET589"/>
      <c r="XEU589"/>
      <c r="XEV589"/>
      <c r="XEW589"/>
      <c r="XEX589"/>
      <c r="XEY589"/>
      <c r="XEZ589"/>
      <c r="XFA589"/>
      <c r="XFB589"/>
      <c r="XFC589"/>
    </row>
    <row r="590" spans="1:20 16329:16383" s="38" customFormat="1" ht="29.1" customHeight="1" outlineLevel="3" x14ac:dyDescent="0.25">
      <c r="A590" s="55" t="s">
        <v>1186</v>
      </c>
      <c r="B590" s="56" t="s">
        <v>1187</v>
      </c>
      <c r="C590" s="56" t="s">
        <v>1188</v>
      </c>
      <c r="D590" s="2" t="s">
        <v>1189</v>
      </c>
      <c r="E590" s="2"/>
      <c r="F590" s="57"/>
      <c r="G590" s="56" t="s">
        <v>102</v>
      </c>
      <c r="H590" s="58"/>
      <c r="I590" s="36"/>
      <c r="J590" s="58"/>
      <c r="K590" s="59"/>
      <c r="L590" s="59"/>
      <c r="M590" s="59"/>
      <c r="N590" s="59"/>
      <c r="O590" s="59">
        <f>O591</f>
        <v>0</v>
      </c>
      <c r="P590" s="59">
        <f>P591</f>
        <v>0</v>
      </c>
      <c r="Q590" s="59">
        <f>Q591</f>
        <v>0</v>
      </c>
      <c r="R590" s="59">
        <f>R591</f>
        <v>0</v>
      </c>
      <c r="S590" s="59"/>
      <c r="T590" s="36"/>
      <c r="XDA590"/>
      <c r="XDB590"/>
      <c r="XDC590"/>
      <c r="XDD590"/>
      <c r="XDE590"/>
      <c r="XDF590"/>
      <c r="XDG590"/>
      <c r="XDH590"/>
      <c r="XDI590"/>
      <c r="XDJ590"/>
      <c r="XDK590"/>
      <c r="XDL590"/>
      <c r="XDM590"/>
      <c r="XDN590"/>
      <c r="XDO590"/>
      <c r="XDP590"/>
      <c r="XDQ590"/>
      <c r="XDR590"/>
      <c r="XDS590"/>
      <c r="XDT590"/>
      <c r="XDU590"/>
      <c r="XDV590"/>
      <c r="XDW590"/>
      <c r="XDX590"/>
      <c r="XDY590"/>
      <c r="XDZ590"/>
      <c r="XEA590"/>
      <c r="XEB590"/>
      <c r="XEC590"/>
      <c r="XED590"/>
      <c r="XEE590"/>
      <c r="XEF590"/>
      <c r="XEG590"/>
      <c r="XEH590"/>
      <c r="XEI590"/>
      <c r="XEJ590"/>
      <c r="XEK590"/>
      <c r="XEL590"/>
      <c r="XEM590"/>
      <c r="XEN590"/>
      <c r="XEO590"/>
      <c r="XEP590"/>
      <c r="XEQ590"/>
      <c r="XER590"/>
      <c r="XES590"/>
      <c r="XET590"/>
      <c r="XEU590"/>
      <c r="XEV590"/>
      <c r="XEW590"/>
      <c r="XEX590"/>
      <c r="XEY590"/>
      <c r="XEZ590"/>
      <c r="XFA590"/>
      <c r="XFB590"/>
      <c r="XFC590"/>
    </row>
    <row r="591" spans="1:20 16329:16383" s="38" customFormat="1" ht="29.1" customHeight="1" outlineLevel="4" x14ac:dyDescent="0.25">
      <c r="A591" s="60" t="s">
        <v>1190</v>
      </c>
      <c r="B591" s="61" t="s">
        <v>1191</v>
      </c>
      <c r="C591" s="61"/>
      <c r="D591" s="1" t="s">
        <v>745</v>
      </c>
      <c r="E591" s="1"/>
      <c r="F591" s="62"/>
      <c r="G591" s="61"/>
      <c r="H591" s="63"/>
      <c r="I591" s="36"/>
      <c r="J591" s="63"/>
      <c r="K591" s="64"/>
      <c r="L591" s="64"/>
      <c r="M591" s="64"/>
      <c r="N591" s="64"/>
      <c r="O591" s="64">
        <f>O592+O594+O596+O598</f>
        <v>0</v>
      </c>
      <c r="P591" s="64">
        <f>P592+P594+P596+P598</f>
        <v>0</v>
      </c>
      <c r="Q591" s="64">
        <f>Q592+Q594+Q596+Q598</f>
        <v>0</v>
      </c>
      <c r="R591" s="64">
        <f>R592+R594+R596+R598</f>
        <v>0</v>
      </c>
      <c r="S591" s="64"/>
      <c r="T591" s="36"/>
      <c r="XDA591"/>
      <c r="XDB591"/>
      <c r="XDC591"/>
      <c r="XDD591"/>
      <c r="XDE591"/>
      <c r="XDF591"/>
      <c r="XDG591"/>
      <c r="XDH591"/>
      <c r="XDI591"/>
      <c r="XDJ591"/>
      <c r="XDK591"/>
      <c r="XDL591"/>
      <c r="XDM591"/>
      <c r="XDN591"/>
      <c r="XDO591"/>
      <c r="XDP591"/>
      <c r="XDQ591"/>
      <c r="XDR591"/>
      <c r="XDS591"/>
      <c r="XDT591"/>
      <c r="XDU591"/>
      <c r="XDV591"/>
      <c r="XDW591"/>
      <c r="XDX591"/>
      <c r="XDY591"/>
      <c r="XDZ591"/>
      <c r="XEA591"/>
      <c r="XEB591"/>
      <c r="XEC591"/>
      <c r="XED591"/>
      <c r="XEE591"/>
      <c r="XEF591"/>
      <c r="XEG591"/>
      <c r="XEH591"/>
      <c r="XEI591"/>
      <c r="XEJ591"/>
      <c r="XEK591"/>
      <c r="XEL591"/>
      <c r="XEM591"/>
      <c r="XEN591"/>
      <c r="XEO591"/>
      <c r="XEP591"/>
      <c r="XEQ591"/>
      <c r="XER591"/>
      <c r="XES591"/>
      <c r="XET591"/>
      <c r="XEU591"/>
      <c r="XEV591"/>
      <c r="XEW591"/>
      <c r="XEX591"/>
      <c r="XEY591"/>
      <c r="XEZ591"/>
      <c r="XFA591"/>
      <c r="XFB591"/>
      <c r="XFC591"/>
    </row>
    <row r="592" spans="1:20 16329:16383" s="38" customFormat="1" ht="29.1" customHeight="1" outlineLevel="5" x14ac:dyDescent="0.25">
      <c r="A592" s="65" t="s">
        <v>1192</v>
      </c>
      <c r="B592" s="66" t="s">
        <v>1193</v>
      </c>
      <c r="C592" s="66"/>
      <c r="D592" s="98" t="s">
        <v>1159</v>
      </c>
      <c r="E592" s="98"/>
      <c r="F592" s="67" t="s">
        <v>1160</v>
      </c>
      <c r="G592" s="66"/>
      <c r="H592" s="68"/>
      <c r="I592" s="36"/>
      <c r="J592" s="68"/>
      <c r="K592" s="69"/>
      <c r="L592" s="69"/>
      <c r="M592" s="69"/>
      <c r="N592" s="69"/>
      <c r="O592" s="69">
        <f>O593</f>
        <v>0</v>
      </c>
      <c r="P592" s="69">
        <f>P593</f>
        <v>0</v>
      </c>
      <c r="Q592" s="69">
        <f>Q593</f>
        <v>0</v>
      </c>
      <c r="R592" s="69">
        <f>R593</f>
        <v>0</v>
      </c>
      <c r="S592" s="69"/>
      <c r="T592" s="36"/>
      <c r="XDA592"/>
      <c r="XDB592"/>
      <c r="XDC592"/>
      <c r="XDD592"/>
      <c r="XDE592"/>
      <c r="XDF592"/>
      <c r="XDG592"/>
      <c r="XDH592"/>
      <c r="XDI592"/>
      <c r="XDJ592"/>
      <c r="XDK592"/>
      <c r="XDL592"/>
      <c r="XDM592"/>
      <c r="XDN592"/>
      <c r="XDO592"/>
      <c r="XDP592"/>
      <c r="XDQ592"/>
      <c r="XDR592"/>
      <c r="XDS592"/>
      <c r="XDT592"/>
      <c r="XDU592"/>
      <c r="XDV592"/>
      <c r="XDW592"/>
      <c r="XDX592"/>
      <c r="XDY592"/>
      <c r="XDZ592"/>
      <c r="XEA592"/>
      <c r="XEB592"/>
      <c r="XEC592"/>
      <c r="XED592"/>
      <c r="XEE592"/>
      <c r="XEF592"/>
      <c r="XEG592"/>
      <c r="XEH592"/>
      <c r="XEI592"/>
      <c r="XEJ592"/>
      <c r="XEK592"/>
      <c r="XEL592"/>
      <c r="XEM592"/>
      <c r="XEN592"/>
      <c r="XEO592"/>
      <c r="XEP592"/>
      <c r="XEQ592"/>
      <c r="XER592"/>
      <c r="XES592"/>
      <c r="XET592"/>
      <c r="XEU592"/>
      <c r="XEV592"/>
      <c r="XEW592"/>
      <c r="XEX592"/>
      <c r="XEY592"/>
      <c r="XEZ592"/>
      <c r="XFA592"/>
      <c r="XFB592"/>
      <c r="XFC592"/>
    </row>
    <row r="593" spans="1:20 16329:16383" s="38" customFormat="1" ht="29.1" customHeight="1" outlineLevel="6" x14ac:dyDescent="0.25">
      <c r="A593" s="49" t="s">
        <v>1194</v>
      </c>
      <c r="B593" s="50"/>
      <c r="C593" s="50"/>
      <c r="D593" s="3" t="s">
        <v>1162</v>
      </c>
      <c r="E593" s="3"/>
      <c r="F593" s="51" t="s">
        <v>1189</v>
      </c>
      <c r="G593" s="50" t="s">
        <v>102</v>
      </c>
      <c r="H593" s="52">
        <f>1</f>
        <v>1</v>
      </c>
      <c r="I593" s="36"/>
      <c r="J593" s="52">
        <v>1</v>
      </c>
      <c r="K593" s="53">
        <f>0</f>
        <v>0</v>
      </c>
      <c r="L593" s="53">
        <f>0</f>
        <v>0</v>
      </c>
      <c r="M593" s="53">
        <f>0</f>
        <v>0</v>
      </c>
      <c r="N593" s="54">
        <f>SUM(K593:M593)</f>
        <v>0</v>
      </c>
      <c r="O593" s="54">
        <f>ROUND((H593*K593),2)</f>
        <v>0</v>
      </c>
      <c r="P593" s="54">
        <f>ROUND((H593*L593),2)</f>
        <v>0</v>
      </c>
      <c r="Q593" s="54">
        <f>ROUND((H593*M593),2)</f>
        <v>0</v>
      </c>
      <c r="R593" s="54">
        <f>ROUND((H593*N593),2)</f>
        <v>0</v>
      </c>
      <c r="S593" s="54"/>
      <c r="T593" s="36"/>
      <c r="XDA593"/>
      <c r="XDB593"/>
      <c r="XDC593"/>
      <c r="XDD593"/>
      <c r="XDE593"/>
      <c r="XDF593"/>
      <c r="XDG593"/>
      <c r="XDH593"/>
      <c r="XDI593"/>
      <c r="XDJ593"/>
      <c r="XDK593"/>
      <c r="XDL593"/>
      <c r="XDM593"/>
      <c r="XDN593"/>
      <c r="XDO593"/>
      <c r="XDP593"/>
      <c r="XDQ593"/>
      <c r="XDR593"/>
      <c r="XDS593"/>
      <c r="XDT593"/>
      <c r="XDU593"/>
      <c r="XDV593"/>
      <c r="XDW593"/>
      <c r="XDX593"/>
      <c r="XDY593"/>
      <c r="XDZ593"/>
      <c r="XEA593"/>
      <c r="XEB593"/>
      <c r="XEC593"/>
      <c r="XED593"/>
      <c r="XEE593"/>
      <c r="XEF593"/>
      <c r="XEG593"/>
      <c r="XEH593"/>
      <c r="XEI593"/>
      <c r="XEJ593"/>
      <c r="XEK593"/>
      <c r="XEL593"/>
      <c r="XEM593"/>
      <c r="XEN593"/>
      <c r="XEO593"/>
      <c r="XEP593"/>
      <c r="XEQ593"/>
      <c r="XER593"/>
      <c r="XES593"/>
      <c r="XET593"/>
      <c r="XEU593"/>
      <c r="XEV593"/>
      <c r="XEW593"/>
      <c r="XEX593"/>
      <c r="XEY593"/>
      <c r="XEZ593"/>
      <c r="XFA593"/>
      <c r="XFB593"/>
      <c r="XFC593"/>
    </row>
    <row r="594" spans="1:20 16329:16383" s="38" customFormat="1" ht="29.1" customHeight="1" outlineLevel="5" x14ac:dyDescent="0.25">
      <c r="A594" s="65" t="s">
        <v>1195</v>
      </c>
      <c r="B594" s="66" t="s">
        <v>1196</v>
      </c>
      <c r="C594" s="66"/>
      <c r="D594" s="98" t="s">
        <v>1166</v>
      </c>
      <c r="E594" s="98"/>
      <c r="F594" s="67" t="s">
        <v>1167</v>
      </c>
      <c r="G594" s="66"/>
      <c r="H594" s="68"/>
      <c r="I594" s="36"/>
      <c r="J594" s="68"/>
      <c r="K594" s="69"/>
      <c r="L594" s="69"/>
      <c r="M594" s="69"/>
      <c r="N594" s="69"/>
      <c r="O594" s="69">
        <f>O595</f>
        <v>0</v>
      </c>
      <c r="P594" s="69">
        <f>P595</f>
        <v>0</v>
      </c>
      <c r="Q594" s="69">
        <f>Q595</f>
        <v>0</v>
      </c>
      <c r="R594" s="69">
        <f>R595</f>
        <v>0</v>
      </c>
      <c r="S594" s="69"/>
      <c r="T594" s="36"/>
      <c r="XDA594"/>
      <c r="XDB594"/>
      <c r="XDC594"/>
      <c r="XDD594"/>
      <c r="XDE594"/>
      <c r="XDF594"/>
      <c r="XDG594"/>
      <c r="XDH594"/>
      <c r="XDI594"/>
      <c r="XDJ594"/>
      <c r="XDK594"/>
      <c r="XDL594"/>
      <c r="XDM594"/>
      <c r="XDN594"/>
      <c r="XDO594"/>
      <c r="XDP594"/>
      <c r="XDQ594"/>
      <c r="XDR594"/>
      <c r="XDS594"/>
      <c r="XDT594"/>
      <c r="XDU594"/>
      <c r="XDV594"/>
      <c r="XDW594"/>
      <c r="XDX594"/>
      <c r="XDY594"/>
      <c r="XDZ594"/>
      <c r="XEA594"/>
      <c r="XEB594"/>
      <c r="XEC594"/>
      <c r="XED594"/>
      <c r="XEE594"/>
      <c r="XEF594"/>
      <c r="XEG594"/>
      <c r="XEH594"/>
      <c r="XEI594"/>
      <c r="XEJ594"/>
      <c r="XEK594"/>
      <c r="XEL594"/>
      <c r="XEM594"/>
      <c r="XEN594"/>
      <c r="XEO594"/>
      <c r="XEP594"/>
      <c r="XEQ594"/>
      <c r="XER594"/>
      <c r="XES594"/>
      <c r="XET594"/>
      <c r="XEU594"/>
      <c r="XEV594"/>
      <c r="XEW594"/>
      <c r="XEX594"/>
      <c r="XEY594"/>
      <c r="XEZ594"/>
      <c r="XFA594"/>
      <c r="XFB594"/>
      <c r="XFC594"/>
    </row>
    <row r="595" spans="1:20 16329:16383" s="38" customFormat="1" ht="29.1" customHeight="1" outlineLevel="6" x14ac:dyDescent="0.25">
      <c r="A595" s="49" t="s">
        <v>1197</v>
      </c>
      <c r="B595" s="50"/>
      <c r="C595" s="50"/>
      <c r="D595" s="3" t="s">
        <v>1169</v>
      </c>
      <c r="E595" s="3"/>
      <c r="F595" s="51" t="s">
        <v>1189</v>
      </c>
      <c r="G595" s="50" t="s">
        <v>102</v>
      </c>
      <c r="H595" s="52">
        <f>1</f>
        <v>1</v>
      </c>
      <c r="I595" s="36"/>
      <c r="J595" s="52">
        <v>1</v>
      </c>
      <c r="K595" s="53">
        <f>0</f>
        <v>0</v>
      </c>
      <c r="L595" s="53">
        <f>0</f>
        <v>0</v>
      </c>
      <c r="M595" s="53">
        <f>0</f>
        <v>0</v>
      </c>
      <c r="N595" s="54">
        <f>SUM(K595:M595)</f>
        <v>0</v>
      </c>
      <c r="O595" s="54">
        <f>ROUND((H595*K595),2)</f>
        <v>0</v>
      </c>
      <c r="P595" s="54">
        <f>ROUND((H595*L595),2)</f>
        <v>0</v>
      </c>
      <c r="Q595" s="54">
        <f>ROUND((H595*M595),2)</f>
        <v>0</v>
      </c>
      <c r="R595" s="54">
        <f>ROUND((H595*N595),2)</f>
        <v>0</v>
      </c>
      <c r="S595" s="54"/>
      <c r="T595" s="36"/>
      <c r="XDA595"/>
      <c r="XDB595"/>
      <c r="XDC595"/>
      <c r="XDD595"/>
      <c r="XDE595"/>
      <c r="XDF595"/>
      <c r="XDG595"/>
      <c r="XDH595"/>
      <c r="XDI595"/>
      <c r="XDJ595"/>
      <c r="XDK595"/>
      <c r="XDL595"/>
      <c r="XDM595"/>
      <c r="XDN595"/>
      <c r="XDO595"/>
      <c r="XDP595"/>
      <c r="XDQ595"/>
      <c r="XDR595"/>
      <c r="XDS595"/>
      <c r="XDT595"/>
      <c r="XDU595"/>
      <c r="XDV595"/>
      <c r="XDW595"/>
      <c r="XDX595"/>
      <c r="XDY595"/>
      <c r="XDZ595"/>
      <c r="XEA595"/>
      <c r="XEB595"/>
      <c r="XEC595"/>
      <c r="XED595"/>
      <c r="XEE595"/>
      <c r="XEF595"/>
      <c r="XEG595"/>
      <c r="XEH595"/>
      <c r="XEI595"/>
      <c r="XEJ595"/>
      <c r="XEK595"/>
      <c r="XEL595"/>
      <c r="XEM595"/>
      <c r="XEN595"/>
      <c r="XEO595"/>
      <c r="XEP595"/>
      <c r="XEQ595"/>
      <c r="XER595"/>
      <c r="XES595"/>
      <c r="XET595"/>
      <c r="XEU595"/>
      <c r="XEV595"/>
      <c r="XEW595"/>
      <c r="XEX595"/>
      <c r="XEY595"/>
      <c r="XEZ595"/>
      <c r="XFA595"/>
      <c r="XFB595"/>
      <c r="XFC595"/>
    </row>
    <row r="596" spans="1:20 16329:16383" s="38" customFormat="1" ht="29.1" customHeight="1" outlineLevel="5" x14ac:dyDescent="0.25">
      <c r="A596" s="65" t="s">
        <v>1198</v>
      </c>
      <c r="B596" s="66" t="s">
        <v>1199</v>
      </c>
      <c r="C596" s="66"/>
      <c r="D596" s="98" t="s">
        <v>1172</v>
      </c>
      <c r="E596" s="98"/>
      <c r="F596" s="67" t="s">
        <v>1173</v>
      </c>
      <c r="G596" s="66"/>
      <c r="H596" s="68"/>
      <c r="I596" s="36"/>
      <c r="J596" s="68"/>
      <c r="K596" s="69"/>
      <c r="L596" s="69"/>
      <c r="M596" s="69"/>
      <c r="N596" s="69"/>
      <c r="O596" s="69">
        <f>O597</f>
        <v>0</v>
      </c>
      <c r="P596" s="69">
        <f>P597</f>
        <v>0</v>
      </c>
      <c r="Q596" s="69">
        <f>Q597</f>
        <v>0</v>
      </c>
      <c r="R596" s="69">
        <f>R597</f>
        <v>0</v>
      </c>
      <c r="S596" s="69"/>
      <c r="T596" s="36"/>
      <c r="XDA596"/>
      <c r="XDB596"/>
      <c r="XDC596"/>
      <c r="XDD596"/>
      <c r="XDE596"/>
      <c r="XDF596"/>
      <c r="XDG596"/>
      <c r="XDH596"/>
      <c r="XDI596"/>
      <c r="XDJ596"/>
      <c r="XDK596"/>
      <c r="XDL596"/>
      <c r="XDM596"/>
      <c r="XDN596"/>
      <c r="XDO596"/>
      <c r="XDP596"/>
      <c r="XDQ596"/>
      <c r="XDR596"/>
      <c r="XDS596"/>
      <c r="XDT596"/>
      <c r="XDU596"/>
      <c r="XDV596"/>
      <c r="XDW596"/>
      <c r="XDX596"/>
      <c r="XDY596"/>
      <c r="XDZ596"/>
      <c r="XEA596"/>
      <c r="XEB596"/>
      <c r="XEC596"/>
      <c r="XED596"/>
      <c r="XEE596"/>
      <c r="XEF596"/>
      <c r="XEG596"/>
      <c r="XEH596"/>
      <c r="XEI596"/>
      <c r="XEJ596"/>
      <c r="XEK596"/>
      <c r="XEL596"/>
      <c r="XEM596"/>
      <c r="XEN596"/>
      <c r="XEO596"/>
      <c r="XEP596"/>
      <c r="XEQ596"/>
      <c r="XER596"/>
      <c r="XES596"/>
      <c r="XET596"/>
      <c r="XEU596"/>
      <c r="XEV596"/>
      <c r="XEW596"/>
      <c r="XEX596"/>
      <c r="XEY596"/>
      <c r="XEZ596"/>
      <c r="XFA596"/>
      <c r="XFB596"/>
      <c r="XFC596"/>
    </row>
    <row r="597" spans="1:20 16329:16383" s="38" customFormat="1" ht="29.1" customHeight="1" outlineLevel="6" x14ac:dyDescent="0.25">
      <c r="A597" s="49" t="s">
        <v>1200</v>
      </c>
      <c r="B597" s="50"/>
      <c r="C597" s="50"/>
      <c r="D597" s="3" t="s">
        <v>1175</v>
      </c>
      <c r="E597" s="3"/>
      <c r="F597" s="51" t="s">
        <v>1189</v>
      </c>
      <c r="G597" s="50" t="s">
        <v>102</v>
      </c>
      <c r="H597" s="52">
        <f>1</f>
        <v>1</v>
      </c>
      <c r="I597" s="36"/>
      <c r="J597" s="52">
        <v>1</v>
      </c>
      <c r="K597" s="53">
        <f>0</f>
        <v>0</v>
      </c>
      <c r="L597" s="53">
        <f>0</f>
        <v>0</v>
      </c>
      <c r="M597" s="53">
        <f>0</f>
        <v>0</v>
      </c>
      <c r="N597" s="54">
        <f>SUM(K597:M597)</f>
        <v>0</v>
      </c>
      <c r="O597" s="54">
        <f>ROUND((H597*K597),2)</f>
        <v>0</v>
      </c>
      <c r="P597" s="54">
        <f>ROUND((H597*L597),2)</f>
        <v>0</v>
      </c>
      <c r="Q597" s="54">
        <f>ROUND((H597*M597),2)</f>
        <v>0</v>
      </c>
      <c r="R597" s="54">
        <f>ROUND((H597*N597),2)</f>
        <v>0</v>
      </c>
      <c r="S597" s="54"/>
      <c r="T597" s="36"/>
      <c r="XDA597"/>
      <c r="XDB597"/>
      <c r="XDC597"/>
      <c r="XDD597"/>
      <c r="XDE597"/>
      <c r="XDF597"/>
      <c r="XDG597"/>
      <c r="XDH597"/>
      <c r="XDI597"/>
      <c r="XDJ597"/>
      <c r="XDK597"/>
      <c r="XDL597"/>
      <c r="XDM597"/>
      <c r="XDN597"/>
      <c r="XDO597"/>
      <c r="XDP597"/>
      <c r="XDQ597"/>
      <c r="XDR597"/>
      <c r="XDS597"/>
      <c r="XDT597"/>
      <c r="XDU597"/>
      <c r="XDV597"/>
      <c r="XDW597"/>
      <c r="XDX597"/>
      <c r="XDY597"/>
      <c r="XDZ597"/>
      <c r="XEA597"/>
      <c r="XEB597"/>
      <c r="XEC597"/>
      <c r="XED597"/>
      <c r="XEE597"/>
      <c r="XEF597"/>
      <c r="XEG597"/>
      <c r="XEH597"/>
      <c r="XEI597"/>
      <c r="XEJ597"/>
      <c r="XEK597"/>
      <c r="XEL597"/>
      <c r="XEM597"/>
      <c r="XEN597"/>
      <c r="XEO597"/>
      <c r="XEP597"/>
      <c r="XEQ597"/>
      <c r="XER597"/>
      <c r="XES597"/>
      <c r="XET597"/>
      <c r="XEU597"/>
      <c r="XEV597"/>
      <c r="XEW597"/>
      <c r="XEX597"/>
      <c r="XEY597"/>
      <c r="XEZ597"/>
      <c r="XFA597"/>
      <c r="XFB597"/>
      <c r="XFC597"/>
    </row>
    <row r="598" spans="1:20 16329:16383" s="38" customFormat="1" ht="29.1" customHeight="1" outlineLevel="5" x14ac:dyDescent="0.25">
      <c r="A598" s="65" t="s">
        <v>1201</v>
      </c>
      <c r="B598" s="66" t="s">
        <v>1202</v>
      </c>
      <c r="C598" s="66"/>
      <c r="D598" s="98" t="s">
        <v>1178</v>
      </c>
      <c r="E598" s="98"/>
      <c r="F598" s="67" t="s">
        <v>1179</v>
      </c>
      <c r="G598" s="66"/>
      <c r="H598" s="68"/>
      <c r="I598" s="36"/>
      <c r="J598" s="68"/>
      <c r="K598" s="69"/>
      <c r="L598" s="69"/>
      <c r="M598" s="69"/>
      <c r="N598" s="69"/>
      <c r="O598" s="69">
        <f>O599</f>
        <v>0</v>
      </c>
      <c r="P598" s="69">
        <f>P599</f>
        <v>0</v>
      </c>
      <c r="Q598" s="69">
        <f>Q599</f>
        <v>0</v>
      </c>
      <c r="R598" s="69">
        <f>R599</f>
        <v>0</v>
      </c>
      <c r="S598" s="69"/>
      <c r="T598" s="36"/>
      <c r="XDA598"/>
      <c r="XDB598"/>
      <c r="XDC598"/>
      <c r="XDD598"/>
      <c r="XDE598"/>
      <c r="XDF598"/>
      <c r="XDG598"/>
      <c r="XDH598"/>
      <c r="XDI598"/>
      <c r="XDJ598"/>
      <c r="XDK598"/>
      <c r="XDL598"/>
      <c r="XDM598"/>
      <c r="XDN598"/>
      <c r="XDO598"/>
      <c r="XDP598"/>
      <c r="XDQ598"/>
      <c r="XDR598"/>
      <c r="XDS598"/>
      <c r="XDT598"/>
      <c r="XDU598"/>
      <c r="XDV598"/>
      <c r="XDW598"/>
      <c r="XDX598"/>
      <c r="XDY598"/>
      <c r="XDZ598"/>
      <c r="XEA598"/>
      <c r="XEB598"/>
      <c r="XEC598"/>
      <c r="XED598"/>
      <c r="XEE598"/>
      <c r="XEF598"/>
      <c r="XEG598"/>
      <c r="XEH598"/>
      <c r="XEI598"/>
      <c r="XEJ598"/>
      <c r="XEK598"/>
      <c r="XEL598"/>
      <c r="XEM598"/>
      <c r="XEN598"/>
      <c r="XEO598"/>
      <c r="XEP598"/>
      <c r="XEQ598"/>
      <c r="XER598"/>
      <c r="XES598"/>
      <c r="XET598"/>
      <c r="XEU598"/>
      <c r="XEV598"/>
      <c r="XEW598"/>
      <c r="XEX598"/>
      <c r="XEY598"/>
      <c r="XEZ598"/>
      <c r="XFA598"/>
      <c r="XFB598"/>
      <c r="XFC598"/>
    </row>
    <row r="599" spans="1:20 16329:16383" s="38" customFormat="1" ht="29.1" customHeight="1" outlineLevel="6" x14ac:dyDescent="0.25">
      <c r="A599" s="49" t="s">
        <v>1203</v>
      </c>
      <c r="B599" s="50"/>
      <c r="C599" s="50"/>
      <c r="D599" s="3" t="s">
        <v>1181</v>
      </c>
      <c r="E599" s="3"/>
      <c r="F599" s="51" t="s">
        <v>1189</v>
      </c>
      <c r="G599" s="50" t="s">
        <v>102</v>
      </c>
      <c r="H599" s="52">
        <f>1</f>
        <v>1</v>
      </c>
      <c r="I599" s="36"/>
      <c r="J599" s="52">
        <v>1</v>
      </c>
      <c r="K599" s="53">
        <f>0</f>
        <v>0</v>
      </c>
      <c r="L599" s="53">
        <f>0</f>
        <v>0</v>
      </c>
      <c r="M599" s="53">
        <f>0</f>
        <v>0</v>
      </c>
      <c r="N599" s="54">
        <f>SUM(K599:M599)</f>
        <v>0</v>
      </c>
      <c r="O599" s="54">
        <f>ROUND((H599*K599),2)</f>
        <v>0</v>
      </c>
      <c r="P599" s="54">
        <f>ROUND((H599*L599),2)</f>
        <v>0</v>
      </c>
      <c r="Q599" s="54">
        <f>ROUND((H599*M599),2)</f>
        <v>0</v>
      </c>
      <c r="R599" s="54">
        <f>ROUND((H599*N599),2)</f>
        <v>0</v>
      </c>
      <c r="S599" s="54"/>
      <c r="T599" s="36"/>
      <c r="XDA599"/>
      <c r="XDB599"/>
      <c r="XDC599"/>
      <c r="XDD599"/>
      <c r="XDE599"/>
      <c r="XDF599"/>
      <c r="XDG599"/>
      <c r="XDH599"/>
      <c r="XDI599"/>
      <c r="XDJ599"/>
      <c r="XDK599"/>
      <c r="XDL599"/>
      <c r="XDM599"/>
      <c r="XDN599"/>
      <c r="XDO599"/>
      <c r="XDP599"/>
      <c r="XDQ599"/>
      <c r="XDR599"/>
      <c r="XDS599"/>
      <c r="XDT599"/>
      <c r="XDU599"/>
      <c r="XDV599"/>
      <c r="XDW599"/>
      <c r="XDX599"/>
      <c r="XDY599"/>
      <c r="XDZ599"/>
      <c r="XEA599"/>
      <c r="XEB599"/>
      <c r="XEC599"/>
      <c r="XED599"/>
      <c r="XEE599"/>
      <c r="XEF599"/>
      <c r="XEG599"/>
      <c r="XEH599"/>
      <c r="XEI599"/>
      <c r="XEJ599"/>
      <c r="XEK599"/>
      <c r="XEL599"/>
      <c r="XEM599"/>
      <c r="XEN599"/>
      <c r="XEO599"/>
      <c r="XEP599"/>
      <c r="XEQ599"/>
      <c r="XER599"/>
      <c r="XES599"/>
      <c r="XET599"/>
      <c r="XEU599"/>
      <c r="XEV599"/>
      <c r="XEW599"/>
      <c r="XEX599"/>
      <c r="XEY599"/>
      <c r="XEZ599"/>
      <c r="XFA599"/>
      <c r="XFB599"/>
      <c r="XFC599"/>
    </row>
    <row r="600" spans="1:20 16329:16383" s="38" customFormat="1" ht="29.1" customHeight="1" outlineLevel="3" x14ac:dyDescent="0.25">
      <c r="A600" s="55" t="s">
        <v>1204</v>
      </c>
      <c r="B600" s="56" t="s">
        <v>1205</v>
      </c>
      <c r="C600" s="56" t="s">
        <v>1206</v>
      </c>
      <c r="D600" s="2" t="s">
        <v>1207</v>
      </c>
      <c r="E600" s="2"/>
      <c r="F600" s="57"/>
      <c r="G600" s="56" t="s">
        <v>102</v>
      </c>
      <c r="H600" s="58"/>
      <c r="I600" s="36"/>
      <c r="J600" s="58"/>
      <c r="K600" s="59"/>
      <c r="L600" s="59"/>
      <c r="M600" s="59"/>
      <c r="N600" s="59"/>
      <c r="O600" s="59">
        <f>O601</f>
        <v>0</v>
      </c>
      <c r="P600" s="59">
        <f>P601</f>
        <v>0</v>
      </c>
      <c r="Q600" s="59">
        <f>Q601</f>
        <v>0</v>
      </c>
      <c r="R600" s="59">
        <f>R601</f>
        <v>0</v>
      </c>
      <c r="S600" s="59"/>
      <c r="T600" s="36"/>
      <c r="XDA600"/>
      <c r="XDB600"/>
      <c r="XDC600"/>
      <c r="XDD600"/>
      <c r="XDE600"/>
      <c r="XDF600"/>
      <c r="XDG600"/>
      <c r="XDH600"/>
      <c r="XDI600"/>
      <c r="XDJ600"/>
      <c r="XDK600"/>
      <c r="XDL600"/>
      <c r="XDM600"/>
      <c r="XDN600"/>
      <c r="XDO600"/>
      <c r="XDP600"/>
      <c r="XDQ600"/>
      <c r="XDR600"/>
      <c r="XDS600"/>
      <c r="XDT600"/>
      <c r="XDU600"/>
      <c r="XDV600"/>
      <c r="XDW600"/>
      <c r="XDX600"/>
      <c r="XDY600"/>
      <c r="XDZ600"/>
      <c r="XEA600"/>
      <c r="XEB600"/>
      <c r="XEC600"/>
      <c r="XED600"/>
      <c r="XEE600"/>
      <c r="XEF600"/>
      <c r="XEG600"/>
      <c r="XEH600"/>
      <c r="XEI600"/>
      <c r="XEJ600"/>
      <c r="XEK600"/>
      <c r="XEL600"/>
      <c r="XEM600"/>
      <c r="XEN600"/>
      <c r="XEO600"/>
      <c r="XEP600"/>
      <c r="XEQ600"/>
      <c r="XER600"/>
      <c r="XES600"/>
      <c r="XET600"/>
      <c r="XEU600"/>
      <c r="XEV600"/>
      <c r="XEW600"/>
      <c r="XEX600"/>
      <c r="XEY600"/>
      <c r="XEZ600"/>
      <c r="XFA600"/>
      <c r="XFB600"/>
      <c r="XFC600"/>
    </row>
    <row r="601" spans="1:20 16329:16383" s="38" customFormat="1" ht="29.1" customHeight="1" outlineLevel="4" x14ac:dyDescent="0.25">
      <c r="A601" s="60" t="s">
        <v>1208</v>
      </c>
      <c r="B601" s="61" t="s">
        <v>1209</v>
      </c>
      <c r="C601" s="61"/>
      <c r="D601" s="1" t="s">
        <v>745</v>
      </c>
      <c r="E601" s="1"/>
      <c r="F601" s="62"/>
      <c r="G601" s="61"/>
      <c r="H601" s="63"/>
      <c r="I601" s="36"/>
      <c r="J601" s="63"/>
      <c r="K601" s="64"/>
      <c r="L601" s="64"/>
      <c r="M601" s="64"/>
      <c r="N601" s="64"/>
      <c r="O601" s="64">
        <f>O602+O604+O606+O608+O610</f>
        <v>0</v>
      </c>
      <c r="P601" s="64">
        <f>P602+P604+P606+P608+P610</f>
        <v>0</v>
      </c>
      <c r="Q601" s="64">
        <f>Q602+Q604+Q606+Q608+Q610</f>
        <v>0</v>
      </c>
      <c r="R601" s="64">
        <f>R602+R604+R606+R608+R610</f>
        <v>0</v>
      </c>
      <c r="S601" s="64"/>
      <c r="T601" s="36"/>
      <c r="XDA601"/>
      <c r="XDB601"/>
      <c r="XDC601"/>
      <c r="XDD601"/>
      <c r="XDE601"/>
      <c r="XDF601"/>
      <c r="XDG601"/>
      <c r="XDH601"/>
      <c r="XDI601"/>
      <c r="XDJ601"/>
      <c r="XDK601"/>
      <c r="XDL601"/>
      <c r="XDM601"/>
      <c r="XDN601"/>
      <c r="XDO601"/>
      <c r="XDP601"/>
      <c r="XDQ601"/>
      <c r="XDR601"/>
      <c r="XDS601"/>
      <c r="XDT601"/>
      <c r="XDU601"/>
      <c r="XDV601"/>
      <c r="XDW601"/>
      <c r="XDX601"/>
      <c r="XDY601"/>
      <c r="XDZ601"/>
      <c r="XEA601"/>
      <c r="XEB601"/>
      <c r="XEC601"/>
      <c r="XED601"/>
      <c r="XEE601"/>
      <c r="XEF601"/>
      <c r="XEG601"/>
      <c r="XEH601"/>
      <c r="XEI601"/>
      <c r="XEJ601"/>
      <c r="XEK601"/>
      <c r="XEL601"/>
      <c r="XEM601"/>
      <c r="XEN601"/>
      <c r="XEO601"/>
      <c r="XEP601"/>
      <c r="XEQ601"/>
      <c r="XER601"/>
      <c r="XES601"/>
      <c r="XET601"/>
      <c r="XEU601"/>
      <c r="XEV601"/>
      <c r="XEW601"/>
      <c r="XEX601"/>
      <c r="XEY601"/>
      <c r="XEZ601"/>
      <c r="XFA601"/>
      <c r="XFB601"/>
      <c r="XFC601"/>
    </row>
    <row r="602" spans="1:20 16329:16383" s="38" customFormat="1" ht="29.1" customHeight="1" outlineLevel="5" x14ac:dyDescent="0.25">
      <c r="A602" s="65" t="s">
        <v>1210</v>
      </c>
      <c r="B602" s="66" t="s">
        <v>1211</v>
      </c>
      <c r="C602" s="66"/>
      <c r="D602" s="98" t="s">
        <v>1159</v>
      </c>
      <c r="E602" s="98"/>
      <c r="F602" s="67" t="s">
        <v>1160</v>
      </c>
      <c r="G602" s="66"/>
      <c r="H602" s="68"/>
      <c r="I602" s="36"/>
      <c r="J602" s="68"/>
      <c r="K602" s="69"/>
      <c r="L602" s="69"/>
      <c r="M602" s="69"/>
      <c r="N602" s="69"/>
      <c r="O602" s="69">
        <f>O603</f>
        <v>0</v>
      </c>
      <c r="P602" s="69">
        <f>P603</f>
        <v>0</v>
      </c>
      <c r="Q602" s="69">
        <f>Q603</f>
        <v>0</v>
      </c>
      <c r="R602" s="69">
        <f>R603</f>
        <v>0</v>
      </c>
      <c r="S602" s="69"/>
      <c r="T602" s="36"/>
      <c r="XDA602"/>
      <c r="XDB602"/>
      <c r="XDC602"/>
      <c r="XDD602"/>
      <c r="XDE602"/>
      <c r="XDF602"/>
      <c r="XDG602"/>
      <c r="XDH602"/>
      <c r="XDI602"/>
      <c r="XDJ602"/>
      <c r="XDK602"/>
      <c r="XDL602"/>
      <c r="XDM602"/>
      <c r="XDN602"/>
      <c r="XDO602"/>
      <c r="XDP602"/>
      <c r="XDQ602"/>
      <c r="XDR602"/>
      <c r="XDS602"/>
      <c r="XDT602"/>
      <c r="XDU602"/>
      <c r="XDV602"/>
      <c r="XDW602"/>
      <c r="XDX602"/>
      <c r="XDY602"/>
      <c r="XDZ602"/>
      <c r="XEA602"/>
      <c r="XEB602"/>
      <c r="XEC602"/>
      <c r="XED602"/>
      <c r="XEE602"/>
      <c r="XEF602"/>
      <c r="XEG602"/>
      <c r="XEH602"/>
      <c r="XEI602"/>
      <c r="XEJ602"/>
      <c r="XEK602"/>
      <c r="XEL602"/>
      <c r="XEM602"/>
      <c r="XEN602"/>
      <c r="XEO602"/>
      <c r="XEP602"/>
      <c r="XEQ602"/>
      <c r="XER602"/>
      <c r="XES602"/>
      <c r="XET602"/>
      <c r="XEU602"/>
      <c r="XEV602"/>
      <c r="XEW602"/>
      <c r="XEX602"/>
      <c r="XEY602"/>
      <c r="XEZ602"/>
      <c r="XFA602"/>
      <c r="XFB602"/>
      <c r="XFC602"/>
    </row>
    <row r="603" spans="1:20 16329:16383" s="38" customFormat="1" ht="29.1" customHeight="1" outlineLevel="6" x14ac:dyDescent="0.25">
      <c r="A603" s="49" t="s">
        <v>1212</v>
      </c>
      <c r="B603" s="50"/>
      <c r="C603" s="50"/>
      <c r="D603" s="3" t="s">
        <v>1162</v>
      </c>
      <c r="E603" s="3"/>
      <c r="F603" s="51" t="s">
        <v>1213</v>
      </c>
      <c r="G603" s="50" t="s">
        <v>102</v>
      </c>
      <c r="H603" s="52">
        <f>1</f>
        <v>1</v>
      </c>
      <c r="I603" s="36"/>
      <c r="J603" s="52">
        <v>1</v>
      </c>
      <c r="K603" s="53">
        <f>0</f>
        <v>0</v>
      </c>
      <c r="L603" s="53">
        <f>0</f>
        <v>0</v>
      </c>
      <c r="M603" s="53">
        <f>0</f>
        <v>0</v>
      </c>
      <c r="N603" s="54">
        <f>SUM(K603:M603)</f>
        <v>0</v>
      </c>
      <c r="O603" s="54">
        <f>ROUND((H603*K603),2)</f>
        <v>0</v>
      </c>
      <c r="P603" s="54">
        <f>ROUND((H603*L603),2)</f>
        <v>0</v>
      </c>
      <c r="Q603" s="54">
        <f>ROUND((H603*M603),2)</f>
        <v>0</v>
      </c>
      <c r="R603" s="54">
        <f>ROUND((H603*N603),2)</f>
        <v>0</v>
      </c>
      <c r="S603" s="54"/>
      <c r="T603" s="36"/>
      <c r="XDA603"/>
      <c r="XDB603"/>
      <c r="XDC603"/>
      <c r="XDD603"/>
      <c r="XDE603"/>
      <c r="XDF603"/>
      <c r="XDG603"/>
      <c r="XDH603"/>
      <c r="XDI603"/>
      <c r="XDJ603"/>
      <c r="XDK603"/>
      <c r="XDL603"/>
      <c r="XDM603"/>
      <c r="XDN603"/>
      <c r="XDO603"/>
      <c r="XDP603"/>
      <c r="XDQ603"/>
      <c r="XDR603"/>
      <c r="XDS603"/>
      <c r="XDT603"/>
      <c r="XDU603"/>
      <c r="XDV603"/>
      <c r="XDW603"/>
      <c r="XDX603"/>
      <c r="XDY603"/>
      <c r="XDZ603"/>
      <c r="XEA603"/>
      <c r="XEB603"/>
      <c r="XEC603"/>
      <c r="XED603"/>
      <c r="XEE603"/>
      <c r="XEF603"/>
      <c r="XEG603"/>
      <c r="XEH603"/>
      <c r="XEI603"/>
      <c r="XEJ603"/>
      <c r="XEK603"/>
      <c r="XEL603"/>
      <c r="XEM603"/>
      <c r="XEN603"/>
      <c r="XEO603"/>
      <c r="XEP603"/>
      <c r="XEQ603"/>
      <c r="XER603"/>
      <c r="XES603"/>
      <c r="XET603"/>
      <c r="XEU603"/>
      <c r="XEV603"/>
      <c r="XEW603"/>
      <c r="XEX603"/>
      <c r="XEY603"/>
      <c r="XEZ603"/>
      <c r="XFA603"/>
      <c r="XFB603"/>
      <c r="XFC603"/>
    </row>
    <row r="604" spans="1:20 16329:16383" s="38" customFormat="1" ht="29.1" customHeight="1" outlineLevel="5" x14ac:dyDescent="0.25">
      <c r="A604" s="65" t="s">
        <v>1214</v>
      </c>
      <c r="B604" s="66" t="s">
        <v>1215</v>
      </c>
      <c r="C604" s="66"/>
      <c r="D604" s="98" t="s">
        <v>1166</v>
      </c>
      <c r="E604" s="98"/>
      <c r="F604" s="67" t="s">
        <v>1167</v>
      </c>
      <c r="G604" s="66"/>
      <c r="H604" s="68"/>
      <c r="I604" s="36"/>
      <c r="J604" s="68"/>
      <c r="K604" s="69"/>
      <c r="L604" s="69"/>
      <c r="M604" s="69"/>
      <c r="N604" s="69"/>
      <c r="O604" s="69">
        <f>O605</f>
        <v>0</v>
      </c>
      <c r="P604" s="69">
        <f>P605</f>
        <v>0</v>
      </c>
      <c r="Q604" s="69">
        <f>Q605</f>
        <v>0</v>
      </c>
      <c r="R604" s="69">
        <f>R605</f>
        <v>0</v>
      </c>
      <c r="S604" s="69"/>
      <c r="T604" s="36"/>
      <c r="XDA604"/>
      <c r="XDB604"/>
      <c r="XDC604"/>
      <c r="XDD604"/>
      <c r="XDE604"/>
      <c r="XDF604"/>
      <c r="XDG604"/>
      <c r="XDH604"/>
      <c r="XDI604"/>
      <c r="XDJ604"/>
      <c r="XDK604"/>
      <c r="XDL604"/>
      <c r="XDM604"/>
      <c r="XDN604"/>
      <c r="XDO604"/>
      <c r="XDP604"/>
      <c r="XDQ604"/>
      <c r="XDR604"/>
      <c r="XDS604"/>
      <c r="XDT604"/>
      <c r="XDU604"/>
      <c r="XDV604"/>
      <c r="XDW604"/>
      <c r="XDX604"/>
      <c r="XDY604"/>
      <c r="XDZ604"/>
      <c r="XEA604"/>
      <c r="XEB604"/>
      <c r="XEC604"/>
      <c r="XED604"/>
      <c r="XEE604"/>
      <c r="XEF604"/>
      <c r="XEG604"/>
      <c r="XEH604"/>
      <c r="XEI604"/>
      <c r="XEJ604"/>
      <c r="XEK604"/>
      <c r="XEL604"/>
      <c r="XEM604"/>
      <c r="XEN604"/>
      <c r="XEO604"/>
      <c r="XEP604"/>
      <c r="XEQ604"/>
      <c r="XER604"/>
      <c r="XES604"/>
      <c r="XET604"/>
      <c r="XEU604"/>
      <c r="XEV604"/>
      <c r="XEW604"/>
      <c r="XEX604"/>
      <c r="XEY604"/>
      <c r="XEZ604"/>
      <c r="XFA604"/>
      <c r="XFB604"/>
      <c r="XFC604"/>
    </row>
    <row r="605" spans="1:20 16329:16383" s="38" customFormat="1" ht="29.1" customHeight="1" outlineLevel="6" x14ac:dyDescent="0.25">
      <c r="A605" s="49" t="s">
        <v>1216</v>
      </c>
      <c r="B605" s="50"/>
      <c r="C605" s="50"/>
      <c r="D605" s="3" t="s">
        <v>1169</v>
      </c>
      <c r="E605" s="3"/>
      <c r="F605" s="51" t="s">
        <v>1217</v>
      </c>
      <c r="G605" s="50" t="s">
        <v>102</v>
      </c>
      <c r="H605" s="52">
        <f>1</f>
        <v>1</v>
      </c>
      <c r="I605" s="36"/>
      <c r="J605" s="52">
        <v>1</v>
      </c>
      <c r="K605" s="53">
        <f>0</f>
        <v>0</v>
      </c>
      <c r="L605" s="53">
        <f>0</f>
        <v>0</v>
      </c>
      <c r="M605" s="53">
        <f>0</f>
        <v>0</v>
      </c>
      <c r="N605" s="54">
        <f>SUM(K605:M605)</f>
        <v>0</v>
      </c>
      <c r="O605" s="54">
        <f>ROUND((H605*K605),2)</f>
        <v>0</v>
      </c>
      <c r="P605" s="54">
        <f>ROUND((H605*L605),2)</f>
        <v>0</v>
      </c>
      <c r="Q605" s="54">
        <f>ROUND((H605*M605),2)</f>
        <v>0</v>
      </c>
      <c r="R605" s="54">
        <f>ROUND((H605*N605),2)</f>
        <v>0</v>
      </c>
      <c r="S605" s="54"/>
      <c r="T605" s="36"/>
      <c r="XDA605"/>
      <c r="XDB605"/>
      <c r="XDC605"/>
      <c r="XDD605"/>
      <c r="XDE605"/>
      <c r="XDF605"/>
      <c r="XDG605"/>
      <c r="XDH605"/>
      <c r="XDI605"/>
      <c r="XDJ605"/>
      <c r="XDK605"/>
      <c r="XDL605"/>
      <c r="XDM605"/>
      <c r="XDN605"/>
      <c r="XDO605"/>
      <c r="XDP605"/>
      <c r="XDQ605"/>
      <c r="XDR605"/>
      <c r="XDS605"/>
      <c r="XDT605"/>
      <c r="XDU605"/>
      <c r="XDV605"/>
      <c r="XDW605"/>
      <c r="XDX605"/>
      <c r="XDY605"/>
      <c r="XDZ605"/>
      <c r="XEA605"/>
      <c r="XEB605"/>
      <c r="XEC605"/>
      <c r="XED605"/>
      <c r="XEE605"/>
      <c r="XEF605"/>
      <c r="XEG605"/>
      <c r="XEH605"/>
      <c r="XEI605"/>
      <c r="XEJ605"/>
      <c r="XEK605"/>
      <c r="XEL605"/>
      <c r="XEM605"/>
      <c r="XEN605"/>
      <c r="XEO605"/>
      <c r="XEP605"/>
      <c r="XEQ605"/>
      <c r="XER605"/>
      <c r="XES605"/>
      <c r="XET605"/>
      <c r="XEU605"/>
      <c r="XEV605"/>
      <c r="XEW605"/>
      <c r="XEX605"/>
      <c r="XEY605"/>
      <c r="XEZ605"/>
      <c r="XFA605"/>
      <c r="XFB605"/>
      <c r="XFC605"/>
    </row>
    <row r="606" spans="1:20 16329:16383" s="38" customFormat="1" ht="29.1" customHeight="1" outlineLevel="5" x14ac:dyDescent="0.25">
      <c r="A606" s="65" t="s">
        <v>1218</v>
      </c>
      <c r="B606" s="66" t="s">
        <v>1219</v>
      </c>
      <c r="C606" s="66"/>
      <c r="D606" s="98" t="s">
        <v>1172</v>
      </c>
      <c r="E606" s="98"/>
      <c r="F606" s="67" t="s">
        <v>1173</v>
      </c>
      <c r="G606" s="66"/>
      <c r="H606" s="68"/>
      <c r="I606" s="36"/>
      <c r="J606" s="68"/>
      <c r="K606" s="69"/>
      <c r="L606" s="69"/>
      <c r="M606" s="69"/>
      <c r="N606" s="69"/>
      <c r="O606" s="69">
        <f>O607</f>
        <v>0</v>
      </c>
      <c r="P606" s="69">
        <f>P607</f>
        <v>0</v>
      </c>
      <c r="Q606" s="69">
        <f>Q607</f>
        <v>0</v>
      </c>
      <c r="R606" s="69">
        <f>R607</f>
        <v>0</v>
      </c>
      <c r="S606" s="69"/>
      <c r="T606" s="36"/>
      <c r="XDA606"/>
      <c r="XDB606"/>
      <c r="XDC606"/>
      <c r="XDD606"/>
      <c r="XDE606"/>
      <c r="XDF606"/>
      <c r="XDG606"/>
      <c r="XDH606"/>
      <c r="XDI606"/>
      <c r="XDJ606"/>
      <c r="XDK606"/>
      <c r="XDL606"/>
      <c r="XDM606"/>
      <c r="XDN606"/>
      <c r="XDO606"/>
      <c r="XDP606"/>
      <c r="XDQ606"/>
      <c r="XDR606"/>
      <c r="XDS606"/>
      <c r="XDT606"/>
      <c r="XDU606"/>
      <c r="XDV606"/>
      <c r="XDW606"/>
      <c r="XDX606"/>
      <c r="XDY606"/>
      <c r="XDZ606"/>
      <c r="XEA606"/>
      <c r="XEB606"/>
      <c r="XEC606"/>
      <c r="XED606"/>
      <c r="XEE606"/>
      <c r="XEF606"/>
      <c r="XEG606"/>
      <c r="XEH606"/>
      <c r="XEI606"/>
      <c r="XEJ606"/>
      <c r="XEK606"/>
      <c r="XEL606"/>
      <c r="XEM606"/>
      <c r="XEN606"/>
      <c r="XEO606"/>
      <c r="XEP606"/>
      <c r="XEQ606"/>
      <c r="XER606"/>
      <c r="XES606"/>
      <c r="XET606"/>
      <c r="XEU606"/>
      <c r="XEV606"/>
      <c r="XEW606"/>
      <c r="XEX606"/>
      <c r="XEY606"/>
      <c r="XEZ606"/>
      <c r="XFA606"/>
      <c r="XFB606"/>
      <c r="XFC606"/>
    </row>
    <row r="607" spans="1:20 16329:16383" s="38" customFormat="1" ht="29.1" customHeight="1" outlineLevel="6" x14ac:dyDescent="0.25">
      <c r="A607" s="49" t="s">
        <v>1220</v>
      </c>
      <c r="B607" s="50"/>
      <c r="C607" s="50"/>
      <c r="D607" s="3" t="s">
        <v>1175</v>
      </c>
      <c r="E607" s="3"/>
      <c r="F607" s="51" t="s">
        <v>1221</v>
      </c>
      <c r="G607" s="50" t="s">
        <v>194</v>
      </c>
      <c r="H607" s="52">
        <f>1</f>
        <v>1</v>
      </c>
      <c r="I607" s="36"/>
      <c r="J607" s="52">
        <v>1</v>
      </c>
      <c r="K607" s="53">
        <f>0</f>
        <v>0</v>
      </c>
      <c r="L607" s="53">
        <f>0</f>
        <v>0</v>
      </c>
      <c r="M607" s="53">
        <f>0</f>
        <v>0</v>
      </c>
      <c r="N607" s="54">
        <f>SUM(K607:M607)</f>
        <v>0</v>
      </c>
      <c r="O607" s="54">
        <f>ROUND((H607*K607),2)</f>
        <v>0</v>
      </c>
      <c r="P607" s="54">
        <f>ROUND((H607*L607),2)</f>
        <v>0</v>
      </c>
      <c r="Q607" s="54">
        <f>ROUND((H607*M607),2)</f>
        <v>0</v>
      </c>
      <c r="R607" s="54">
        <f>ROUND((H607*N607),2)</f>
        <v>0</v>
      </c>
      <c r="S607" s="54"/>
      <c r="T607" s="36"/>
      <c r="XDA607"/>
      <c r="XDB607"/>
      <c r="XDC607"/>
      <c r="XDD607"/>
      <c r="XDE607"/>
      <c r="XDF607"/>
      <c r="XDG607"/>
      <c r="XDH607"/>
      <c r="XDI607"/>
      <c r="XDJ607"/>
      <c r="XDK607"/>
      <c r="XDL607"/>
      <c r="XDM607"/>
      <c r="XDN607"/>
      <c r="XDO607"/>
      <c r="XDP607"/>
      <c r="XDQ607"/>
      <c r="XDR607"/>
      <c r="XDS607"/>
      <c r="XDT607"/>
      <c r="XDU607"/>
      <c r="XDV607"/>
      <c r="XDW607"/>
      <c r="XDX607"/>
      <c r="XDY607"/>
      <c r="XDZ607"/>
      <c r="XEA607"/>
      <c r="XEB607"/>
      <c r="XEC607"/>
      <c r="XED607"/>
      <c r="XEE607"/>
      <c r="XEF607"/>
      <c r="XEG607"/>
      <c r="XEH607"/>
      <c r="XEI607"/>
      <c r="XEJ607"/>
      <c r="XEK607"/>
      <c r="XEL607"/>
      <c r="XEM607"/>
      <c r="XEN607"/>
      <c r="XEO607"/>
      <c r="XEP607"/>
      <c r="XEQ607"/>
      <c r="XER607"/>
      <c r="XES607"/>
      <c r="XET607"/>
      <c r="XEU607"/>
      <c r="XEV607"/>
      <c r="XEW607"/>
      <c r="XEX607"/>
      <c r="XEY607"/>
      <c r="XEZ607"/>
      <c r="XFA607"/>
      <c r="XFB607"/>
      <c r="XFC607"/>
    </row>
    <row r="608" spans="1:20 16329:16383" s="38" customFormat="1" ht="29.1" customHeight="1" outlineLevel="5" x14ac:dyDescent="0.25">
      <c r="A608" s="65" t="s">
        <v>1222</v>
      </c>
      <c r="B608" s="66" t="s">
        <v>1223</v>
      </c>
      <c r="C608" s="66"/>
      <c r="D608" s="98" t="s">
        <v>1178</v>
      </c>
      <c r="E608" s="98"/>
      <c r="F608" s="67" t="s">
        <v>1179</v>
      </c>
      <c r="G608" s="66"/>
      <c r="H608" s="68"/>
      <c r="I608" s="36"/>
      <c r="J608" s="68"/>
      <c r="K608" s="69"/>
      <c r="L608" s="69"/>
      <c r="M608" s="69"/>
      <c r="N608" s="69"/>
      <c r="O608" s="69">
        <f>O609</f>
        <v>0</v>
      </c>
      <c r="P608" s="69">
        <f>P609</f>
        <v>0</v>
      </c>
      <c r="Q608" s="69">
        <f>Q609</f>
        <v>0</v>
      </c>
      <c r="R608" s="69">
        <f>R609</f>
        <v>0</v>
      </c>
      <c r="S608" s="69"/>
      <c r="T608" s="36"/>
      <c r="XDA608"/>
      <c r="XDB608"/>
      <c r="XDC608"/>
      <c r="XDD608"/>
      <c r="XDE608"/>
      <c r="XDF608"/>
      <c r="XDG608"/>
      <c r="XDH608"/>
      <c r="XDI608"/>
      <c r="XDJ608"/>
      <c r="XDK608"/>
      <c r="XDL608"/>
      <c r="XDM608"/>
      <c r="XDN608"/>
      <c r="XDO608"/>
      <c r="XDP608"/>
      <c r="XDQ608"/>
      <c r="XDR608"/>
      <c r="XDS608"/>
      <c r="XDT608"/>
      <c r="XDU608"/>
      <c r="XDV608"/>
      <c r="XDW608"/>
      <c r="XDX608"/>
      <c r="XDY608"/>
      <c r="XDZ608"/>
      <c r="XEA608"/>
      <c r="XEB608"/>
      <c r="XEC608"/>
      <c r="XED608"/>
      <c r="XEE608"/>
      <c r="XEF608"/>
      <c r="XEG608"/>
      <c r="XEH608"/>
      <c r="XEI608"/>
      <c r="XEJ608"/>
      <c r="XEK608"/>
      <c r="XEL608"/>
      <c r="XEM608"/>
      <c r="XEN608"/>
      <c r="XEO608"/>
      <c r="XEP608"/>
      <c r="XEQ608"/>
      <c r="XER608"/>
      <c r="XES608"/>
      <c r="XET608"/>
      <c r="XEU608"/>
      <c r="XEV608"/>
      <c r="XEW608"/>
      <c r="XEX608"/>
      <c r="XEY608"/>
      <c r="XEZ608"/>
      <c r="XFA608"/>
      <c r="XFB608"/>
      <c r="XFC608"/>
    </row>
    <row r="609" spans="1:20 16329:16383" s="38" customFormat="1" ht="29.1" customHeight="1" outlineLevel="6" x14ac:dyDescent="0.25">
      <c r="A609" s="49" t="s">
        <v>1224</v>
      </c>
      <c r="B609" s="50"/>
      <c r="C609" s="50"/>
      <c r="D609" s="3" t="s">
        <v>1181</v>
      </c>
      <c r="E609" s="3"/>
      <c r="F609" s="51" t="s">
        <v>1221</v>
      </c>
      <c r="G609" s="50" t="s">
        <v>194</v>
      </c>
      <c r="H609" s="52">
        <f>1</f>
        <v>1</v>
      </c>
      <c r="I609" s="36"/>
      <c r="J609" s="52">
        <v>1</v>
      </c>
      <c r="K609" s="53">
        <f>0</f>
        <v>0</v>
      </c>
      <c r="L609" s="53">
        <f>0</f>
        <v>0</v>
      </c>
      <c r="M609" s="53">
        <f>0</f>
        <v>0</v>
      </c>
      <c r="N609" s="54">
        <f>SUM(K609:M609)</f>
        <v>0</v>
      </c>
      <c r="O609" s="54">
        <f>ROUND((H609*K609),2)</f>
        <v>0</v>
      </c>
      <c r="P609" s="54">
        <f>ROUND((H609*L609),2)</f>
        <v>0</v>
      </c>
      <c r="Q609" s="54">
        <f>ROUND((H609*M609),2)</f>
        <v>0</v>
      </c>
      <c r="R609" s="54">
        <f>ROUND((H609*N609),2)</f>
        <v>0</v>
      </c>
      <c r="S609" s="54"/>
      <c r="T609" s="36"/>
      <c r="XDA609"/>
      <c r="XDB609"/>
      <c r="XDC609"/>
      <c r="XDD609"/>
      <c r="XDE609"/>
      <c r="XDF609"/>
      <c r="XDG609"/>
      <c r="XDH609"/>
      <c r="XDI609"/>
      <c r="XDJ609"/>
      <c r="XDK609"/>
      <c r="XDL609"/>
      <c r="XDM609"/>
      <c r="XDN609"/>
      <c r="XDO609"/>
      <c r="XDP609"/>
      <c r="XDQ609"/>
      <c r="XDR609"/>
      <c r="XDS609"/>
      <c r="XDT609"/>
      <c r="XDU609"/>
      <c r="XDV609"/>
      <c r="XDW609"/>
      <c r="XDX609"/>
      <c r="XDY609"/>
      <c r="XDZ609"/>
      <c r="XEA609"/>
      <c r="XEB609"/>
      <c r="XEC609"/>
      <c r="XED609"/>
      <c r="XEE609"/>
      <c r="XEF609"/>
      <c r="XEG609"/>
      <c r="XEH609"/>
      <c r="XEI609"/>
      <c r="XEJ609"/>
      <c r="XEK609"/>
      <c r="XEL609"/>
      <c r="XEM609"/>
      <c r="XEN609"/>
      <c r="XEO609"/>
      <c r="XEP609"/>
      <c r="XEQ609"/>
      <c r="XER609"/>
      <c r="XES609"/>
      <c r="XET609"/>
      <c r="XEU609"/>
      <c r="XEV609"/>
      <c r="XEW609"/>
      <c r="XEX609"/>
      <c r="XEY609"/>
      <c r="XEZ609"/>
      <c r="XFA609"/>
      <c r="XFB609"/>
      <c r="XFC609"/>
    </row>
    <row r="610" spans="1:20 16329:16383" s="38" customFormat="1" ht="29.1" customHeight="1" outlineLevel="5" x14ac:dyDescent="0.25">
      <c r="A610" s="65" t="s">
        <v>1225</v>
      </c>
      <c r="B610" s="66" t="s">
        <v>1226</v>
      </c>
      <c r="C610" s="66"/>
      <c r="D610" s="98" t="s">
        <v>782</v>
      </c>
      <c r="E610" s="98"/>
      <c r="F610" s="67" t="s">
        <v>783</v>
      </c>
      <c r="G610" s="66"/>
      <c r="H610" s="68"/>
      <c r="I610" s="36"/>
      <c r="J610" s="68"/>
      <c r="K610" s="69"/>
      <c r="L610" s="69"/>
      <c r="M610" s="69"/>
      <c r="N610" s="69"/>
      <c r="O610" s="69">
        <f>O611</f>
        <v>0</v>
      </c>
      <c r="P610" s="69">
        <f>P611</f>
        <v>0</v>
      </c>
      <c r="Q610" s="69">
        <f>Q611</f>
        <v>0</v>
      </c>
      <c r="R610" s="69">
        <f>R611</f>
        <v>0</v>
      </c>
      <c r="S610" s="69"/>
      <c r="T610" s="36"/>
      <c r="XDA610"/>
      <c r="XDB610"/>
      <c r="XDC610"/>
      <c r="XDD610"/>
      <c r="XDE610"/>
      <c r="XDF610"/>
      <c r="XDG610"/>
      <c r="XDH610"/>
      <c r="XDI610"/>
      <c r="XDJ610"/>
      <c r="XDK610"/>
      <c r="XDL610"/>
      <c r="XDM610"/>
      <c r="XDN610"/>
      <c r="XDO610"/>
      <c r="XDP610"/>
      <c r="XDQ610"/>
      <c r="XDR610"/>
      <c r="XDS610"/>
      <c r="XDT610"/>
      <c r="XDU610"/>
      <c r="XDV610"/>
      <c r="XDW610"/>
      <c r="XDX610"/>
      <c r="XDY610"/>
      <c r="XDZ610"/>
      <c r="XEA610"/>
      <c r="XEB610"/>
      <c r="XEC610"/>
      <c r="XED610"/>
      <c r="XEE610"/>
      <c r="XEF610"/>
      <c r="XEG610"/>
      <c r="XEH610"/>
      <c r="XEI610"/>
      <c r="XEJ610"/>
      <c r="XEK610"/>
      <c r="XEL610"/>
      <c r="XEM610"/>
      <c r="XEN610"/>
      <c r="XEO610"/>
      <c r="XEP610"/>
      <c r="XEQ610"/>
      <c r="XER610"/>
      <c r="XES610"/>
      <c r="XET610"/>
      <c r="XEU610"/>
      <c r="XEV610"/>
      <c r="XEW610"/>
      <c r="XEX610"/>
      <c r="XEY610"/>
      <c r="XEZ610"/>
      <c r="XFA610"/>
      <c r="XFB610"/>
      <c r="XFC610"/>
    </row>
    <row r="611" spans="1:20 16329:16383" s="38" customFormat="1" ht="29.1" customHeight="1" outlineLevel="6" x14ac:dyDescent="0.25">
      <c r="A611" s="49" t="s">
        <v>1227</v>
      </c>
      <c r="B611" s="50"/>
      <c r="C611" s="50"/>
      <c r="D611" s="3" t="s">
        <v>931</v>
      </c>
      <c r="E611" s="3"/>
      <c r="F611" s="51" t="s">
        <v>1185</v>
      </c>
      <c r="G611" s="50" t="s">
        <v>102</v>
      </c>
      <c r="H611" s="52">
        <f>1</f>
        <v>1</v>
      </c>
      <c r="I611" s="36"/>
      <c r="J611" s="52">
        <v>1</v>
      </c>
      <c r="K611" s="53">
        <f>0</f>
        <v>0</v>
      </c>
      <c r="L611" s="53">
        <f>0</f>
        <v>0</v>
      </c>
      <c r="M611" s="53">
        <f>0</f>
        <v>0</v>
      </c>
      <c r="N611" s="54">
        <f>SUM(K611:M611)</f>
        <v>0</v>
      </c>
      <c r="O611" s="54">
        <f>ROUND((H611*K611),2)</f>
        <v>0</v>
      </c>
      <c r="P611" s="54">
        <f>ROUND((H611*L611),2)</f>
        <v>0</v>
      </c>
      <c r="Q611" s="54">
        <f>ROUND((H611*M611),2)</f>
        <v>0</v>
      </c>
      <c r="R611" s="54">
        <f>ROUND((H611*N611),2)</f>
        <v>0</v>
      </c>
      <c r="S611" s="54"/>
      <c r="T611" s="36"/>
      <c r="XDA611"/>
      <c r="XDB611"/>
      <c r="XDC611"/>
      <c r="XDD611"/>
      <c r="XDE611"/>
      <c r="XDF611"/>
      <c r="XDG611"/>
      <c r="XDH611"/>
      <c r="XDI611"/>
      <c r="XDJ611"/>
      <c r="XDK611"/>
      <c r="XDL611"/>
      <c r="XDM611"/>
      <c r="XDN611"/>
      <c r="XDO611"/>
      <c r="XDP611"/>
      <c r="XDQ611"/>
      <c r="XDR611"/>
      <c r="XDS611"/>
      <c r="XDT611"/>
      <c r="XDU611"/>
      <c r="XDV611"/>
      <c r="XDW611"/>
      <c r="XDX611"/>
      <c r="XDY611"/>
      <c r="XDZ611"/>
      <c r="XEA611"/>
      <c r="XEB611"/>
      <c r="XEC611"/>
      <c r="XED611"/>
      <c r="XEE611"/>
      <c r="XEF611"/>
      <c r="XEG611"/>
      <c r="XEH611"/>
      <c r="XEI611"/>
      <c r="XEJ611"/>
      <c r="XEK611"/>
      <c r="XEL611"/>
      <c r="XEM611"/>
      <c r="XEN611"/>
      <c r="XEO611"/>
      <c r="XEP611"/>
      <c r="XEQ611"/>
      <c r="XER611"/>
      <c r="XES611"/>
      <c r="XET611"/>
      <c r="XEU611"/>
      <c r="XEV611"/>
      <c r="XEW611"/>
      <c r="XEX611"/>
      <c r="XEY611"/>
      <c r="XEZ611"/>
      <c r="XFA611"/>
      <c r="XFB611"/>
      <c r="XFC611"/>
    </row>
    <row r="612" spans="1:20 16329:16383" s="38" customFormat="1" ht="29.1" customHeight="1" outlineLevel="2" x14ac:dyDescent="0.25">
      <c r="A612" s="44" t="s">
        <v>1228</v>
      </c>
      <c r="B612" s="45" t="s">
        <v>1229</v>
      </c>
      <c r="C612" s="45" t="s">
        <v>1230</v>
      </c>
      <c r="D612" s="4" t="s">
        <v>1231</v>
      </c>
      <c r="E612" s="4"/>
      <c r="F612" s="46"/>
      <c r="G612" s="45" t="s">
        <v>102</v>
      </c>
      <c r="H612" s="47"/>
      <c r="I612" s="36"/>
      <c r="J612" s="47"/>
      <c r="K612" s="48"/>
      <c r="L612" s="48"/>
      <c r="M612" s="48"/>
      <c r="N612" s="48"/>
      <c r="O612" s="48">
        <f>O613+O649+O676</f>
        <v>0</v>
      </c>
      <c r="P612" s="48">
        <f>P613+P649+P676</f>
        <v>0</v>
      </c>
      <c r="Q612" s="48">
        <f>Q613+Q649+Q676</f>
        <v>0</v>
      </c>
      <c r="R612" s="48">
        <f>R613+R649+R676</f>
        <v>0</v>
      </c>
      <c r="S612" s="48"/>
      <c r="T612" s="36"/>
      <c r="XDA612"/>
      <c r="XDB612"/>
      <c r="XDC612"/>
      <c r="XDD612"/>
      <c r="XDE612"/>
      <c r="XDF612"/>
      <c r="XDG612"/>
      <c r="XDH612"/>
      <c r="XDI612"/>
      <c r="XDJ612"/>
      <c r="XDK612"/>
      <c r="XDL612"/>
      <c r="XDM612"/>
      <c r="XDN612"/>
      <c r="XDO612"/>
      <c r="XDP612"/>
      <c r="XDQ612"/>
      <c r="XDR612"/>
      <c r="XDS612"/>
      <c r="XDT612"/>
      <c r="XDU612"/>
      <c r="XDV612"/>
      <c r="XDW612"/>
      <c r="XDX612"/>
      <c r="XDY612"/>
      <c r="XDZ612"/>
      <c r="XEA612"/>
      <c r="XEB612"/>
      <c r="XEC612"/>
      <c r="XED612"/>
      <c r="XEE612"/>
      <c r="XEF612"/>
      <c r="XEG612"/>
      <c r="XEH612"/>
      <c r="XEI612"/>
      <c r="XEJ612"/>
      <c r="XEK612"/>
      <c r="XEL612"/>
      <c r="XEM612"/>
      <c r="XEN612"/>
      <c r="XEO612"/>
      <c r="XEP612"/>
      <c r="XEQ612"/>
      <c r="XER612"/>
      <c r="XES612"/>
      <c r="XET612"/>
      <c r="XEU612"/>
      <c r="XEV612"/>
      <c r="XEW612"/>
      <c r="XEX612"/>
      <c r="XEY612"/>
      <c r="XEZ612"/>
      <c r="XFA612"/>
      <c r="XFB612"/>
      <c r="XFC612"/>
    </row>
    <row r="613" spans="1:20 16329:16383" s="38" customFormat="1" ht="29.1" customHeight="1" outlineLevel="3" x14ac:dyDescent="0.25">
      <c r="A613" s="55" t="s">
        <v>1232</v>
      </c>
      <c r="B613" s="56" t="s">
        <v>1233</v>
      </c>
      <c r="C613" s="56" t="s">
        <v>1234</v>
      </c>
      <c r="D613" s="2" t="s">
        <v>1154</v>
      </c>
      <c r="E613" s="2"/>
      <c r="F613" s="57"/>
      <c r="G613" s="56" t="s">
        <v>102</v>
      </c>
      <c r="H613" s="58"/>
      <c r="I613" s="36"/>
      <c r="J613" s="58"/>
      <c r="K613" s="59"/>
      <c r="L613" s="59"/>
      <c r="M613" s="59"/>
      <c r="N613" s="59"/>
      <c r="O613" s="59">
        <f>O614+O623+O630+O640</f>
        <v>0</v>
      </c>
      <c r="P613" s="59">
        <f>P614+P623+P630+P640</f>
        <v>0</v>
      </c>
      <c r="Q613" s="59">
        <f>Q614+Q623+Q630+Q640</f>
        <v>0</v>
      </c>
      <c r="R613" s="59">
        <f>R614+R623+R630+R640</f>
        <v>0</v>
      </c>
      <c r="S613" s="59"/>
      <c r="T613" s="36"/>
      <c r="XDA613"/>
      <c r="XDB613"/>
      <c r="XDC613"/>
      <c r="XDD613"/>
      <c r="XDE613"/>
      <c r="XDF613"/>
      <c r="XDG613"/>
      <c r="XDH613"/>
      <c r="XDI613"/>
      <c r="XDJ613"/>
      <c r="XDK613"/>
      <c r="XDL613"/>
      <c r="XDM613"/>
      <c r="XDN613"/>
      <c r="XDO613"/>
      <c r="XDP613"/>
      <c r="XDQ613"/>
      <c r="XDR613"/>
      <c r="XDS613"/>
      <c r="XDT613"/>
      <c r="XDU613"/>
      <c r="XDV613"/>
      <c r="XDW613"/>
      <c r="XDX613"/>
      <c r="XDY613"/>
      <c r="XDZ613"/>
      <c r="XEA613"/>
      <c r="XEB613"/>
      <c r="XEC613"/>
      <c r="XED613"/>
      <c r="XEE613"/>
      <c r="XEF613"/>
      <c r="XEG613"/>
      <c r="XEH613"/>
      <c r="XEI613"/>
      <c r="XEJ613"/>
      <c r="XEK613"/>
      <c r="XEL613"/>
      <c r="XEM613"/>
      <c r="XEN613"/>
      <c r="XEO613"/>
      <c r="XEP613"/>
      <c r="XEQ613"/>
      <c r="XER613"/>
      <c r="XES613"/>
      <c r="XET613"/>
      <c r="XEU613"/>
      <c r="XEV613"/>
      <c r="XEW613"/>
      <c r="XEX613"/>
      <c r="XEY613"/>
      <c r="XEZ613"/>
      <c r="XFA613"/>
      <c r="XFB613"/>
      <c r="XFC613"/>
    </row>
    <row r="614" spans="1:20 16329:16383" s="38" customFormat="1" ht="29.1" customHeight="1" outlineLevel="4" x14ac:dyDescent="0.25">
      <c r="A614" s="60" t="s">
        <v>1235</v>
      </c>
      <c r="B614" s="61" t="s">
        <v>1236</v>
      </c>
      <c r="C614" s="61"/>
      <c r="D614" s="1" t="s">
        <v>857</v>
      </c>
      <c r="E614" s="1"/>
      <c r="F614" s="62"/>
      <c r="G614" s="61"/>
      <c r="H614" s="63"/>
      <c r="I614" s="36"/>
      <c r="J614" s="63"/>
      <c r="K614" s="64"/>
      <c r="L614" s="64"/>
      <c r="M614" s="64"/>
      <c r="N614" s="64"/>
      <c r="O614" s="64">
        <f>O615+O617+O619+O621</f>
        <v>0</v>
      </c>
      <c r="P614" s="64">
        <f>P615+P617+P619+P621</f>
        <v>0</v>
      </c>
      <c r="Q614" s="64">
        <f>Q615+Q617+Q619+Q621</f>
        <v>0</v>
      </c>
      <c r="R614" s="64">
        <f>R615+R617+R619+R621</f>
        <v>0</v>
      </c>
      <c r="S614" s="64"/>
      <c r="T614" s="36"/>
      <c r="XDA614"/>
      <c r="XDB614"/>
      <c r="XDC614"/>
      <c r="XDD614"/>
      <c r="XDE614"/>
      <c r="XDF614"/>
      <c r="XDG614"/>
      <c r="XDH614"/>
      <c r="XDI614"/>
      <c r="XDJ614"/>
      <c r="XDK614"/>
      <c r="XDL614"/>
      <c r="XDM614"/>
      <c r="XDN614"/>
      <c r="XDO614"/>
      <c r="XDP614"/>
      <c r="XDQ614"/>
      <c r="XDR614"/>
      <c r="XDS614"/>
      <c r="XDT614"/>
      <c r="XDU614"/>
      <c r="XDV614"/>
      <c r="XDW614"/>
      <c r="XDX614"/>
      <c r="XDY614"/>
      <c r="XDZ614"/>
      <c r="XEA614"/>
      <c r="XEB614"/>
      <c r="XEC614"/>
      <c r="XED614"/>
      <c r="XEE614"/>
      <c r="XEF614"/>
      <c r="XEG614"/>
      <c r="XEH614"/>
      <c r="XEI614"/>
      <c r="XEJ614"/>
      <c r="XEK614"/>
      <c r="XEL614"/>
      <c r="XEM614"/>
      <c r="XEN614"/>
      <c r="XEO614"/>
      <c r="XEP614"/>
      <c r="XEQ614"/>
      <c r="XER614"/>
      <c r="XES614"/>
      <c r="XET614"/>
      <c r="XEU614"/>
      <c r="XEV614"/>
      <c r="XEW614"/>
      <c r="XEX614"/>
      <c r="XEY614"/>
      <c r="XEZ614"/>
      <c r="XFA614"/>
      <c r="XFB614"/>
      <c r="XFC614"/>
    </row>
    <row r="615" spans="1:20 16329:16383" s="38" customFormat="1" ht="29.1" customHeight="1" outlineLevel="5" x14ac:dyDescent="0.25">
      <c r="A615" s="65" t="s">
        <v>1237</v>
      </c>
      <c r="B615" s="66" t="s">
        <v>1238</v>
      </c>
      <c r="C615" s="66"/>
      <c r="D615" s="98" t="s">
        <v>1239</v>
      </c>
      <c r="E615" s="98"/>
      <c r="F615" s="67" t="s">
        <v>1240</v>
      </c>
      <c r="G615" s="66"/>
      <c r="H615" s="68"/>
      <c r="I615" s="36"/>
      <c r="J615" s="68"/>
      <c r="K615" s="69"/>
      <c r="L615" s="69"/>
      <c r="M615" s="69"/>
      <c r="N615" s="69"/>
      <c r="O615" s="69">
        <f>O616</f>
        <v>0</v>
      </c>
      <c r="P615" s="69">
        <f>P616</f>
        <v>0</v>
      </c>
      <c r="Q615" s="69">
        <f>Q616</f>
        <v>0</v>
      </c>
      <c r="R615" s="69">
        <f>R616</f>
        <v>0</v>
      </c>
      <c r="S615" s="69"/>
      <c r="T615" s="36"/>
      <c r="XDA615"/>
      <c r="XDB615"/>
      <c r="XDC615"/>
      <c r="XDD615"/>
      <c r="XDE615"/>
      <c r="XDF615"/>
      <c r="XDG615"/>
      <c r="XDH615"/>
      <c r="XDI615"/>
      <c r="XDJ615"/>
      <c r="XDK615"/>
      <c r="XDL615"/>
      <c r="XDM615"/>
      <c r="XDN615"/>
      <c r="XDO615"/>
      <c r="XDP615"/>
      <c r="XDQ615"/>
      <c r="XDR615"/>
      <c r="XDS615"/>
      <c r="XDT615"/>
      <c r="XDU615"/>
      <c r="XDV615"/>
      <c r="XDW615"/>
      <c r="XDX615"/>
      <c r="XDY615"/>
      <c r="XDZ615"/>
      <c r="XEA615"/>
      <c r="XEB615"/>
      <c r="XEC615"/>
      <c r="XED615"/>
      <c r="XEE615"/>
      <c r="XEF615"/>
      <c r="XEG615"/>
      <c r="XEH615"/>
      <c r="XEI615"/>
      <c r="XEJ615"/>
      <c r="XEK615"/>
      <c r="XEL615"/>
      <c r="XEM615"/>
      <c r="XEN615"/>
      <c r="XEO615"/>
      <c r="XEP615"/>
      <c r="XEQ615"/>
      <c r="XER615"/>
      <c r="XES615"/>
      <c r="XET615"/>
      <c r="XEU615"/>
      <c r="XEV615"/>
      <c r="XEW615"/>
      <c r="XEX615"/>
      <c r="XEY615"/>
      <c r="XEZ615"/>
      <c r="XFA615"/>
      <c r="XFB615"/>
      <c r="XFC615"/>
    </row>
    <row r="616" spans="1:20 16329:16383" s="38" customFormat="1" ht="29.1" customHeight="1" outlineLevel="6" x14ac:dyDescent="0.25">
      <c r="A616" s="49" t="s">
        <v>1241</v>
      </c>
      <c r="B616" s="50"/>
      <c r="C616" s="50"/>
      <c r="D616" s="3" t="s">
        <v>1242</v>
      </c>
      <c r="E616" s="3"/>
      <c r="F616" s="51" t="s">
        <v>1163</v>
      </c>
      <c r="G616" s="50" t="s">
        <v>102</v>
      </c>
      <c r="H616" s="52">
        <f>1</f>
        <v>1</v>
      </c>
      <c r="I616" s="36"/>
      <c r="J616" s="52">
        <v>1</v>
      </c>
      <c r="K616" s="53">
        <f>0</f>
        <v>0</v>
      </c>
      <c r="L616" s="53">
        <f>0</f>
        <v>0</v>
      </c>
      <c r="M616" s="53">
        <f>0</f>
        <v>0</v>
      </c>
      <c r="N616" s="54">
        <f>SUM(K616:M616)</f>
        <v>0</v>
      </c>
      <c r="O616" s="54">
        <f>ROUND((H616*K616),2)</f>
        <v>0</v>
      </c>
      <c r="P616" s="54">
        <f>ROUND((H616*L616),2)</f>
        <v>0</v>
      </c>
      <c r="Q616" s="54">
        <f>ROUND((H616*M616),2)</f>
        <v>0</v>
      </c>
      <c r="R616" s="54">
        <f>ROUND((H616*N616),2)</f>
        <v>0</v>
      </c>
      <c r="S616" s="54"/>
      <c r="T616" s="36"/>
      <c r="XDA616"/>
      <c r="XDB616"/>
      <c r="XDC616"/>
      <c r="XDD616"/>
      <c r="XDE616"/>
      <c r="XDF616"/>
      <c r="XDG616"/>
      <c r="XDH616"/>
      <c r="XDI616"/>
      <c r="XDJ616"/>
      <c r="XDK616"/>
      <c r="XDL616"/>
      <c r="XDM616"/>
      <c r="XDN616"/>
      <c r="XDO616"/>
      <c r="XDP616"/>
      <c r="XDQ616"/>
      <c r="XDR616"/>
      <c r="XDS616"/>
      <c r="XDT616"/>
      <c r="XDU616"/>
      <c r="XDV616"/>
      <c r="XDW616"/>
      <c r="XDX616"/>
      <c r="XDY616"/>
      <c r="XDZ616"/>
      <c r="XEA616"/>
      <c r="XEB616"/>
      <c r="XEC616"/>
      <c r="XED616"/>
      <c r="XEE616"/>
      <c r="XEF616"/>
      <c r="XEG616"/>
      <c r="XEH616"/>
      <c r="XEI616"/>
      <c r="XEJ616"/>
      <c r="XEK616"/>
      <c r="XEL616"/>
      <c r="XEM616"/>
      <c r="XEN616"/>
      <c r="XEO616"/>
      <c r="XEP616"/>
      <c r="XEQ616"/>
      <c r="XER616"/>
      <c r="XES616"/>
      <c r="XET616"/>
      <c r="XEU616"/>
      <c r="XEV616"/>
      <c r="XEW616"/>
      <c r="XEX616"/>
      <c r="XEY616"/>
      <c r="XEZ616"/>
      <c r="XFA616"/>
      <c r="XFB616"/>
      <c r="XFC616"/>
    </row>
    <row r="617" spans="1:20 16329:16383" s="38" customFormat="1" ht="29.1" customHeight="1" outlineLevel="5" x14ac:dyDescent="0.25">
      <c r="A617" s="65" t="s">
        <v>1243</v>
      </c>
      <c r="B617" s="66" t="s">
        <v>1244</v>
      </c>
      <c r="C617" s="66"/>
      <c r="D617" s="98" t="s">
        <v>1172</v>
      </c>
      <c r="E617" s="98"/>
      <c r="F617" s="67" t="s">
        <v>1245</v>
      </c>
      <c r="G617" s="66"/>
      <c r="H617" s="68"/>
      <c r="I617" s="36"/>
      <c r="J617" s="68"/>
      <c r="K617" s="69"/>
      <c r="L617" s="69"/>
      <c r="M617" s="69"/>
      <c r="N617" s="69"/>
      <c r="O617" s="69">
        <f>O618</f>
        <v>0</v>
      </c>
      <c r="P617" s="69">
        <f>P618</f>
        <v>0</v>
      </c>
      <c r="Q617" s="69">
        <f>Q618</f>
        <v>0</v>
      </c>
      <c r="R617" s="69">
        <f>R618</f>
        <v>0</v>
      </c>
      <c r="S617" s="69"/>
      <c r="T617" s="36"/>
      <c r="XDA617"/>
      <c r="XDB617"/>
      <c r="XDC617"/>
      <c r="XDD617"/>
      <c r="XDE617"/>
      <c r="XDF617"/>
      <c r="XDG617"/>
      <c r="XDH617"/>
      <c r="XDI617"/>
      <c r="XDJ617"/>
      <c r="XDK617"/>
      <c r="XDL617"/>
      <c r="XDM617"/>
      <c r="XDN617"/>
      <c r="XDO617"/>
      <c r="XDP617"/>
      <c r="XDQ617"/>
      <c r="XDR617"/>
      <c r="XDS617"/>
      <c r="XDT617"/>
      <c r="XDU617"/>
      <c r="XDV617"/>
      <c r="XDW617"/>
      <c r="XDX617"/>
      <c r="XDY617"/>
      <c r="XDZ617"/>
      <c r="XEA617"/>
      <c r="XEB617"/>
      <c r="XEC617"/>
      <c r="XED617"/>
      <c r="XEE617"/>
      <c r="XEF617"/>
      <c r="XEG617"/>
      <c r="XEH617"/>
      <c r="XEI617"/>
      <c r="XEJ617"/>
      <c r="XEK617"/>
      <c r="XEL617"/>
      <c r="XEM617"/>
      <c r="XEN617"/>
      <c r="XEO617"/>
      <c r="XEP617"/>
      <c r="XEQ617"/>
      <c r="XER617"/>
      <c r="XES617"/>
      <c r="XET617"/>
      <c r="XEU617"/>
      <c r="XEV617"/>
      <c r="XEW617"/>
      <c r="XEX617"/>
      <c r="XEY617"/>
      <c r="XEZ617"/>
      <c r="XFA617"/>
      <c r="XFB617"/>
      <c r="XFC617"/>
    </row>
    <row r="618" spans="1:20 16329:16383" s="38" customFormat="1" ht="29.1" customHeight="1" outlineLevel="6" x14ac:dyDescent="0.25">
      <c r="A618" s="49" t="s">
        <v>1246</v>
      </c>
      <c r="B618" s="50"/>
      <c r="C618" s="50"/>
      <c r="D618" s="3" t="s">
        <v>1247</v>
      </c>
      <c r="E618" s="3"/>
      <c r="F618" s="51" t="s">
        <v>1163</v>
      </c>
      <c r="G618" s="50" t="s">
        <v>102</v>
      </c>
      <c r="H618" s="52">
        <f>1</f>
        <v>1</v>
      </c>
      <c r="I618" s="36"/>
      <c r="J618" s="52">
        <v>1</v>
      </c>
      <c r="K618" s="53">
        <f>0</f>
        <v>0</v>
      </c>
      <c r="L618" s="53">
        <f>0</f>
        <v>0</v>
      </c>
      <c r="M618" s="53">
        <f>0</f>
        <v>0</v>
      </c>
      <c r="N618" s="54">
        <f>SUM(K618:M618)</f>
        <v>0</v>
      </c>
      <c r="O618" s="54">
        <f>ROUND((H618*K618),2)</f>
        <v>0</v>
      </c>
      <c r="P618" s="54">
        <f>ROUND((H618*L618),2)</f>
        <v>0</v>
      </c>
      <c r="Q618" s="54">
        <f>ROUND((H618*M618),2)</f>
        <v>0</v>
      </c>
      <c r="R618" s="54">
        <f>ROUND((H618*N618),2)</f>
        <v>0</v>
      </c>
      <c r="S618" s="54"/>
      <c r="T618" s="36"/>
      <c r="XDA618"/>
      <c r="XDB618"/>
      <c r="XDC618"/>
      <c r="XDD618"/>
      <c r="XDE618"/>
      <c r="XDF618"/>
      <c r="XDG618"/>
      <c r="XDH618"/>
      <c r="XDI618"/>
      <c r="XDJ618"/>
      <c r="XDK618"/>
      <c r="XDL618"/>
      <c r="XDM618"/>
      <c r="XDN618"/>
      <c r="XDO618"/>
      <c r="XDP618"/>
      <c r="XDQ618"/>
      <c r="XDR618"/>
      <c r="XDS618"/>
      <c r="XDT618"/>
      <c r="XDU618"/>
      <c r="XDV618"/>
      <c r="XDW618"/>
      <c r="XDX618"/>
      <c r="XDY618"/>
      <c r="XDZ618"/>
      <c r="XEA618"/>
      <c r="XEB618"/>
      <c r="XEC618"/>
      <c r="XED618"/>
      <c r="XEE618"/>
      <c r="XEF618"/>
      <c r="XEG618"/>
      <c r="XEH618"/>
      <c r="XEI618"/>
      <c r="XEJ618"/>
      <c r="XEK618"/>
      <c r="XEL618"/>
      <c r="XEM618"/>
      <c r="XEN618"/>
      <c r="XEO618"/>
      <c r="XEP618"/>
      <c r="XEQ618"/>
      <c r="XER618"/>
      <c r="XES618"/>
      <c r="XET618"/>
      <c r="XEU618"/>
      <c r="XEV618"/>
      <c r="XEW618"/>
      <c r="XEX618"/>
      <c r="XEY618"/>
      <c r="XEZ618"/>
      <c r="XFA618"/>
      <c r="XFB618"/>
      <c r="XFC618"/>
    </row>
    <row r="619" spans="1:20 16329:16383" s="38" customFormat="1" ht="29.1" customHeight="1" outlineLevel="5" x14ac:dyDescent="0.25">
      <c r="A619" s="65" t="s">
        <v>1248</v>
      </c>
      <c r="B619" s="66" t="s">
        <v>1249</v>
      </c>
      <c r="C619" s="66"/>
      <c r="D619" s="98" t="s">
        <v>1250</v>
      </c>
      <c r="E619" s="98"/>
      <c r="F619" s="67" t="s">
        <v>1251</v>
      </c>
      <c r="G619" s="66"/>
      <c r="H619" s="68"/>
      <c r="I619" s="36"/>
      <c r="J619" s="68"/>
      <c r="K619" s="69"/>
      <c r="L619" s="69"/>
      <c r="M619" s="69"/>
      <c r="N619" s="69"/>
      <c r="O619" s="69">
        <f>O620</f>
        <v>0</v>
      </c>
      <c r="P619" s="69">
        <f>P620</f>
        <v>0</v>
      </c>
      <c r="Q619" s="69">
        <f>Q620</f>
        <v>0</v>
      </c>
      <c r="R619" s="69">
        <f>R620</f>
        <v>0</v>
      </c>
      <c r="S619" s="69"/>
      <c r="T619" s="36"/>
      <c r="XDA619"/>
      <c r="XDB619"/>
      <c r="XDC619"/>
      <c r="XDD619"/>
      <c r="XDE619"/>
      <c r="XDF619"/>
      <c r="XDG619"/>
      <c r="XDH619"/>
      <c r="XDI619"/>
      <c r="XDJ619"/>
      <c r="XDK619"/>
      <c r="XDL619"/>
      <c r="XDM619"/>
      <c r="XDN619"/>
      <c r="XDO619"/>
      <c r="XDP619"/>
      <c r="XDQ619"/>
      <c r="XDR619"/>
      <c r="XDS619"/>
      <c r="XDT619"/>
      <c r="XDU619"/>
      <c r="XDV619"/>
      <c r="XDW619"/>
      <c r="XDX619"/>
      <c r="XDY619"/>
      <c r="XDZ619"/>
      <c r="XEA619"/>
      <c r="XEB619"/>
      <c r="XEC619"/>
      <c r="XED619"/>
      <c r="XEE619"/>
      <c r="XEF619"/>
      <c r="XEG619"/>
      <c r="XEH619"/>
      <c r="XEI619"/>
      <c r="XEJ619"/>
      <c r="XEK619"/>
      <c r="XEL619"/>
      <c r="XEM619"/>
      <c r="XEN619"/>
      <c r="XEO619"/>
      <c r="XEP619"/>
      <c r="XEQ619"/>
      <c r="XER619"/>
      <c r="XES619"/>
      <c r="XET619"/>
      <c r="XEU619"/>
      <c r="XEV619"/>
      <c r="XEW619"/>
      <c r="XEX619"/>
      <c r="XEY619"/>
      <c r="XEZ619"/>
      <c r="XFA619"/>
      <c r="XFB619"/>
      <c r="XFC619"/>
    </row>
    <row r="620" spans="1:20 16329:16383" s="38" customFormat="1" ht="29.1" customHeight="1" outlineLevel="6" x14ac:dyDescent="0.25">
      <c r="A620" s="49" t="s">
        <v>1252</v>
      </c>
      <c r="B620" s="50"/>
      <c r="C620" s="50"/>
      <c r="D620" s="3" t="s">
        <v>1253</v>
      </c>
      <c r="E620" s="3"/>
      <c r="F620" s="51" t="s">
        <v>1163</v>
      </c>
      <c r="G620" s="50" t="s">
        <v>102</v>
      </c>
      <c r="H620" s="52">
        <f>1</f>
        <v>1</v>
      </c>
      <c r="I620" s="36"/>
      <c r="J620" s="52">
        <v>1</v>
      </c>
      <c r="K620" s="53">
        <f>0</f>
        <v>0</v>
      </c>
      <c r="L620" s="53">
        <f>0</f>
        <v>0</v>
      </c>
      <c r="M620" s="53">
        <f>0</f>
        <v>0</v>
      </c>
      <c r="N620" s="54">
        <f>SUM(K620:M620)</f>
        <v>0</v>
      </c>
      <c r="O620" s="54">
        <f>ROUND((H620*K620),2)</f>
        <v>0</v>
      </c>
      <c r="P620" s="54">
        <f>ROUND((H620*L620),2)</f>
        <v>0</v>
      </c>
      <c r="Q620" s="54">
        <f>ROUND((H620*M620),2)</f>
        <v>0</v>
      </c>
      <c r="R620" s="54">
        <f>ROUND((H620*N620),2)</f>
        <v>0</v>
      </c>
      <c r="S620" s="54"/>
      <c r="T620" s="36"/>
      <c r="XDA620"/>
      <c r="XDB620"/>
      <c r="XDC620"/>
      <c r="XDD620"/>
      <c r="XDE620"/>
      <c r="XDF620"/>
      <c r="XDG620"/>
      <c r="XDH620"/>
      <c r="XDI620"/>
      <c r="XDJ620"/>
      <c r="XDK620"/>
      <c r="XDL620"/>
      <c r="XDM620"/>
      <c r="XDN620"/>
      <c r="XDO620"/>
      <c r="XDP620"/>
      <c r="XDQ620"/>
      <c r="XDR620"/>
      <c r="XDS620"/>
      <c r="XDT620"/>
      <c r="XDU620"/>
      <c r="XDV620"/>
      <c r="XDW620"/>
      <c r="XDX620"/>
      <c r="XDY620"/>
      <c r="XDZ620"/>
      <c r="XEA620"/>
      <c r="XEB620"/>
      <c r="XEC620"/>
      <c r="XED620"/>
      <c r="XEE620"/>
      <c r="XEF620"/>
      <c r="XEG620"/>
      <c r="XEH620"/>
      <c r="XEI620"/>
      <c r="XEJ620"/>
      <c r="XEK620"/>
      <c r="XEL620"/>
      <c r="XEM620"/>
      <c r="XEN620"/>
      <c r="XEO620"/>
      <c r="XEP620"/>
      <c r="XEQ620"/>
      <c r="XER620"/>
      <c r="XES620"/>
      <c r="XET620"/>
      <c r="XEU620"/>
      <c r="XEV620"/>
      <c r="XEW620"/>
      <c r="XEX620"/>
      <c r="XEY620"/>
      <c r="XEZ620"/>
      <c r="XFA620"/>
      <c r="XFB620"/>
      <c r="XFC620"/>
    </row>
    <row r="621" spans="1:20 16329:16383" s="38" customFormat="1" ht="29.1" customHeight="1" outlineLevel="5" x14ac:dyDescent="0.25">
      <c r="A621" s="65" t="s">
        <v>1254</v>
      </c>
      <c r="B621" s="66" t="s">
        <v>1255</v>
      </c>
      <c r="C621" s="66"/>
      <c r="D621" s="98" t="s">
        <v>891</v>
      </c>
      <c r="E621" s="98"/>
      <c r="F621" s="67" t="s">
        <v>892</v>
      </c>
      <c r="G621" s="66"/>
      <c r="H621" s="68"/>
      <c r="I621" s="36"/>
      <c r="J621" s="68"/>
      <c r="K621" s="69"/>
      <c r="L621" s="69"/>
      <c r="M621" s="69"/>
      <c r="N621" s="69"/>
      <c r="O621" s="69">
        <f>O622</f>
        <v>0</v>
      </c>
      <c r="P621" s="69">
        <f>P622</f>
        <v>0</v>
      </c>
      <c r="Q621" s="69">
        <f>Q622</f>
        <v>0</v>
      </c>
      <c r="R621" s="69">
        <f>R622</f>
        <v>0</v>
      </c>
      <c r="S621" s="69"/>
      <c r="T621" s="36"/>
      <c r="XDA621"/>
      <c r="XDB621"/>
      <c r="XDC621"/>
      <c r="XDD621"/>
      <c r="XDE621"/>
      <c r="XDF621"/>
      <c r="XDG621"/>
      <c r="XDH621"/>
      <c r="XDI621"/>
      <c r="XDJ621"/>
      <c r="XDK621"/>
      <c r="XDL621"/>
      <c r="XDM621"/>
      <c r="XDN621"/>
      <c r="XDO621"/>
      <c r="XDP621"/>
      <c r="XDQ621"/>
      <c r="XDR621"/>
      <c r="XDS621"/>
      <c r="XDT621"/>
      <c r="XDU621"/>
      <c r="XDV621"/>
      <c r="XDW621"/>
      <c r="XDX621"/>
      <c r="XDY621"/>
      <c r="XDZ621"/>
      <c r="XEA621"/>
      <c r="XEB621"/>
      <c r="XEC621"/>
      <c r="XED621"/>
      <c r="XEE621"/>
      <c r="XEF621"/>
      <c r="XEG621"/>
      <c r="XEH621"/>
      <c r="XEI621"/>
      <c r="XEJ621"/>
      <c r="XEK621"/>
      <c r="XEL621"/>
      <c r="XEM621"/>
      <c r="XEN621"/>
      <c r="XEO621"/>
      <c r="XEP621"/>
      <c r="XEQ621"/>
      <c r="XER621"/>
      <c r="XES621"/>
      <c r="XET621"/>
      <c r="XEU621"/>
      <c r="XEV621"/>
      <c r="XEW621"/>
      <c r="XEX621"/>
      <c r="XEY621"/>
      <c r="XEZ621"/>
      <c r="XFA621"/>
      <c r="XFB621"/>
      <c r="XFC621"/>
    </row>
    <row r="622" spans="1:20 16329:16383" s="38" customFormat="1" ht="29.1" customHeight="1" outlineLevel="6" x14ac:dyDescent="0.25">
      <c r="A622" s="49" t="s">
        <v>1256</v>
      </c>
      <c r="B622" s="50"/>
      <c r="C622" s="50"/>
      <c r="D622" s="3" t="s">
        <v>931</v>
      </c>
      <c r="E622" s="3"/>
      <c r="F622" s="51" t="s">
        <v>1163</v>
      </c>
      <c r="G622" s="50" t="s">
        <v>102</v>
      </c>
      <c r="H622" s="52">
        <f>1</f>
        <v>1</v>
      </c>
      <c r="I622" s="36"/>
      <c r="J622" s="52">
        <v>1</v>
      </c>
      <c r="K622" s="53">
        <f>0</f>
        <v>0</v>
      </c>
      <c r="L622" s="53">
        <f>0</f>
        <v>0</v>
      </c>
      <c r="M622" s="53">
        <f>0</f>
        <v>0</v>
      </c>
      <c r="N622" s="54">
        <f>SUM(K622:M622)</f>
        <v>0</v>
      </c>
      <c r="O622" s="54">
        <f>ROUND((H622*K622),2)</f>
        <v>0</v>
      </c>
      <c r="P622" s="54">
        <f>ROUND((H622*L622),2)</f>
        <v>0</v>
      </c>
      <c r="Q622" s="54">
        <f>ROUND((H622*M622),2)</f>
        <v>0</v>
      </c>
      <c r="R622" s="54">
        <f>ROUND((H622*N622),2)</f>
        <v>0</v>
      </c>
      <c r="S622" s="54"/>
      <c r="T622" s="36"/>
      <c r="XDA622"/>
      <c r="XDB622"/>
      <c r="XDC622"/>
      <c r="XDD622"/>
      <c r="XDE622"/>
      <c r="XDF622"/>
      <c r="XDG622"/>
      <c r="XDH622"/>
      <c r="XDI622"/>
      <c r="XDJ622"/>
      <c r="XDK622"/>
      <c r="XDL622"/>
      <c r="XDM622"/>
      <c r="XDN622"/>
      <c r="XDO622"/>
      <c r="XDP622"/>
      <c r="XDQ622"/>
      <c r="XDR622"/>
      <c r="XDS622"/>
      <c r="XDT622"/>
      <c r="XDU622"/>
      <c r="XDV622"/>
      <c r="XDW622"/>
      <c r="XDX622"/>
      <c r="XDY622"/>
      <c r="XDZ622"/>
      <c r="XEA622"/>
      <c r="XEB622"/>
      <c r="XEC622"/>
      <c r="XED622"/>
      <c r="XEE622"/>
      <c r="XEF622"/>
      <c r="XEG622"/>
      <c r="XEH622"/>
      <c r="XEI622"/>
      <c r="XEJ622"/>
      <c r="XEK622"/>
      <c r="XEL622"/>
      <c r="XEM622"/>
      <c r="XEN622"/>
      <c r="XEO622"/>
      <c r="XEP622"/>
      <c r="XEQ622"/>
      <c r="XER622"/>
      <c r="XES622"/>
      <c r="XET622"/>
      <c r="XEU622"/>
      <c r="XEV622"/>
      <c r="XEW622"/>
      <c r="XEX622"/>
      <c r="XEY622"/>
      <c r="XEZ622"/>
      <c r="XFA622"/>
      <c r="XFB622"/>
      <c r="XFC622"/>
    </row>
    <row r="623" spans="1:20 16329:16383" s="38" customFormat="1" ht="29.1" customHeight="1" outlineLevel="4" x14ac:dyDescent="0.25">
      <c r="A623" s="60" t="s">
        <v>1257</v>
      </c>
      <c r="B623" s="61" t="s">
        <v>1258</v>
      </c>
      <c r="C623" s="61"/>
      <c r="D623" s="1" t="s">
        <v>902</v>
      </c>
      <c r="E623" s="1"/>
      <c r="F623" s="62"/>
      <c r="G623" s="61"/>
      <c r="H623" s="63"/>
      <c r="I623" s="36"/>
      <c r="J623" s="63"/>
      <c r="K623" s="64"/>
      <c r="L623" s="64"/>
      <c r="M623" s="64"/>
      <c r="N623" s="64"/>
      <c r="O623" s="64">
        <f>O624+O626+O628</f>
        <v>0</v>
      </c>
      <c r="P623" s="64">
        <f>P624+P626+P628</f>
        <v>0</v>
      </c>
      <c r="Q623" s="64">
        <f>Q624+Q626+Q628</f>
        <v>0</v>
      </c>
      <c r="R623" s="64">
        <f>R624+R626+R628</f>
        <v>0</v>
      </c>
      <c r="S623" s="64"/>
      <c r="T623" s="36"/>
      <c r="XDA623"/>
      <c r="XDB623"/>
      <c r="XDC623"/>
      <c r="XDD623"/>
      <c r="XDE623"/>
      <c r="XDF623"/>
      <c r="XDG623"/>
      <c r="XDH623"/>
      <c r="XDI623"/>
      <c r="XDJ623"/>
      <c r="XDK623"/>
      <c r="XDL623"/>
      <c r="XDM623"/>
      <c r="XDN623"/>
      <c r="XDO623"/>
      <c r="XDP623"/>
      <c r="XDQ623"/>
      <c r="XDR623"/>
      <c r="XDS623"/>
      <c r="XDT623"/>
      <c r="XDU623"/>
      <c r="XDV623"/>
      <c r="XDW623"/>
      <c r="XDX623"/>
      <c r="XDY623"/>
      <c r="XDZ623"/>
      <c r="XEA623"/>
      <c r="XEB623"/>
      <c r="XEC623"/>
      <c r="XED623"/>
      <c r="XEE623"/>
      <c r="XEF623"/>
      <c r="XEG623"/>
      <c r="XEH623"/>
      <c r="XEI623"/>
      <c r="XEJ623"/>
      <c r="XEK623"/>
      <c r="XEL623"/>
      <c r="XEM623"/>
      <c r="XEN623"/>
      <c r="XEO623"/>
      <c r="XEP623"/>
      <c r="XEQ623"/>
      <c r="XER623"/>
      <c r="XES623"/>
      <c r="XET623"/>
      <c r="XEU623"/>
      <c r="XEV623"/>
      <c r="XEW623"/>
      <c r="XEX623"/>
      <c r="XEY623"/>
      <c r="XEZ623"/>
      <c r="XFA623"/>
      <c r="XFB623"/>
      <c r="XFC623"/>
    </row>
    <row r="624" spans="1:20 16329:16383" s="38" customFormat="1" ht="29.1" customHeight="1" outlineLevel="5" x14ac:dyDescent="0.25">
      <c r="A624" s="65" t="s">
        <v>1259</v>
      </c>
      <c r="B624" s="66" t="s">
        <v>1260</v>
      </c>
      <c r="C624" s="66"/>
      <c r="D624" s="98" t="s">
        <v>1239</v>
      </c>
      <c r="E624" s="98"/>
      <c r="F624" s="67" t="s">
        <v>1261</v>
      </c>
      <c r="G624" s="66"/>
      <c r="H624" s="68"/>
      <c r="I624" s="36"/>
      <c r="J624" s="68"/>
      <c r="K624" s="69"/>
      <c r="L624" s="69"/>
      <c r="M624" s="69"/>
      <c r="N624" s="69"/>
      <c r="O624" s="69">
        <f>O625</f>
        <v>0</v>
      </c>
      <c r="P624" s="69">
        <f>P625</f>
        <v>0</v>
      </c>
      <c r="Q624" s="69">
        <f>Q625</f>
        <v>0</v>
      </c>
      <c r="R624" s="69">
        <f>R625</f>
        <v>0</v>
      </c>
      <c r="S624" s="69"/>
      <c r="T624" s="36"/>
      <c r="XDA624"/>
      <c r="XDB624"/>
      <c r="XDC624"/>
      <c r="XDD624"/>
      <c r="XDE624"/>
      <c r="XDF624"/>
      <c r="XDG624"/>
      <c r="XDH624"/>
      <c r="XDI624"/>
      <c r="XDJ624"/>
      <c r="XDK624"/>
      <c r="XDL624"/>
      <c r="XDM624"/>
      <c r="XDN624"/>
      <c r="XDO624"/>
      <c r="XDP624"/>
      <c r="XDQ624"/>
      <c r="XDR624"/>
      <c r="XDS624"/>
      <c r="XDT624"/>
      <c r="XDU624"/>
      <c r="XDV624"/>
      <c r="XDW624"/>
      <c r="XDX624"/>
      <c r="XDY624"/>
      <c r="XDZ624"/>
      <c r="XEA624"/>
      <c r="XEB624"/>
      <c r="XEC624"/>
      <c r="XED624"/>
      <c r="XEE624"/>
      <c r="XEF624"/>
      <c r="XEG624"/>
      <c r="XEH624"/>
      <c r="XEI624"/>
      <c r="XEJ624"/>
      <c r="XEK624"/>
      <c r="XEL624"/>
      <c r="XEM624"/>
      <c r="XEN624"/>
      <c r="XEO624"/>
      <c r="XEP624"/>
      <c r="XEQ624"/>
      <c r="XER624"/>
      <c r="XES624"/>
      <c r="XET624"/>
      <c r="XEU624"/>
      <c r="XEV624"/>
      <c r="XEW624"/>
      <c r="XEX624"/>
      <c r="XEY624"/>
      <c r="XEZ624"/>
      <c r="XFA624"/>
      <c r="XFB624"/>
      <c r="XFC624"/>
    </row>
    <row r="625" spans="1:20 16329:16383" s="38" customFormat="1" ht="29.1" customHeight="1" outlineLevel="6" x14ac:dyDescent="0.25">
      <c r="A625" s="49" t="s">
        <v>1262</v>
      </c>
      <c r="B625" s="50"/>
      <c r="C625" s="50"/>
      <c r="D625" s="3" t="s">
        <v>1242</v>
      </c>
      <c r="E625" s="3"/>
      <c r="F625" s="51" t="s">
        <v>1163</v>
      </c>
      <c r="G625" s="50" t="s">
        <v>102</v>
      </c>
      <c r="H625" s="52">
        <f>1</f>
        <v>1</v>
      </c>
      <c r="I625" s="36"/>
      <c r="J625" s="52">
        <v>1</v>
      </c>
      <c r="K625" s="53">
        <f>0</f>
        <v>0</v>
      </c>
      <c r="L625" s="53">
        <f>0</f>
        <v>0</v>
      </c>
      <c r="M625" s="53">
        <f>0</f>
        <v>0</v>
      </c>
      <c r="N625" s="54">
        <f>SUM(K625:M625)</f>
        <v>0</v>
      </c>
      <c r="O625" s="54">
        <f>ROUND((H625*K625),2)</f>
        <v>0</v>
      </c>
      <c r="P625" s="54">
        <f>ROUND((H625*L625),2)</f>
        <v>0</v>
      </c>
      <c r="Q625" s="54">
        <f>ROUND((H625*M625),2)</f>
        <v>0</v>
      </c>
      <c r="R625" s="54">
        <f>ROUND((H625*N625),2)</f>
        <v>0</v>
      </c>
      <c r="S625" s="54"/>
      <c r="T625" s="36"/>
      <c r="XDA625"/>
      <c r="XDB625"/>
      <c r="XDC625"/>
      <c r="XDD625"/>
      <c r="XDE625"/>
      <c r="XDF625"/>
      <c r="XDG625"/>
      <c r="XDH625"/>
      <c r="XDI625"/>
      <c r="XDJ625"/>
      <c r="XDK625"/>
      <c r="XDL625"/>
      <c r="XDM625"/>
      <c r="XDN625"/>
      <c r="XDO625"/>
      <c r="XDP625"/>
      <c r="XDQ625"/>
      <c r="XDR625"/>
      <c r="XDS625"/>
      <c r="XDT625"/>
      <c r="XDU625"/>
      <c r="XDV625"/>
      <c r="XDW625"/>
      <c r="XDX625"/>
      <c r="XDY625"/>
      <c r="XDZ625"/>
      <c r="XEA625"/>
      <c r="XEB625"/>
      <c r="XEC625"/>
      <c r="XED625"/>
      <c r="XEE625"/>
      <c r="XEF625"/>
      <c r="XEG625"/>
      <c r="XEH625"/>
      <c r="XEI625"/>
      <c r="XEJ625"/>
      <c r="XEK625"/>
      <c r="XEL625"/>
      <c r="XEM625"/>
      <c r="XEN625"/>
      <c r="XEO625"/>
      <c r="XEP625"/>
      <c r="XEQ625"/>
      <c r="XER625"/>
      <c r="XES625"/>
      <c r="XET625"/>
      <c r="XEU625"/>
      <c r="XEV625"/>
      <c r="XEW625"/>
      <c r="XEX625"/>
      <c r="XEY625"/>
      <c r="XEZ625"/>
      <c r="XFA625"/>
      <c r="XFB625"/>
      <c r="XFC625"/>
    </row>
    <row r="626" spans="1:20 16329:16383" s="38" customFormat="1" ht="29.1" customHeight="1" outlineLevel="5" x14ac:dyDescent="0.25">
      <c r="A626" s="65" t="s">
        <v>1263</v>
      </c>
      <c r="B626" s="66" t="s">
        <v>1264</v>
      </c>
      <c r="C626" s="66"/>
      <c r="D626" s="98" t="s">
        <v>1265</v>
      </c>
      <c r="E626" s="98"/>
      <c r="F626" s="67" t="s">
        <v>1266</v>
      </c>
      <c r="G626" s="66"/>
      <c r="H626" s="68"/>
      <c r="I626" s="36"/>
      <c r="J626" s="68"/>
      <c r="K626" s="69"/>
      <c r="L626" s="69"/>
      <c r="M626" s="69"/>
      <c r="N626" s="69"/>
      <c r="O626" s="69">
        <f>O627</f>
        <v>0</v>
      </c>
      <c r="P626" s="69">
        <f>P627</f>
        <v>0</v>
      </c>
      <c r="Q626" s="69">
        <f>Q627</f>
        <v>0</v>
      </c>
      <c r="R626" s="69">
        <f>R627</f>
        <v>0</v>
      </c>
      <c r="S626" s="69"/>
      <c r="T626" s="36"/>
      <c r="XDA626"/>
      <c r="XDB626"/>
      <c r="XDC626"/>
      <c r="XDD626"/>
      <c r="XDE626"/>
      <c r="XDF626"/>
      <c r="XDG626"/>
      <c r="XDH626"/>
      <c r="XDI626"/>
      <c r="XDJ626"/>
      <c r="XDK626"/>
      <c r="XDL626"/>
      <c r="XDM626"/>
      <c r="XDN626"/>
      <c r="XDO626"/>
      <c r="XDP626"/>
      <c r="XDQ626"/>
      <c r="XDR626"/>
      <c r="XDS626"/>
      <c r="XDT626"/>
      <c r="XDU626"/>
      <c r="XDV626"/>
      <c r="XDW626"/>
      <c r="XDX626"/>
      <c r="XDY626"/>
      <c r="XDZ626"/>
      <c r="XEA626"/>
      <c r="XEB626"/>
      <c r="XEC626"/>
      <c r="XED626"/>
      <c r="XEE626"/>
      <c r="XEF626"/>
      <c r="XEG626"/>
      <c r="XEH626"/>
      <c r="XEI626"/>
      <c r="XEJ626"/>
      <c r="XEK626"/>
      <c r="XEL626"/>
      <c r="XEM626"/>
      <c r="XEN626"/>
      <c r="XEO626"/>
      <c r="XEP626"/>
      <c r="XEQ626"/>
      <c r="XER626"/>
      <c r="XES626"/>
      <c r="XET626"/>
      <c r="XEU626"/>
      <c r="XEV626"/>
      <c r="XEW626"/>
      <c r="XEX626"/>
      <c r="XEY626"/>
      <c r="XEZ626"/>
      <c r="XFA626"/>
      <c r="XFB626"/>
      <c r="XFC626"/>
    </row>
    <row r="627" spans="1:20 16329:16383" s="38" customFormat="1" ht="29.1" customHeight="1" outlineLevel="6" x14ac:dyDescent="0.25">
      <c r="A627" s="49" t="s">
        <v>1267</v>
      </c>
      <c r="B627" s="50"/>
      <c r="C627" s="50"/>
      <c r="D627" s="3" t="s">
        <v>1247</v>
      </c>
      <c r="E627" s="3"/>
      <c r="F627" s="51" t="s">
        <v>1163</v>
      </c>
      <c r="G627" s="50" t="s">
        <v>102</v>
      </c>
      <c r="H627" s="52">
        <f>1</f>
        <v>1</v>
      </c>
      <c r="I627" s="36"/>
      <c r="J627" s="52">
        <v>1</v>
      </c>
      <c r="K627" s="53">
        <f>0</f>
        <v>0</v>
      </c>
      <c r="L627" s="53">
        <f>0</f>
        <v>0</v>
      </c>
      <c r="M627" s="53">
        <f>0</f>
        <v>0</v>
      </c>
      <c r="N627" s="54">
        <f>SUM(K627:M627)</f>
        <v>0</v>
      </c>
      <c r="O627" s="54">
        <f>ROUND((H627*K627),2)</f>
        <v>0</v>
      </c>
      <c r="P627" s="54">
        <f>ROUND((H627*L627),2)</f>
        <v>0</v>
      </c>
      <c r="Q627" s="54">
        <f>ROUND((H627*M627),2)</f>
        <v>0</v>
      </c>
      <c r="R627" s="54">
        <f>ROUND((H627*N627),2)</f>
        <v>0</v>
      </c>
      <c r="S627" s="54"/>
      <c r="T627" s="36"/>
      <c r="XDA627"/>
      <c r="XDB627"/>
      <c r="XDC627"/>
      <c r="XDD627"/>
      <c r="XDE627"/>
      <c r="XDF627"/>
      <c r="XDG627"/>
      <c r="XDH627"/>
      <c r="XDI627"/>
      <c r="XDJ627"/>
      <c r="XDK627"/>
      <c r="XDL627"/>
      <c r="XDM627"/>
      <c r="XDN627"/>
      <c r="XDO627"/>
      <c r="XDP627"/>
      <c r="XDQ627"/>
      <c r="XDR627"/>
      <c r="XDS627"/>
      <c r="XDT627"/>
      <c r="XDU627"/>
      <c r="XDV627"/>
      <c r="XDW627"/>
      <c r="XDX627"/>
      <c r="XDY627"/>
      <c r="XDZ627"/>
      <c r="XEA627"/>
      <c r="XEB627"/>
      <c r="XEC627"/>
      <c r="XED627"/>
      <c r="XEE627"/>
      <c r="XEF627"/>
      <c r="XEG627"/>
      <c r="XEH627"/>
      <c r="XEI627"/>
      <c r="XEJ627"/>
      <c r="XEK627"/>
      <c r="XEL627"/>
      <c r="XEM627"/>
      <c r="XEN627"/>
      <c r="XEO627"/>
      <c r="XEP627"/>
      <c r="XEQ627"/>
      <c r="XER627"/>
      <c r="XES627"/>
      <c r="XET627"/>
      <c r="XEU627"/>
      <c r="XEV627"/>
      <c r="XEW627"/>
      <c r="XEX627"/>
      <c r="XEY627"/>
      <c r="XEZ627"/>
      <c r="XFA627"/>
      <c r="XFB627"/>
      <c r="XFC627"/>
    </row>
    <row r="628" spans="1:20 16329:16383" s="38" customFormat="1" ht="29.1" customHeight="1" outlineLevel="5" x14ac:dyDescent="0.25">
      <c r="A628" s="65" t="s">
        <v>1268</v>
      </c>
      <c r="B628" s="66" t="s">
        <v>1269</v>
      </c>
      <c r="C628" s="66"/>
      <c r="D628" s="98" t="s">
        <v>891</v>
      </c>
      <c r="E628" s="98"/>
      <c r="F628" s="67" t="s">
        <v>892</v>
      </c>
      <c r="G628" s="66"/>
      <c r="H628" s="68"/>
      <c r="I628" s="36"/>
      <c r="J628" s="68"/>
      <c r="K628" s="69"/>
      <c r="L628" s="69"/>
      <c r="M628" s="69"/>
      <c r="N628" s="69"/>
      <c r="O628" s="69">
        <f>O629</f>
        <v>0</v>
      </c>
      <c r="P628" s="69">
        <f>P629</f>
        <v>0</v>
      </c>
      <c r="Q628" s="69">
        <f>Q629</f>
        <v>0</v>
      </c>
      <c r="R628" s="69">
        <f>R629</f>
        <v>0</v>
      </c>
      <c r="S628" s="69"/>
      <c r="T628" s="36"/>
      <c r="XDA628"/>
      <c r="XDB628"/>
      <c r="XDC628"/>
      <c r="XDD628"/>
      <c r="XDE628"/>
      <c r="XDF628"/>
      <c r="XDG628"/>
      <c r="XDH628"/>
      <c r="XDI628"/>
      <c r="XDJ628"/>
      <c r="XDK628"/>
      <c r="XDL628"/>
      <c r="XDM628"/>
      <c r="XDN628"/>
      <c r="XDO628"/>
      <c r="XDP628"/>
      <c r="XDQ628"/>
      <c r="XDR628"/>
      <c r="XDS628"/>
      <c r="XDT628"/>
      <c r="XDU628"/>
      <c r="XDV628"/>
      <c r="XDW628"/>
      <c r="XDX628"/>
      <c r="XDY628"/>
      <c r="XDZ628"/>
      <c r="XEA628"/>
      <c r="XEB628"/>
      <c r="XEC628"/>
      <c r="XED628"/>
      <c r="XEE628"/>
      <c r="XEF628"/>
      <c r="XEG628"/>
      <c r="XEH628"/>
      <c r="XEI628"/>
      <c r="XEJ628"/>
      <c r="XEK628"/>
      <c r="XEL628"/>
      <c r="XEM628"/>
      <c r="XEN628"/>
      <c r="XEO628"/>
      <c r="XEP628"/>
      <c r="XEQ628"/>
      <c r="XER628"/>
      <c r="XES628"/>
      <c r="XET628"/>
      <c r="XEU628"/>
      <c r="XEV628"/>
      <c r="XEW628"/>
      <c r="XEX628"/>
      <c r="XEY628"/>
      <c r="XEZ628"/>
      <c r="XFA628"/>
      <c r="XFB628"/>
      <c r="XFC628"/>
    </row>
    <row r="629" spans="1:20 16329:16383" s="38" customFormat="1" ht="29.1" customHeight="1" outlineLevel="6" x14ac:dyDescent="0.25">
      <c r="A629" s="49" t="s">
        <v>1270</v>
      </c>
      <c r="B629" s="50"/>
      <c r="C629" s="50"/>
      <c r="D629" s="3" t="s">
        <v>931</v>
      </c>
      <c r="E629" s="3"/>
      <c r="F629" s="51" t="s">
        <v>1163</v>
      </c>
      <c r="G629" s="50" t="s">
        <v>102</v>
      </c>
      <c r="H629" s="52">
        <f>1</f>
        <v>1</v>
      </c>
      <c r="I629" s="36"/>
      <c r="J629" s="52">
        <v>1</v>
      </c>
      <c r="K629" s="53">
        <f>0</f>
        <v>0</v>
      </c>
      <c r="L629" s="53">
        <f>0</f>
        <v>0</v>
      </c>
      <c r="M629" s="53">
        <f>0</f>
        <v>0</v>
      </c>
      <c r="N629" s="54">
        <f>SUM(K629:M629)</f>
        <v>0</v>
      </c>
      <c r="O629" s="54">
        <f>ROUND((H629*K629),2)</f>
        <v>0</v>
      </c>
      <c r="P629" s="54">
        <f>ROUND((H629*L629),2)</f>
        <v>0</v>
      </c>
      <c r="Q629" s="54">
        <f>ROUND((H629*M629),2)</f>
        <v>0</v>
      </c>
      <c r="R629" s="54">
        <f>ROUND((H629*N629),2)</f>
        <v>0</v>
      </c>
      <c r="S629" s="54"/>
      <c r="T629" s="36"/>
      <c r="XDA629"/>
      <c r="XDB629"/>
      <c r="XDC629"/>
      <c r="XDD629"/>
      <c r="XDE629"/>
      <c r="XDF629"/>
      <c r="XDG629"/>
      <c r="XDH629"/>
      <c r="XDI629"/>
      <c r="XDJ629"/>
      <c r="XDK629"/>
      <c r="XDL629"/>
      <c r="XDM629"/>
      <c r="XDN629"/>
      <c r="XDO629"/>
      <c r="XDP629"/>
      <c r="XDQ629"/>
      <c r="XDR629"/>
      <c r="XDS629"/>
      <c r="XDT629"/>
      <c r="XDU629"/>
      <c r="XDV629"/>
      <c r="XDW629"/>
      <c r="XDX629"/>
      <c r="XDY629"/>
      <c r="XDZ629"/>
      <c r="XEA629"/>
      <c r="XEB629"/>
      <c r="XEC629"/>
      <c r="XED629"/>
      <c r="XEE629"/>
      <c r="XEF629"/>
      <c r="XEG629"/>
      <c r="XEH629"/>
      <c r="XEI629"/>
      <c r="XEJ629"/>
      <c r="XEK629"/>
      <c r="XEL629"/>
      <c r="XEM629"/>
      <c r="XEN629"/>
      <c r="XEO629"/>
      <c r="XEP629"/>
      <c r="XEQ629"/>
      <c r="XER629"/>
      <c r="XES629"/>
      <c r="XET629"/>
      <c r="XEU629"/>
      <c r="XEV629"/>
      <c r="XEW629"/>
      <c r="XEX629"/>
      <c r="XEY629"/>
      <c r="XEZ629"/>
      <c r="XFA629"/>
      <c r="XFB629"/>
      <c r="XFC629"/>
    </row>
    <row r="630" spans="1:20 16329:16383" s="38" customFormat="1" ht="29.1" customHeight="1" outlineLevel="4" x14ac:dyDescent="0.25">
      <c r="A630" s="60" t="s">
        <v>1271</v>
      </c>
      <c r="B630" s="61" t="s">
        <v>1272</v>
      </c>
      <c r="C630" s="61"/>
      <c r="D630" s="1" t="s">
        <v>919</v>
      </c>
      <c r="E630" s="1"/>
      <c r="F630" s="62"/>
      <c r="G630" s="61"/>
      <c r="H630" s="63"/>
      <c r="I630" s="36"/>
      <c r="J630" s="63"/>
      <c r="K630" s="64"/>
      <c r="L630" s="64"/>
      <c r="M630" s="64"/>
      <c r="N630" s="64"/>
      <c r="O630" s="64">
        <f>O631+O633+O635+O637</f>
        <v>0</v>
      </c>
      <c r="P630" s="64">
        <f>P631+P633+P635+P637</f>
        <v>0</v>
      </c>
      <c r="Q630" s="64">
        <f>Q631+Q633+Q635+Q637</f>
        <v>0</v>
      </c>
      <c r="R630" s="64">
        <f>R631+R633+R635+R637</f>
        <v>0</v>
      </c>
      <c r="S630" s="64"/>
      <c r="T630" s="36"/>
      <c r="XDA630"/>
      <c r="XDB630"/>
      <c r="XDC630"/>
      <c r="XDD630"/>
      <c r="XDE630"/>
      <c r="XDF630"/>
      <c r="XDG630"/>
      <c r="XDH630"/>
      <c r="XDI630"/>
      <c r="XDJ630"/>
      <c r="XDK630"/>
      <c r="XDL630"/>
      <c r="XDM630"/>
      <c r="XDN630"/>
      <c r="XDO630"/>
      <c r="XDP630"/>
      <c r="XDQ630"/>
      <c r="XDR630"/>
      <c r="XDS630"/>
      <c r="XDT630"/>
      <c r="XDU630"/>
      <c r="XDV630"/>
      <c r="XDW630"/>
      <c r="XDX630"/>
      <c r="XDY630"/>
      <c r="XDZ630"/>
      <c r="XEA630"/>
      <c r="XEB630"/>
      <c r="XEC630"/>
      <c r="XED630"/>
      <c r="XEE630"/>
      <c r="XEF630"/>
      <c r="XEG630"/>
      <c r="XEH630"/>
      <c r="XEI630"/>
      <c r="XEJ630"/>
      <c r="XEK630"/>
      <c r="XEL630"/>
      <c r="XEM630"/>
      <c r="XEN630"/>
      <c r="XEO630"/>
      <c r="XEP630"/>
      <c r="XEQ630"/>
      <c r="XER630"/>
      <c r="XES630"/>
      <c r="XET630"/>
      <c r="XEU630"/>
      <c r="XEV630"/>
      <c r="XEW630"/>
      <c r="XEX630"/>
      <c r="XEY630"/>
      <c r="XEZ630"/>
      <c r="XFA630"/>
      <c r="XFB630"/>
      <c r="XFC630"/>
    </row>
    <row r="631" spans="1:20 16329:16383" s="38" customFormat="1" ht="29.1" customHeight="1" outlineLevel="5" x14ac:dyDescent="0.25">
      <c r="A631" s="65" t="s">
        <v>1273</v>
      </c>
      <c r="B631" s="66" t="s">
        <v>1274</v>
      </c>
      <c r="C631" s="66"/>
      <c r="D631" s="98" t="s">
        <v>1275</v>
      </c>
      <c r="E631" s="98"/>
      <c r="F631" s="67" t="s">
        <v>1276</v>
      </c>
      <c r="G631" s="66"/>
      <c r="H631" s="68"/>
      <c r="I631" s="36"/>
      <c r="J631" s="68"/>
      <c r="K631" s="69"/>
      <c r="L631" s="69"/>
      <c r="M631" s="69"/>
      <c r="N631" s="69"/>
      <c r="O631" s="69">
        <f>O632</f>
        <v>0</v>
      </c>
      <c r="P631" s="69">
        <f>P632</f>
        <v>0</v>
      </c>
      <c r="Q631" s="69">
        <f>Q632</f>
        <v>0</v>
      </c>
      <c r="R631" s="69">
        <f>R632</f>
        <v>0</v>
      </c>
      <c r="S631" s="69"/>
      <c r="T631" s="36"/>
      <c r="XDA631"/>
      <c r="XDB631"/>
      <c r="XDC631"/>
      <c r="XDD631"/>
      <c r="XDE631"/>
      <c r="XDF631"/>
      <c r="XDG631"/>
      <c r="XDH631"/>
      <c r="XDI631"/>
      <c r="XDJ631"/>
      <c r="XDK631"/>
      <c r="XDL631"/>
      <c r="XDM631"/>
      <c r="XDN631"/>
      <c r="XDO631"/>
      <c r="XDP631"/>
      <c r="XDQ631"/>
      <c r="XDR631"/>
      <c r="XDS631"/>
      <c r="XDT631"/>
      <c r="XDU631"/>
      <c r="XDV631"/>
      <c r="XDW631"/>
      <c r="XDX631"/>
      <c r="XDY631"/>
      <c r="XDZ631"/>
      <c r="XEA631"/>
      <c r="XEB631"/>
      <c r="XEC631"/>
      <c r="XED631"/>
      <c r="XEE631"/>
      <c r="XEF631"/>
      <c r="XEG631"/>
      <c r="XEH631"/>
      <c r="XEI631"/>
      <c r="XEJ631"/>
      <c r="XEK631"/>
      <c r="XEL631"/>
      <c r="XEM631"/>
      <c r="XEN631"/>
      <c r="XEO631"/>
      <c r="XEP631"/>
      <c r="XEQ631"/>
      <c r="XER631"/>
      <c r="XES631"/>
      <c r="XET631"/>
      <c r="XEU631"/>
      <c r="XEV631"/>
      <c r="XEW631"/>
      <c r="XEX631"/>
      <c r="XEY631"/>
      <c r="XEZ631"/>
      <c r="XFA631"/>
      <c r="XFB631"/>
      <c r="XFC631"/>
    </row>
    <row r="632" spans="1:20 16329:16383" s="38" customFormat="1" ht="29.1" customHeight="1" outlineLevel="6" x14ac:dyDescent="0.25">
      <c r="A632" s="49" t="s">
        <v>1277</v>
      </c>
      <c r="B632" s="50"/>
      <c r="C632" s="50"/>
      <c r="D632" s="3" t="s">
        <v>1242</v>
      </c>
      <c r="E632" s="3"/>
      <c r="F632" s="51" t="s">
        <v>1163</v>
      </c>
      <c r="G632" s="50" t="s">
        <v>102</v>
      </c>
      <c r="H632" s="52">
        <f>1</f>
        <v>1</v>
      </c>
      <c r="I632" s="36"/>
      <c r="J632" s="52">
        <v>1</v>
      </c>
      <c r="K632" s="53">
        <f>0</f>
        <v>0</v>
      </c>
      <c r="L632" s="53">
        <f>0</f>
        <v>0</v>
      </c>
      <c r="M632" s="53">
        <f>0</f>
        <v>0</v>
      </c>
      <c r="N632" s="54">
        <f>SUM(K632:M632)</f>
        <v>0</v>
      </c>
      <c r="O632" s="54">
        <f>ROUND((H632*K632),2)</f>
        <v>0</v>
      </c>
      <c r="P632" s="54">
        <f>ROUND((H632*L632),2)</f>
        <v>0</v>
      </c>
      <c r="Q632" s="54">
        <f>ROUND((H632*M632),2)</f>
        <v>0</v>
      </c>
      <c r="R632" s="54">
        <f>ROUND((H632*N632),2)</f>
        <v>0</v>
      </c>
      <c r="S632" s="54"/>
      <c r="T632" s="36"/>
      <c r="XDA632"/>
      <c r="XDB632"/>
      <c r="XDC632"/>
      <c r="XDD632"/>
      <c r="XDE632"/>
      <c r="XDF632"/>
      <c r="XDG632"/>
      <c r="XDH632"/>
      <c r="XDI632"/>
      <c r="XDJ632"/>
      <c r="XDK632"/>
      <c r="XDL632"/>
      <c r="XDM632"/>
      <c r="XDN632"/>
      <c r="XDO632"/>
      <c r="XDP632"/>
      <c r="XDQ632"/>
      <c r="XDR632"/>
      <c r="XDS632"/>
      <c r="XDT632"/>
      <c r="XDU632"/>
      <c r="XDV632"/>
      <c r="XDW632"/>
      <c r="XDX632"/>
      <c r="XDY632"/>
      <c r="XDZ632"/>
      <c r="XEA632"/>
      <c r="XEB632"/>
      <c r="XEC632"/>
      <c r="XED632"/>
      <c r="XEE632"/>
      <c r="XEF632"/>
      <c r="XEG632"/>
      <c r="XEH632"/>
      <c r="XEI632"/>
      <c r="XEJ632"/>
      <c r="XEK632"/>
      <c r="XEL632"/>
      <c r="XEM632"/>
      <c r="XEN632"/>
      <c r="XEO632"/>
      <c r="XEP632"/>
      <c r="XEQ632"/>
      <c r="XER632"/>
      <c r="XES632"/>
      <c r="XET632"/>
      <c r="XEU632"/>
      <c r="XEV632"/>
      <c r="XEW632"/>
      <c r="XEX632"/>
      <c r="XEY632"/>
      <c r="XEZ632"/>
      <c r="XFA632"/>
      <c r="XFB632"/>
      <c r="XFC632"/>
    </row>
    <row r="633" spans="1:20 16329:16383" s="38" customFormat="1" ht="29.1" customHeight="1" outlineLevel="5" x14ac:dyDescent="0.25">
      <c r="A633" s="65" t="s">
        <v>1278</v>
      </c>
      <c r="B633" s="66" t="s">
        <v>1279</v>
      </c>
      <c r="C633" s="66"/>
      <c r="D633" s="98" t="s">
        <v>1172</v>
      </c>
      <c r="E633" s="98"/>
      <c r="F633" s="67" t="s">
        <v>1280</v>
      </c>
      <c r="G633" s="66"/>
      <c r="H633" s="68"/>
      <c r="I633" s="36"/>
      <c r="J633" s="68"/>
      <c r="K633" s="69"/>
      <c r="L633" s="69"/>
      <c r="M633" s="69"/>
      <c r="N633" s="69"/>
      <c r="O633" s="69">
        <f>O634</f>
        <v>0</v>
      </c>
      <c r="P633" s="69">
        <f>P634</f>
        <v>0</v>
      </c>
      <c r="Q633" s="69">
        <f>Q634</f>
        <v>0</v>
      </c>
      <c r="R633" s="69">
        <f>R634</f>
        <v>0</v>
      </c>
      <c r="S633" s="69"/>
      <c r="T633" s="36"/>
      <c r="XDA633"/>
      <c r="XDB633"/>
      <c r="XDC633"/>
      <c r="XDD633"/>
      <c r="XDE633"/>
      <c r="XDF633"/>
      <c r="XDG633"/>
      <c r="XDH633"/>
      <c r="XDI633"/>
      <c r="XDJ633"/>
      <c r="XDK633"/>
      <c r="XDL633"/>
      <c r="XDM633"/>
      <c r="XDN633"/>
      <c r="XDO633"/>
      <c r="XDP633"/>
      <c r="XDQ633"/>
      <c r="XDR633"/>
      <c r="XDS633"/>
      <c r="XDT633"/>
      <c r="XDU633"/>
      <c r="XDV633"/>
      <c r="XDW633"/>
      <c r="XDX633"/>
      <c r="XDY633"/>
      <c r="XDZ633"/>
      <c r="XEA633"/>
      <c r="XEB633"/>
      <c r="XEC633"/>
      <c r="XED633"/>
      <c r="XEE633"/>
      <c r="XEF633"/>
      <c r="XEG633"/>
      <c r="XEH633"/>
      <c r="XEI633"/>
      <c r="XEJ633"/>
      <c r="XEK633"/>
      <c r="XEL633"/>
      <c r="XEM633"/>
      <c r="XEN633"/>
      <c r="XEO633"/>
      <c r="XEP633"/>
      <c r="XEQ633"/>
      <c r="XER633"/>
      <c r="XES633"/>
      <c r="XET633"/>
      <c r="XEU633"/>
      <c r="XEV633"/>
      <c r="XEW633"/>
      <c r="XEX633"/>
      <c r="XEY633"/>
      <c r="XEZ633"/>
      <c r="XFA633"/>
      <c r="XFB633"/>
      <c r="XFC633"/>
    </row>
    <row r="634" spans="1:20 16329:16383" s="38" customFormat="1" ht="29.1" customHeight="1" outlineLevel="6" x14ac:dyDescent="0.25">
      <c r="A634" s="49" t="s">
        <v>1281</v>
      </c>
      <c r="B634" s="50"/>
      <c r="C634" s="50"/>
      <c r="D634" s="3" t="s">
        <v>1247</v>
      </c>
      <c r="E634" s="3"/>
      <c r="F634" s="51" t="s">
        <v>1163</v>
      </c>
      <c r="G634" s="50" t="s">
        <v>102</v>
      </c>
      <c r="H634" s="52">
        <f>1</f>
        <v>1</v>
      </c>
      <c r="I634" s="36"/>
      <c r="J634" s="52">
        <v>1</v>
      </c>
      <c r="K634" s="53">
        <f>0</f>
        <v>0</v>
      </c>
      <c r="L634" s="53">
        <f>0</f>
        <v>0</v>
      </c>
      <c r="M634" s="53">
        <f>0</f>
        <v>0</v>
      </c>
      <c r="N634" s="54">
        <f>SUM(K634:M634)</f>
        <v>0</v>
      </c>
      <c r="O634" s="54">
        <f>ROUND((H634*K634),2)</f>
        <v>0</v>
      </c>
      <c r="P634" s="54">
        <f>ROUND((H634*L634),2)</f>
        <v>0</v>
      </c>
      <c r="Q634" s="54">
        <f>ROUND((H634*M634),2)</f>
        <v>0</v>
      </c>
      <c r="R634" s="54">
        <f>ROUND((H634*N634),2)</f>
        <v>0</v>
      </c>
      <c r="S634" s="54"/>
      <c r="T634" s="36"/>
      <c r="XDA634"/>
      <c r="XDB634"/>
      <c r="XDC634"/>
      <c r="XDD634"/>
      <c r="XDE634"/>
      <c r="XDF634"/>
      <c r="XDG634"/>
      <c r="XDH634"/>
      <c r="XDI634"/>
      <c r="XDJ634"/>
      <c r="XDK634"/>
      <c r="XDL634"/>
      <c r="XDM634"/>
      <c r="XDN634"/>
      <c r="XDO634"/>
      <c r="XDP634"/>
      <c r="XDQ634"/>
      <c r="XDR634"/>
      <c r="XDS634"/>
      <c r="XDT634"/>
      <c r="XDU634"/>
      <c r="XDV634"/>
      <c r="XDW634"/>
      <c r="XDX634"/>
      <c r="XDY634"/>
      <c r="XDZ634"/>
      <c r="XEA634"/>
      <c r="XEB634"/>
      <c r="XEC634"/>
      <c r="XED634"/>
      <c r="XEE634"/>
      <c r="XEF634"/>
      <c r="XEG634"/>
      <c r="XEH634"/>
      <c r="XEI634"/>
      <c r="XEJ634"/>
      <c r="XEK634"/>
      <c r="XEL634"/>
      <c r="XEM634"/>
      <c r="XEN634"/>
      <c r="XEO634"/>
      <c r="XEP634"/>
      <c r="XEQ634"/>
      <c r="XER634"/>
      <c r="XES634"/>
      <c r="XET634"/>
      <c r="XEU634"/>
      <c r="XEV634"/>
      <c r="XEW634"/>
      <c r="XEX634"/>
      <c r="XEY634"/>
      <c r="XEZ634"/>
      <c r="XFA634"/>
      <c r="XFB634"/>
      <c r="XFC634"/>
    </row>
    <row r="635" spans="1:20 16329:16383" s="38" customFormat="1" ht="29.1" customHeight="1" outlineLevel="5" x14ac:dyDescent="0.25">
      <c r="A635" s="65" t="s">
        <v>1282</v>
      </c>
      <c r="B635" s="66" t="s">
        <v>1283</v>
      </c>
      <c r="C635" s="66"/>
      <c r="D635" s="98" t="s">
        <v>1250</v>
      </c>
      <c r="E635" s="98"/>
      <c r="F635" s="67" t="s">
        <v>1284</v>
      </c>
      <c r="G635" s="66"/>
      <c r="H635" s="68"/>
      <c r="I635" s="36"/>
      <c r="J635" s="68"/>
      <c r="K635" s="69"/>
      <c r="L635" s="69"/>
      <c r="M635" s="69"/>
      <c r="N635" s="69"/>
      <c r="O635" s="69">
        <f>O636</f>
        <v>0</v>
      </c>
      <c r="P635" s="69">
        <f>P636</f>
        <v>0</v>
      </c>
      <c r="Q635" s="69">
        <f>Q636</f>
        <v>0</v>
      </c>
      <c r="R635" s="69">
        <f>R636</f>
        <v>0</v>
      </c>
      <c r="S635" s="69"/>
      <c r="T635" s="36"/>
      <c r="XDA635"/>
      <c r="XDB635"/>
      <c r="XDC635"/>
      <c r="XDD635"/>
      <c r="XDE635"/>
      <c r="XDF635"/>
      <c r="XDG635"/>
      <c r="XDH635"/>
      <c r="XDI635"/>
      <c r="XDJ635"/>
      <c r="XDK635"/>
      <c r="XDL635"/>
      <c r="XDM635"/>
      <c r="XDN635"/>
      <c r="XDO635"/>
      <c r="XDP635"/>
      <c r="XDQ635"/>
      <c r="XDR635"/>
      <c r="XDS635"/>
      <c r="XDT635"/>
      <c r="XDU635"/>
      <c r="XDV635"/>
      <c r="XDW635"/>
      <c r="XDX635"/>
      <c r="XDY635"/>
      <c r="XDZ635"/>
      <c r="XEA635"/>
      <c r="XEB635"/>
      <c r="XEC635"/>
      <c r="XED635"/>
      <c r="XEE635"/>
      <c r="XEF635"/>
      <c r="XEG635"/>
      <c r="XEH635"/>
      <c r="XEI635"/>
      <c r="XEJ635"/>
      <c r="XEK635"/>
      <c r="XEL635"/>
      <c r="XEM635"/>
      <c r="XEN635"/>
      <c r="XEO635"/>
      <c r="XEP635"/>
      <c r="XEQ635"/>
      <c r="XER635"/>
      <c r="XES635"/>
      <c r="XET635"/>
      <c r="XEU635"/>
      <c r="XEV635"/>
      <c r="XEW635"/>
      <c r="XEX635"/>
      <c r="XEY635"/>
      <c r="XEZ635"/>
      <c r="XFA635"/>
      <c r="XFB635"/>
      <c r="XFC635"/>
    </row>
    <row r="636" spans="1:20 16329:16383" s="38" customFormat="1" ht="29.1" customHeight="1" outlineLevel="6" x14ac:dyDescent="0.25">
      <c r="A636" s="49" t="s">
        <v>1285</v>
      </c>
      <c r="B636" s="50"/>
      <c r="C636" s="50"/>
      <c r="D636" s="3" t="s">
        <v>1253</v>
      </c>
      <c r="E636" s="3"/>
      <c r="F636" s="51" t="s">
        <v>1163</v>
      </c>
      <c r="G636" s="50" t="s">
        <v>102</v>
      </c>
      <c r="H636" s="52">
        <f>1</f>
        <v>1</v>
      </c>
      <c r="I636" s="36"/>
      <c r="J636" s="52">
        <v>1</v>
      </c>
      <c r="K636" s="53">
        <f>0</f>
        <v>0</v>
      </c>
      <c r="L636" s="53">
        <f>0</f>
        <v>0</v>
      </c>
      <c r="M636" s="53">
        <f>0</f>
        <v>0</v>
      </c>
      <c r="N636" s="54">
        <f>SUM(K636:M636)</f>
        <v>0</v>
      </c>
      <c r="O636" s="54">
        <f>ROUND((H636*K636),2)</f>
        <v>0</v>
      </c>
      <c r="P636" s="54">
        <f>ROUND((H636*L636),2)</f>
        <v>0</v>
      </c>
      <c r="Q636" s="54">
        <f>ROUND((H636*M636),2)</f>
        <v>0</v>
      </c>
      <c r="R636" s="54">
        <f>ROUND((H636*N636),2)</f>
        <v>0</v>
      </c>
      <c r="S636" s="54"/>
      <c r="T636" s="36"/>
      <c r="XDA636"/>
      <c r="XDB636"/>
      <c r="XDC636"/>
      <c r="XDD636"/>
      <c r="XDE636"/>
      <c r="XDF636"/>
      <c r="XDG636"/>
      <c r="XDH636"/>
      <c r="XDI636"/>
      <c r="XDJ636"/>
      <c r="XDK636"/>
      <c r="XDL636"/>
      <c r="XDM636"/>
      <c r="XDN636"/>
      <c r="XDO636"/>
      <c r="XDP636"/>
      <c r="XDQ636"/>
      <c r="XDR636"/>
      <c r="XDS636"/>
      <c r="XDT636"/>
      <c r="XDU636"/>
      <c r="XDV636"/>
      <c r="XDW636"/>
      <c r="XDX636"/>
      <c r="XDY636"/>
      <c r="XDZ636"/>
      <c r="XEA636"/>
      <c r="XEB636"/>
      <c r="XEC636"/>
      <c r="XED636"/>
      <c r="XEE636"/>
      <c r="XEF636"/>
      <c r="XEG636"/>
      <c r="XEH636"/>
      <c r="XEI636"/>
      <c r="XEJ636"/>
      <c r="XEK636"/>
      <c r="XEL636"/>
      <c r="XEM636"/>
      <c r="XEN636"/>
      <c r="XEO636"/>
      <c r="XEP636"/>
      <c r="XEQ636"/>
      <c r="XER636"/>
      <c r="XES636"/>
      <c r="XET636"/>
      <c r="XEU636"/>
      <c r="XEV636"/>
      <c r="XEW636"/>
      <c r="XEX636"/>
      <c r="XEY636"/>
      <c r="XEZ636"/>
      <c r="XFA636"/>
      <c r="XFB636"/>
      <c r="XFC636"/>
    </row>
    <row r="637" spans="1:20 16329:16383" s="38" customFormat="1" ht="29.1" customHeight="1" outlineLevel="5" x14ac:dyDescent="0.25">
      <c r="A637" s="65" t="s">
        <v>1286</v>
      </c>
      <c r="B637" s="66" t="s">
        <v>1287</v>
      </c>
      <c r="C637" s="66"/>
      <c r="D637" s="98" t="s">
        <v>782</v>
      </c>
      <c r="E637" s="98"/>
      <c r="F637" s="67" t="s">
        <v>949</v>
      </c>
      <c r="G637" s="66"/>
      <c r="H637" s="68"/>
      <c r="I637" s="36"/>
      <c r="J637" s="68"/>
      <c r="K637" s="69"/>
      <c r="L637" s="69"/>
      <c r="M637" s="69"/>
      <c r="N637" s="69"/>
      <c r="O637" s="69">
        <f>O638+O639</f>
        <v>0</v>
      </c>
      <c r="P637" s="69">
        <f>P638+P639</f>
        <v>0</v>
      </c>
      <c r="Q637" s="69">
        <f>Q638+Q639</f>
        <v>0</v>
      </c>
      <c r="R637" s="69">
        <f>R638+R639</f>
        <v>0</v>
      </c>
      <c r="S637" s="69"/>
      <c r="T637" s="36"/>
      <c r="XDA637"/>
      <c r="XDB637"/>
      <c r="XDC637"/>
      <c r="XDD637"/>
      <c r="XDE637"/>
      <c r="XDF637"/>
      <c r="XDG637"/>
      <c r="XDH637"/>
      <c r="XDI637"/>
      <c r="XDJ637"/>
      <c r="XDK637"/>
      <c r="XDL637"/>
      <c r="XDM637"/>
      <c r="XDN637"/>
      <c r="XDO637"/>
      <c r="XDP637"/>
      <c r="XDQ637"/>
      <c r="XDR637"/>
      <c r="XDS637"/>
      <c r="XDT637"/>
      <c r="XDU637"/>
      <c r="XDV637"/>
      <c r="XDW637"/>
      <c r="XDX637"/>
      <c r="XDY637"/>
      <c r="XDZ637"/>
      <c r="XEA637"/>
      <c r="XEB637"/>
      <c r="XEC637"/>
      <c r="XED637"/>
      <c r="XEE637"/>
      <c r="XEF637"/>
      <c r="XEG637"/>
      <c r="XEH637"/>
      <c r="XEI637"/>
      <c r="XEJ637"/>
      <c r="XEK637"/>
      <c r="XEL637"/>
      <c r="XEM637"/>
      <c r="XEN637"/>
      <c r="XEO637"/>
      <c r="XEP637"/>
      <c r="XEQ637"/>
      <c r="XER637"/>
      <c r="XES637"/>
      <c r="XET637"/>
      <c r="XEU637"/>
      <c r="XEV637"/>
      <c r="XEW637"/>
      <c r="XEX637"/>
      <c r="XEY637"/>
      <c r="XEZ637"/>
      <c r="XFA637"/>
      <c r="XFB637"/>
      <c r="XFC637"/>
    </row>
    <row r="638" spans="1:20 16329:16383" s="38" customFormat="1" ht="29.1" customHeight="1" outlineLevel="6" x14ac:dyDescent="0.25">
      <c r="A638" s="49" t="s">
        <v>1288</v>
      </c>
      <c r="B638" s="50"/>
      <c r="C638" s="50"/>
      <c r="D638" s="3" t="s">
        <v>931</v>
      </c>
      <c r="E638" s="3"/>
      <c r="F638" s="51" t="s">
        <v>1163</v>
      </c>
      <c r="G638" s="50" t="s">
        <v>102</v>
      </c>
      <c r="H638" s="52">
        <f>1</f>
        <v>1</v>
      </c>
      <c r="I638" s="36"/>
      <c r="J638" s="52">
        <v>1</v>
      </c>
      <c r="K638" s="53">
        <f>0</f>
        <v>0</v>
      </c>
      <c r="L638" s="53">
        <f>0</f>
        <v>0</v>
      </c>
      <c r="M638" s="53">
        <f>0</f>
        <v>0</v>
      </c>
      <c r="N638" s="54">
        <f>SUM(K638:M638)</f>
        <v>0</v>
      </c>
      <c r="O638" s="54">
        <f>ROUND((H638*K638),2)</f>
        <v>0</v>
      </c>
      <c r="P638" s="54">
        <f>ROUND((H638*L638),2)</f>
        <v>0</v>
      </c>
      <c r="Q638" s="54">
        <f>ROUND((H638*M638),2)</f>
        <v>0</v>
      </c>
      <c r="R638" s="54">
        <f>ROUND((H638*N638),2)</f>
        <v>0</v>
      </c>
      <c r="S638" s="54"/>
      <c r="T638" s="36"/>
      <c r="XDA638"/>
      <c r="XDB638"/>
      <c r="XDC638"/>
      <c r="XDD638"/>
      <c r="XDE638"/>
      <c r="XDF638"/>
      <c r="XDG638"/>
      <c r="XDH638"/>
      <c r="XDI638"/>
      <c r="XDJ638"/>
      <c r="XDK638"/>
      <c r="XDL638"/>
      <c r="XDM638"/>
      <c r="XDN638"/>
      <c r="XDO638"/>
      <c r="XDP638"/>
      <c r="XDQ638"/>
      <c r="XDR638"/>
      <c r="XDS638"/>
      <c r="XDT638"/>
      <c r="XDU638"/>
      <c r="XDV638"/>
      <c r="XDW638"/>
      <c r="XDX638"/>
      <c r="XDY638"/>
      <c r="XDZ638"/>
      <c r="XEA638"/>
      <c r="XEB638"/>
      <c r="XEC638"/>
      <c r="XED638"/>
      <c r="XEE638"/>
      <c r="XEF638"/>
      <c r="XEG638"/>
      <c r="XEH638"/>
      <c r="XEI638"/>
      <c r="XEJ638"/>
      <c r="XEK638"/>
      <c r="XEL638"/>
      <c r="XEM638"/>
      <c r="XEN638"/>
      <c r="XEO638"/>
      <c r="XEP638"/>
      <c r="XEQ638"/>
      <c r="XER638"/>
      <c r="XES638"/>
      <c r="XET638"/>
      <c r="XEU638"/>
      <c r="XEV638"/>
      <c r="XEW638"/>
      <c r="XEX638"/>
      <c r="XEY638"/>
      <c r="XEZ638"/>
      <c r="XFA638"/>
      <c r="XFB638"/>
      <c r="XFC638"/>
    </row>
    <row r="639" spans="1:20 16329:16383" s="38" customFormat="1" ht="29.1" customHeight="1" outlineLevel="6" x14ac:dyDescent="0.25">
      <c r="A639" s="49" t="s">
        <v>1289</v>
      </c>
      <c r="B639" s="50"/>
      <c r="C639" s="50"/>
      <c r="D639" s="3" t="s">
        <v>1290</v>
      </c>
      <c r="E639" s="3"/>
      <c r="F639" s="51" t="s">
        <v>1163</v>
      </c>
      <c r="G639" s="50" t="s">
        <v>102</v>
      </c>
      <c r="H639" s="52">
        <f>1</f>
        <v>1</v>
      </c>
      <c r="I639" s="36"/>
      <c r="J639" s="52">
        <v>1</v>
      </c>
      <c r="K639" s="53">
        <f>0</f>
        <v>0</v>
      </c>
      <c r="L639" s="53">
        <f>0</f>
        <v>0</v>
      </c>
      <c r="M639" s="53">
        <f>0</f>
        <v>0</v>
      </c>
      <c r="N639" s="54">
        <f>SUM(K639:M639)</f>
        <v>0</v>
      </c>
      <c r="O639" s="54">
        <f>ROUND((H639*K639),2)</f>
        <v>0</v>
      </c>
      <c r="P639" s="54">
        <f>ROUND((H639*L639),2)</f>
        <v>0</v>
      </c>
      <c r="Q639" s="54">
        <f>ROUND((H639*M639),2)</f>
        <v>0</v>
      </c>
      <c r="R639" s="54">
        <f>ROUND((H639*N639),2)</f>
        <v>0</v>
      </c>
      <c r="S639" s="54"/>
      <c r="T639" s="36"/>
      <c r="XDA639"/>
      <c r="XDB639"/>
      <c r="XDC639"/>
      <c r="XDD639"/>
      <c r="XDE639"/>
      <c r="XDF639"/>
      <c r="XDG639"/>
      <c r="XDH639"/>
      <c r="XDI639"/>
      <c r="XDJ639"/>
      <c r="XDK639"/>
      <c r="XDL639"/>
      <c r="XDM639"/>
      <c r="XDN639"/>
      <c r="XDO639"/>
      <c r="XDP639"/>
      <c r="XDQ639"/>
      <c r="XDR639"/>
      <c r="XDS639"/>
      <c r="XDT639"/>
      <c r="XDU639"/>
      <c r="XDV639"/>
      <c r="XDW639"/>
      <c r="XDX639"/>
      <c r="XDY639"/>
      <c r="XDZ639"/>
      <c r="XEA639"/>
      <c r="XEB639"/>
      <c r="XEC639"/>
      <c r="XED639"/>
      <c r="XEE639"/>
      <c r="XEF639"/>
      <c r="XEG639"/>
      <c r="XEH639"/>
      <c r="XEI639"/>
      <c r="XEJ639"/>
      <c r="XEK639"/>
      <c r="XEL639"/>
      <c r="XEM639"/>
      <c r="XEN639"/>
      <c r="XEO639"/>
      <c r="XEP639"/>
      <c r="XEQ639"/>
      <c r="XER639"/>
      <c r="XES639"/>
      <c r="XET639"/>
      <c r="XEU639"/>
      <c r="XEV639"/>
      <c r="XEW639"/>
      <c r="XEX639"/>
      <c r="XEY639"/>
      <c r="XEZ639"/>
      <c r="XFA639"/>
      <c r="XFB639"/>
      <c r="XFC639"/>
    </row>
    <row r="640" spans="1:20 16329:16383" s="38" customFormat="1" ht="29.1" customHeight="1" outlineLevel="4" x14ac:dyDescent="0.25">
      <c r="A640" s="60" t="s">
        <v>1291</v>
      </c>
      <c r="B640" s="61" t="s">
        <v>1292</v>
      </c>
      <c r="C640" s="61"/>
      <c r="D640" s="1" t="s">
        <v>956</v>
      </c>
      <c r="E640" s="1"/>
      <c r="F640" s="62"/>
      <c r="G640" s="61"/>
      <c r="H640" s="63"/>
      <c r="I640" s="36"/>
      <c r="J640" s="63"/>
      <c r="K640" s="64"/>
      <c r="L640" s="64"/>
      <c r="M640" s="64"/>
      <c r="N640" s="64"/>
      <c r="O640" s="64">
        <f>O641+O643+O645+O647</f>
        <v>0</v>
      </c>
      <c r="P640" s="64">
        <f>P641+P643+P645+P647</f>
        <v>0</v>
      </c>
      <c r="Q640" s="64">
        <f>Q641+Q643+Q645+Q647</f>
        <v>0</v>
      </c>
      <c r="R640" s="64">
        <f>R641+R643+R645+R647</f>
        <v>0</v>
      </c>
      <c r="S640" s="64"/>
      <c r="T640" s="36"/>
      <c r="XDA640"/>
      <c r="XDB640"/>
      <c r="XDC640"/>
      <c r="XDD640"/>
      <c r="XDE640"/>
      <c r="XDF640"/>
      <c r="XDG640"/>
      <c r="XDH640"/>
      <c r="XDI640"/>
      <c r="XDJ640"/>
      <c r="XDK640"/>
      <c r="XDL640"/>
      <c r="XDM640"/>
      <c r="XDN640"/>
      <c r="XDO640"/>
      <c r="XDP640"/>
      <c r="XDQ640"/>
      <c r="XDR640"/>
      <c r="XDS640"/>
      <c r="XDT640"/>
      <c r="XDU640"/>
      <c r="XDV640"/>
      <c r="XDW640"/>
      <c r="XDX640"/>
      <c r="XDY640"/>
      <c r="XDZ640"/>
      <c r="XEA640"/>
      <c r="XEB640"/>
      <c r="XEC640"/>
      <c r="XED640"/>
      <c r="XEE640"/>
      <c r="XEF640"/>
      <c r="XEG640"/>
      <c r="XEH640"/>
      <c r="XEI640"/>
      <c r="XEJ640"/>
      <c r="XEK640"/>
      <c r="XEL640"/>
      <c r="XEM640"/>
      <c r="XEN640"/>
      <c r="XEO640"/>
      <c r="XEP640"/>
      <c r="XEQ640"/>
      <c r="XER640"/>
      <c r="XES640"/>
      <c r="XET640"/>
      <c r="XEU640"/>
      <c r="XEV640"/>
      <c r="XEW640"/>
      <c r="XEX640"/>
      <c r="XEY640"/>
      <c r="XEZ640"/>
      <c r="XFA640"/>
      <c r="XFB640"/>
      <c r="XFC640"/>
    </row>
    <row r="641" spans="1:20 16329:16383" s="38" customFormat="1" ht="29.1" customHeight="1" outlineLevel="5" x14ac:dyDescent="0.25">
      <c r="A641" s="65" t="s">
        <v>1293</v>
      </c>
      <c r="B641" s="66" t="s">
        <v>1294</v>
      </c>
      <c r="C641" s="66"/>
      <c r="D641" s="98" t="s">
        <v>1275</v>
      </c>
      <c r="E641" s="98"/>
      <c r="F641" s="67" t="s">
        <v>1295</v>
      </c>
      <c r="G641" s="66"/>
      <c r="H641" s="68"/>
      <c r="I641" s="36"/>
      <c r="J641" s="68"/>
      <c r="K641" s="69"/>
      <c r="L641" s="69"/>
      <c r="M641" s="69"/>
      <c r="N641" s="69"/>
      <c r="O641" s="69">
        <f>O642</f>
        <v>0</v>
      </c>
      <c r="P641" s="69">
        <f>P642</f>
        <v>0</v>
      </c>
      <c r="Q641" s="69">
        <f>Q642</f>
        <v>0</v>
      </c>
      <c r="R641" s="69">
        <f>R642</f>
        <v>0</v>
      </c>
      <c r="S641" s="69"/>
      <c r="T641" s="36"/>
      <c r="XDA641"/>
      <c r="XDB641"/>
      <c r="XDC641"/>
      <c r="XDD641"/>
      <c r="XDE641"/>
      <c r="XDF641"/>
      <c r="XDG641"/>
      <c r="XDH641"/>
      <c r="XDI641"/>
      <c r="XDJ641"/>
      <c r="XDK641"/>
      <c r="XDL641"/>
      <c r="XDM641"/>
      <c r="XDN641"/>
      <c r="XDO641"/>
      <c r="XDP641"/>
      <c r="XDQ641"/>
      <c r="XDR641"/>
      <c r="XDS641"/>
      <c r="XDT641"/>
      <c r="XDU641"/>
      <c r="XDV641"/>
      <c r="XDW641"/>
      <c r="XDX641"/>
      <c r="XDY641"/>
      <c r="XDZ641"/>
      <c r="XEA641"/>
      <c r="XEB641"/>
      <c r="XEC641"/>
      <c r="XED641"/>
      <c r="XEE641"/>
      <c r="XEF641"/>
      <c r="XEG641"/>
      <c r="XEH641"/>
      <c r="XEI641"/>
      <c r="XEJ641"/>
      <c r="XEK641"/>
      <c r="XEL641"/>
      <c r="XEM641"/>
      <c r="XEN641"/>
      <c r="XEO641"/>
      <c r="XEP641"/>
      <c r="XEQ641"/>
      <c r="XER641"/>
      <c r="XES641"/>
      <c r="XET641"/>
      <c r="XEU641"/>
      <c r="XEV641"/>
      <c r="XEW641"/>
      <c r="XEX641"/>
      <c r="XEY641"/>
      <c r="XEZ641"/>
      <c r="XFA641"/>
      <c r="XFB641"/>
      <c r="XFC641"/>
    </row>
    <row r="642" spans="1:20 16329:16383" s="38" customFormat="1" ht="29.1" customHeight="1" outlineLevel="6" x14ac:dyDescent="0.25">
      <c r="A642" s="49" t="s">
        <v>1296</v>
      </c>
      <c r="B642" s="50"/>
      <c r="C642" s="50"/>
      <c r="D642" s="3" t="s">
        <v>1242</v>
      </c>
      <c r="E642" s="3"/>
      <c r="F642" s="51" t="s">
        <v>1163</v>
      </c>
      <c r="G642" s="50" t="s">
        <v>102</v>
      </c>
      <c r="H642" s="52">
        <f>1</f>
        <v>1</v>
      </c>
      <c r="I642" s="36"/>
      <c r="J642" s="52">
        <v>1</v>
      </c>
      <c r="K642" s="53">
        <f>0</f>
        <v>0</v>
      </c>
      <c r="L642" s="53">
        <f>0</f>
        <v>0</v>
      </c>
      <c r="M642" s="53">
        <f>0</f>
        <v>0</v>
      </c>
      <c r="N642" s="54">
        <f>SUM(K642:M642)</f>
        <v>0</v>
      </c>
      <c r="O642" s="54">
        <f>ROUND((H642*K642),2)</f>
        <v>0</v>
      </c>
      <c r="P642" s="54">
        <f>ROUND((H642*L642),2)</f>
        <v>0</v>
      </c>
      <c r="Q642" s="54">
        <f>ROUND((H642*M642),2)</f>
        <v>0</v>
      </c>
      <c r="R642" s="54">
        <f>ROUND((H642*N642),2)</f>
        <v>0</v>
      </c>
      <c r="S642" s="54"/>
      <c r="T642" s="36"/>
      <c r="XDA642"/>
      <c r="XDB642"/>
      <c r="XDC642"/>
      <c r="XDD642"/>
      <c r="XDE642"/>
      <c r="XDF642"/>
      <c r="XDG642"/>
      <c r="XDH642"/>
      <c r="XDI642"/>
      <c r="XDJ642"/>
      <c r="XDK642"/>
      <c r="XDL642"/>
      <c r="XDM642"/>
      <c r="XDN642"/>
      <c r="XDO642"/>
      <c r="XDP642"/>
      <c r="XDQ642"/>
      <c r="XDR642"/>
      <c r="XDS642"/>
      <c r="XDT642"/>
      <c r="XDU642"/>
      <c r="XDV642"/>
      <c r="XDW642"/>
      <c r="XDX642"/>
      <c r="XDY642"/>
      <c r="XDZ642"/>
      <c r="XEA642"/>
      <c r="XEB642"/>
      <c r="XEC642"/>
      <c r="XED642"/>
      <c r="XEE642"/>
      <c r="XEF642"/>
      <c r="XEG642"/>
      <c r="XEH642"/>
      <c r="XEI642"/>
      <c r="XEJ642"/>
      <c r="XEK642"/>
      <c r="XEL642"/>
      <c r="XEM642"/>
      <c r="XEN642"/>
      <c r="XEO642"/>
      <c r="XEP642"/>
      <c r="XEQ642"/>
      <c r="XER642"/>
      <c r="XES642"/>
      <c r="XET642"/>
      <c r="XEU642"/>
      <c r="XEV642"/>
      <c r="XEW642"/>
      <c r="XEX642"/>
      <c r="XEY642"/>
      <c r="XEZ642"/>
      <c r="XFA642"/>
      <c r="XFB642"/>
      <c r="XFC642"/>
    </row>
    <row r="643" spans="1:20 16329:16383" s="38" customFormat="1" ht="29.1" customHeight="1" outlineLevel="5" x14ac:dyDescent="0.25">
      <c r="A643" s="65" t="s">
        <v>1297</v>
      </c>
      <c r="B643" s="66" t="s">
        <v>1298</v>
      </c>
      <c r="C643" s="66"/>
      <c r="D643" s="98" t="s">
        <v>1265</v>
      </c>
      <c r="E643" s="98"/>
      <c r="F643" s="67" t="s">
        <v>1299</v>
      </c>
      <c r="G643" s="66"/>
      <c r="H643" s="68"/>
      <c r="I643" s="36"/>
      <c r="J643" s="68"/>
      <c r="K643" s="69"/>
      <c r="L643" s="69"/>
      <c r="M643" s="69"/>
      <c r="N643" s="69"/>
      <c r="O643" s="69">
        <f>O644</f>
        <v>0</v>
      </c>
      <c r="P643" s="69">
        <f>P644</f>
        <v>0</v>
      </c>
      <c r="Q643" s="69">
        <f>Q644</f>
        <v>0</v>
      </c>
      <c r="R643" s="69">
        <f>R644</f>
        <v>0</v>
      </c>
      <c r="S643" s="69"/>
      <c r="T643" s="36"/>
      <c r="XDA643"/>
      <c r="XDB643"/>
      <c r="XDC643"/>
      <c r="XDD643"/>
      <c r="XDE643"/>
      <c r="XDF643"/>
      <c r="XDG643"/>
      <c r="XDH643"/>
      <c r="XDI643"/>
      <c r="XDJ643"/>
      <c r="XDK643"/>
      <c r="XDL643"/>
      <c r="XDM643"/>
      <c r="XDN643"/>
      <c r="XDO643"/>
      <c r="XDP643"/>
      <c r="XDQ643"/>
      <c r="XDR643"/>
      <c r="XDS643"/>
      <c r="XDT643"/>
      <c r="XDU643"/>
      <c r="XDV643"/>
      <c r="XDW643"/>
      <c r="XDX643"/>
      <c r="XDY643"/>
      <c r="XDZ643"/>
      <c r="XEA643"/>
      <c r="XEB643"/>
      <c r="XEC643"/>
      <c r="XED643"/>
      <c r="XEE643"/>
      <c r="XEF643"/>
      <c r="XEG643"/>
      <c r="XEH643"/>
      <c r="XEI643"/>
      <c r="XEJ643"/>
      <c r="XEK643"/>
      <c r="XEL643"/>
      <c r="XEM643"/>
      <c r="XEN643"/>
      <c r="XEO643"/>
      <c r="XEP643"/>
      <c r="XEQ643"/>
      <c r="XER643"/>
      <c r="XES643"/>
      <c r="XET643"/>
      <c r="XEU643"/>
      <c r="XEV643"/>
      <c r="XEW643"/>
      <c r="XEX643"/>
      <c r="XEY643"/>
      <c r="XEZ643"/>
      <c r="XFA643"/>
      <c r="XFB643"/>
      <c r="XFC643"/>
    </row>
    <row r="644" spans="1:20 16329:16383" s="38" customFormat="1" ht="29.1" customHeight="1" outlineLevel="6" x14ac:dyDescent="0.25">
      <c r="A644" s="49" t="s">
        <v>1300</v>
      </c>
      <c r="B644" s="50"/>
      <c r="C644" s="50"/>
      <c r="D644" s="3" t="s">
        <v>1247</v>
      </c>
      <c r="E644" s="3"/>
      <c r="F644" s="51" t="s">
        <v>1163</v>
      </c>
      <c r="G644" s="50" t="s">
        <v>102</v>
      </c>
      <c r="H644" s="52">
        <f>1</f>
        <v>1</v>
      </c>
      <c r="I644" s="36"/>
      <c r="J644" s="52">
        <v>1</v>
      </c>
      <c r="K644" s="53">
        <f>0</f>
        <v>0</v>
      </c>
      <c r="L644" s="53">
        <f>0</f>
        <v>0</v>
      </c>
      <c r="M644" s="53">
        <f>0</f>
        <v>0</v>
      </c>
      <c r="N644" s="54">
        <f>SUM(K644:M644)</f>
        <v>0</v>
      </c>
      <c r="O644" s="54">
        <f>ROUND((H644*K644),2)</f>
        <v>0</v>
      </c>
      <c r="P644" s="54">
        <f>ROUND((H644*L644),2)</f>
        <v>0</v>
      </c>
      <c r="Q644" s="54">
        <f>ROUND((H644*M644),2)</f>
        <v>0</v>
      </c>
      <c r="R644" s="54">
        <f>ROUND((H644*N644),2)</f>
        <v>0</v>
      </c>
      <c r="S644" s="54"/>
      <c r="T644" s="36"/>
      <c r="XDA644"/>
      <c r="XDB644"/>
      <c r="XDC644"/>
      <c r="XDD644"/>
      <c r="XDE644"/>
      <c r="XDF644"/>
      <c r="XDG644"/>
      <c r="XDH644"/>
      <c r="XDI644"/>
      <c r="XDJ644"/>
      <c r="XDK644"/>
      <c r="XDL644"/>
      <c r="XDM644"/>
      <c r="XDN644"/>
      <c r="XDO644"/>
      <c r="XDP644"/>
      <c r="XDQ644"/>
      <c r="XDR644"/>
      <c r="XDS644"/>
      <c r="XDT644"/>
      <c r="XDU644"/>
      <c r="XDV644"/>
      <c r="XDW644"/>
      <c r="XDX644"/>
      <c r="XDY644"/>
      <c r="XDZ644"/>
      <c r="XEA644"/>
      <c r="XEB644"/>
      <c r="XEC644"/>
      <c r="XED644"/>
      <c r="XEE644"/>
      <c r="XEF644"/>
      <c r="XEG644"/>
      <c r="XEH644"/>
      <c r="XEI644"/>
      <c r="XEJ644"/>
      <c r="XEK644"/>
      <c r="XEL644"/>
      <c r="XEM644"/>
      <c r="XEN644"/>
      <c r="XEO644"/>
      <c r="XEP644"/>
      <c r="XEQ644"/>
      <c r="XER644"/>
      <c r="XES644"/>
      <c r="XET644"/>
      <c r="XEU644"/>
      <c r="XEV644"/>
      <c r="XEW644"/>
      <c r="XEX644"/>
      <c r="XEY644"/>
      <c r="XEZ644"/>
      <c r="XFA644"/>
      <c r="XFB644"/>
      <c r="XFC644"/>
    </row>
    <row r="645" spans="1:20 16329:16383" s="38" customFormat="1" ht="29.1" customHeight="1" outlineLevel="5" x14ac:dyDescent="0.25">
      <c r="A645" s="65" t="s">
        <v>1301</v>
      </c>
      <c r="B645" s="66" t="s">
        <v>1302</v>
      </c>
      <c r="C645" s="66"/>
      <c r="D645" s="98" t="s">
        <v>1250</v>
      </c>
      <c r="E645" s="98"/>
      <c r="F645" s="67" t="s">
        <v>1303</v>
      </c>
      <c r="G645" s="66"/>
      <c r="H645" s="68"/>
      <c r="I645" s="36"/>
      <c r="J645" s="68"/>
      <c r="K645" s="69"/>
      <c r="L645" s="69"/>
      <c r="M645" s="69"/>
      <c r="N645" s="69"/>
      <c r="O645" s="69">
        <f>O646</f>
        <v>0</v>
      </c>
      <c r="P645" s="69">
        <f>P646</f>
        <v>0</v>
      </c>
      <c r="Q645" s="69">
        <f>Q646</f>
        <v>0</v>
      </c>
      <c r="R645" s="69">
        <f>R646</f>
        <v>0</v>
      </c>
      <c r="S645" s="69"/>
      <c r="T645" s="36"/>
      <c r="XDA645"/>
      <c r="XDB645"/>
      <c r="XDC645"/>
      <c r="XDD645"/>
      <c r="XDE645"/>
      <c r="XDF645"/>
      <c r="XDG645"/>
      <c r="XDH645"/>
      <c r="XDI645"/>
      <c r="XDJ645"/>
      <c r="XDK645"/>
      <c r="XDL645"/>
      <c r="XDM645"/>
      <c r="XDN645"/>
      <c r="XDO645"/>
      <c r="XDP645"/>
      <c r="XDQ645"/>
      <c r="XDR645"/>
      <c r="XDS645"/>
      <c r="XDT645"/>
      <c r="XDU645"/>
      <c r="XDV645"/>
      <c r="XDW645"/>
      <c r="XDX645"/>
      <c r="XDY645"/>
      <c r="XDZ645"/>
      <c r="XEA645"/>
      <c r="XEB645"/>
      <c r="XEC645"/>
      <c r="XED645"/>
      <c r="XEE645"/>
      <c r="XEF645"/>
      <c r="XEG645"/>
      <c r="XEH645"/>
      <c r="XEI645"/>
      <c r="XEJ645"/>
      <c r="XEK645"/>
      <c r="XEL645"/>
      <c r="XEM645"/>
      <c r="XEN645"/>
      <c r="XEO645"/>
      <c r="XEP645"/>
      <c r="XEQ645"/>
      <c r="XER645"/>
      <c r="XES645"/>
      <c r="XET645"/>
      <c r="XEU645"/>
      <c r="XEV645"/>
      <c r="XEW645"/>
      <c r="XEX645"/>
      <c r="XEY645"/>
      <c r="XEZ645"/>
      <c r="XFA645"/>
      <c r="XFB645"/>
      <c r="XFC645"/>
    </row>
    <row r="646" spans="1:20 16329:16383" s="38" customFormat="1" ht="29.1" customHeight="1" outlineLevel="6" x14ac:dyDescent="0.25">
      <c r="A646" s="49" t="s">
        <v>1304</v>
      </c>
      <c r="B646" s="50"/>
      <c r="C646" s="50"/>
      <c r="D646" s="3" t="s">
        <v>1253</v>
      </c>
      <c r="E646" s="3"/>
      <c r="F646" s="51" t="s">
        <v>1163</v>
      </c>
      <c r="G646" s="50" t="s">
        <v>102</v>
      </c>
      <c r="H646" s="52">
        <f>1</f>
        <v>1</v>
      </c>
      <c r="I646" s="36"/>
      <c r="J646" s="52">
        <v>1</v>
      </c>
      <c r="K646" s="53">
        <f>0</f>
        <v>0</v>
      </c>
      <c r="L646" s="53">
        <f>0</f>
        <v>0</v>
      </c>
      <c r="M646" s="53">
        <f>0</f>
        <v>0</v>
      </c>
      <c r="N646" s="54">
        <f>SUM(K646:M646)</f>
        <v>0</v>
      </c>
      <c r="O646" s="54">
        <f>ROUND((H646*K646),2)</f>
        <v>0</v>
      </c>
      <c r="P646" s="54">
        <f>ROUND((H646*L646),2)</f>
        <v>0</v>
      </c>
      <c r="Q646" s="54">
        <f>ROUND((H646*M646),2)</f>
        <v>0</v>
      </c>
      <c r="R646" s="54">
        <f>ROUND((H646*N646),2)</f>
        <v>0</v>
      </c>
      <c r="S646" s="54"/>
      <c r="T646" s="36"/>
      <c r="XDA646"/>
      <c r="XDB646"/>
      <c r="XDC646"/>
      <c r="XDD646"/>
      <c r="XDE646"/>
      <c r="XDF646"/>
      <c r="XDG646"/>
      <c r="XDH646"/>
      <c r="XDI646"/>
      <c r="XDJ646"/>
      <c r="XDK646"/>
      <c r="XDL646"/>
      <c r="XDM646"/>
      <c r="XDN646"/>
      <c r="XDO646"/>
      <c r="XDP646"/>
      <c r="XDQ646"/>
      <c r="XDR646"/>
      <c r="XDS646"/>
      <c r="XDT646"/>
      <c r="XDU646"/>
      <c r="XDV646"/>
      <c r="XDW646"/>
      <c r="XDX646"/>
      <c r="XDY646"/>
      <c r="XDZ646"/>
      <c r="XEA646"/>
      <c r="XEB646"/>
      <c r="XEC646"/>
      <c r="XED646"/>
      <c r="XEE646"/>
      <c r="XEF646"/>
      <c r="XEG646"/>
      <c r="XEH646"/>
      <c r="XEI646"/>
      <c r="XEJ646"/>
      <c r="XEK646"/>
      <c r="XEL646"/>
      <c r="XEM646"/>
      <c r="XEN646"/>
      <c r="XEO646"/>
      <c r="XEP646"/>
      <c r="XEQ646"/>
      <c r="XER646"/>
      <c r="XES646"/>
      <c r="XET646"/>
      <c r="XEU646"/>
      <c r="XEV646"/>
      <c r="XEW646"/>
      <c r="XEX646"/>
      <c r="XEY646"/>
      <c r="XEZ646"/>
      <c r="XFA646"/>
      <c r="XFB646"/>
      <c r="XFC646"/>
    </row>
    <row r="647" spans="1:20 16329:16383" s="38" customFormat="1" ht="29.1" customHeight="1" outlineLevel="5" x14ac:dyDescent="0.25">
      <c r="A647" s="65" t="s">
        <v>1305</v>
      </c>
      <c r="B647" s="66" t="s">
        <v>1306</v>
      </c>
      <c r="C647" s="66"/>
      <c r="D647" s="98" t="s">
        <v>782</v>
      </c>
      <c r="E647" s="98"/>
      <c r="F647" s="67" t="s">
        <v>986</v>
      </c>
      <c r="G647" s="66"/>
      <c r="H647" s="68"/>
      <c r="I647" s="36"/>
      <c r="J647" s="68"/>
      <c r="K647" s="69"/>
      <c r="L647" s="69"/>
      <c r="M647" s="69"/>
      <c r="N647" s="69"/>
      <c r="O647" s="69">
        <f>O648</f>
        <v>0</v>
      </c>
      <c r="P647" s="69">
        <f>P648</f>
        <v>0</v>
      </c>
      <c r="Q647" s="69">
        <f>Q648</f>
        <v>0</v>
      </c>
      <c r="R647" s="69">
        <f>R648</f>
        <v>0</v>
      </c>
      <c r="S647" s="69"/>
      <c r="T647" s="36"/>
      <c r="XDA647"/>
      <c r="XDB647"/>
      <c r="XDC647"/>
      <c r="XDD647"/>
      <c r="XDE647"/>
      <c r="XDF647"/>
      <c r="XDG647"/>
      <c r="XDH647"/>
      <c r="XDI647"/>
      <c r="XDJ647"/>
      <c r="XDK647"/>
      <c r="XDL647"/>
      <c r="XDM647"/>
      <c r="XDN647"/>
      <c r="XDO647"/>
      <c r="XDP647"/>
      <c r="XDQ647"/>
      <c r="XDR647"/>
      <c r="XDS647"/>
      <c r="XDT647"/>
      <c r="XDU647"/>
      <c r="XDV647"/>
      <c r="XDW647"/>
      <c r="XDX647"/>
      <c r="XDY647"/>
      <c r="XDZ647"/>
      <c r="XEA647"/>
      <c r="XEB647"/>
      <c r="XEC647"/>
      <c r="XED647"/>
      <c r="XEE647"/>
      <c r="XEF647"/>
      <c r="XEG647"/>
      <c r="XEH647"/>
      <c r="XEI647"/>
      <c r="XEJ647"/>
      <c r="XEK647"/>
      <c r="XEL647"/>
      <c r="XEM647"/>
      <c r="XEN647"/>
      <c r="XEO647"/>
      <c r="XEP647"/>
      <c r="XEQ647"/>
      <c r="XER647"/>
      <c r="XES647"/>
      <c r="XET647"/>
      <c r="XEU647"/>
      <c r="XEV647"/>
      <c r="XEW647"/>
      <c r="XEX647"/>
      <c r="XEY647"/>
      <c r="XEZ647"/>
      <c r="XFA647"/>
      <c r="XFB647"/>
      <c r="XFC647"/>
    </row>
    <row r="648" spans="1:20 16329:16383" s="38" customFormat="1" ht="29.1" customHeight="1" outlineLevel="6" x14ac:dyDescent="0.25">
      <c r="A648" s="49" t="s">
        <v>1307</v>
      </c>
      <c r="B648" s="50"/>
      <c r="C648" s="50"/>
      <c r="D648" s="3" t="s">
        <v>931</v>
      </c>
      <c r="E648" s="3"/>
      <c r="F648" s="51" t="s">
        <v>1163</v>
      </c>
      <c r="G648" s="50" t="s">
        <v>102</v>
      </c>
      <c r="H648" s="52">
        <f>1</f>
        <v>1</v>
      </c>
      <c r="I648" s="36"/>
      <c r="J648" s="52">
        <v>1</v>
      </c>
      <c r="K648" s="53">
        <f>0</f>
        <v>0</v>
      </c>
      <c r="L648" s="53">
        <f>0</f>
        <v>0</v>
      </c>
      <c r="M648" s="53">
        <f>0</f>
        <v>0</v>
      </c>
      <c r="N648" s="54">
        <f>SUM(K648:M648)</f>
        <v>0</v>
      </c>
      <c r="O648" s="54">
        <f>ROUND((H648*K648),2)</f>
        <v>0</v>
      </c>
      <c r="P648" s="54">
        <f>ROUND((H648*L648),2)</f>
        <v>0</v>
      </c>
      <c r="Q648" s="54">
        <f>ROUND((H648*M648),2)</f>
        <v>0</v>
      </c>
      <c r="R648" s="54">
        <f>ROUND((H648*N648),2)</f>
        <v>0</v>
      </c>
      <c r="S648" s="54"/>
      <c r="T648" s="36"/>
      <c r="XDA648"/>
      <c r="XDB648"/>
      <c r="XDC648"/>
      <c r="XDD648"/>
      <c r="XDE648"/>
      <c r="XDF648"/>
      <c r="XDG648"/>
      <c r="XDH648"/>
      <c r="XDI648"/>
      <c r="XDJ648"/>
      <c r="XDK648"/>
      <c r="XDL648"/>
      <c r="XDM648"/>
      <c r="XDN648"/>
      <c r="XDO648"/>
      <c r="XDP648"/>
      <c r="XDQ648"/>
      <c r="XDR648"/>
      <c r="XDS648"/>
      <c r="XDT648"/>
      <c r="XDU648"/>
      <c r="XDV648"/>
      <c r="XDW648"/>
      <c r="XDX648"/>
      <c r="XDY648"/>
      <c r="XDZ648"/>
      <c r="XEA648"/>
      <c r="XEB648"/>
      <c r="XEC648"/>
      <c r="XED648"/>
      <c r="XEE648"/>
      <c r="XEF648"/>
      <c r="XEG648"/>
      <c r="XEH648"/>
      <c r="XEI648"/>
      <c r="XEJ648"/>
      <c r="XEK648"/>
      <c r="XEL648"/>
      <c r="XEM648"/>
      <c r="XEN648"/>
      <c r="XEO648"/>
      <c r="XEP648"/>
      <c r="XEQ648"/>
      <c r="XER648"/>
      <c r="XES648"/>
      <c r="XET648"/>
      <c r="XEU648"/>
      <c r="XEV648"/>
      <c r="XEW648"/>
      <c r="XEX648"/>
      <c r="XEY648"/>
      <c r="XEZ648"/>
      <c r="XFA648"/>
      <c r="XFB648"/>
      <c r="XFC648"/>
    </row>
    <row r="649" spans="1:20 16329:16383" s="38" customFormat="1" ht="29.1" customHeight="1" outlineLevel="3" x14ac:dyDescent="0.25">
      <c r="A649" s="55" t="s">
        <v>1308</v>
      </c>
      <c r="B649" s="56" t="s">
        <v>1309</v>
      </c>
      <c r="C649" s="56" t="s">
        <v>1310</v>
      </c>
      <c r="D649" s="2" t="s">
        <v>1189</v>
      </c>
      <c r="E649" s="2"/>
      <c r="F649" s="57"/>
      <c r="G649" s="56" t="s">
        <v>102</v>
      </c>
      <c r="H649" s="58"/>
      <c r="I649" s="36"/>
      <c r="J649" s="58"/>
      <c r="K649" s="59"/>
      <c r="L649" s="59"/>
      <c r="M649" s="59"/>
      <c r="N649" s="59"/>
      <c r="O649" s="59">
        <f>O650+O657+O662+O669</f>
        <v>0</v>
      </c>
      <c r="P649" s="59">
        <f>P650+P657+P662+P669</f>
        <v>0</v>
      </c>
      <c r="Q649" s="59">
        <f>Q650+Q657+Q662+Q669</f>
        <v>0</v>
      </c>
      <c r="R649" s="59">
        <f>R650+R657+R662+R669</f>
        <v>0</v>
      </c>
      <c r="S649" s="59"/>
      <c r="T649" s="36"/>
      <c r="XDA649"/>
      <c r="XDB649"/>
      <c r="XDC649"/>
      <c r="XDD649"/>
      <c r="XDE649"/>
      <c r="XDF649"/>
      <c r="XDG649"/>
      <c r="XDH649"/>
      <c r="XDI649"/>
      <c r="XDJ649"/>
      <c r="XDK649"/>
      <c r="XDL649"/>
      <c r="XDM649"/>
      <c r="XDN649"/>
      <c r="XDO649"/>
      <c r="XDP649"/>
      <c r="XDQ649"/>
      <c r="XDR649"/>
      <c r="XDS649"/>
      <c r="XDT649"/>
      <c r="XDU649"/>
      <c r="XDV649"/>
      <c r="XDW649"/>
      <c r="XDX649"/>
      <c r="XDY649"/>
      <c r="XDZ649"/>
      <c r="XEA649"/>
      <c r="XEB649"/>
      <c r="XEC649"/>
      <c r="XED649"/>
      <c r="XEE649"/>
      <c r="XEF649"/>
      <c r="XEG649"/>
      <c r="XEH649"/>
      <c r="XEI649"/>
      <c r="XEJ649"/>
      <c r="XEK649"/>
      <c r="XEL649"/>
      <c r="XEM649"/>
      <c r="XEN649"/>
      <c r="XEO649"/>
      <c r="XEP649"/>
      <c r="XEQ649"/>
      <c r="XER649"/>
      <c r="XES649"/>
      <c r="XET649"/>
      <c r="XEU649"/>
      <c r="XEV649"/>
      <c r="XEW649"/>
      <c r="XEX649"/>
      <c r="XEY649"/>
      <c r="XEZ649"/>
      <c r="XFA649"/>
      <c r="XFB649"/>
      <c r="XFC649"/>
    </row>
    <row r="650" spans="1:20 16329:16383" s="38" customFormat="1" ht="29.1" customHeight="1" outlineLevel="4" x14ac:dyDescent="0.25">
      <c r="A650" s="60" t="s">
        <v>1311</v>
      </c>
      <c r="B650" s="61" t="s">
        <v>1312</v>
      </c>
      <c r="C650" s="61"/>
      <c r="D650" s="1" t="s">
        <v>857</v>
      </c>
      <c r="E650" s="1"/>
      <c r="F650" s="62"/>
      <c r="G650" s="61"/>
      <c r="H650" s="63"/>
      <c r="I650" s="36"/>
      <c r="J650" s="63"/>
      <c r="K650" s="64"/>
      <c r="L650" s="64"/>
      <c r="M650" s="64"/>
      <c r="N650" s="64"/>
      <c r="O650" s="64">
        <f>O651+O653+O655</f>
        <v>0</v>
      </c>
      <c r="P650" s="64">
        <f>P651+P653+P655</f>
        <v>0</v>
      </c>
      <c r="Q650" s="64">
        <f>Q651+Q653+Q655</f>
        <v>0</v>
      </c>
      <c r="R650" s="64">
        <f>R651+R653+R655</f>
        <v>0</v>
      </c>
      <c r="S650" s="64"/>
      <c r="T650" s="36"/>
      <c r="XDA650"/>
      <c r="XDB650"/>
      <c r="XDC650"/>
      <c r="XDD650"/>
      <c r="XDE650"/>
      <c r="XDF650"/>
      <c r="XDG650"/>
      <c r="XDH650"/>
      <c r="XDI650"/>
      <c r="XDJ650"/>
      <c r="XDK650"/>
      <c r="XDL650"/>
      <c r="XDM650"/>
      <c r="XDN650"/>
      <c r="XDO650"/>
      <c r="XDP650"/>
      <c r="XDQ650"/>
      <c r="XDR650"/>
      <c r="XDS650"/>
      <c r="XDT650"/>
      <c r="XDU650"/>
      <c r="XDV650"/>
      <c r="XDW650"/>
      <c r="XDX650"/>
      <c r="XDY650"/>
      <c r="XDZ650"/>
      <c r="XEA650"/>
      <c r="XEB650"/>
      <c r="XEC650"/>
      <c r="XED650"/>
      <c r="XEE650"/>
      <c r="XEF650"/>
      <c r="XEG650"/>
      <c r="XEH650"/>
      <c r="XEI650"/>
      <c r="XEJ650"/>
      <c r="XEK650"/>
      <c r="XEL650"/>
      <c r="XEM650"/>
      <c r="XEN650"/>
      <c r="XEO650"/>
      <c r="XEP650"/>
      <c r="XEQ650"/>
      <c r="XER650"/>
      <c r="XES650"/>
      <c r="XET650"/>
      <c r="XEU650"/>
      <c r="XEV650"/>
      <c r="XEW650"/>
      <c r="XEX650"/>
      <c r="XEY650"/>
      <c r="XEZ650"/>
      <c r="XFA650"/>
      <c r="XFB650"/>
      <c r="XFC650"/>
    </row>
    <row r="651" spans="1:20 16329:16383" s="38" customFormat="1" ht="29.1" customHeight="1" outlineLevel="5" x14ac:dyDescent="0.25">
      <c r="A651" s="65" t="s">
        <v>1313</v>
      </c>
      <c r="B651" s="66" t="s">
        <v>1314</v>
      </c>
      <c r="C651" s="66"/>
      <c r="D651" s="98" t="s">
        <v>1239</v>
      </c>
      <c r="E651" s="98"/>
      <c r="F651" s="67" t="s">
        <v>1240</v>
      </c>
      <c r="G651" s="66"/>
      <c r="H651" s="68"/>
      <c r="I651" s="36"/>
      <c r="J651" s="68"/>
      <c r="K651" s="69"/>
      <c r="L651" s="69"/>
      <c r="M651" s="69"/>
      <c r="N651" s="69"/>
      <c r="O651" s="69">
        <f>O652</f>
        <v>0</v>
      </c>
      <c r="P651" s="69">
        <f>P652</f>
        <v>0</v>
      </c>
      <c r="Q651" s="69">
        <f>Q652</f>
        <v>0</v>
      </c>
      <c r="R651" s="69">
        <f>R652</f>
        <v>0</v>
      </c>
      <c r="S651" s="69"/>
      <c r="T651" s="36"/>
      <c r="XDA651"/>
      <c r="XDB651"/>
      <c r="XDC651"/>
      <c r="XDD651"/>
      <c r="XDE651"/>
      <c r="XDF651"/>
      <c r="XDG651"/>
      <c r="XDH651"/>
      <c r="XDI651"/>
      <c r="XDJ651"/>
      <c r="XDK651"/>
      <c r="XDL651"/>
      <c r="XDM651"/>
      <c r="XDN651"/>
      <c r="XDO651"/>
      <c r="XDP651"/>
      <c r="XDQ651"/>
      <c r="XDR651"/>
      <c r="XDS651"/>
      <c r="XDT651"/>
      <c r="XDU651"/>
      <c r="XDV651"/>
      <c r="XDW651"/>
      <c r="XDX651"/>
      <c r="XDY651"/>
      <c r="XDZ651"/>
      <c r="XEA651"/>
      <c r="XEB651"/>
      <c r="XEC651"/>
      <c r="XED651"/>
      <c r="XEE651"/>
      <c r="XEF651"/>
      <c r="XEG651"/>
      <c r="XEH651"/>
      <c r="XEI651"/>
      <c r="XEJ651"/>
      <c r="XEK651"/>
      <c r="XEL651"/>
      <c r="XEM651"/>
      <c r="XEN651"/>
      <c r="XEO651"/>
      <c r="XEP651"/>
      <c r="XEQ651"/>
      <c r="XER651"/>
      <c r="XES651"/>
      <c r="XET651"/>
      <c r="XEU651"/>
      <c r="XEV651"/>
      <c r="XEW651"/>
      <c r="XEX651"/>
      <c r="XEY651"/>
      <c r="XEZ651"/>
      <c r="XFA651"/>
      <c r="XFB651"/>
      <c r="XFC651"/>
    </row>
    <row r="652" spans="1:20 16329:16383" s="38" customFormat="1" ht="29.1" customHeight="1" outlineLevel="6" x14ac:dyDescent="0.25">
      <c r="A652" s="49" t="s">
        <v>1315</v>
      </c>
      <c r="B652" s="50"/>
      <c r="C652" s="50"/>
      <c r="D652" s="3" t="s">
        <v>1242</v>
      </c>
      <c r="E652" s="3"/>
      <c r="F652" s="51" t="s">
        <v>1189</v>
      </c>
      <c r="G652" s="50" t="s">
        <v>102</v>
      </c>
      <c r="H652" s="52">
        <f>1</f>
        <v>1</v>
      </c>
      <c r="I652" s="36"/>
      <c r="J652" s="52">
        <v>1</v>
      </c>
      <c r="K652" s="53">
        <f>0</f>
        <v>0</v>
      </c>
      <c r="L652" s="53">
        <f>0</f>
        <v>0</v>
      </c>
      <c r="M652" s="53">
        <f>0</f>
        <v>0</v>
      </c>
      <c r="N652" s="54">
        <f>SUM(K652:M652)</f>
        <v>0</v>
      </c>
      <c r="O652" s="54">
        <f>ROUND((H652*K652),2)</f>
        <v>0</v>
      </c>
      <c r="P652" s="54">
        <f>ROUND((H652*L652),2)</f>
        <v>0</v>
      </c>
      <c r="Q652" s="54">
        <f>ROUND((H652*M652),2)</f>
        <v>0</v>
      </c>
      <c r="R652" s="54">
        <f>ROUND((H652*N652),2)</f>
        <v>0</v>
      </c>
      <c r="S652" s="54"/>
      <c r="T652" s="36"/>
      <c r="XDA652"/>
      <c r="XDB652"/>
      <c r="XDC652"/>
      <c r="XDD652"/>
      <c r="XDE652"/>
      <c r="XDF652"/>
      <c r="XDG652"/>
      <c r="XDH652"/>
      <c r="XDI652"/>
      <c r="XDJ652"/>
      <c r="XDK652"/>
      <c r="XDL652"/>
      <c r="XDM652"/>
      <c r="XDN652"/>
      <c r="XDO652"/>
      <c r="XDP652"/>
      <c r="XDQ652"/>
      <c r="XDR652"/>
      <c r="XDS652"/>
      <c r="XDT652"/>
      <c r="XDU652"/>
      <c r="XDV652"/>
      <c r="XDW652"/>
      <c r="XDX652"/>
      <c r="XDY652"/>
      <c r="XDZ652"/>
      <c r="XEA652"/>
      <c r="XEB652"/>
      <c r="XEC652"/>
      <c r="XED652"/>
      <c r="XEE652"/>
      <c r="XEF652"/>
      <c r="XEG652"/>
      <c r="XEH652"/>
      <c r="XEI652"/>
      <c r="XEJ652"/>
      <c r="XEK652"/>
      <c r="XEL652"/>
      <c r="XEM652"/>
      <c r="XEN652"/>
      <c r="XEO652"/>
      <c r="XEP652"/>
      <c r="XEQ652"/>
      <c r="XER652"/>
      <c r="XES652"/>
      <c r="XET652"/>
      <c r="XEU652"/>
      <c r="XEV652"/>
      <c r="XEW652"/>
      <c r="XEX652"/>
      <c r="XEY652"/>
      <c r="XEZ652"/>
      <c r="XFA652"/>
      <c r="XFB652"/>
      <c r="XFC652"/>
    </row>
    <row r="653" spans="1:20 16329:16383" s="38" customFormat="1" ht="29.1" customHeight="1" outlineLevel="5" x14ac:dyDescent="0.25">
      <c r="A653" s="65" t="s">
        <v>1316</v>
      </c>
      <c r="B653" s="66" t="s">
        <v>1317</v>
      </c>
      <c r="C653" s="66"/>
      <c r="D653" s="98" t="s">
        <v>1172</v>
      </c>
      <c r="E653" s="98"/>
      <c r="F653" s="67" t="s">
        <v>1245</v>
      </c>
      <c r="G653" s="66"/>
      <c r="H653" s="68"/>
      <c r="I653" s="36"/>
      <c r="J653" s="68"/>
      <c r="K653" s="69"/>
      <c r="L653" s="69"/>
      <c r="M653" s="69"/>
      <c r="N653" s="69"/>
      <c r="O653" s="69">
        <f>O654</f>
        <v>0</v>
      </c>
      <c r="P653" s="69">
        <f>P654</f>
        <v>0</v>
      </c>
      <c r="Q653" s="69">
        <f>Q654</f>
        <v>0</v>
      </c>
      <c r="R653" s="69">
        <f>R654</f>
        <v>0</v>
      </c>
      <c r="S653" s="69"/>
      <c r="T653" s="36"/>
      <c r="XDA653"/>
      <c r="XDB653"/>
      <c r="XDC653"/>
      <c r="XDD653"/>
      <c r="XDE653"/>
      <c r="XDF653"/>
      <c r="XDG653"/>
      <c r="XDH653"/>
      <c r="XDI653"/>
      <c r="XDJ653"/>
      <c r="XDK653"/>
      <c r="XDL653"/>
      <c r="XDM653"/>
      <c r="XDN653"/>
      <c r="XDO653"/>
      <c r="XDP653"/>
      <c r="XDQ653"/>
      <c r="XDR653"/>
      <c r="XDS653"/>
      <c r="XDT653"/>
      <c r="XDU653"/>
      <c r="XDV653"/>
      <c r="XDW653"/>
      <c r="XDX653"/>
      <c r="XDY653"/>
      <c r="XDZ653"/>
      <c r="XEA653"/>
      <c r="XEB653"/>
      <c r="XEC653"/>
      <c r="XED653"/>
      <c r="XEE653"/>
      <c r="XEF653"/>
      <c r="XEG653"/>
      <c r="XEH653"/>
      <c r="XEI653"/>
      <c r="XEJ653"/>
      <c r="XEK653"/>
      <c r="XEL653"/>
      <c r="XEM653"/>
      <c r="XEN653"/>
      <c r="XEO653"/>
      <c r="XEP653"/>
      <c r="XEQ653"/>
      <c r="XER653"/>
      <c r="XES653"/>
      <c r="XET653"/>
      <c r="XEU653"/>
      <c r="XEV653"/>
      <c r="XEW653"/>
      <c r="XEX653"/>
      <c r="XEY653"/>
      <c r="XEZ653"/>
      <c r="XFA653"/>
      <c r="XFB653"/>
      <c r="XFC653"/>
    </row>
    <row r="654" spans="1:20 16329:16383" s="38" customFormat="1" ht="29.1" customHeight="1" outlineLevel="6" x14ac:dyDescent="0.25">
      <c r="A654" s="49" t="s">
        <v>1318</v>
      </c>
      <c r="B654" s="50"/>
      <c r="C654" s="50"/>
      <c r="D654" s="3" t="s">
        <v>1247</v>
      </c>
      <c r="E654" s="3"/>
      <c r="F654" s="51" t="s">
        <v>1189</v>
      </c>
      <c r="G654" s="50" t="s">
        <v>102</v>
      </c>
      <c r="H654" s="52">
        <f>1</f>
        <v>1</v>
      </c>
      <c r="I654" s="36"/>
      <c r="J654" s="52">
        <v>1</v>
      </c>
      <c r="K654" s="53">
        <f>0</f>
        <v>0</v>
      </c>
      <c r="L654" s="53">
        <f>0</f>
        <v>0</v>
      </c>
      <c r="M654" s="53">
        <f>0</f>
        <v>0</v>
      </c>
      <c r="N654" s="54">
        <f>SUM(K654:M654)</f>
        <v>0</v>
      </c>
      <c r="O654" s="54">
        <f>ROUND((H654*K654),2)</f>
        <v>0</v>
      </c>
      <c r="P654" s="54">
        <f>ROUND((H654*L654),2)</f>
        <v>0</v>
      </c>
      <c r="Q654" s="54">
        <f>ROUND((H654*M654),2)</f>
        <v>0</v>
      </c>
      <c r="R654" s="54">
        <f>ROUND((H654*N654),2)</f>
        <v>0</v>
      </c>
      <c r="S654" s="54"/>
      <c r="T654" s="36"/>
      <c r="XDA654"/>
      <c r="XDB654"/>
      <c r="XDC654"/>
      <c r="XDD654"/>
      <c r="XDE654"/>
      <c r="XDF654"/>
      <c r="XDG654"/>
      <c r="XDH654"/>
      <c r="XDI654"/>
      <c r="XDJ654"/>
      <c r="XDK654"/>
      <c r="XDL654"/>
      <c r="XDM654"/>
      <c r="XDN654"/>
      <c r="XDO654"/>
      <c r="XDP654"/>
      <c r="XDQ654"/>
      <c r="XDR654"/>
      <c r="XDS654"/>
      <c r="XDT654"/>
      <c r="XDU654"/>
      <c r="XDV654"/>
      <c r="XDW654"/>
      <c r="XDX654"/>
      <c r="XDY654"/>
      <c r="XDZ654"/>
      <c r="XEA654"/>
      <c r="XEB654"/>
      <c r="XEC654"/>
      <c r="XED654"/>
      <c r="XEE654"/>
      <c r="XEF654"/>
      <c r="XEG654"/>
      <c r="XEH654"/>
      <c r="XEI654"/>
      <c r="XEJ654"/>
      <c r="XEK654"/>
      <c r="XEL654"/>
      <c r="XEM654"/>
      <c r="XEN654"/>
      <c r="XEO654"/>
      <c r="XEP654"/>
      <c r="XEQ654"/>
      <c r="XER654"/>
      <c r="XES654"/>
      <c r="XET654"/>
      <c r="XEU654"/>
      <c r="XEV654"/>
      <c r="XEW654"/>
      <c r="XEX654"/>
      <c r="XEY654"/>
      <c r="XEZ654"/>
      <c r="XFA654"/>
      <c r="XFB654"/>
      <c r="XFC654"/>
    </row>
    <row r="655" spans="1:20 16329:16383" s="38" customFormat="1" ht="29.1" customHeight="1" outlineLevel="5" x14ac:dyDescent="0.25">
      <c r="A655" s="65" t="s">
        <v>1319</v>
      </c>
      <c r="B655" s="66" t="s">
        <v>1320</v>
      </c>
      <c r="C655" s="66"/>
      <c r="D655" s="98" t="s">
        <v>1250</v>
      </c>
      <c r="E655" s="98"/>
      <c r="F655" s="67" t="s">
        <v>1251</v>
      </c>
      <c r="G655" s="66"/>
      <c r="H655" s="68"/>
      <c r="I655" s="36"/>
      <c r="J655" s="68"/>
      <c r="K655" s="69"/>
      <c r="L655" s="69"/>
      <c r="M655" s="69"/>
      <c r="N655" s="69"/>
      <c r="O655" s="69">
        <f>O656</f>
        <v>0</v>
      </c>
      <c r="P655" s="69">
        <f>P656</f>
        <v>0</v>
      </c>
      <c r="Q655" s="69">
        <f>Q656</f>
        <v>0</v>
      </c>
      <c r="R655" s="69">
        <f>R656</f>
        <v>0</v>
      </c>
      <c r="S655" s="69"/>
      <c r="T655" s="36"/>
      <c r="XDA655"/>
      <c r="XDB655"/>
      <c r="XDC655"/>
      <c r="XDD655"/>
      <c r="XDE655"/>
      <c r="XDF655"/>
      <c r="XDG655"/>
      <c r="XDH655"/>
      <c r="XDI655"/>
      <c r="XDJ655"/>
      <c r="XDK655"/>
      <c r="XDL655"/>
      <c r="XDM655"/>
      <c r="XDN655"/>
      <c r="XDO655"/>
      <c r="XDP655"/>
      <c r="XDQ655"/>
      <c r="XDR655"/>
      <c r="XDS655"/>
      <c r="XDT655"/>
      <c r="XDU655"/>
      <c r="XDV655"/>
      <c r="XDW655"/>
      <c r="XDX655"/>
      <c r="XDY655"/>
      <c r="XDZ655"/>
      <c r="XEA655"/>
      <c r="XEB655"/>
      <c r="XEC655"/>
      <c r="XED655"/>
      <c r="XEE655"/>
      <c r="XEF655"/>
      <c r="XEG655"/>
      <c r="XEH655"/>
      <c r="XEI655"/>
      <c r="XEJ655"/>
      <c r="XEK655"/>
      <c r="XEL655"/>
      <c r="XEM655"/>
      <c r="XEN655"/>
      <c r="XEO655"/>
      <c r="XEP655"/>
      <c r="XEQ655"/>
      <c r="XER655"/>
      <c r="XES655"/>
      <c r="XET655"/>
      <c r="XEU655"/>
      <c r="XEV655"/>
      <c r="XEW655"/>
      <c r="XEX655"/>
      <c r="XEY655"/>
      <c r="XEZ655"/>
      <c r="XFA655"/>
      <c r="XFB655"/>
      <c r="XFC655"/>
    </row>
    <row r="656" spans="1:20 16329:16383" s="38" customFormat="1" ht="29.1" customHeight="1" outlineLevel="6" x14ac:dyDescent="0.25">
      <c r="A656" s="49" t="s">
        <v>1321</v>
      </c>
      <c r="B656" s="50"/>
      <c r="C656" s="50"/>
      <c r="D656" s="3" t="s">
        <v>1253</v>
      </c>
      <c r="E656" s="3"/>
      <c r="F656" s="51" t="s">
        <v>1189</v>
      </c>
      <c r="G656" s="50" t="s">
        <v>102</v>
      </c>
      <c r="H656" s="52">
        <f>1</f>
        <v>1</v>
      </c>
      <c r="I656" s="36"/>
      <c r="J656" s="52">
        <v>1</v>
      </c>
      <c r="K656" s="53">
        <f>0</f>
        <v>0</v>
      </c>
      <c r="L656" s="53">
        <f>0</f>
        <v>0</v>
      </c>
      <c r="M656" s="53">
        <f>0</f>
        <v>0</v>
      </c>
      <c r="N656" s="54">
        <f>SUM(K656:M656)</f>
        <v>0</v>
      </c>
      <c r="O656" s="54">
        <f>ROUND((H656*K656),2)</f>
        <v>0</v>
      </c>
      <c r="P656" s="54">
        <f>ROUND((H656*L656),2)</f>
        <v>0</v>
      </c>
      <c r="Q656" s="54">
        <f>ROUND((H656*M656),2)</f>
        <v>0</v>
      </c>
      <c r="R656" s="54">
        <f>ROUND((H656*N656),2)</f>
        <v>0</v>
      </c>
      <c r="S656" s="54"/>
      <c r="T656" s="36"/>
      <c r="XDA656"/>
      <c r="XDB656"/>
      <c r="XDC656"/>
      <c r="XDD656"/>
      <c r="XDE656"/>
      <c r="XDF656"/>
      <c r="XDG656"/>
      <c r="XDH656"/>
      <c r="XDI656"/>
      <c r="XDJ656"/>
      <c r="XDK656"/>
      <c r="XDL656"/>
      <c r="XDM656"/>
      <c r="XDN656"/>
      <c r="XDO656"/>
      <c r="XDP656"/>
      <c r="XDQ656"/>
      <c r="XDR656"/>
      <c r="XDS656"/>
      <c r="XDT656"/>
      <c r="XDU656"/>
      <c r="XDV656"/>
      <c r="XDW656"/>
      <c r="XDX656"/>
      <c r="XDY656"/>
      <c r="XDZ656"/>
      <c r="XEA656"/>
      <c r="XEB656"/>
      <c r="XEC656"/>
      <c r="XED656"/>
      <c r="XEE656"/>
      <c r="XEF656"/>
      <c r="XEG656"/>
      <c r="XEH656"/>
      <c r="XEI656"/>
      <c r="XEJ656"/>
      <c r="XEK656"/>
      <c r="XEL656"/>
      <c r="XEM656"/>
      <c r="XEN656"/>
      <c r="XEO656"/>
      <c r="XEP656"/>
      <c r="XEQ656"/>
      <c r="XER656"/>
      <c r="XES656"/>
      <c r="XET656"/>
      <c r="XEU656"/>
      <c r="XEV656"/>
      <c r="XEW656"/>
      <c r="XEX656"/>
      <c r="XEY656"/>
      <c r="XEZ656"/>
      <c r="XFA656"/>
      <c r="XFB656"/>
      <c r="XFC656"/>
    </row>
    <row r="657" spans="1:20 16329:16383" s="38" customFormat="1" ht="29.1" customHeight="1" outlineLevel="4" x14ac:dyDescent="0.25">
      <c r="A657" s="60" t="s">
        <v>1322</v>
      </c>
      <c r="B657" s="61" t="s">
        <v>1323</v>
      </c>
      <c r="C657" s="61"/>
      <c r="D657" s="1" t="s">
        <v>902</v>
      </c>
      <c r="E657" s="1"/>
      <c r="F657" s="62"/>
      <c r="G657" s="61"/>
      <c r="H657" s="63"/>
      <c r="I657" s="36"/>
      <c r="J657" s="63"/>
      <c r="K657" s="64"/>
      <c r="L657" s="64"/>
      <c r="M657" s="64"/>
      <c r="N657" s="64"/>
      <c r="O657" s="64">
        <f>O658+O660</f>
        <v>0</v>
      </c>
      <c r="P657" s="64">
        <f>P658+P660</f>
        <v>0</v>
      </c>
      <c r="Q657" s="64">
        <f>Q658+Q660</f>
        <v>0</v>
      </c>
      <c r="R657" s="64">
        <f>R658+R660</f>
        <v>0</v>
      </c>
      <c r="S657" s="64"/>
      <c r="T657" s="36"/>
      <c r="XDA657"/>
      <c r="XDB657"/>
      <c r="XDC657"/>
      <c r="XDD657"/>
      <c r="XDE657"/>
      <c r="XDF657"/>
      <c r="XDG657"/>
      <c r="XDH657"/>
      <c r="XDI657"/>
      <c r="XDJ657"/>
      <c r="XDK657"/>
      <c r="XDL657"/>
      <c r="XDM657"/>
      <c r="XDN657"/>
      <c r="XDO657"/>
      <c r="XDP657"/>
      <c r="XDQ657"/>
      <c r="XDR657"/>
      <c r="XDS657"/>
      <c r="XDT657"/>
      <c r="XDU657"/>
      <c r="XDV657"/>
      <c r="XDW657"/>
      <c r="XDX657"/>
      <c r="XDY657"/>
      <c r="XDZ657"/>
      <c r="XEA657"/>
      <c r="XEB657"/>
      <c r="XEC657"/>
      <c r="XED657"/>
      <c r="XEE657"/>
      <c r="XEF657"/>
      <c r="XEG657"/>
      <c r="XEH657"/>
      <c r="XEI657"/>
      <c r="XEJ657"/>
      <c r="XEK657"/>
      <c r="XEL657"/>
      <c r="XEM657"/>
      <c r="XEN657"/>
      <c r="XEO657"/>
      <c r="XEP657"/>
      <c r="XEQ657"/>
      <c r="XER657"/>
      <c r="XES657"/>
      <c r="XET657"/>
      <c r="XEU657"/>
      <c r="XEV657"/>
      <c r="XEW657"/>
      <c r="XEX657"/>
      <c r="XEY657"/>
      <c r="XEZ657"/>
      <c r="XFA657"/>
      <c r="XFB657"/>
      <c r="XFC657"/>
    </row>
    <row r="658" spans="1:20 16329:16383" s="38" customFormat="1" ht="29.1" customHeight="1" outlineLevel="5" x14ac:dyDescent="0.25">
      <c r="A658" s="65" t="s">
        <v>1324</v>
      </c>
      <c r="B658" s="66" t="s">
        <v>1325</v>
      </c>
      <c r="C658" s="66"/>
      <c r="D658" s="98" t="s">
        <v>1239</v>
      </c>
      <c r="E658" s="98"/>
      <c r="F658" s="67" t="s">
        <v>1261</v>
      </c>
      <c r="G658" s="66"/>
      <c r="H658" s="68"/>
      <c r="I658" s="36"/>
      <c r="J658" s="68"/>
      <c r="K658" s="69"/>
      <c r="L658" s="69"/>
      <c r="M658" s="69"/>
      <c r="N658" s="69"/>
      <c r="O658" s="69">
        <f>O659</f>
        <v>0</v>
      </c>
      <c r="P658" s="69">
        <f>P659</f>
        <v>0</v>
      </c>
      <c r="Q658" s="69">
        <f>Q659</f>
        <v>0</v>
      </c>
      <c r="R658" s="69">
        <f>R659</f>
        <v>0</v>
      </c>
      <c r="S658" s="69"/>
      <c r="T658" s="36"/>
      <c r="XDA658"/>
      <c r="XDB658"/>
      <c r="XDC658"/>
      <c r="XDD658"/>
      <c r="XDE658"/>
      <c r="XDF658"/>
      <c r="XDG658"/>
      <c r="XDH658"/>
      <c r="XDI658"/>
      <c r="XDJ658"/>
      <c r="XDK658"/>
      <c r="XDL658"/>
      <c r="XDM658"/>
      <c r="XDN658"/>
      <c r="XDO658"/>
      <c r="XDP658"/>
      <c r="XDQ658"/>
      <c r="XDR658"/>
      <c r="XDS658"/>
      <c r="XDT658"/>
      <c r="XDU658"/>
      <c r="XDV658"/>
      <c r="XDW658"/>
      <c r="XDX658"/>
      <c r="XDY658"/>
      <c r="XDZ658"/>
      <c r="XEA658"/>
      <c r="XEB658"/>
      <c r="XEC658"/>
      <c r="XED658"/>
      <c r="XEE658"/>
      <c r="XEF658"/>
      <c r="XEG658"/>
      <c r="XEH658"/>
      <c r="XEI658"/>
      <c r="XEJ658"/>
      <c r="XEK658"/>
      <c r="XEL658"/>
      <c r="XEM658"/>
      <c r="XEN658"/>
      <c r="XEO658"/>
      <c r="XEP658"/>
      <c r="XEQ658"/>
      <c r="XER658"/>
      <c r="XES658"/>
      <c r="XET658"/>
      <c r="XEU658"/>
      <c r="XEV658"/>
      <c r="XEW658"/>
      <c r="XEX658"/>
      <c r="XEY658"/>
      <c r="XEZ658"/>
      <c r="XFA658"/>
      <c r="XFB658"/>
      <c r="XFC658"/>
    </row>
    <row r="659" spans="1:20 16329:16383" s="38" customFormat="1" ht="29.1" customHeight="1" outlineLevel="6" x14ac:dyDescent="0.25">
      <c r="A659" s="49" t="s">
        <v>1326</v>
      </c>
      <c r="B659" s="50"/>
      <c r="C659" s="50"/>
      <c r="D659" s="3" t="s">
        <v>1242</v>
      </c>
      <c r="E659" s="3"/>
      <c r="F659" s="51" t="s">
        <v>1189</v>
      </c>
      <c r="G659" s="50" t="s">
        <v>102</v>
      </c>
      <c r="H659" s="52">
        <f>1</f>
        <v>1</v>
      </c>
      <c r="I659" s="36"/>
      <c r="J659" s="52">
        <v>1</v>
      </c>
      <c r="K659" s="53">
        <f>0</f>
        <v>0</v>
      </c>
      <c r="L659" s="53">
        <f>0</f>
        <v>0</v>
      </c>
      <c r="M659" s="53">
        <f>0</f>
        <v>0</v>
      </c>
      <c r="N659" s="54">
        <f>SUM(K659:M659)</f>
        <v>0</v>
      </c>
      <c r="O659" s="54">
        <f>ROUND((H659*K659),2)</f>
        <v>0</v>
      </c>
      <c r="P659" s="54">
        <f>ROUND((H659*L659),2)</f>
        <v>0</v>
      </c>
      <c r="Q659" s="54">
        <f>ROUND((H659*M659),2)</f>
        <v>0</v>
      </c>
      <c r="R659" s="54">
        <f>ROUND((H659*N659),2)</f>
        <v>0</v>
      </c>
      <c r="S659" s="54"/>
      <c r="T659" s="36"/>
      <c r="XDA659"/>
      <c r="XDB659"/>
      <c r="XDC659"/>
      <c r="XDD659"/>
      <c r="XDE659"/>
      <c r="XDF659"/>
      <c r="XDG659"/>
      <c r="XDH659"/>
      <c r="XDI659"/>
      <c r="XDJ659"/>
      <c r="XDK659"/>
      <c r="XDL659"/>
      <c r="XDM659"/>
      <c r="XDN659"/>
      <c r="XDO659"/>
      <c r="XDP659"/>
      <c r="XDQ659"/>
      <c r="XDR659"/>
      <c r="XDS659"/>
      <c r="XDT659"/>
      <c r="XDU659"/>
      <c r="XDV659"/>
      <c r="XDW659"/>
      <c r="XDX659"/>
      <c r="XDY659"/>
      <c r="XDZ659"/>
      <c r="XEA659"/>
      <c r="XEB659"/>
      <c r="XEC659"/>
      <c r="XED659"/>
      <c r="XEE659"/>
      <c r="XEF659"/>
      <c r="XEG659"/>
      <c r="XEH659"/>
      <c r="XEI659"/>
      <c r="XEJ659"/>
      <c r="XEK659"/>
      <c r="XEL659"/>
      <c r="XEM659"/>
      <c r="XEN659"/>
      <c r="XEO659"/>
      <c r="XEP659"/>
      <c r="XEQ659"/>
      <c r="XER659"/>
      <c r="XES659"/>
      <c r="XET659"/>
      <c r="XEU659"/>
      <c r="XEV659"/>
      <c r="XEW659"/>
      <c r="XEX659"/>
      <c r="XEY659"/>
      <c r="XEZ659"/>
      <c r="XFA659"/>
      <c r="XFB659"/>
      <c r="XFC659"/>
    </row>
    <row r="660" spans="1:20 16329:16383" s="38" customFormat="1" ht="29.1" customHeight="1" outlineLevel="5" x14ac:dyDescent="0.25">
      <c r="A660" s="65" t="s">
        <v>1327</v>
      </c>
      <c r="B660" s="66" t="s">
        <v>1328</v>
      </c>
      <c r="C660" s="66"/>
      <c r="D660" s="98" t="s">
        <v>1265</v>
      </c>
      <c r="E660" s="98"/>
      <c r="F660" s="67" t="s">
        <v>1266</v>
      </c>
      <c r="G660" s="66"/>
      <c r="H660" s="68"/>
      <c r="I660" s="36"/>
      <c r="J660" s="68"/>
      <c r="K660" s="69"/>
      <c r="L660" s="69"/>
      <c r="M660" s="69"/>
      <c r="N660" s="69"/>
      <c r="O660" s="69">
        <f>O661</f>
        <v>0</v>
      </c>
      <c r="P660" s="69">
        <f>P661</f>
        <v>0</v>
      </c>
      <c r="Q660" s="69">
        <f>Q661</f>
        <v>0</v>
      </c>
      <c r="R660" s="69">
        <f>R661</f>
        <v>0</v>
      </c>
      <c r="S660" s="69"/>
      <c r="T660" s="36"/>
      <c r="XDA660"/>
      <c r="XDB660"/>
      <c r="XDC660"/>
      <c r="XDD660"/>
      <c r="XDE660"/>
      <c r="XDF660"/>
      <c r="XDG660"/>
      <c r="XDH660"/>
      <c r="XDI660"/>
      <c r="XDJ660"/>
      <c r="XDK660"/>
      <c r="XDL660"/>
      <c r="XDM660"/>
      <c r="XDN660"/>
      <c r="XDO660"/>
      <c r="XDP660"/>
      <c r="XDQ660"/>
      <c r="XDR660"/>
      <c r="XDS660"/>
      <c r="XDT660"/>
      <c r="XDU660"/>
      <c r="XDV660"/>
      <c r="XDW660"/>
      <c r="XDX660"/>
      <c r="XDY660"/>
      <c r="XDZ660"/>
      <c r="XEA660"/>
      <c r="XEB660"/>
      <c r="XEC660"/>
      <c r="XED660"/>
      <c r="XEE660"/>
      <c r="XEF660"/>
      <c r="XEG660"/>
      <c r="XEH660"/>
      <c r="XEI660"/>
      <c r="XEJ660"/>
      <c r="XEK660"/>
      <c r="XEL660"/>
      <c r="XEM660"/>
      <c r="XEN660"/>
      <c r="XEO660"/>
      <c r="XEP660"/>
      <c r="XEQ660"/>
      <c r="XER660"/>
      <c r="XES660"/>
      <c r="XET660"/>
      <c r="XEU660"/>
      <c r="XEV660"/>
      <c r="XEW660"/>
      <c r="XEX660"/>
      <c r="XEY660"/>
      <c r="XEZ660"/>
      <c r="XFA660"/>
      <c r="XFB660"/>
      <c r="XFC660"/>
    </row>
    <row r="661" spans="1:20 16329:16383" s="38" customFormat="1" ht="29.1" customHeight="1" outlineLevel="6" x14ac:dyDescent="0.25">
      <c r="A661" s="49" t="s">
        <v>1329</v>
      </c>
      <c r="B661" s="50"/>
      <c r="C661" s="50"/>
      <c r="D661" s="3" t="s">
        <v>1247</v>
      </c>
      <c r="E661" s="3"/>
      <c r="F661" s="51" t="s">
        <v>1189</v>
      </c>
      <c r="G661" s="50" t="s">
        <v>102</v>
      </c>
      <c r="H661" s="52">
        <f>1</f>
        <v>1</v>
      </c>
      <c r="I661" s="36"/>
      <c r="J661" s="52">
        <v>1</v>
      </c>
      <c r="K661" s="53">
        <f>0</f>
        <v>0</v>
      </c>
      <c r="L661" s="53">
        <f>0</f>
        <v>0</v>
      </c>
      <c r="M661" s="53">
        <f>0</f>
        <v>0</v>
      </c>
      <c r="N661" s="54">
        <f>SUM(K661:M661)</f>
        <v>0</v>
      </c>
      <c r="O661" s="54">
        <f>ROUND((H661*K661),2)</f>
        <v>0</v>
      </c>
      <c r="P661" s="54">
        <f>ROUND((H661*L661),2)</f>
        <v>0</v>
      </c>
      <c r="Q661" s="54">
        <f>ROUND((H661*M661),2)</f>
        <v>0</v>
      </c>
      <c r="R661" s="54">
        <f>ROUND((H661*N661),2)</f>
        <v>0</v>
      </c>
      <c r="S661" s="54"/>
      <c r="T661" s="36"/>
      <c r="XDA661"/>
      <c r="XDB661"/>
      <c r="XDC661"/>
      <c r="XDD661"/>
      <c r="XDE661"/>
      <c r="XDF661"/>
      <c r="XDG661"/>
      <c r="XDH661"/>
      <c r="XDI661"/>
      <c r="XDJ661"/>
      <c r="XDK661"/>
      <c r="XDL661"/>
      <c r="XDM661"/>
      <c r="XDN661"/>
      <c r="XDO661"/>
      <c r="XDP661"/>
      <c r="XDQ661"/>
      <c r="XDR661"/>
      <c r="XDS661"/>
      <c r="XDT661"/>
      <c r="XDU661"/>
      <c r="XDV661"/>
      <c r="XDW661"/>
      <c r="XDX661"/>
      <c r="XDY661"/>
      <c r="XDZ661"/>
      <c r="XEA661"/>
      <c r="XEB661"/>
      <c r="XEC661"/>
      <c r="XED661"/>
      <c r="XEE661"/>
      <c r="XEF661"/>
      <c r="XEG661"/>
      <c r="XEH661"/>
      <c r="XEI661"/>
      <c r="XEJ661"/>
      <c r="XEK661"/>
      <c r="XEL661"/>
      <c r="XEM661"/>
      <c r="XEN661"/>
      <c r="XEO661"/>
      <c r="XEP661"/>
      <c r="XEQ661"/>
      <c r="XER661"/>
      <c r="XES661"/>
      <c r="XET661"/>
      <c r="XEU661"/>
      <c r="XEV661"/>
      <c r="XEW661"/>
      <c r="XEX661"/>
      <c r="XEY661"/>
      <c r="XEZ661"/>
      <c r="XFA661"/>
      <c r="XFB661"/>
      <c r="XFC661"/>
    </row>
    <row r="662" spans="1:20 16329:16383" s="38" customFormat="1" ht="29.1" customHeight="1" outlineLevel="4" x14ac:dyDescent="0.25">
      <c r="A662" s="60" t="s">
        <v>1330</v>
      </c>
      <c r="B662" s="61" t="s">
        <v>1331</v>
      </c>
      <c r="C662" s="61"/>
      <c r="D662" s="1" t="s">
        <v>919</v>
      </c>
      <c r="E662" s="1"/>
      <c r="F662" s="62"/>
      <c r="G662" s="61"/>
      <c r="H662" s="63"/>
      <c r="I662" s="36"/>
      <c r="J662" s="63"/>
      <c r="K662" s="64"/>
      <c r="L662" s="64"/>
      <c r="M662" s="64"/>
      <c r="N662" s="64"/>
      <c r="O662" s="64">
        <f>O663+O665+O667</f>
        <v>0</v>
      </c>
      <c r="P662" s="64">
        <f>P663+P665+P667</f>
        <v>0</v>
      </c>
      <c r="Q662" s="64">
        <f>Q663+Q665+Q667</f>
        <v>0</v>
      </c>
      <c r="R662" s="64">
        <f>R663+R665+R667</f>
        <v>0</v>
      </c>
      <c r="S662" s="64"/>
      <c r="T662" s="36"/>
      <c r="XDA662"/>
      <c r="XDB662"/>
      <c r="XDC662"/>
      <c r="XDD662"/>
      <c r="XDE662"/>
      <c r="XDF662"/>
      <c r="XDG662"/>
      <c r="XDH662"/>
      <c r="XDI662"/>
      <c r="XDJ662"/>
      <c r="XDK662"/>
      <c r="XDL662"/>
      <c r="XDM662"/>
      <c r="XDN662"/>
      <c r="XDO662"/>
      <c r="XDP662"/>
      <c r="XDQ662"/>
      <c r="XDR662"/>
      <c r="XDS662"/>
      <c r="XDT662"/>
      <c r="XDU662"/>
      <c r="XDV662"/>
      <c r="XDW662"/>
      <c r="XDX662"/>
      <c r="XDY662"/>
      <c r="XDZ662"/>
      <c r="XEA662"/>
      <c r="XEB662"/>
      <c r="XEC662"/>
      <c r="XED662"/>
      <c r="XEE662"/>
      <c r="XEF662"/>
      <c r="XEG662"/>
      <c r="XEH662"/>
      <c r="XEI662"/>
      <c r="XEJ662"/>
      <c r="XEK662"/>
      <c r="XEL662"/>
      <c r="XEM662"/>
      <c r="XEN662"/>
      <c r="XEO662"/>
      <c r="XEP662"/>
      <c r="XEQ662"/>
      <c r="XER662"/>
      <c r="XES662"/>
      <c r="XET662"/>
      <c r="XEU662"/>
      <c r="XEV662"/>
      <c r="XEW662"/>
      <c r="XEX662"/>
      <c r="XEY662"/>
      <c r="XEZ662"/>
      <c r="XFA662"/>
      <c r="XFB662"/>
      <c r="XFC662"/>
    </row>
    <row r="663" spans="1:20 16329:16383" s="38" customFormat="1" ht="29.1" customHeight="1" outlineLevel="5" x14ac:dyDescent="0.25">
      <c r="A663" s="65" t="s">
        <v>1332</v>
      </c>
      <c r="B663" s="66" t="s">
        <v>1333</v>
      </c>
      <c r="C663" s="66"/>
      <c r="D663" s="98" t="s">
        <v>1275</v>
      </c>
      <c r="E663" s="98"/>
      <c r="F663" s="67" t="s">
        <v>1276</v>
      </c>
      <c r="G663" s="66"/>
      <c r="H663" s="68"/>
      <c r="I663" s="36"/>
      <c r="J663" s="68"/>
      <c r="K663" s="69"/>
      <c r="L663" s="69"/>
      <c r="M663" s="69"/>
      <c r="N663" s="69"/>
      <c r="O663" s="69">
        <f>O664</f>
        <v>0</v>
      </c>
      <c r="P663" s="69">
        <f>P664</f>
        <v>0</v>
      </c>
      <c r="Q663" s="69">
        <f>Q664</f>
        <v>0</v>
      </c>
      <c r="R663" s="69">
        <f>R664</f>
        <v>0</v>
      </c>
      <c r="S663" s="69"/>
      <c r="T663" s="36"/>
      <c r="XDA663"/>
      <c r="XDB663"/>
      <c r="XDC663"/>
      <c r="XDD663"/>
      <c r="XDE663"/>
      <c r="XDF663"/>
      <c r="XDG663"/>
      <c r="XDH663"/>
      <c r="XDI663"/>
      <c r="XDJ663"/>
      <c r="XDK663"/>
      <c r="XDL663"/>
      <c r="XDM663"/>
      <c r="XDN663"/>
      <c r="XDO663"/>
      <c r="XDP663"/>
      <c r="XDQ663"/>
      <c r="XDR663"/>
      <c r="XDS663"/>
      <c r="XDT663"/>
      <c r="XDU663"/>
      <c r="XDV663"/>
      <c r="XDW663"/>
      <c r="XDX663"/>
      <c r="XDY663"/>
      <c r="XDZ663"/>
      <c r="XEA663"/>
      <c r="XEB663"/>
      <c r="XEC663"/>
      <c r="XED663"/>
      <c r="XEE663"/>
      <c r="XEF663"/>
      <c r="XEG663"/>
      <c r="XEH663"/>
      <c r="XEI663"/>
      <c r="XEJ663"/>
      <c r="XEK663"/>
      <c r="XEL663"/>
      <c r="XEM663"/>
      <c r="XEN663"/>
      <c r="XEO663"/>
      <c r="XEP663"/>
      <c r="XEQ663"/>
      <c r="XER663"/>
      <c r="XES663"/>
      <c r="XET663"/>
      <c r="XEU663"/>
      <c r="XEV663"/>
      <c r="XEW663"/>
      <c r="XEX663"/>
      <c r="XEY663"/>
      <c r="XEZ663"/>
      <c r="XFA663"/>
      <c r="XFB663"/>
      <c r="XFC663"/>
    </row>
    <row r="664" spans="1:20 16329:16383" s="38" customFormat="1" ht="29.1" customHeight="1" outlineLevel="6" x14ac:dyDescent="0.25">
      <c r="A664" s="49" t="s">
        <v>1334</v>
      </c>
      <c r="B664" s="50"/>
      <c r="C664" s="50"/>
      <c r="D664" s="3" t="s">
        <v>1242</v>
      </c>
      <c r="E664" s="3"/>
      <c r="F664" s="51" t="s">
        <v>1189</v>
      </c>
      <c r="G664" s="50" t="s">
        <v>102</v>
      </c>
      <c r="H664" s="52">
        <f>1</f>
        <v>1</v>
      </c>
      <c r="I664" s="36"/>
      <c r="J664" s="52">
        <v>1</v>
      </c>
      <c r="K664" s="53">
        <f>0</f>
        <v>0</v>
      </c>
      <c r="L664" s="53">
        <f>0</f>
        <v>0</v>
      </c>
      <c r="M664" s="53">
        <f>0</f>
        <v>0</v>
      </c>
      <c r="N664" s="54">
        <f>SUM(K664:M664)</f>
        <v>0</v>
      </c>
      <c r="O664" s="54">
        <f>ROUND((H664*K664),2)</f>
        <v>0</v>
      </c>
      <c r="P664" s="54">
        <f>ROUND((H664*L664),2)</f>
        <v>0</v>
      </c>
      <c r="Q664" s="54">
        <f>ROUND((H664*M664),2)</f>
        <v>0</v>
      </c>
      <c r="R664" s="54">
        <f>ROUND((H664*N664),2)</f>
        <v>0</v>
      </c>
      <c r="S664" s="54"/>
      <c r="T664" s="36"/>
      <c r="XDA664"/>
      <c r="XDB664"/>
      <c r="XDC664"/>
      <c r="XDD664"/>
      <c r="XDE664"/>
      <c r="XDF664"/>
      <c r="XDG664"/>
      <c r="XDH664"/>
      <c r="XDI664"/>
      <c r="XDJ664"/>
      <c r="XDK664"/>
      <c r="XDL664"/>
      <c r="XDM664"/>
      <c r="XDN664"/>
      <c r="XDO664"/>
      <c r="XDP664"/>
      <c r="XDQ664"/>
      <c r="XDR664"/>
      <c r="XDS664"/>
      <c r="XDT664"/>
      <c r="XDU664"/>
      <c r="XDV664"/>
      <c r="XDW664"/>
      <c r="XDX664"/>
      <c r="XDY664"/>
      <c r="XDZ664"/>
      <c r="XEA664"/>
      <c r="XEB664"/>
      <c r="XEC664"/>
      <c r="XED664"/>
      <c r="XEE664"/>
      <c r="XEF664"/>
      <c r="XEG664"/>
      <c r="XEH664"/>
      <c r="XEI664"/>
      <c r="XEJ664"/>
      <c r="XEK664"/>
      <c r="XEL664"/>
      <c r="XEM664"/>
      <c r="XEN664"/>
      <c r="XEO664"/>
      <c r="XEP664"/>
      <c r="XEQ664"/>
      <c r="XER664"/>
      <c r="XES664"/>
      <c r="XET664"/>
      <c r="XEU664"/>
      <c r="XEV664"/>
      <c r="XEW664"/>
      <c r="XEX664"/>
      <c r="XEY664"/>
      <c r="XEZ664"/>
      <c r="XFA664"/>
      <c r="XFB664"/>
      <c r="XFC664"/>
    </row>
    <row r="665" spans="1:20 16329:16383" s="38" customFormat="1" ht="29.1" customHeight="1" outlineLevel="5" x14ac:dyDescent="0.25">
      <c r="A665" s="65" t="s">
        <v>1335</v>
      </c>
      <c r="B665" s="66" t="s">
        <v>1336</v>
      </c>
      <c r="C665" s="66"/>
      <c r="D665" s="98" t="s">
        <v>1172</v>
      </c>
      <c r="E665" s="98"/>
      <c r="F665" s="67" t="s">
        <v>1280</v>
      </c>
      <c r="G665" s="66"/>
      <c r="H665" s="68"/>
      <c r="I665" s="36"/>
      <c r="J665" s="68"/>
      <c r="K665" s="69"/>
      <c r="L665" s="69"/>
      <c r="M665" s="69"/>
      <c r="N665" s="69"/>
      <c r="O665" s="69">
        <f>O666</f>
        <v>0</v>
      </c>
      <c r="P665" s="69">
        <f>P666</f>
        <v>0</v>
      </c>
      <c r="Q665" s="69">
        <f>Q666</f>
        <v>0</v>
      </c>
      <c r="R665" s="69">
        <f>R666</f>
        <v>0</v>
      </c>
      <c r="S665" s="69"/>
      <c r="T665" s="36"/>
      <c r="XDA665"/>
      <c r="XDB665"/>
      <c r="XDC665"/>
      <c r="XDD665"/>
      <c r="XDE665"/>
      <c r="XDF665"/>
      <c r="XDG665"/>
      <c r="XDH665"/>
      <c r="XDI665"/>
      <c r="XDJ665"/>
      <c r="XDK665"/>
      <c r="XDL665"/>
      <c r="XDM665"/>
      <c r="XDN665"/>
      <c r="XDO665"/>
      <c r="XDP665"/>
      <c r="XDQ665"/>
      <c r="XDR665"/>
      <c r="XDS665"/>
      <c r="XDT665"/>
      <c r="XDU665"/>
      <c r="XDV665"/>
      <c r="XDW665"/>
      <c r="XDX665"/>
      <c r="XDY665"/>
      <c r="XDZ665"/>
      <c r="XEA665"/>
      <c r="XEB665"/>
      <c r="XEC665"/>
      <c r="XED665"/>
      <c r="XEE665"/>
      <c r="XEF665"/>
      <c r="XEG665"/>
      <c r="XEH665"/>
      <c r="XEI665"/>
      <c r="XEJ665"/>
      <c r="XEK665"/>
      <c r="XEL665"/>
      <c r="XEM665"/>
      <c r="XEN665"/>
      <c r="XEO665"/>
      <c r="XEP665"/>
      <c r="XEQ665"/>
      <c r="XER665"/>
      <c r="XES665"/>
      <c r="XET665"/>
      <c r="XEU665"/>
      <c r="XEV665"/>
      <c r="XEW665"/>
      <c r="XEX665"/>
      <c r="XEY665"/>
      <c r="XEZ665"/>
      <c r="XFA665"/>
      <c r="XFB665"/>
      <c r="XFC665"/>
    </row>
    <row r="666" spans="1:20 16329:16383" s="38" customFormat="1" ht="29.1" customHeight="1" outlineLevel="6" x14ac:dyDescent="0.25">
      <c r="A666" s="49" t="s">
        <v>1337</v>
      </c>
      <c r="B666" s="50"/>
      <c r="C666" s="50"/>
      <c r="D666" s="3" t="s">
        <v>1247</v>
      </c>
      <c r="E666" s="3"/>
      <c r="F666" s="51" t="s">
        <v>1189</v>
      </c>
      <c r="G666" s="50" t="s">
        <v>102</v>
      </c>
      <c r="H666" s="52">
        <f>1</f>
        <v>1</v>
      </c>
      <c r="I666" s="36"/>
      <c r="J666" s="52">
        <v>1</v>
      </c>
      <c r="K666" s="53">
        <f>0</f>
        <v>0</v>
      </c>
      <c r="L666" s="53">
        <f>0</f>
        <v>0</v>
      </c>
      <c r="M666" s="53">
        <f>0</f>
        <v>0</v>
      </c>
      <c r="N666" s="54">
        <f>SUM(K666:M666)</f>
        <v>0</v>
      </c>
      <c r="O666" s="54">
        <f>ROUND((H666*K666),2)</f>
        <v>0</v>
      </c>
      <c r="P666" s="54">
        <f>ROUND((H666*L666),2)</f>
        <v>0</v>
      </c>
      <c r="Q666" s="54">
        <f>ROUND((H666*M666),2)</f>
        <v>0</v>
      </c>
      <c r="R666" s="54">
        <f>ROUND((H666*N666),2)</f>
        <v>0</v>
      </c>
      <c r="S666" s="54"/>
      <c r="T666" s="36"/>
      <c r="XDA666"/>
      <c r="XDB666"/>
      <c r="XDC666"/>
      <c r="XDD666"/>
      <c r="XDE666"/>
      <c r="XDF666"/>
      <c r="XDG666"/>
      <c r="XDH666"/>
      <c r="XDI666"/>
      <c r="XDJ666"/>
      <c r="XDK666"/>
      <c r="XDL666"/>
      <c r="XDM666"/>
      <c r="XDN666"/>
      <c r="XDO666"/>
      <c r="XDP666"/>
      <c r="XDQ666"/>
      <c r="XDR666"/>
      <c r="XDS666"/>
      <c r="XDT666"/>
      <c r="XDU666"/>
      <c r="XDV666"/>
      <c r="XDW666"/>
      <c r="XDX666"/>
      <c r="XDY666"/>
      <c r="XDZ666"/>
      <c r="XEA666"/>
      <c r="XEB666"/>
      <c r="XEC666"/>
      <c r="XED666"/>
      <c r="XEE666"/>
      <c r="XEF666"/>
      <c r="XEG666"/>
      <c r="XEH666"/>
      <c r="XEI666"/>
      <c r="XEJ666"/>
      <c r="XEK666"/>
      <c r="XEL666"/>
      <c r="XEM666"/>
      <c r="XEN666"/>
      <c r="XEO666"/>
      <c r="XEP666"/>
      <c r="XEQ666"/>
      <c r="XER666"/>
      <c r="XES666"/>
      <c r="XET666"/>
      <c r="XEU666"/>
      <c r="XEV666"/>
      <c r="XEW666"/>
      <c r="XEX666"/>
      <c r="XEY666"/>
      <c r="XEZ666"/>
      <c r="XFA666"/>
      <c r="XFB666"/>
      <c r="XFC666"/>
    </row>
    <row r="667" spans="1:20 16329:16383" s="38" customFormat="1" ht="29.1" customHeight="1" outlineLevel="5" x14ac:dyDescent="0.25">
      <c r="A667" s="65" t="s">
        <v>1338</v>
      </c>
      <c r="B667" s="66" t="s">
        <v>1339</v>
      </c>
      <c r="C667" s="66"/>
      <c r="D667" s="98" t="s">
        <v>1250</v>
      </c>
      <c r="E667" s="98"/>
      <c r="F667" s="67" t="s">
        <v>1284</v>
      </c>
      <c r="G667" s="66"/>
      <c r="H667" s="68"/>
      <c r="I667" s="36"/>
      <c r="J667" s="68"/>
      <c r="K667" s="69"/>
      <c r="L667" s="69"/>
      <c r="M667" s="69"/>
      <c r="N667" s="69"/>
      <c r="O667" s="69">
        <f>O668</f>
        <v>0</v>
      </c>
      <c r="P667" s="69">
        <f>P668</f>
        <v>0</v>
      </c>
      <c r="Q667" s="69">
        <f>Q668</f>
        <v>0</v>
      </c>
      <c r="R667" s="69">
        <f>R668</f>
        <v>0</v>
      </c>
      <c r="S667" s="69"/>
      <c r="T667" s="36"/>
      <c r="XDA667"/>
      <c r="XDB667"/>
      <c r="XDC667"/>
      <c r="XDD667"/>
      <c r="XDE667"/>
      <c r="XDF667"/>
      <c r="XDG667"/>
      <c r="XDH667"/>
      <c r="XDI667"/>
      <c r="XDJ667"/>
      <c r="XDK667"/>
      <c r="XDL667"/>
      <c r="XDM667"/>
      <c r="XDN667"/>
      <c r="XDO667"/>
      <c r="XDP667"/>
      <c r="XDQ667"/>
      <c r="XDR667"/>
      <c r="XDS667"/>
      <c r="XDT667"/>
      <c r="XDU667"/>
      <c r="XDV667"/>
      <c r="XDW667"/>
      <c r="XDX667"/>
      <c r="XDY667"/>
      <c r="XDZ667"/>
      <c r="XEA667"/>
      <c r="XEB667"/>
      <c r="XEC667"/>
      <c r="XED667"/>
      <c r="XEE667"/>
      <c r="XEF667"/>
      <c r="XEG667"/>
      <c r="XEH667"/>
      <c r="XEI667"/>
      <c r="XEJ667"/>
      <c r="XEK667"/>
      <c r="XEL667"/>
      <c r="XEM667"/>
      <c r="XEN667"/>
      <c r="XEO667"/>
      <c r="XEP667"/>
      <c r="XEQ667"/>
      <c r="XER667"/>
      <c r="XES667"/>
      <c r="XET667"/>
      <c r="XEU667"/>
      <c r="XEV667"/>
      <c r="XEW667"/>
      <c r="XEX667"/>
      <c r="XEY667"/>
      <c r="XEZ667"/>
      <c r="XFA667"/>
      <c r="XFB667"/>
      <c r="XFC667"/>
    </row>
    <row r="668" spans="1:20 16329:16383" s="38" customFormat="1" ht="29.1" customHeight="1" outlineLevel="6" x14ac:dyDescent="0.25">
      <c r="A668" s="49" t="s">
        <v>1340</v>
      </c>
      <c r="B668" s="50"/>
      <c r="C668" s="50"/>
      <c r="D668" s="3" t="s">
        <v>1253</v>
      </c>
      <c r="E668" s="3"/>
      <c r="F668" s="51" t="s">
        <v>1189</v>
      </c>
      <c r="G668" s="50" t="s">
        <v>102</v>
      </c>
      <c r="H668" s="52">
        <f>1</f>
        <v>1</v>
      </c>
      <c r="I668" s="36"/>
      <c r="J668" s="52">
        <v>1</v>
      </c>
      <c r="K668" s="53">
        <f>0</f>
        <v>0</v>
      </c>
      <c r="L668" s="53">
        <f>0</f>
        <v>0</v>
      </c>
      <c r="M668" s="53">
        <f>0</f>
        <v>0</v>
      </c>
      <c r="N668" s="54">
        <f>SUM(K668:M668)</f>
        <v>0</v>
      </c>
      <c r="O668" s="54">
        <f>ROUND((H668*K668),2)</f>
        <v>0</v>
      </c>
      <c r="P668" s="54">
        <f>ROUND((H668*L668),2)</f>
        <v>0</v>
      </c>
      <c r="Q668" s="54">
        <f>ROUND((H668*M668),2)</f>
        <v>0</v>
      </c>
      <c r="R668" s="54">
        <f>ROUND((H668*N668),2)</f>
        <v>0</v>
      </c>
      <c r="S668" s="54"/>
      <c r="T668" s="36"/>
      <c r="XDA668"/>
      <c r="XDB668"/>
      <c r="XDC668"/>
      <c r="XDD668"/>
      <c r="XDE668"/>
      <c r="XDF668"/>
      <c r="XDG668"/>
      <c r="XDH668"/>
      <c r="XDI668"/>
      <c r="XDJ668"/>
      <c r="XDK668"/>
      <c r="XDL668"/>
      <c r="XDM668"/>
      <c r="XDN668"/>
      <c r="XDO668"/>
      <c r="XDP668"/>
      <c r="XDQ668"/>
      <c r="XDR668"/>
      <c r="XDS668"/>
      <c r="XDT668"/>
      <c r="XDU668"/>
      <c r="XDV668"/>
      <c r="XDW668"/>
      <c r="XDX668"/>
      <c r="XDY668"/>
      <c r="XDZ668"/>
      <c r="XEA668"/>
      <c r="XEB668"/>
      <c r="XEC668"/>
      <c r="XED668"/>
      <c r="XEE668"/>
      <c r="XEF668"/>
      <c r="XEG668"/>
      <c r="XEH668"/>
      <c r="XEI668"/>
      <c r="XEJ668"/>
      <c r="XEK668"/>
      <c r="XEL668"/>
      <c r="XEM668"/>
      <c r="XEN668"/>
      <c r="XEO668"/>
      <c r="XEP668"/>
      <c r="XEQ668"/>
      <c r="XER668"/>
      <c r="XES668"/>
      <c r="XET668"/>
      <c r="XEU668"/>
      <c r="XEV668"/>
      <c r="XEW668"/>
      <c r="XEX668"/>
      <c r="XEY668"/>
      <c r="XEZ668"/>
      <c r="XFA668"/>
      <c r="XFB668"/>
      <c r="XFC668"/>
    </row>
    <row r="669" spans="1:20 16329:16383" s="38" customFormat="1" ht="29.1" customHeight="1" outlineLevel="4" x14ac:dyDescent="0.25">
      <c r="A669" s="60" t="s">
        <v>1341</v>
      </c>
      <c r="B669" s="61" t="s">
        <v>1342</v>
      </c>
      <c r="C669" s="61"/>
      <c r="D669" s="1" t="s">
        <v>956</v>
      </c>
      <c r="E669" s="1"/>
      <c r="F669" s="62"/>
      <c r="G669" s="61"/>
      <c r="H669" s="63"/>
      <c r="I669" s="36"/>
      <c r="J669" s="63"/>
      <c r="K669" s="64"/>
      <c r="L669" s="64"/>
      <c r="M669" s="64"/>
      <c r="N669" s="64"/>
      <c r="O669" s="64">
        <f>O670+O672+O674</f>
        <v>0</v>
      </c>
      <c r="P669" s="64">
        <f>P670+P672+P674</f>
        <v>0</v>
      </c>
      <c r="Q669" s="64">
        <f>Q670+Q672+Q674</f>
        <v>0</v>
      </c>
      <c r="R669" s="64">
        <f>R670+R672+R674</f>
        <v>0</v>
      </c>
      <c r="S669" s="64"/>
      <c r="T669" s="36"/>
      <c r="XDA669"/>
      <c r="XDB669"/>
      <c r="XDC669"/>
      <c r="XDD669"/>
      <c r="XDE669"/>
      <c r="XDF669"/>
      <c r="XDG669"/>
      <c r="XDH669"/>
      <c r="XDI669"/>
      <c r="XDJ669"/>
      <c r="XDK669"/>
      <c r="XDL669"/>
      <c r="XDM669"/>
      <c r="XDN669"/>
      <c r="XDO669"/>
      <c r="XDP669"/>
      <c r="XDQ669"/>
      <c r="XDR669"/>
      <c r="XDS669"/>
      <c r="XDT669"/>
      <c r="XDU669"/>
      <c r="XDV669"/>
      <c r="XDW669"/>
      <c r="XDX669"/>
      <c r="XDY669"/>
      <c r="XDZ669"/>
      <c r="XEA669"/>
      <c r="XEB669"/>
      <c r="XEC669"/>
      <c r="XED669"/>
      <c r="XEE669"/>
      <c r="XEF669"/>
      <c r="XEG669"/>
      <c r="XEH669"/>
      <c r="XEI669"/>
      <c r="XEJ669"/>
      <c r="XEK669"/>
      <c r="XEL669"/>
      <c r="XEM669"/>
      <c r="XEN669"/>
      <c r="XEO669"/>
      <c r="XEP669"/>
      <c r="XEQ669"/>
      <c r="XER669"/>
      <c r="XES669"/>
      <c r="XET669"/>
      <c r="XEU669"/>
      <c r="XEV669"/>
      <c r="XEW669"/>
      <c r="XEX669"/>
      <c r="XEY669"/>
      <c r="XEZ669"/>
      <c r="XFA669"/>
      <c r="XFB669"/>
      <c r="XFC669"/>
    </row>
    <row r="670" spans="1:20 16329:16383" s="38" customFormat="1" ht="29.1" customHeight="1" outlineLevel="5" x14ac:dyDescent="0.25">
      <c r="A670" s="65" t="s">
        <v>1343</v>
      </c>
      <c r="B670" s="66" t="s">
        <v>1344</v>
      </c>
      <c r="C670" s="66"/>
      <c r="D670" s="98" t="s">
        <v>1275</v>
      </c>
      <c r="E670" s="98"/>
      <c r="F670" s="67" t="s">
        <v>1295</v>
      </c>
      <c r="G670" s="66"/>
      <c r="H670" s="68"/>
      <c r="I670" s="36"/>
      <c r="J670" s="68"/>
      <c r="K670" s="69"/>
      <c r="L670" s="69"/>
      <c r="M670" s="69"/>
      <c r="N670" s="69"/>
      <c r="O670" s="69">
        <f>O671</f>
        <v>0</v>
      </c>
      <c r="P670" s="69">
        <f>P671</f>
        <v>0</v>
      </c>
      <c r="Q670" s="69">
        <f>Q671</f>
        <v>0</v>
      </c>
      <c r="R670" s="69">
        <f>R671</f>
        <v>0</v>
      </c>
      <c r="S670" s="69"/>
      <c r="T670" s="36"/>
      <c r="XDA670"/>
      <c r="XDB670"/>
      <c r="XDC670"/>
      <c r="XDD670"/>
      <c r="XDE670"/>
      <c r="XDF670"/>
      <c r="XDG670"/>
      <c r="XDH670"/>
      <c r="XDI670"/>
      <c r="XDJ670"/>
      <c r="XDK670"/>
      <c r="XDL670"/>
      <c r="XDM670"/>
      <c r="XDN670"/>
      <c r="XDO670"/>
      <c r="XDP670"/>
      <c r="XDQ670"/>
      <c r="XDR670"/>
      <c r="XDS670"/>
      <c r="XDT670"/>
      <c r="XDU670"/>
      <c r="XDV670"/>
      <c r="XDW670"/>
      <c r="XDX670"/>
      <c r="XDY670"/>
      <c r="XDZ670"/>
      <c r="XEA670"/>
      <c r="XEB670"/>
      <c r="XEC670"/>
      <c r="XED670"/>
      <c r="XEE670"/>
      <c r="XEF670"/>
      <c r="XEG670"/>
      <c r="XEH670"/>
      <c r="XEI670"/>
      <c r="XEJ670"/>
      <c r="XEK670"/>
      <c r="XEL670"/>
      <c r="XEM670"/>
      <c r="XEN670"/>
      <c r="XEO670"/>
      <c r="XEP670"/>
      <c r="XEQ670"/>
      <c r="XER670"/>
      <c r="XES670"/>
      <c r="XET670"/>
      <c r="XEU670"/>
      <c r="XEV670"/>
      <c r="XEW670"/>
      <c r="XEX670"/>
      <c r="XEY670"/>
      <c r="XEZ670"/>
      <c r="XFA670"/>
      <c r="XFB670"/>
      <c r="XFC670"/>
    </row>
    <row r="671" spans="1:20 16329:16383" s="38" customFormat="1" ht="29.1" customHeight="1" outlineLevel="6" x14ac:dyDescent="0.25">
      <c r="A671" s="49" t="s">
        <v>1345</v>
      </c>
      <c r="B671" s="50"/>
      <c r="C671" s="50"/>
      <c r="D671" s="3" t="s">
        <v>1242</v>
      </c>
      <c r="E671" s="3"/>
      <c r="F671" s="51" t="s">
        <v>1189</v>
      </c>
      <c r="G671" s="50" t="s">
        <v>102</v>
      </c>
      <c r="H671" s="52">
        <f>1</f>
        <v>1</v>
      </c>
      <c r="I671" s="36"/>
      <c r="J671" s="52">
        <v>1</v>
      </c>
      <c r="K671" s="53">
        <f>0</f>
        <v>0</v>
      </c>
      <c r="L671" s="53">
        <f>0</f>
        <v>0</v>
      </c>
      <c r="M671" s="53">
        <f>0</f>
        <v>0</v>
      </c>
      <c r="N671" s="54">
        <f>SUM(K671:M671)</f>
        <v>0</v>
      </c>
      <c r="O671" s="54">
        <f>ROUND((H671*K671),2)</f>
        <v>0</v>
      </c>
      <c r="P671" s="54">
        <f>ROUND((H671*L671),2)</f>
        <v>0</v>
      </c>
      <c r="Q671" s="54">
        <f>ROUND((H671*M671),2)</f>
        <v>0</v>
      </c>
      <c r="R671" s="54">
        <f>ROUND((H671*N671),2)</f>
        <v>0</v>
      </c>
      <c r="S671" s="54"/>
      <c r="T671" s="36"/>
      <c r="XDA671"/>
      <c r="XDB671"/>
      <c r="XDC671"/>
      <c r="XDD671"/>
      <c r="XDE671"/>
      <c r="XDF671"/>
      <c r="XDG671"/>
      <c r="XDH671"/>
      <c r="XDI671"/>
      <c r="XDJ671"/>
      <c r="XDK671"/>
      <c r="XDL671"/>
      <c r="XDM671"/>
      <c r="XDN671"/>
      <c r="XDO671"/>
      <c r="XDP671"/>
      <c r="XDQ671"/>
      <c r="XDR671"/>
      <c r="XDS671"/>
      <c r="XDT671"/>
      <c r="XDU671"/>
      <c r="XDV671"/>
      <c r="XDW671"/>
      <c r="XDX671"/>
      <c r="XDY671"/>
      <c r="XDZ671"/>
      <c r="XEA671"/>
      <c r="XEB671"/>
      <c r="XEC671"/>
      <c r="XED671"/>
      <c r="XEE671"/>
      <c r="XEF671"/>
      <c r="XEG671"/>
      <c r="XEH671"/>
      <c r="XEI671"/>
      <c r="XEJ671"/>
      <c r="XEK671"/>
      <c r="XEL671"/>
      <c r="XEM671"/>
      <c r="XEN671"/>
      <c r="XEO671"/>
      <c r="XEP671"/>
      <c r="XEQ671"/>
      <c r="XER671"/>
      <c r="XES671"/>
      <c r="XET671"/>
      <c r="XEU671"/>
      <c r="XEV671"/>
      <c r="XEW671"/>
      <c r="XEX671"/>
      <c r="XEY671"/>
      <c r="XEZ671"/>
      <c r="XFA671"/>
      <c r="XFB671"/>
      <c r="XFC671"/>
    </row>
    <row r="672" spans="1:20 16329:16383" s="38" customFormat="1" ht="29.1" customHeight="1" outlineLevel="5" x14ac:dyDescent="0.25">
      <c r="A672" s="65" t="s">
        <v>1346</v>
      </c>
      <c r="B672" s="66" t="s">
        <v>1347</v>
      </c>
      <c r="C672" s="66"/>
      <c r="D672" s="98" t="s">
        <v>1265</v>
      </c>
      <c r="E672" s="98"/>
      <c r="F672" s="67" t="s">
        <v>1299</v>
      </c>
      <c r="G672" s="66"/>
      <c r="H672" s="68"/>
      <c r="I672" s="36"/>
      <c r="J672" s="68"/>
      <c r="K672" s="69"/>
      <c r="L672" s="69"/>
      <c r="M672" s="69"/>
      <c r="N672" s="69"/>
      <c r="O672" s="69">
        <f>O673</f>
        <v>0</v>
      </c>
      <c r="P672" s="69">
        <f>P673</f>
        <v>0</v>
      </c>
      <c r="Q672" s="69">
        <f>Q673</f>
        <v>0</v>
      </c>
      <c r="R672" s="69">
        <f>R673</f>
        <v>0</v>
      </c>
      <c r="S672" s="69"/>
      <c r="T672" s="36"/>
      <c r="XDA672"/>
      <c r="XDB672"/>
      <c r="XDC672"/>
      <c r="XDD672"/>
      <c r="XDE672"/>
      <c r="XDF672"/>
      <c r="XDG672"/>
      <c r="XDH672"/>
      <c r="XDI672"/>
      <c r="XDJ672"/>
      <c r="XDK672"/>
      <c r="XDL672"/>
      <c r="XDM672"/>
      <c r="XDN672"/>
      <c r="XDO672"/>
      <c r="XDP672"/>
      <c r="XDQ672"/>
      <c r="XDR672"/>
      <c r="XDS672"/>
      <c r="XDT672"/>
      <c r="XDU672"/>
      <c r="XDV672"/>
      <c r="XDW672"/>
      <c r="XDX672"/>
      <c r="XDY672"/>
      <c r="XDZ672"/>
      <c r="XEA672"/>
      <c r="XEB672"/>
      <c r="XEC672"/>
      <c r="XED672"/>
      <c r="XEE672"/>
      <c r="XEF672"/>
      <c r="XEG672"/>
      <c r="XEH672"/>
      <c r="XEI672"/>
      <c r="XEJ672"/>
      <c r="XEK672"/>
      <c r="XEL672"/>
      <c r="XEM672"/>
      <c r="XEN672"/>
      <c r="XEO672"/>
      <c r="XEP672"/>
      <c r="XEQ672"/>
      <c r="XER672"/>
      <c r="XES672"/>
      <c r="XET672"/>
      <c r="XEU672"/>
      <c r="XEV672"/>
      <c r="XEW672"/>
      <c r="XEX672"/>
      <c r="XEY672"/>
      <c r="XEZ672"/>
      <c r="XFA672"/>
      <c r="XFB672"/>
      <c r="XFC672"/>
    </row>
    <row r="673" spans="1:20 16329:16383" s="38" customFormat="1" ht="29.1" customHeight="1" outlineLevel="6" x14ac:dyDescent="0.25">
      <c r="A673" s="49" t="s">
        <v>1348</v>
      </c>
      <c r="B673" s="50"/>
      <c r="C673" s="50"/>
      <c r="D673" s="3" t="s">
        <v>1247</v>
      </c>
      <c r="E673" s="3"/>
      <c r="F673" s="51" t="s">
        <v>1189</v>
      </c>
      <c r="G673" s="50" t="s">
        <v>102</v>
      </c>
      <c r="H673" s="52">
        <f>1</f>
        <v>1</v>
      </c>
      <c r="I673" s="36"/>
      <c r="J673" s="52">
        <v>1</v>
      </c>
      <c r="K673" s="53">
        <f>0</f>
        <v>0</v>
      </c>
      <c r="L673" s="53">
        <f>0</f>
        <v>0</v>
      </c>
      <c r="M673" s="53">
        <f>0</f>
        <v>0</v>
      </c>
      <c r="N673" s="54">
        <f>SUM(K673:M673)</f>
        <v>0</v>
      </c>
      <c r="O673" s="54">
        <f>ROUND((H673*K673),2)</f>
        <v>0</v>
      </c>
      <c r="P673" s="54">
        <f>ROUND((H673*L673),2)</f>
        <v>0</v>
      </c>
      <c r="Q673" s="54">
        <f>ROUND((H673*M673),2)</f>
        <v>0</v>
      </c>
      <c r="R673" s="54">
        <f>ROUND((H673*N673),2)</f>
        <v>0</v>
      </c>
      <c r="S673" s="54"/>
      <c r="T673" s="36"/>
      <c r="XDA673"/>
      <c r="XDB673"/>
      <c r="XDC673"/>
      <c r="XDD673"/>
      <c r="XDE673"/>
      <c r="XDF673"/>
      <c r="XDG673"/>
      <c r="XDH673"/>
      <c r="XDI673"/>
      <c r="XDJ673"/>
      <c r="XDK673"/>
      <c r="XDL673"/>
      <c r="XDM673"/>
      <c r="XDN673"/>
      <c r="XDO673"/>
      <c r="XDP673"/>
      <c r="XDQ673"/>
      <c r="XDR673"/>
      <c r="XDS673"/>
      <c r="XDT673"/>
      <c r="XDU673"/>
      <c r="XDV673"/>
      <c r="XDW673"/>
      <c r="XDX673"/>
      <c r="XDY673"/>
      <c r="XDZ673"/>
      <c r="XEA673"/>
      <c r="XEB673"/>
      <c r="XEC673"/>
      <c r="XED673"/>
      <c r="XEE673"/>
      <c r="XEF673"/>
      <c r="XEG673"/>
      <c r="XEH673"/>
      <c r="XEI673"/>
      <c r="XEJ673"/>
      <c r="XEK673"/>
      <c r="XEL673"/>
      <c r="XEM673"/>
      <c r="XEN673"/>
      <c r="XEO673"/>
      <c r="XEP673"/>
      <c r="XEQ673"/>
      <c r="XER673"/>
      <c r="XES673"/>
      <c r="XET673"/>
      <c r="XEU673"/>
      <c r="XEV673"/>
      <c r="XEW673"/>
      <c r="XEX673"/>
      <c r="XEY673"/>
      <c r="XEZ673"/>
      <c r="XFA673"/>
      <c r="XFB673"/>
      <c r="XFC673"/>
    </row>
    <row r="674" spans="1:20 16329:16383" s="38" customFormat="1" ht="29.1" customHeight="1" outlineLevel="5" x14ac:dyDescent="0.25">
      <c r="A674" s="65" t="s">
        <v>1349</v>
      </c>
      <c r="B674" s="66" t="s">
        <v>1350</v>
      </c>
      <c r="C674" s="66"/>
      <c r="D674" s="98" t="s">
        <v>1250</v>
      </c>
      <c r="E674" s="98"/>
      <c r="F674" s="67" t="s">
        <v>1303</v>
      </c>
      <c r="G674" s="66"/>
      <c r="H674" s="68"/>
      <c r="I674" s="36"/>
      <c r="J674" s="68"/>
      <c r="K674" s="69"/>
      <c r="L674" s="69"/>
      <c r="M674" s="69"/>
      <c r="N674" s="69"/>
      <c r="O674" s="69">
        <f>O675</f>
        <v>0</v>
      </c>
      <c r="P674" s="69">
        <f>P675</f>
        <v>0</v>
      </c>
      <c r="Q674" s="69">
        <f>Q675</f>
        <v>0</v>
      </c>
      <c r="R674" s="69">
        <f>R675</f>
        <v>0</v>
      </c>
      <c r="S674" s="69"/>
      <c r="T674" s="36"/>
      <c r="XDA674"/>
      <c r="XDB674"/>
      <c r="XDC674"/>
      <c r="XDD674"/>
      <c r="XDE674"/>
      <c r="XDF674"/>
      <c r="XDG674"/>
      <c r="XDH674"/>
      <c r="XDI674"/>
      <c r="XDJ674"/>
      <c r="XDK674"/>
      <c r="XDL674"/>
      <c r="XDM674"/>
      <c r="XDN674"/>
      <c r="XDO674"/>
      <c r="XDP674"/>
      <c r="XDQ674"/>
      <c r="XDR674"/>
      <c r="XDS674"/>
      <c r="XDT674"/>
      <c r="XDU674"/>
      <c r="XDV674"/>
      <c r="XDW674"/>
      <c r="XDX674"/>
      <c r="XDY674"/>
      <c r="XDZ674"/>
      <c r="XEA674"/>
      <c r="XEB674"/>
      <c r="XEC674"/>
      <c r="XED674"/>
      <c r="XEE674"/>
      <c r="XEF674"/>
      <c r="XEG674"/>
      <c r="XEH674"/>
      <c r="XEI674"/>
      <c r="XEJ674"/>
      <c r="XEK674"/>
      <c r="XEL674"/>
      <c r="XEM674"/>
      <c r="XEN674"/>
      <c r="XEO674"/>
      <c r="XEP674"/>
      <c r="XEQ674"/>
      <c r="XER674"/>
      <c r="XES674"/>
      <c r="XET674"/>
      <c r="XEU674"/>
      <c r="XEV674"/>
      <c r="XEW674"/>
      <c r="XEX674"/>
      <c r="XEY674"/>
      <c r="XEZ674"/>
      <c r="XFA674"/>
      <c r="XFB674"/>
      <c r="XFC674"/>
    </row>
    <row r="675" spans="1:20 16329:16383" s="38" customFormat="1" ht="29.1" customHeight="1" outlineLevel="6" x14ac:dyDescent="0.25">
      <c r="A675" s="49" t="s">
        <v>1351</v>
      </c>
      <c r="B675" s="50"/>
      <c r="C675" s="50"/>
      <c r="D675" s="3" t="s">
        <v>1253</v>
      </c>
      <c r="E675" s="3"/>
      <c r="F675" s="51" t="s">
        <v>1189</v>
      </c>
      <c r="G675" s="50" t="s">
        <v>102</v>
      </c>
      <c r="H675" s="52">
        <f>1</f>
        <v>1</v>
      </c>
      <c r="I675" s="36"/>
      <c r="J675" s="52">
        <v>1</v>
      </c>
      <c r="K675" s="53">
        <f>0</f>
        <v>0</v>
      </c>
      <c r="L675" s="53">
        <f>0</f>
        <v>0</v>
      </c>
      <c r="M675" s="53">
        <f>0</f>
        <v>0</v>
      </c>
      <c r="N675" s="54">
        <f>SUM(K675:M675)</f>
        <v>0</v>
      </c>
      <c r="O675" s="54">
        <f>ROUND((H675*K675),2)</f>
        <v>0</v>
      </c>
      <c r="P675" s="54">
        <f>ROUND((H675*L675),2)</f>
        <v>0</v>
      </c>
      <c r="Q675" s="54">
        <f>ROUND((H675*M675),2)</f>
        <v>0</v>
      </c>
      <c r="R675" s="54">
        <f>ROUND((H675*N675),2)</f>
        <v>0</v>
      </c>
      <c r="S675" s="54"/>
      <c r="T675" s="36"/>
      <c r="XDA675"/>
      <c r="XDB675"/>
      <c r="XDC675"/>
      <c r="XDD675"/>
      <c r="XDE675"/>
      <c r="XDF675"/>
      <c r="XDG675"/>
      <c r="XDH675"/>
      <c r="XDI675"/>
      <c r="XDJ675"/>
      <c r="XDK675"/>
      <c r="XDL675"/>
      <c r="XDM675"/>
      <c r="XDN675"/>
      <c r="XDO675"/>
      <c r="XDP675"/>
      <c r="XDQ675"/>
      <c r="XDR675"/>
      <c r="XDS675"/>
      <c r="XDT675"/>
      <c r="XDU675"/>
      <c r="XDV675"/>
      <c r="XDW675"/>
      <c r="XDX675"/>
      <c r="XDY675"/>
      <c r="XDZ675"/>
      <c r="XEA675"/>
      <c r="XEB675"/>
      <c r="XEC675"/>
      <c r="XED675"/>
      <c r="XEE675"/>
      <c r="XEF675"/>
      <c r="XEG675"/>
      <c r="XEH675"/>
      <c r="XEI675"/>
      <c r="XEJ675"/>
      <c r="XEK675"/>
      <c r="XEL675"/>
      <c r="XEM675"/>
      <c r="XEN675"/>
      <c r="XEO675"/>
      <c r="XEP675"/>
      <c r="XEQ675"/>
      <c r="XER675"/>
      <c r="XES675"/>
      <c r="XET675"/>
      <c r="XEU675"/>
      <c r="XEV675"/>
      <c r="XEW675"/>
      <c r="XEX675"/>
      <c r="XEY675"/>
      <c r="XEZ675"/>
      <c r="XFA675"/>
      <c r="XFB675"/>
      <c r="XFC675"/>
    </row>
    <row r="676" spans="1:20 16329:16383" s="38" customFormat="1" ht="29.1" customHeight="1" outlineLevel="3" x14ac:dyDescent="0.25">
      <c r="A676" s="55" t="s">
        <v>1352</v>
      </c>
      <c r="B676" s="56" t="s">
        <v>1353</v>
      </c>
      <c r="C676" s="56" t="s">
        <v>1354</v>
      </c>
      <c r="D676" s="2" t="s">
        <v>1355</v>
      </c>
      <c r="E676" s="2"/>
      <c r="F676" s="57"/>
      <c r="G676" s="56" t="s">
        <v>102</v>
      </c>
      <c r="H676" s="58"/>
      <c r="I676" s="36"/>
      <c r="J676" s="58"/>
      <c r="K676" s="59"/>
      <c r="L676" s="59"/>
      <c r="M676" s="59"/>
      <c r="N676" s="59"/>
      <c r="O676" s="59">
        <f>O677+O686+O693+O703</f>
        <v>0</v>
      </c>
      <c r="P676" s="59">
        <f>P677+P686+P693+P703</f>
        <v>0</v>
      </c>
      <c r="Q676" s="59">
        <f>Q677+Q686+Q693+Q703</f>
        <v>0</v>
      </c>
      <c r="R676" s="59">
        <f>R677+R686+R693+R703</f>
        <v>0</v>
      </c>
      <c r="S676" s="59"/>
      <c r="T676" s="36"/>
      <c r="XDA676"/>
      <c r="XDB676"/>
      <c r="XDC676"/>
      <c r="XDD676"/>
      <c r="XDE676"/>
      <c r="XDF676"/>
      <c r="XDG676"/>
      <c r="XDH676"/>
      <c r="XDI676"/>
      <c r="XDJ676"/>
      <c r="XDK676"/>
      <c r="XDL676"/>
      <c r="XDM676"/>
      <c r="XDN676"/>
      <c r="XDO676"/>
      <c r="XDP676"/>
      <c r="XDQ676"/>
      <c r="XDR676"/>
      <c r="XDS676"/>
      <c r="XDT676"/>
      <c r="XDU676"/>
      <c r="XDV676"/>
      <c r="XDW676"/>
      <c r="XDX676"/>
      <c r="XDY676"/>
      <c r="XDZ676"/>
      <c r="XEA676"/>
      <c r="XEB676"/>
      <c r="XEC676"/>
      <c r="XED676"/>
      <c r="XEE676"/>
      <c r="XEF676"/>
      <c r="XEG676"/>
      <c r="XEH676"/>
      <c r="XEI676"/>
      <c r="XEJ676"/>
      <c r="XEK676"/>
      <c r="XEL676"/>
      <c r="XEM676"/>
      <c r="XEN676"/>
      <c r="XEO676"/>
      <c r="XEP676"/>
      <c r="XEQ676"/>
      <c r="XER676"/>
      <c r="XES676"/>
      <c r="XET676"/>
      <c r="XEU676"/>
      <c r="XEV676"/>
      <c r="XEW676"/>
      <c r="XEX676"/>
      <c r="XEY676"/>
      <c r="XEZ676"/>
      <c r="XFA676"/>
      <c r="XFB676"/>
      <c r="XFC676"/>
    </row>
    <row r="677" spans="1:20 16329:16383" s="38" customFormat="1" ht="29.1" customHeight="1" outlineLevel="4" x14ac:dyDescent="0.25">
      <c r="A677" s="60" t="s">
        <v>1356</v>
      </c>
      <c r="B677" s="61" t="s">
        <v>1357</v>
      </c>
      <c r="C677" s="61"/>
      <c r="D677" s="1" t="s">
        <v>857</v>
      </c>
      <c r="E677" s="1"/>
      <c r="F677" s="62"/>
      <c r="G677" s="61"/>
      <c r="H677" s="63"/>
      <c r="I677" s="36"/>
      <c r="J677" s="63"/>
      <c r="K677" s="64"/>
      <c r="L677" s="64"/>
      <c r="M677" s="64"/>
      <c r="N677" s="64"/>
      <c r="O677" s="64">
        <f>O678+O680+O682+O684</f>
        <v>0</v>
      </c>
      <c r="P677" s="64">
        <f>P678+P680+P682+P684</f>
        <v>0</v>
      </c>
      <c r="Q677" s="64">
        <f>Q678+Q680+Q682+Q684</f>
        <v>0</v>
      </c>
      <c r="R677" s="64">
        <f>R678+R680+R682+R684</f>
        <v>0</v>
      </c>
      <c r="S677" s="64"/>
      <c r="T677" s="36"/>
      <c r="XDA677"/>
      <c r="XDB677"/>
      <c r="XDC677"/>
      <c r="XDD677"/>
      <c r="XDE677"/>
      <c r="XDF677"/>
      <c r="XDG677"/>
      <c r="XDH677"/>
      <c r="XDI677"/>
      <c r="XDJ677"/>
      <c r="XDK677"/>
      <c r="XDL677"/>
      <c r="XDM677"/>
      <c r="XDN677"/>
      <c r="XDO677"/>
      <c r="XDP677"/>
      <c r="XDQ677"/>
      <c r="XDR677"/>
      <c r="XDS677"/>
      <c r="XDT677"/>
      <c r="XDU677"/>
      <c r="XDV677"/>
      <c r="XDW677"/>
      <c r="XDX677"/>
      <c r="XDY677"/>
      <c r="XDZ677"/>
      <c r="XEA677"/>
      <c r="XEB677"/>
      <c r="XEC677"/>
      <c r="XED677"/>
      <c r="XEE677"/>
      <c r="XEF677"/>
      <c r="XEG677"/>
      <c r="XEH677"/>
      <c r="XEI677"/>
      <c r="XEJ677"/>
      <c r="XEK677"/>
      <c r="XEL677"/>
      <c r="XEM677"/>
      <c r="XEN677"/>
      <c r="XEO677"/>
      <c r="XEP677"/>
      <c r="XEQ677"/>
      <c r="XER677"/>
      <c r="XES677"/>
      <c r="XET677"/>
      <c r="XEU677"/>
      <c r="XEV677"/>
      <c r="XEW677"/>
      <c r="XEX677"/>
      <c r="XEY677"/>
      <c r="XEZ677"/>
      <c r="XFA677"/>
      <c r="XFB677"/>
      <c r="XFC677"/>
    </row>
    <row r="678" spans="1:20 16329:16383" s="38" customFormat="1" ht="29.1" customHeight="1" outlineLevel="5" x14ac:dyDescent="0.25">
      <c r="A678" s="65" t="s">
        <v>1358</v>
      </c>
      <c r="B678" s="66" t="s">
        <v>1359</v>
      </c>
      <c r="C678" s="66"/>
      <c r="D678" s="98" t="s">
        <v>1239</v>
      </c>
      <c r="E678" s="98"/>
      <c r="F678" s="67" t="s">
        <v>1240</v>
      </c>
      <c r="G678" s="66"/>
      <c r="H678" s="68"/>
      <c r="I678" s="36"/>
      <c r="J678" s="68"/>
      <c r="K678" s="69"/>
      <c r="L678" s="69"/>
      <c r="M678" s="69"/>
      <c r="N678" s="69"/>
      <c r="O678" s="69">
        <f>O679</f>
        <v>0</v>
      </c>
      <c r="P678" s="69">
        <f>P679</f>
        <v>0</v>
      </c>
      <c r="Q678" s="69">
        <f>Q679</f>
        <v>0</v>
      </c>
      <c r="R678" s="69">
        <f>R679</f>
        <v>0</v>
      </c>
      <c r="S678" s="69"/>
      <c r="T678" s="36"/>
      <c r="XDA678"/>
      <c r="XDB678"/>
      <c r="XDC678"/>
      <c r="XDD678"/>
      <c r="XDE678"/>
      <c r="XDF678"/>
      <c r="XDG678"/>
      <c r="XDH678"/>
      <c r="XDI678"/>
      <c r="XDJ678"/>
      <c r="XDK678"/>
      <c r="XDL678"/>
      <c r="XDM678"/>
      <c r="XDN678"/>
      <c r="XDO678"/>
      <c r="XDP678"/>
      <c r="XDQ678"/>
      <c r="XDR678"/>
      <c r="XDS678"/>
      <c r="XDT678"/>
      <c r="XDU678"/>
      <c r="XDV678"/>
      <c r="XDW678"/>
      <c r="XDX678"/>
      <c r="XDY678"/>
      <c r="XDZ678"/>
      <c r="XEA678"/>
      <c r="XEB678"/>
      <c r="XEC678"/>
      <c r="XED678"/>
      <c r="XEE678"/>
      <c r="XEF678"/>
      <c r="XEG678"/>
      <c r="XEH678"/>
      <c r="XEI678"/>
      <c r="XEJ678"/>
      <c r="XEK678"/>
      <c r="XEL678"/>
      <c r="XEM678"/>
      <c r="XEN678"/>
      <c r="XEO678"/>
      <c r="XEP678"/>
      <c r="XEQ678"/>
      <c r="XER678"/>
      <c r="XES678"/>
      <c r="XET678"/>
      <c r="XEU678"/>
      <c r="XEV678"/>
      <c r="XEW678"/>
      <c r="XEX678"/>
      <c r="XEY678"/>
      <c r="XEZ678"/>
      <c r="XFA678"/>
      <c r="XFB678"/>
      <c r="XFC678"/>
    </row>
    <row r="679" spans="1:20 16329:16383" s="38" customFormat="1" ht="29.1" customHeight="1" outlineLevel="6" x14ac:dyDescent="0.25">
      <c r="A679" s="49" t="s">
        <v>1360</v>
      </c>
      <c r="B679" s="50"/>
      <c r="C679" s="50"/>
      <c r="D679" s="3" t="s">
        <v>1242</v>
      </c>
      <c r="E679" s="3"/>
      <c r="F679" s="51" t="s">
        <v>1217</v>
      </c>
      <c r="G679" s="50" t="s">
        <v>102</v>
      </c>
      <c r="H679" s="52">
        <f>1</f>
        <v>1</v>
      </c>
      <c r="I679" s="36"/>
      <c r="J679" s="52">
        <v>1</v>
      </c>
      <c r="K679" s="53">
        <f>0</f>
        <v>0</v>
      </c>
      <c r="L679" s="53">
        <f>0</f>
        <v>0</v>
      </c>
      <c r="M679" s="53">
        <f>0</f>
        <v>0</v>
      </c>
      <c r="N679" s="54">
        <f>SUM(K679:M679)</f>
        <v>0</v>
      </c>
      <c r="O679" s="54">
        <f>ROUND((H679*K679),2)</f>
        <v>0</v>
      </c>
      <c r="P679" s="54">
        <f>ROUND((H679*L679),2)</f>
        <v>0</v>
      </c>
      <c r="Q679" s="54">
        <f>ROUND((H679*M679),2)</f>
        <v>0</v>
      </c>
      <c r="R679" s="54">
        <f>ROUND((H679*N679),2)</f>
        <v>0</v>
      </c>
      <c r="S679" s="54"/>
      <c r="T679" s="36"/>
      <c r="XDA679"/>
      <c r="XDB679"/>
      <c r="XDC679"/>
      <c r="XDD679"/>
      <c r="XDE679"/>
      <c r="XDF679"/>
      <c r="XDG679"/>
      <c r="XDH679"/>
      <c r="XDI679"/>
      <c r="XDJ679"/>
      <c r="XDK679"/>
      <c r="XDL679"/>
      <c r="XDM679"/>
      <c r="XDN679"/>
      <c r="XDO679"/>
      <c r="XDP679"/>
      <c r="XDQ679"/>
      <c r="XDR679"/>
      <c r="XDS679"/>
      <c r="XDT679"/>
      <c r="XDU679"/>
      <c r="XDV679"/>
      <c r="XDW679"/>
      <c r="XDX679"/>
      <c r="XDY679"/>
      <c r="XDZ679"/>
      <c r="XEA679"/>
      <c r="XEB679"/>
      <c r="XEC679"/>
      <c r="XED679"/>
      <c r="XEE679"/>
      <c r="XEF679"/>
      <c r="XEG679"/>
      <c r="XEH679"/>
      <c r="XEI679"/>
      <c r="XEJ679"/>
      <c r="XEK679"/>
      <c r="XEL679"/>
      <c r="XEM679"/>
      <c r="XEN679"/>
      <c r="XEO679"/>
      <c r="XEP679"/>
      <c r="XEQ679"/>
      <c r="XER679"/>
      <c r="XES679"/>
      <c r="XET679"/>
      <c r="XEU679"/>
      <c r="XEV679"/>
      <c r="XEW679"/>
      <c r="XEX679"/>
      <c r="XEY679"/>
      <c r="XEZ679"/>
      <c r="XFA679"/>
      <c r="XFB679"/>
      <c r="XFC679"/>
    </row>
    <row r="680" spans="1:20 16329:16383" s="38" customFormat="1" ht="29.1" customHeight="1" outlineLevel="5" x14ac:dyDescent="0.25">
      <c r="A680" s="65" t="s">
        <v>1361</v>
      </c>
      <c r="B680" s="66" t="s">
        <v>1362</v>
      </c>
      <c r="C680" s="66"/>
      <c r="D680" s="98" t="s">
        <v>1172</v>
      </c>
      <c r="E680" s="98"/>
      <c r="F680" s="67" t="s">
        <v>1245</v>
      </c>
      <c r="G680" s="66"/>
      <c r="H680" s="68"/>
      <c r="I680" s="36"/>
      <c r="J680" s="68"/>
      <c r="K680" s="69"/>
      <c r="L680" s="69"/>
      <c r="M680" s="69"/>
      <c r="N680" s="69"/>
      <c r="O680" s="69">
        <f>O681</f>
        <v>0</v>
      </c>
      <c r="P680" s="69">
        <f>P681</f>
        <v>0</v>
      </c>
      <c r="Q680" s="69">
        <f>Q681</f>
        <v>0</v>
      </c>
      <c r="R680" s="69">
        <f>R681</f>
        <v>0</v>
      </c>
      <c r="S680" s="69"/>
      <c r="T680" s="36"/>
      <c r="XDA680"/>
      <c r="XDB680"/>
      <c r="XDC680"/>
      <c r="XDD680"/>
      <c r="XDE680"/>
      <c r="XDF680"/>
      <c r="XDG680"/>
      <c r="XDH680"/>
      <c r="XDI680"/>
      <c r="XDJ680"/>
      <c r="XDK680"/>
      <c r="XDL680"/>
      <c r="XDM680"/>
      <c r="XDN680"/>
      <c r="XDO680"/>
      <c r="XDP680"/>
      <c r="XDQ680"/>
      <c r="XDR680"/>
      <c r="XDS680"/>
      <c r="XDT680"/>
      <c r="XDU680"/>
      <c r="XDV680"/>
      <c r="XDW680"/>
      <c r="XDX680"/>
      <c r="XDY680"/>
      <c r="XDZ680"/>
      <c r="XEA680"/>
      <c r="XEB680"/>
      <c r="XEC680"/>
      <c r="XED680"/>
      <c r="XEE680"/>
      <c r="XEF680"/>
      <c r="XEG680"/>
      <c r="XEH680"/>
      <c r="XEI680"/>
      <c r="XEJ680"/>
      <c r="XEK680"/>
      <c r="XEL680"/>
      <c r="XEM680"/>
      <c r="XEN680"/>
      <c r="XEO680"/>
      <c r="XEP680"/>
      <c r="XEQ680"/>
      <c r="XER680"/>
      <c r="XES680"/>
      <c r="XET680"/>
      <c r="XEU680"/>
      <c r="XEV680"/>
      <c r="XEW680"/>
      <c r="XEX680"/>
      <c r="XEY680"/>
      <c r="XEZ680"/>
      <c r="XFA680"/>
      <c r="XFB680"/>
      <c r="XFC680"/>
    </row>
    <row r="681" spans="1:20 16329:16383" s="38" customFormat="1" ht="29.1" customHeight="1" outlineLevel="6" x14ac:dyDescent="0.25">
      <c r="A681" s="49" t="s">
        <v>1363</v>
      </c>
      <c r="B681" s="50"/>
      <c r="C681" s="50"/>
      <c r="D681" s="3" t="s">
        <v>1247</v>
      </c>
      <c r="E681" s="3"/>
      <c r="F681" s="51" t="s">
        <v>1221</v>
      </c>
      <c r="G681" s="50" t="s">
        <v>194</v>
      </c>
      <c r="H681" s="52">
        <f>1</f>
        <v>1</v>
      </c>
      <c r="I681" s="36"/>
      <c r="J681" s="52">
        <v>1</v>
      </c>
      <c r="K681" s="53">
        <f>0</f>
        <v>0</v>
      </c>
      <c r="L681" s="53">
        <f>0</f>
        <v>0</v>
      </c>
      <c r="M681" s="53">
        <f>0</f>
        <v>0</v>
      </c>
      <c r="N681" s="54">
        <f>SUM(K681:M681)</f>
        <v>0</v>
      </c>
      <c r="O681" s="54">
        <f>ROUND((H681*K681),2)</f>
        <v>0</v>
      </c>
      <c r="P681" s="54">
        <f>ROUND((H681*L681),2)</f>
        <v>0</v>
      </c>
      <c r="Q681" s="54">
        <f>ROUND((H681*M681),2)</f>
        <v>0</v>
      </c>
      <c r="R681" s="54">
        <f>ROUND((H681*N681),2)</f>
        <v>0</v>
      </c>
      <c r="S681" s="54"/>
      <c r="T681" s="36"/>
      <c r="XDA681"/>
      <c r="XDB681"/>
      <c r="XDC681"/>
      <c r="XDD681"/>
      <c r="XDE681"/>
      <c r="XDF681"/>
      <c r="XDG681"/>
      <c r="XDH681"/>
      <c r="XDI681"/>
      <c r="XDJ681"/>
      <c r="XDK681"/>
      <c r="XDL681"/>
      <c r="XDM681"/>
      <c r="XDN681"/>
      <c r="XDO681"/>
      <c r="XDP681"/>
      <c r="XDQ681"/>
      <c r="XDR681"/>
      <c r="XDS681"/>
      <c r="XDT681"/>
      <c r="XDU681"/>
      <c r="XDV681"/>
      <c r="XDW681"/>
      <c r="XDX681"/>
      <c r="XDY681"/>
      <c r="XDZ681"/>
      <c r="XEA681"/>
      <c r="XEB681"/>
      <c r="XEC681"/>
      <c r="XED681"/>
      <c r="XEE681"/>
      <c r="XEF681"/>
      <c r="XEG681"/>
      <c r="XEH681"/>
      <c r="XEI681"/>
      <c r="XEJ681"/>
      <c r="XEK681"/>
      <c r="XEL681"/>
      <c r="XEM681"/>
      <c r="XEN681"/>
      <c r="XEO681"/>
      <c r="XEP681"/>
      <c r="XEQ681"/>
      <c r="XER681"/>
      <c r="XES681"/>
      <c r="XET681"/>
      <c r="XEU681"/>
      <c r="XEV681"/>
      <c r="XEW681"/>
      <c r="XEX681"/>
      <c r="XEY681"/>
      <c r="XEZ681"/>
      <c r="XFA681"/>
      <c r="XFB681"/>
      <c r="XFC681"/>
    </row>
    <row r="682" spans="1:20 16329:16383" s="38" customFormat="1" ht="29.1" customHeight="1" outlineLevel="5" x14ac:dyDescent="0.25">
      <c r="A682" s="65" t="s">
        <v>1364</v>
      </c>
      <c r="B682" s="66" t="s">
        <v>1365</v>
      </c>
      <c r="C682" s="66"/>
      <c r="D682" s="98" t="s">
        <v>1250</v>
      </c>
      <c r="E682" s="98"/>
      <c r="F682" s="67" t="s">
        <v>1251</v>
      </c>
      <c r="G682" s="66"/>
      <c r="H682" s="68"/>
      <c r="I682" s="36"/>
      <c r="J682" s="68"/>
      <c r="K682" s="69"/>
      <c r="L682" s="69"/>
      <c r="M682" s="69"/>
      <c r="N682" s="69"/>
      <c r="O682" s="69">
        <f>O683</f>
        <v>0</v>
      </c>
      <c r="P682" s="69">
        <f>P683</f>
        <v>0</v>
      </c>
      <c r="Q682" s="69">
        <f>Q683</f>
        <v>0</v>
      </c>
      <c r="R682" s="69">
        <f>R683</f>
        <v>0</v>
      </c>
      <c r="S682" s="69"/>
      <c r="T682" s="36"/>
      <c r="XDA682"/>
      <c r="XDB682"/>
      <c r="XDC682"/>
      <c r="XDD682"/>
      <c r="XDE682"/>
      <c r="XDF682"/>
      <c r="XDG682"/>
      <c r="XDH682"/>
      <c r="XDI682"/>
      <c r="XDJ682"/>
      <c r="XDK682"/>
      <c r="XDL682"/>
      <c r="XDM682"/>
      <c r="XDN682"/>
      <c r="XDO682"/>
      <c r="XDP682"/>
      <c r="XDQ682"/>
      <c r="XDR682"/>
      <c r="XDS682"/>
      <c r="XDT682"/>
      <c r="XDU682"/>
      <c r="XDV682"/>
      <c r="XDW682"/>
      <c r="XDX682"/>
      <c r="XDY682"/>
      <c r="XDZ682"/>
      <c r="XEA682"/>
      <c r="XEB682"/>
      <c r="XEC682"/>
      <c r="XED682"/>
      <c r="XEE682"/>
      <c r="XEF682"/>
      <c r="XEG682"/>
      <c r="XEH682"/>
      <c r="XEI682"/>
      <c r="XEJ682"/>
      <c r="XEK682"/>
      <c r="XEL682"/>
      <c r="XEM682"/>
      <c r="XEN682"/>
      <c r="XEO682"/>
      <c r="XEP682"/>
      <c r="XEQ682"/>
      <c r="XER682"/>
      <c r="XES682"/>
      <c r="XET682"/>
      <c r="XEU682"/>
      <c r="XEV682"/>
      <c r="XEW682"/>
      <c r="XEX682"/>
      <c r="XEY682"/>
      <c r="XEZ682"/>
      <c r="XFA682"/>
      <c r="XFB682"/>
      <c r="XFC682"/>
    </row>
    <row r="683" spans="1:20 16329:16383" s="38" customFormat="1" ht="29.1" customHeight="1" outlineLevel="6" x14ac:dyDescent="0.25">
      <c r="A683" s="49" t="s">
        <v>1366</v>
      </c>
      <c r="B683" s="50"/>
      <c r="C683" s="50"/>
      <c r="D683" s="3" t="s">
        <v>1253</v>
      </c>
      <c r="E683" s="3"/>
      <c r="F683" s="51" t="s">
        <v>1221</v>
      </c>
      <c r="G683" s="50" t="s">
        <v>194</v>
      </c>
      <c r="H683" s="52">
        <f>1</f>
        <v>1</v>
      </c>
      <c r="I683" s="36"/>
      <c r="J683" s="52">
        <v>1</v>
      </c>
      <c r="K683" s="53">
        <f>0</f>
        <v>0</v>
      </c>
      <c r="L683" s="53">
        <f>0</f>
        <v>0</v>
      </c>
      <c r="M683" s="53">
        <f>0</f>
        <v>0</v>
      </c>
      <c r="N683" s="54">
        <f>SUM(K683:M683)</f>
        <v>0</v>
      </c>
      <c r="O683" s="54">
        <f>ROUND((H683*K683),2)</f>
        <v>0</v>
      </c>
      <c r="P683" s="54">
        <f>ROUND((H683*L683),2)</f>
        <v>0</v>
      </c>
      <c r="Q683" s="54">
        <f>ROUND((H683*M683),2)</f>
        <v>0</v>
      </c>
      <c r="R683" s="54">
        <f>ROUND((H683*N683),2)</f>
        <v>0</v>
      </c>
      <c r="S683" s="54"/>
      <c r="T683" s="36"/>
      <c r="XDA683"/>
      <c r="XDB683"/>
      <c r="XDC683"/>
      <c r="XDD683"/>
      <c r="XDE683"/>
      <c r="XDF683"/>
      <c r="XDG683"/>
      <c r="XDH683"/>
      <c r="XDI683"/>
      <c r="XDJ683"/>
      <c r="XDK683"/>
      <c r="XDL683"/>
      <c r="XDM683"/>
      <c r="XDN683"/>
      <c r="XDO683"/>
      <c r="XDP683"/>
      <c r="XDQ683"/>
      <c r="XDR683"/>
      <c r="XDS683"/>
      <c r="XDT683"/>
      <c r="XDU683"/>
      <c r="XDV683"/>
      <c r="XDW683"/>
      <c r="XDX683"/>
      <c r="XDY683"/>
      <c r="XDZ683"/>
      <c r="XEA683"/>
      <c r="XEB683"/>
      <c r="XEC683"/>
      <c r="XED683"/>
      <c r="XEE683"/>
      <c r="XEF683"/>
      <c r="XEG683"/>
      <c r="XEH683"/>
      <c r="XEI683"/>
      <c r="XEJ683"/>
      <c r="XEK683"/>
      <c r="XEL683"/>
      <c r="XEM683"/>
      <c r="XEN683"/>
      <c r="XEO683"/>
      <c r="XEP683"/>
      <c r="XEQ683"/>
      <c r="XER683"/>
      <c r="XES683"/>
      <c r="XET683"/>
      <c r="XEU683"/>
      <c r="XEV683"/>
      <c r="XEW683"/>
      <c r="XEX683"/>
      <c r="XEY683"/>
      <c r="XEZ683"/>
      <c r="XFA683"/>
      <c r="XFB683"/>
      <c r="XFC683"/>
    </row>
    <row r="684" spans="1:20 16329:16383" s="38" customFormat="1" ht="29.1" customHeight="1" outlineLevel="5" x14ac:dyDescent="0.25">
      <c r="A684" s="65" t="s">
        <v>1367</v>
      </c>
      <c r="B684" s="66" t="s">
        <v>1368</v>
      </c>
      <c r="C684" s="66"/>
      <c r="D684" s="98" t="s">
        <v>891</v>
      </c>
      <c r="E684" s="98"/>
      <c r="F684" s="67" t="s">
        <v>892</v>
      </c>
      <c r="G684" s="66"/>
      <c r="H684" s="68"/>
      <c r="I684" s="36"/>
      <c r="J684" s="68"/>
      <c r="K684" s="69"/>
      <c r="L684" s="69"/>
      <c r="M684" s="69"/>
      <c r="N684" s="69"/>
      <c r="O684" s="69">
        <f>O685</f>
        <v>0</v>
      </c>
      <c r="P684" s="69">
        <f>P685</f>
        <v>0</v>
      </c>
      <c r="Q684" s="69">
        <f>Q685</f>
        <v>0</v>
      </c>
      <c r="R684" s="69">
        <f>R685</f>
        <v>0</v>
      </c>
      <c r="S684" s="69"/>
      <c r="T684" s="36"/>
      <c r="XDA684"/>
      <c r="XDB684"/>
      <c r="XDC684"/>
      <c r="XDD684"/>
      <c r="XDE684"/>
      <c r="XDF684"/>
      <c r="XDG684"/>
      <c r="XDH684"/>
      <c r="XDI684"/>
      <c r="XDJ684"/>
      <c r="XDK684"/>
      <c r="XDL684"/>
      <c r="XDM684"/>
      <c r="XDN684"/>
      <c r="XDO684"/>
      <c r="XDP684"/>
      <c r="XDQ684"/>
      <c r="XDR684"/>
      <c r="XDS684"/>
      <c r="XDT684"/>
      <c r="XDU684"/>
      <c r="XDV684"/>
      <c r="XDW684"/>
      <c r="XDX684"/>
      <c r="XDY684"/>
      <c r="XDZ684"/>
      <c r="XEA684"/>
      <c r="XEB684"/>
      <c r="XEC684"/>
      <c r="XED684"/>
      <c r="XEE684"/>
      <c r="XEF684"/>
      <c r="XEG684"/>
      <c r="XEH684"/>
      <c r="XEI684"/>
      <c r="XEJ684"/>
      <c r="XEK684"/>
      <c r="XEL684"/>
      <c r="XEM684"/>
      <c r="XEN684"/>
      <c r="XEO684"/>
      <c r="XEP684"/>
      <c r="XEQ684"/>
      <c r="XER684"/>
      <c r="XES684"/>
      <c r="XET684"/>
      <c r="XEU684"/>
      <c r="XEV684"/>
      <c r="XEW684"/>
      <c r="XEX684"/>
      <c r="XEY684"/>
      <c r="XEZ684"/>
      <c r="XFA684"/>
      <c r="XFB684"/>
      <c r="XFC684"/>
    </row>
    <row r="685" spans="1:20 16329:16383" s="38" customFormat="1" ht="29.1" customHeight="1" outlineLevel="6" x14ac:dyDescent="0.25">
      <c r="A685" s="49" t="s">
        <v>1369</v>
      </c>
      <c r="B685" s="50"/>
      <c r="C685" s="50"/>
      <c r="D685" s="3" t="s">
        <v>931</v>
      </c>
      <c r="E685" s="3"/>
      <c r="F685" s="51" t="s">
        <v>1185</v>
      </c>
      <c r="G685" s="50" t="s">
        <v>102</v>
      </c>
      <c r="H685" s="52">
        <f>1</f>
        <v>1</v>
      </c>
      <c r="I685" s="36"/>
      <c r="J685" s="52">
        <v>1</v>
      </c>
      <c r="K685" s="53">
        <f>0</f>
        <v>0</v>
      </c>
      <c r="L685" s="53">
        <f>0</f>
        <v>0</v>
      </c>
      <c r="M685" s="53">
        <f>0</f>
        <v>0</v>
      </c>
      <c r="N685" s="54">
        <f>SUM(K685:M685)</f>
        <v>0</v>
      </c>
      <c r="O685" s="54">
        <f>ROUND((H685*K685),2)</f>
        <v>0</v>
      </c>
      <c r="P685" s="54">
        <f>ROUND((H685*L685),2)</f>
        <v>0</v>
      </c>
      <c r="Q685" s="54">
        <f>ROUND((H685*M685),2)</f>
        <v>0</v>
      </c>
      <c r="R685" s="54">
        <f>ROUND((H685*N685),2)</f>
        <v>0</v>
      </c>
      <c r="S685" s="54"/>
      <c r="T685" s="36"/>
      <c r="XDA685"/>
      <c r="XDB685"/>
      <c r="XDC685"/>
      <c r="XDD685"/>
      <c r="XDE685"/>
      <c r="XDF685"/>
      <c r="XDG685"/>
      <c r="XDH685"/>
      <c r="XDI685"/>
      <c r="XDJ685"/>
      <c r="XDK685"/>
      <c r="XDL685"/>
      <c r="XDM685"/>
      <c r="XDN685"/>
      <c r="XDO685"/>
      <c r="XDP685"/>
      <c r="XDQ685"/>
      <c r="XDR685"/>
      <c r="XDS685"/>
      <c r="XDT685"/>
      <c r="XDU685"/>
      <c r="XDV685"/>
      <c r="XDW685"/>
      <c r="XDX685"/>
      <c r="XDY685"/>
      <c r="XDZ685"/>
      <c r="XEA685"/>
      <c r="XEB685"/>
      <c r="XEC685"/>
      <c r="XED685"/>
      <c r="XEE685"/>
      <c r="XEF685"/>
      <c r="XEG685"/>
      <c r="XEH685"/>
      <c r="XEI685"/>
      <c r="XEJ685"/>
      <c r="XEK685"/>
      <c r="XEL685"/>
      <c r="XEM685"/>
      <c r="XEN685"/>
      <c r="XEO685"/>
      <c r="XEP685"/>
      <c r="XEQ685"/>
      <c r="XER685"/>
      <c r="XES685"/>
      <c r="XET685"/>
      <c r="XEU685"/>
      <c r="XEV685"/>
      <c r="XEW685"/>
      <c r="XEX685"/>
      <c r="XEY685"/>
      <c r="XEZ685"/>
      <c r="XFA685"/>
      <c r="XFB685"/>
      <c r="XFC685"/>
    </row>
    <row r="686" spans="1:20 16329:16383" s="38" customFormat="1" ht="29.1" customHeight="1" outlineLevel="4" x14ac:dyDescent="0.25">
      <c r="A686" s="60" t="s">
        <v>1370</v>
      </c>
      <c r="B686" s="61" t="s">
        <v>1371</v>
      </c>
      <c r="C686" s="61"/>
      <c r="D686" s="1" t="s">
        <v>902</v>
      </c>
      <c r="E686" s="1"/>
      <c r="F686" s="62"/>
      <c r="G686" s="61"/>
      <c r="H686" s="63"/>
      <c r="I686" s="36"/>
      <c r="J686" s="63"/>
      <c r="K686" s="64"/>
      <c r="L686" s="64"/>
      <c r="M686" s="64"/>
      <c r="N686" s="64"/>
      <c r="O686" s="64">
        <f>O687+O689+O691</f>
        <v>0</v>
      </c>
      <c r="P686" s="64">
        <f>P687+P689+P691</f>
        <v>0</v>
      </c>
      <c r="Q686" s="64">
        <f>Q687+Q689+Q691</f>
        <v>0</v>
      </c>
      <c r="R686" s="64">
        <f>R687+R689+R691</f>
        <v>0</v>
      </c>
      <c r="S686" s="64"/>
      <c r="T686" s="36"/>
      <c r="XDA686"/>
      <c r="XDB686"/>
      <c r="XDC686"/>
      <c r="XDD686"/>
      <c r="XDE686"/>
      <c r="XDF686"/>
      <c r="XDG686"/>
      <c r="XDH686"/>
      <c r="XDI686"/>
      <c r="XDJ686"/>
      <c r="XDK686"/>
      <c r="XDL686"/>
      <c r="XDM686"/>
      <c r="XDN686"/>
      <c r="XDO686"/>
      <c r="XDP686"/>
      <c r="XDQ686"/>
      <c r="XDR686"/>
      <c r="XDS686"/>
      <c r="XDT686"/>
      <c r="XDU686"/>
      <c r="XDV686"/>
      <c r="XDW686"/>
      <c r="XDX686"/>
      <c r="XDY686"/>
      <c r="XDZ686"/>
      <c r="XEA686"/>
      <c r="XEB686"/>
      <c r="XEC686"/>
      <c r="XED686"/>
      <c r="XEE686"/>
      <c r="XEF686"/>
      <c r="XEG686"/>
      <c r="XEH686"/>
      <c r="XEI686"/>
      <c r="XEJ686"/>
      <c r="XEK686"/>
      <c r="XEL686"/>
      <c r="XEM686"/>
      <c r="XEN686"/>
      <c r="XEO686"/>
      <c r="XEP686"/>
      <c r="XEQ686"/>
      <c r="XER686"/>
      <c r="XES686"/>
      <c r="XET686"/>
      <c r="XEU686"/>
      <c r="XEV686"/>
      <c r="XEW686"/>
      <c r="XEX686"/>
      <c r="XEY686"/>
      <c r="XEZ686"/>
      <c r="XFA686"/>
      <c r="XFB686"/>
      <c r="XFC686"/>
    </row>
    <row r="687" spans="1:20 16329:16383" s="38" customFormat="1" ht="29.1" customHeight="1" outlineLevel="5" x14ac:dyDescent="0.25">
      <c r="A687" s="65" t="s">
        <v>1372</v>
      </c>
      <c r="B687" s="66" t="s">
        <v>1373</v>
      </c>
      <c r="C687" s="66"/>
      <c r="D687" s="98" t="s">
        <v>1239</v>
      </c>
      <c r="E687" s="98"/>
      <c r="F687" s="67" t="s">
        <v>1261</v>
      </c>
      <c r="G687" s="66"/>
      <c r="H687" s="68"/>
      <c r="I687" s="36"/>
      <c r="J687" s="68"/>
      <c r="K687" s="69"/>
      <c r="L687" s="69"/>
      <c r="M687" s="69"/>
      <c r="N687" s="69"/>
      <c r="O687" s="69">
        <f>O688</f>
        <v>0</v>
      </c>
      <c r="P687" s="69">
        <f>P688</f>
        <v>0</v>
      </c>
      <c r="Q687" s="69">
        <f>Q688</f>
        <v>0</v>
      </c>
      <c r="R687" s="69">
        <f>R688</f>
        <v>0</v>
      </c>
      <c r="S687" s="69"/>
      <c r="T687" s="36"/>
      <c r="XDA687"/>
      <c r="XDB687"/>
      <c r="XDC687"/>
      <c r="XDD687"/>
      <c r="XDE687"/>
      <c r="XDF687"/>
      <c r="XDG687"/>
      <c r="XDH687"/>
      <c r="XDI687"/>
      <c r="XDJ687"/>
      <c r="XDK687"/>
      <c r="XDL687"/>
      <c r="XDM687"/>
      <c r="XDN687"/>
      <c r="XDO687"/>
      <c r="XDP687"/>
      <c r="XDQ687"/>
      <c r="XDR687"/>
      <c r="XDS687"/>
      <c r="XDT687"/>
      <c r="XDU687"/>
      <c r="XDV687"/>
      <c r="XDW687"/>
      <c r="XDX687"/>
      <c r="XDY687"/>
      <c r="XDZ687"/>
      <c r="XEA687"/>
      <c r="XEB687"/>
      <c r="XEC687"/>
      <c r="XED687"/>
      <c r="XEE687"/>
      <c r="XEF687"/>
      <c r="XEG687"/>
      <c r="XEH687"/>
      <c r="XEI687"/>
      <c r="XEJ687"/>
      <c r="XEK687"/>
      <c r="XEL687"/>
      <c r="XEM687"/>
      <c r="XEN687"/>
      <c r="XEO687"/>
      <c r="XEP687"/>
      <c r="XEQ687"/>
      <c r="XER687"/>
      <c r="XES687"/>
      <c r="XET687"/>
      <c r="XEU687"/>
      <c r="XEV687"/>
      <c r="XEW687"/>
      <c r="XEX687"/>
      <c r="XEY687"/>
      <c r="XEZ687"/>
      <c r="XFA687"/>
      <c r="XFB687"/>
      <c r="XFC687"/>
    </row>
    <row r="688" spans="1:20 16329:16383" s="38" customFormat="1" ht="29.1" customHeight="1" outlineLevel="6" x14ac:dyDescent="0.25">
      <c r="A688" s="49" t="s">
        <v>1374</v>
      </c>
      <c r="B688" s="50"/>
      <c r="C688" s="50"/>
      <c r="D688" s="3" t="s">
        <v>1242</v>
      </c>
      <c r="E688" s="3"/>
      <c r="F688" s="51" t="s">
        <v>1217</v>
      </c>
      <c r="G688" s="50" t="s">
        <v>102</v>
      </c>
      <c r="H688" s="52">
        <f>1</f>
        <v>1</v>
      </c>
      <c r="I688" s="36"/>
      <c r="J688" s="52">
        <v>1</v>
      </c>
      <c r="K688" s="53">
        <f>0</f>
        <v>0</v>
      </c>
      <c r="L688" s="53">
        <f>0</f>
        <v>0</v>
      </c>
      <c r="M688" s="53">
        <f>0</f>
        <v>0</v>
      </c>
      <c r="N688" s="54">
        <f>SUM(K688:M688)</f>
        <v>0</v>
      </c>
      <c r="O688" s="54">
        <f>ROUND((H688*K688),2)</f>
        <v>0</v>
      </c>
      <c r="P688" s="54">
        <f>ROUND((H688*L688),2)</f>
        <v>0</v>
      </c>
      <c r="Q688" s="54">
        <f>ROUND((H688*M688),2)</f>
        <v>0</v>
      </c>
      <c r="R688" s="54">
        <f>ROUND((H688*N688),2)</f>
        <v>0</v>
      </c>
      <c r="S688" s="54"/>
      <c r="T688" s="36"/>
      <c r="XDA688"/>
      <c r="XDB688"/>
      <c r="XDC688"/>
      <c r="XDD688"/>
      <c r="XDE688"/>
      <c r="XDF688"/>
      <c r="XDG688"/>
      <c r="XDH688"/>
      <c r="XDI688"/>
      <c r="XDJ688"/>
      <c r="XDK688"/>
      <c r="XDL688"/>
      <c r="XDM688"/>
      <c r="XDN688"/>
      <c r="XDO688"/>
      <c r="XDP688"/>
      <c r="XDQ688"/>
      <c r="XDR688"/>
      <c r="XDS688"/>
      <c r="XDT688"/>
      <c r="XDU688"/>
      <c r="XDV688"/>
      <c r="XDW688"/>
      <c r="XDX688"/>
      <c r="XDY688"/>
      <c r="XDZ688"/>
      <c r="XEA688"/>
      <c r="XEB688"/>
      <c r="XEC688"/>
      <c r="XED688"/>
      <c r="XEE688"/>
      <c r="XEF688"/>
      <c r="XEG688"/>
      <c r="XEH688"/>
      <c r="XEI688"/>
      <c r="XEJ688"/>
      <c r="XEK688"/>
      <c r="XEL688"/>
      <c r="XEM688"/>
      <c r="XEN688"/>
      <c r="XEO688"/>
      <c r="XEP688"/>
      <c r="XEQ688"/>
      <c r="XER688"/>
      <c r="XES688"/>
      <c r="XET688"/>
      <c r="XEU688"/>
      <c r="XEV688"/>
      <c r="XEW688"/>
      <c r="XEX688"/>
      <c r="XEY688"/>
      <c r="XEZ688"/>
      <c r="XFA688"/>
      <c r="XFB688"/>
      <c r="XFC688"/>
    </row>
    <row r="689" spans="1:20 16329:16383" s="38" customFormat="1" ht="29.1" customHeight="1" outlineLevel="5" x14ac:dyDescent="0.25">
      <c r="A689" s="65" t="s">
        <v>1375</v>
      </c>
      <c r="B689" s="66" t="s">
        <v>1376</v>
      </c>
      <c r="C689" s="66"/>
      <c r="D689" s="98" t="s">
        <v>1265</v>
      </c>
      <c r="E689" s="98"/>
      <c r="F689" s="67" t="s">
        <v>1266</v>
      </c>
      <c r="G689" s="66"/>
      <c r="H689" s="68"/>
      <c r="I689" s="36"/>
      <c r="J689" s="68"/>
      <c r="K689" s="69"/>
      <c r="L689" s="69"/>
      <c r="M689" s="69"/>
      <c r="N689" s="69"/>
      <c r="O689" s="69">
        <f>O690</f>
        <v>0</v>
      </c>
      <c r="P689" s="69">
        <f>P690</f>
        <v>0</v>
      </c>
      <c r="Q689" s="69">
        <f>Q690</f>
        <v>0</v>
      </c>
      <c r="R689" s="69">
        <f>R690</f>
        <v>0</v>
      </c>
      <c r="S689" s="69"/>
      <c r="T689" s="36"/>
      <c r="XDA689"/>
      <c r="XDB689"/>
      <c r="XDC689"/>
      <c r="XDD689"/>
      <c r="XDE689"/>
      <c r="XDF689"/>
      <c r="XDG689"/>
      <c r="XDH689"/>
      <c r="XDI689"/>
      <c r="XDJ689"/>
      <c r="XDK689"/>
      <c r="XDL689"/>
      <c r="XDM689"/>
      <c r="XDN689"/>
      <c r="XDO689"/>
      <c r="XDP689"/>
      <c r="XDQ689"/>
      <c r="XDR689"/>
      <c r="XDS689"/>
      <c r="XDT689"/>
      <c r="XDU689"/>
      <c r="XDV689"/>
      <c r="XDW689"/>
      <c r="XDX689"/>
      <c r="XDY689"/>
      <c r="XDZ689"/>
      <c r="XEA689"/>
      <c r="XEB689"/>
      <c r="XEC689"/>
      <c r="XED689"/>
      <c r="XEE689"/>
      <c r="XEF689"/>
      <c r="XEG689"/>
      <c r="XEH689"/>
      <c r="XEI689"/>
      <c r="XEJ689"/>
      <c r="XEK689"/>
      <c r="XEL689"/>
      <c r="XEM689"/>
      <c r="XEN689"/>
      <c r="XEO689"/>
      <c r="XEP689"/>
      <c r="XEQ689"/>
      <c r="XER689"/>
      <c r="XES689"/>
      <c r="XET689"/>
      <c r="XEU689"/>
      <c r="XEV689"/>
      <c r="XEW689"/>
      <c r="XEX689"/>
      <c r="XEY689"/>
      <c r="XEZ689"/>
      <c r="XFA689"/>
      <c r="XFB689"/>
      <c r="XFC689"/>
    </row>
    <row r="690" spans="1:20 16329:16383" s="38" customFormat="1" ht="29.1" customHeight="1" outlineLevel="6" x14ac:dyDescent="0.25">
      <c r="A690" s="49" t="s">
        <v>1377</v>
      </c>
      <c r="B690" s="50"/>
      <c r="C690" s="50"/>
      <c r="D690" s="3" t="s">
        <v>1247</v>
      </c>
      <c r="E690" s="3"/>
      <c r="F690" s="51" t="s">
        <v>1221</v>
      </c>
      <c r="G690" s="50" t="s">
        <v>194</v>
      </c>
      <c r="H690" s="52">
        <f>1</f>
        <v>1</v>
      </c>
      <c r="I690" s="36"/>
      <c r="J690" s="52">
        <v>1</v>
      </c>
      <c r="K690" s="53">
        <f>0</f>
        <v>0</v>
      </c>
      <c r="L690" s="53">
        <f>0</f>
        <v>0</v>
      </c>
      <c r="M690" s="53">
        <f>0</f>
        <v>0</v>
      </c>
      <c r="N690" s="54">
        <f>SUM(K690:M690)</f>
        <v>0</v>
      </c>
      <c r="O690" s="54">
        <f>ROUND((H690*K690),2)</f>
        <v>0</v>
      </c>
      <c r="P690" s="54">
        <f>ROUND((H690*L690),2)</f>
        <v>0</v>
      </c>
      <c r="Q690" s="54">
        <f>ROUND((H690*M690),2)</f>
        <v>0</v>
      </c>
      <c r="R690" s="54">
        <f>ROUND((H690*N690),2)</f>
        <v>0</v>
      </c>
      <c r="S690" s="54"/>
      <c r="T690" s="36"/>
      <c r="XDA690"/>
      <c r="XDB690"/>
      <c r="XDC690"/>
      <c r="XDD690"/>
      <c r="XDE690"/>
      <c r="XDF690"/>
      <c r="XDG690"/>
      <c r="XDH690"/>
      <c r="XDI690"/>
      <c r="XDJ690"/>
      <c r="XDK690"/>
      <c r="XDL690"/>
      <c r="XDM690"/>
      <c r="XDN690"/>
      <c r="XDO690"/>
      <c r="XDP690"/>
      <c r="XDQ690"/>
      <c r="XDR690"/>
      <c r="XDS690"/>
      <c r="XDT690"/>
      <c r="XDU690"/>
      <c r="XDV690"/>
      <c r="XDW690"/>
      <c r="XDX690"/>
      <c r="XDY690"/>
      <c r="XDZ690"/>
      <c r="XEA690"/>
      <c r="XEB690"/>
      <c r="XEC690"/>
      <c r="XED690"/>
      <c r="XEE690"/>
      <c r="XEF690"/>
      <c r="XEG690"/>
      <c r="XEH690"/>
      <c r="XEI690"/>
      <c r="XEJ690"/>
      <c r="XEK690"/>
      <c r="XEL690"/>
      <c r="XEM690"/>
      <c r="XEN690"/>
      <c r="XEO690"/>
      <c r="XEP690"/>
      <c r="XEQ690"/>
      <c r="XER690"/>
      <c r="XES690"/>
      <c r="XET690"/>
      <c r="XEU690"/>
      <c r="XEV690"/>
      <c r="XEW690"/>
      <c r="XEX690"/>
      <c r="XEY690"/>
      <c r="XEZ690"/>
      <c r="XFA690"/>
      <c r="XFB690"/>
      <c r="XFC690"/>
    </row>
    <row r="691" spans="1:20 16329:16383" s="38" customFormat="1" ht="29.1" customHeight="1" outlineLevel="5" x14ac:dyDescent="0.25">
      <c r="A691" s="65" t="s">
        <v>1378</v>
      </c>
      <c r="B691" s="66" t="s">
        <v>1379</v>
      </c>
      <c r="C691" s="66"/>
      <c r="D691" s="98" t="s">
        <v>891</v>
      </c>
      <c r="E691" s="98"/>
      <c r="F691" s="67" t="s">
        <v>892</v>
      </c>
      <c r="G691" s="66"/>
      <c r="H691" s="68"/>
      <c r="I691" s="36"/>
      <c r="J691" s="68"/>
      <c r="K691" s="69"/>
      <c r="L691" s="69"/>
      <c r="M691" s="69"/>
      <c r="N691" s="69"/>
      <c r="O691" s="69">
        <f>O692</f>
        <v>0</v>
      </c>
      <c r="P691" s="69">
        <f>P692</f>
        <v>0</v>
      </c>
      <c r="Q691" s="69">
        <f>Q692</f>
        <v>0</v>
      </c>
      <c r="R691" s="69">
        <f>R692</f>
        <v>0</v>
      </c>
      <c r="S691" s="69"/>
      <c r="T691" s="36"/>
      <c r="XDA691"/>
      <c r="XDB691"/>
      <c r="XDC691"/>
      <c r="XDD691"/>
      <c r="XDE691"/>
      <c r="XDF691"/>
      <c r="XDG691"/>
      <c r="XDH691"/>
      <c r="XDI691"/>
      <c r="XDJ691"/>
      <c r="XDK691"/>
      <c r="XDL691"/>
      <c r="XDM691"/>
      <c r="XDN691"/>
      <c r="XDO691"/>
      <c r="XDP691"/>
      <c r="XDQ691"/>
      <c r="XDR691"/>
      <c r="XDS691"/>
      <c r="XDT691"/>
      <c r="XDU691"/>
      <c r="XDV691"/>
      <c r="XDW691"/>
      <c r="XDX691"/>
      <c r="XDY691"/>
      <c r="XDZ691"/>
      <c r="XEA691"/>
      <c r="XEB691"/>
      <c r="XEC691"/>
      <c r="XED691"/>
      <c r="XEE691"/>
      <c r="XEF691"/>
      <c r="XEG691"/>
      <c r="XEH691"/>
      <c r="XEI691"/>
      <c r="XEJ691"/>
      <c r="XEK691"/>
      <c r="XEL691"/>
      <c r="XEM691"/>
      <c r="XEN691"/>
      <c r="XEO691"/>
      <c r="XEP691"/>
      <c r="XEQ691"/>
      <c r="XER691"/>
      <c r="XES691"/>
      <c r="XET691"/>
      <c r="XEU691"/>
      <c r="XEV691"/>
      <c r="XEW691"/>
      <c r="XEX691"/>
      <c r="XEY691"/>
      <c r="XEZ691"/>
      <c r="XFA691"/>
      <c r="XFB691"/>
      <c r="XFC691"/>
    </row>
    <row r="692" spans="1:20 16329:16383" s="38" customFormat="1" ht="29.1" customHeight="1" outlineLevel="6" x14ac:dyDescent="0.25">
      <c r="A692" s="49" t="s">
        <v>1380</v>
      </c>
      <c r="B692" s="50"/>
      <c r="C692" s="50"/>
      <c r="D692" s="3" t="s">
        <v>931</v>
      </c>
      <c r="E692" s="3"/>
      <c r="F692" s="51" t="s">
        <v>1185</v>
      </c>
      <c r="G692" s="50" t="s">
        <v>102</v>
      </c>
      <c r="H692" s="52">
        <f>1</f>
        <v>1</v>
      </c>
      <c r="I692" s="36"/>
      <c r="J692" s="52">
        <v>1</v>
      </c>
      <c r="K692" s="53">
        <f>0</f>
        <v>0</v>
      </c>
      <c r="L692" s="53">
        <f>0</f>
        <v>0</v>
      </c>
      <c r="M692" s="53">
        <f>0</f>
        <v>0</v>
      </c>
      <c r="N692" s="54">
        <f>SUM(K692:M692)</f>
        <v>0</v>
      </c>
      <c r="O692" s="54">
        <f>ROUND((H692*K692),2)</f>
        <v>0</v>
      </c>
      <c r="P692" s="54">
        <f>ROUND((H692*L692),2)</f>
        <v>0</v>
      </c>
      <c r="Q692" s="54">
        <f>ROUND((H692*M692),2)</f>
        <v>0</v>
      </c>
      <c r="R692" s="54">
        <f>ROUND((H692*N692),2)</f>
        <v>0</v>
      </c>
      <c r="S692" s="54"/>
      <c r="T692" s="36"/>
      <c r="XDA692"/>
      <c r="XDB692"/>
      <c r="XDC692"/>
      <c r="XDD692"/>
      <c r="XDE692"/>
      <c r="XDF692"/>
      <c r="XDG692"/>
      <c r="XDH692"/>
      <c r="XDI692"/>
      <c r="XDJ692"/>
      <c r="XDK692"/>
      <c r="XDL692"/>
      <c r="XDM692"/>
      <c r="XDN692"/>
      <c r="XDO692"/>
      <c r="XDP692"/>
      <c r="XDQ692"/>
      <c r="XDR692"/>
      <c r="XDS692"/>
      <c r="XDT692"/>
      <c r="XDU692"/>
      <c r="XDV692"/>
      <c r="XDW692"/>
      <c r="XDX692"/>
      <c r="XDY692"/>
      <c r="XDZ692"/>
      <c r="XEA692"/>
      <c r="XEB692"/>
      <c r="XEC692"/>
      <c r="XED692"/>
      <c r="XEE692"/>
      <c r="XEF692"/>
      <c r="XEG692"/>
      <c r="XEH692"/>
      <c r="XEI692"/>
      <c r="XEJ692"/>
      <c r="XEK692"/>
      <c r="XEL692"/>
      <c r="XEM692"/>
      <c r="XEN692"/>
      <c r="XEO692"/>
      <c r="XEP692"/>
      <c r="XEQ692"/>
      <c r="XER692"/>
      <c r="XES692"/>
      <c r="XET692"/>
      <c r="XEU692"/>
      <c r="XEV692"/>
      <c r="XEW692"/>
      <c r="XEX692"/>
      <c r="XEY692"/>
      <c r="XEZ692"/>
      <c r="XFA692"/>
      <c r="XFB692"/>
      <c r="XFC692"/>
    </row>
    <row r="693" spans="1:20 16329:16383" s="38" customFormat="1" ht="29.1" customHeight="1" outlineLevel="4" x14ac:dyDescent="0.25">
      <c r="A693" s="60" t="s">
        <v>1381</v>
      </c>
      <c r="B693" s="61" t="s">
        <v>1382</v>
      </c>
      <c r="C693" s="61"/>
      <c r="D693" s="1" t="s">
        <v>919</v>
      </c>
      <c r="E693" s="1"/>
      <c r="F693" s="62"/>
      <c r="G693" s="61"/>
      <c r="H693" s="63"/>
      <c r="I693" s="36"/>
      <c r="J693" s="63"/>
      <c r="K693" s="64"/>
      <c r="L693" s="64"/>
      <c r="M693" s="64"/>
      <c r="N693" s="64"/>
      <c r="O693" s="64">
        <f>O694+O696+O698+O700</f>
        <v>0</v>
      </c>
      <c r="P693" s="64">
        <f>P694+P696+P698+P700</f>
        <v>0</v>
      </c>
      <c r="Q693" s="64">
        <f>Q694+Q696+Q698+Q700</f>
        <v>0</v>
      </c>
      <c r="R693" s="64">
        <f>R694+R696+R698+R700</f>
        <v>0</v>
      </c>
      <c r="S693" s="64"/>
      <c r="T693" s="36"/>
      <c r="XDA693"/>
      <c r="XDB693"/>
      <c r="XDC693"/>
      <c r="XDD693"/>
      <c r="XDE693"/>
      <c r="XDF693"/>
      <c r="XDG693"/>
      <c r="XDH693"/>
      <c r="XDI693"/>
      <c r="XDJ693"/>
      <c r="XDK693"/>
      <c r="XDL693"/>
      <c r="XDM693"/>
      <c r="XDN693"/>
      <c r="XDO693"/>
      <c r="XDP693"/>
      <c r="XDQ693"/>
      <c r="XDR693"/>
      <c r="XDS693"/>
      <c r="XDT693"/>
      <c r="XDU693"/>
      <c r="XDV693"/>
      <c r="XDW693"/>
      <c r="XDX693"/>
      <c r="XDY693"/>
      <c r="XDZ693"/>
      <c r="XEA693"/>
      <c r="XEB693"/>
      <c r="XEC693"/>
      <c r="XED693"/>
      <c r="XEE693"/>
      <c r="XEF693"/>
      <c r="XEG693"/>
      <c r="XEH693"/>
      <c r="XEI693"/>
      <c r="XEJ693"/>
      <c r="XEK693"/>
      <c r="XEL693"/>
      <c r="XEM693"/>
      <c r="XEN693"/>
      <c r="XEO693"/>
      <c r="XEP693"/>
      <c r="XEQ693"/>
      <c r="XER693"/>
      <c r="XES693"/>
      <c r="XET693"/>
      <c r="XEU693"/>
      <c r="XEV693"/>
      <c r="XEW693"/>
      <c r="XEX693"/>
      <c r="XEY693"/>
      <c r="XEZ693"/>
      <c r="XFA693"/>
      <c r="XFB693"/>
      <c r="XFC693"/>
    </row>
    <row r="694" spans="1:20 16329:16383" s="38" customFormat="1" ht="29.1" customHeight="1" outlineLevel="5" x14ac:dyDescent="0.25">
      <c r="A694" s="65" t="s">
        <v>1383</v>
      </c>
      <c r="B694" s="66" t="s">
        <v>1384</v>
      </c>
      <c r="C694" s="66"/>
      <c r="D694" s="98" t="s">
        <v>1275</v>
      </c>
      <c r="E694" s="98"/>
      <c r="F694" s="67" t="s">
        <v>1276</v>
      </c>
      <c r="G694" s="66"/>
      <c r="H694" s="68"/>
      <c r="I694" s="36"/>
      <c r="J694" s="68"/>
      <c r="K694" s="69"/>
      <c r="L694" s="69"/>
      <c r="M694" s="69"/>
      <c r="N694" s="69"/>
      <c r="O694" s="69">
        <f>O695</f>
        <v>0</v>
      </c>
      <c r="P694" s="69">
        <f>P695</f>
        <v>0</v>
      </c>
      <c r="Q694" s="69">
        <f>Q695</f>
        <v>0</v>
      </c>
      <c r="R694" s="69">
        <f>R695</f>
        <v>0</v>
      </c>
      <c r="S694" s="69"/>
      <c r="T694" s="36"/>
      <c r="XDA694"/>
      <c r="XDB694"/>
      <c r="XDC694"/>
      <c r="XDD694"/>
      <c r="XDE694"/>
      <c r="XDF694"/>
      <c r="XDG694"/>
      <c r="XDH694"/>
      <c r="XDI694"/>
      <c r="XDJ694"/>
      <c r="XDK694"/>
      <c r="XDL694"/>
      <c r="XDM694"/>
      <c r="XDN694"/>
      <c r="XDO694"/>
      <c r="XDP694"/>
      <c r="XDQ694"/>
      <c r="XDR694"/>
      <c r="XDS694"/>
      <c r="XDT694"/>
      <c r="XDU694"/>
      <c r="XDV694"/>
      <c r="XDW694"/>
      <c r="XDX694"/>
      <c r="XDY694"/>
      <c r="XDZ694"/>
      <c r="XEA694"/>
      <c r="XEB694"/>
      <c r="XEC694"/>
      <c r="XED694"/>
      <c r="XEE694"/>
      <c r="XEF694"/>
      <c r="XEG694"/>
      <c r="XEH694"/>
      <c r="XEI694"/>
      <c r="XEJ694"/>
      <c r="XEK694"/>
      <c r="XEL694"/>
      <c r="XEM694"/>
      <c r="XEN694"/>
      <c r="XEO694"/>
      <c r="XEP694"/>
      <c r="XEQ694"/>
      <c r="XER694"/>
      <c r="XES694"/>
      <c r="XET694"/>
      <c r="XEU694"/>
      <c r="XEV694"/>
      <c r="XEW694"/>
      <c r="XEX694"/>
      <c r="XEY694"/>
      <c r="XEZ694"/>
      <c r="XFA694"/>
      <c r="XFB694"/>
      <c r="XFC694"/>
    </row>
    <row r="695" spans="1:20 16329:16383" s="38" customFormat="1" ht="29.1" customHeight="1" outlineLevel="6" x14ac:dyDescent="0.25">
      <c r="A695" s="49" t="s">
        <v>1385</v>
      </c>
      <c r="B695" s="50"/>
      <c r="C695" s="50"/>
      <c r="D695" s="3" t="s">
        <v>1242</v>
      </c>
      <c r="E695" s="3"/>
      <c r="F695" s="51" t="s">
        <v>1217</v>
      </c>
      <c r="G695" s="50" t="s">
        <v>102</v>
      </c>
      <c r="H695" s="52">
        <f>1</f>
        <v>1</v>
      </c>
      <c r="I695" s="36"/>
      <c r="J695" s="52">
        <v>1</v>
      </c>
      <c r="K695" s="53">
        <f>0</f>
        <v>0</v>
      </c>
      <c r="L695" s="53">
        <f>0</f>
        <v>0</v>
      </c>
      <c r="M695" s="53">
        <f>0</f>
        <v>0</v>
      </c>
      <c r="N695" s="54">
        <f>SUM(K695:M695)</f>
        <v>0</v>
      </c>
      <c r="O695" s="54">
        <f>ROUND((H695*K695),2)</f>
        <v>0</v>
      </c>
      <c r="P695" s="54">
        <f>ROUND((H695*L695),2)</f>
        <v>0</v>
      </c>
      <c r="Q695" s="54">
        <f>ROUND((H695*M695),2)</f>
        <v>0</v>
      </c>
      <c r="R695" s="54">
        <f>ROUND((H695*N695),2)</f>
        <v>0</v>
      </c>
      <c r="S695" s="54"/>
      <c r="T695" s="36"/>
      <c r="XDA695"/>
      <c r="XDB695"/>
      <c r="XDC695"/>
      <c r="XDD695"/>
      <c r="XDE695"/>
      <c r="XDF695"/>
      <c r="XDG695"/>
      <c r="XDH695"/>
      <c r="XDI695"/>
      <c r="XDJ695"/>
      <c r="XDK695"/>
      <c r="XDL695"/>
      <c r="XDM695"/>
      <c r="XDN695"/>
      <c r="XDO695"/>
      <c r="XDP695"/>
      <c r="XDQ695"/>
      <c r="XDR695"/>
      <c r="XDS695"/>
      <c r="XDT695"/>
      <c r="XDU695"/>
      <c r="XDV695"/>
      <c r="XDW695"/>
      <c r="XDX695"/>
      <c r="XDY695"/>
      <c r="XDZ695"/>
      <c r="XEA695"/>
      <c r="XEB695"/>
      <c r="XEC695"/>
      <c r="XED695"/>
      <c r="XEE695"/>
      <c r="XEF695"/>
      <c r="XEG695"/>
      <c r="XEH695"/>
      <c r="XEI695"/>
      <c r="XEJ695"/>
      <c r="XEK695"/>
      <c r="XEL695"/>
      <c r="XEM695"/>
      <c r="XEN695"/>
      <c r="XEO695"/>
      <c r="XEP695"/>
      <c r="XEQ695"/>
      <c r="XER695"/>
      <c r="XES695"/>
      <c r="XET695"/>
      <c r="XEU695"/>
      <c r="XEV695"/>
      <c r="XEW695"/>
      <c r="XEX695"/>
      <c r="XEY695"/>
      <c r="XEZ695"/>
      <c r="XFA695"/>
      <c r="XFB695"/>
      <c r="XFC695"/>
    </row>
    <row r="696" spans="1:20 16329:16383" s="38" customFormat="1" ht="29.1" customHeight="1" outlineLevel="5" x14ac:dyDescent="0.25">
      <c r="A696" s="65" t="s">
        <v>1386</v>
      </c>
      <c r="B696" s="66" t="s">
        <v>1387</v>
      </c>
      <c r="C696" s="66"/>
      <c r="D696" s="98" t="s">
        <v>1172</v>
      </c>
      <c r="E696" s="98"/>
      <c r="F696" s="67" t="s">
        <v>1280</v>
      </c>
      <c r="G696" s="66"/>
      <c r="H696" s="68"/>
      <c r="I696" s="36"/>
      <c r="J696" s="68"/>
      <c r="K696" s="69"/>
      <c r="L696" s="69"/>
      <c r="M696" s="69"/>
      <c r="N696" s="69"/>
      <c r="O696" s="69">
        <f>O697</f>
        <v>0</v>
      </c>
      <c r="P696" s="69">
        <f>P697</f>
        <v>0</v>
      </c>
      <c r="Q696" s="69">
        <f>Q697</f>
        <v>0</v>
      </c>
      <c r="R696" s="69">
        <f>R697</f>
        <v>0</v>
      </c>
      <c r="S696" s="69"/>
      <c r="T696" s="36"/>
      <c r="XDA696"/>
      <c r="XDB696"/>
      <c r="XDC696"/>
      <c r="XDD696"/>
      <c r="XDE696"/>
      <c r="XDF696"/>
      <c r="XDG696"/>
      <c r="XDH696"/>
      <c r="XDI696"/>
      <c r="XDJ696"/>
      <c r="XDK696"/>
      <c r="XDL696"/>
      <c r="XDM696"/>
      <c r="XDN696"/>
      <c r="XDO696"/>
      <c r="XDP696"/>
      <c r="XDQ696"/>
      <c r="XDR696"/>
      <c r="XDS696"/>
      <c r="XDT696"/>
      <c r="XDU696"/>
      <c r="XDV696"/>
      <c r="XDW696"/>
      <c r="XDX696"/>
      <c r="XDY696"/>
      <c r="XDZ696"/>
      <c r="XEA696"/>
      <c r="XEB696"/>
      <c r="XEC696"/>
      <c r="XED696"/>
      <c r="XEE696"/>
      <c r="XEF696"/>
      <c r="XEG696"/>
      <c r="XEH696"/>
      <c r="XEI696"/>
      <c r="XEJ696"/>
      <c r="XEK696"/>
      <c r="XEL696"/>
      <c r="XEM696"/>
      <c r="XEN696"/>
      <c r="XEO696"/>
      <c r="XEP696"/>
      <c r="XEQ696"/>
      <c r="XER696"/>
      <c r="XES696"/>
      <c r="XET696"/>
      <c r="XEU696"/>
      <c r="XEV696"/>
      <c r="XEW696"/>
      <c r="XEX696"/>
      <c r="XEY696"/>
      <c r="XEZ696"/>
      <c r="XFA696"/>
      <c r="XFB696"/>
      <c r="XFC696"/>
    </row>
    <row r="697" spans="1:20 16329:16383" s="38" customFormat="1" ht="29.1" customHeight="1" outlineLevel="6" x14ac:dyDescent="0.25">
      <c r="A697" s="49" t="s">
        <v>1388</v>
      </c>
      <c r="B697" s="50"/>
      <c r="C697" s="50"/>
      <c r="D697" s="3" t="s">
        <v>1247</v>
      </c>
      <c r="E697" s="3"/>
      <c r="F697" s="51" t="s">
        <v>1221</v>
      </c>
      <c r="G697" s="50" t="s">
        <v>194</v>
      </c>
      <c r="H697" s="52">
        <f>1</f>
        <v>1</v>
      </c>
      <c r="I697" s="36"/>
      <c r="J697" s="52">
        <v>1</v>
      </c>
      <c r="K697" s="53">
        <f>0</f>
        <v>0</v>
      </c>
      <c r="L697" s="53">
        <f>0</f>
        <v>0</v>
      </c>
      <c r="M697" s="53">
        <f>0</f>
        <v>0</v>
      </c>
      <c r="N697" s="54">
        <f>SUM(K697:M697)</f>
        <v>0</v>
      </c>
      <c r="O697" s="54">
        <f>ROUND((H697*K697),2)</f>
        <v>0</v>
      </c>
      <c r="P697" s="54">
        <f>ROUND((H697*L697),2)</f>
        <v>0</v>
      </c>
      <c r="Q697" s="54">
        <f>ROUND((H697*M697),2)</f>
        <v>0</v>
      </c>
      <c r="R697" s="54">
        <f>ROUND((H697*N697),2)</f>
        <v>0</v>
      </c>
      <c r="S697" s="54"/>
      <c r="T697" s="36"/>
      <c r="XDA697"/>
      <c r="XDB697"/>
      <c r="XDC697"/>
      <c r="XDD697"/>
      <c r="XDE697"/>
      <c r="XDF697"/>
      <c r="XDG697"/>
      <c r="XDH697"/>
      <c r="XDI697"/>
      <c r="XDJ697"/>
      <c r="XDK697"/>
      <c r="XDL697"/>
      <c r="XDM697"/>
      <c r="XDN697"/>
      <c r="XDO697"/>
      <c r="XDP697"/>
      <c r="XDQ697"/>
      <c r="XDR697"/>
      <c r="XDS697"/>
      <c r="XDT697"/>
      <c r="XDU697"/>
      <c r="XDV697"/>
      <c r="XDW697"/>
      <c r="XDX697"/>
      <c r="XDY697"/>
      <c r="XDZ697"/>
      <c r="XEA697"/>
      <c r="XEB697"/>
      <c r="XEC697"/>
      <c r="XED697"/>
      <c r="XEE697"/>
      <c r="XEF697"/>
      <c r="XEG697"/>
      <c r="XEH697"/>
      <c r="XEI697"/>
      <c r="XEJ697"/>
      <c r="XEK697"/>
      <c r="XEL697"/>
      <c r="XEM697"/>
      <c r="XEN697"/>
      <c r="XEO697"/>
      <c r="XEP697"/>
      <c r="XEQ697"/>
      <c r="XER697"/>
      <c r="XES697"/>
      <c r="XET697"/>
      <c r="XEU697"/>
      <c r="XEV697"/>
      <c r="XEW697"/>
      <c r="XEX697"/>
      <c r="XEY697"/>
      <c r="XEZ697"/>
      <c r="XFA697"/>
      <c r="XFB697"/>
      <c r="XFC697"/>
    </row>
    <row r="698" spans="1:20 16329:16383" s="38" customFormat="1" ht="29.1" customHeight="1" outlineLevel="5" x14ac:dyDescent="0.25">
      <c r="A698" s="65" t="s">
        <v>1389</v>
      </c>
      <c r="B698" s="66" t="s">
        <v>1390</v>
      </c>
      <c r="C698" s="66"/>
      <c r="D698" s="98" t="s">
        <v>1250</v>
      </c>
      <c r="E698" s="98"/>
      <c r="F698" s="67" t="s">
        <v>1284</v>
      </c>
      <c r="G698" s="66"/>
      <c r="H698" s="68"/>
      <c r="I698" s="36"/>
      <c r="J698" s="68"/>
      <c r="K698" s="69"/>
      <c r="L698" s="69"/>
      <c r="M698" s="69"/>
      <c r="N698" s="69"/>
      <c r="O698" s="69">
        <f>O699</f>
        <v>0</v>
      </c>
      <c r="P698" s="69">
        <f>P699</f>
        <v>0</v>
      </c>
      <c r="Q698" s="69">
        <f>Q699</f>
        <v>0</v>
      </c>
      <c r="R698" s="69">
        <f>R699</f>
        <v>0</v>
      </c>
      <c r="S698" s="69"/>
      <c r="T698" s="36"/>
      <c r="XDA698"/>
      <c r="XDB698"/>
      <c r="XDC698"/>
      <c r="XDD698"/>
      <c r="XDE698"/>
      <c r="XDF698"/>
      <c r="XDG698"/>
      <c r="XDH698"/>
      <c r="XDI698"/>
      <c r="XDJ698"/>
      <c r="XDK698"/>
      <c r="XDL698"/>
      <c r="XDM698"/>
      <c r="XDN698"/>
      <c r="XDO698"/>
      <c r="XDP698"/>
      <c r="XDQ698"/>
      <c r="XDR698"/>
      <c r="XDS698"/>
      <c r="XDT698"/>
      <c r="XDU698"/>
      <c r="XDV698"/>
      <c r="XDW698"/>
      <c r="XDX698"/>
      <c r="XDY698"/>
      <c r="XDZ698"/>
      <c r="XEA698"/>
      <c r="XEB698"/>
      <c r="XEC698"/>
      <c r="XED698"/>
      <c r="XEE698"/>
      <c r="XEF698"/>
      <c r="XEG698"/>
      <c r="XEH698"/>
      <c r="XEI698"/>
      <c r="XEJ698"/>
      <c r="XEK698"/>
      <c r="XEL698"/>
      <c r="XEM698"/>
      <c r="XEN698"/>
      <c r="XEO698"/>
      <c r="XEP698"/>
      <c r="XEQ698"/>
      <c r="XER698"/>
      <c r="XES698"/>
      <c r="XET698"/>
      <c r="XEU698"/>
      <c r="XEV698"/>
      <c r="XEW698"/>
      <c r="XEX698"/>
      <c r="XEY698"/>
      <c r="XEZ698"/>
      <c r="XFA698"/>
      <c r="XFB698"/>
      <c r="XFC698"/>
    </row>
    <row r="699" spans="1:20 16329:16383" s="38" customFormat="1" ht="29.1" customHeight="1" outlineLevel="6" x14ac:dyDescent="0.25">
      <c r="A699" s="49" t="s">
        <v>1391</v>
      </c>
      <c r="B699" s="50"/>
      <c r="C699" s="50"/>
      <c r="D699" s="3" t="s">
        <v>1253</v>
      </c>
      <c r="E699" s="3"/>
      <c r="F699" s="51" t="s">
        <v>1221</v>
      </c>
      <c r="G699" s="50" t="s">
        <v>194</v>
      </c>
      <c r="H699" s="52">
        <f>1</f>
        <v>1</v>
      </c>
      <c r="I699" s="36"/>
      <c r="J699" s="52">
        <v>1</v>
      </c>
      <c r="K699" s="53">
        <f>0</f>
        <v>0</v>
      </c>
      <c r="L699" s="53">
        <f>0</f>
        <v>0</v>
      </c>
      <c r="M699" s="53">
        <f>0</f>
        <v>0</v>
      </c>
      <c r="N699" s="54">
        <f>SUM(K699:M699)</f>
        <v>0</v>
      </c>
      <c r="O699" s="54">
        <f>ROUND((H699*K699),2)</f>
        <v>0</v>
      </c>
      <c r="P699" s="54">
        <f>ROUND((H699*L699),2)</f>
        <v>0</v>
      </c>
      <c r="Q699" s="54">
        <f>ROUND((H699*M699),2)</f>
        <v>0</v>
      </c>
      <c r="R699" s="54">
        <f>ROUND((H699*N699),2)</f>
        <v>0</v>
      </c>
      <c r="S699" s="54"/>
      <c r="T699" s="36"/>
      <c r="XDA699"/>
      <c r="XDB699"/>
      <c r="XDC699"/>
      <c r="XDD699"/>
      <c r="XDE699"/>
      <c r="XDF699"/>
      <c r="XDG699"/>
      <c r="XDH699"/>
      <c r="XDI699"/>
      <c r="XDJ699"/>
      <c r="XDK699"/>
      <c r="XDL699"/>
      <c r="XDM699"/>
      <c r="XDN699"/>
      <c r="XDO699"/>
      <c r="XDP699"/>
      <c r="XDQ699"/>
      <c r="XDR699"/>
      <c r="XDS699"/>
      <c r="XDT699"/>
      <c r="XDU699"/>
      <c r="XDV699"/>
      <c r="XDW699"/>
      <c r="XDX699"/>
      <c r="XDY699"/>
      <c r="XDZ699"/>
      <c r="XEA699"/>
      <c r="XEB699"/>
      <c r="XEC699"/>
      <c r="XED699"/>
      <c r="XEE699"/>
      <c r="XEF699"/>
      <c r="XEG699"/>
      <c r="XEH699"/>
      <c r="XEI699"/>
      <c r="XEJ699"/>
      <c r="XEK699"/>
      <c r="XEL699"/>
      <c r="XEM699"/>
      <c r="XEN699"/>
      <c r="XEO699"/>
      <c r="XEP699"/>
      <c r="XEQ699"/>
      <c r="XER699"/>
      <c r="XES699"/>
      <c r="XET699"/>
      <c r="XEU699"/>
      <c r="XEV699"/>
      <c r="XEW699"/>
      <c r="XEX699"/>
      <c r="XEY699"/>
      <c r="XEZ699"/>
      <c r="XFA699"/>
      <c r="XFB699"/>
      <c r="XFC699"/>
    </row>
    <row r="700" spans="1:20 16329:16383" s="38" customFormat="1" ht="29.1" customHeight="1" outlineLevel="5" x14ac:dyDescent="0.25">
      <c r="A700" s="65" t="s">
        <v>1392</v>
      </c>
      <c r="B700" s="66" t="s">
        <v>1393</v>
      </c>
      <c r="C700" s="66"/>
      <c r="D700" s="98" t="s">
        <v>782</v>
      </c>
      <c r="E700" s="98"/>
      <c r="F700" s="67" t="s">
        <v>949</v>
      </c>
      <c r="G700" s="66"/>
      <c r="H700" s="68"/>
      <c r="I700" s="36"/>
      <c r="J700" s="68"/>
      <c r="K700" s="69"/>
      <c r="L700" s="69"/>
      <c r="M700" s="69"/>
      <c r="N700" s="69"/>
      <c r="O700" s="69">
        <f>O701+O702</f>
        <v>0</v>
      </c>
      <c r="P700" s="69">
        <f>P701+P702</f>
        <v>0</v>
      </c>
      <c r="Q700" s="69">
        <f>Q701+Q702</f>
        <v>0</v>
      </c>
      <c r="R700" s="69">
        <f>R701+R702</f>
        <v>0</v>
      </c>
      <c r="S700" s="69"/>
      <c r="T700" s="36"/>
      <c r="XDA700"/>
      <c r="XDB700"/>
      <c r="XDC700"/>
      <c r="XDD700"/>
      <c r="XDE700"/>
      <c r="XDF700"/>
      <c r="XDG700"/>
      <c r="XDH700"/>
      <c r="XDI700"/>
      <c r="XDJ700"/>
      <c r="XDK700"/>
      <c r="XDL700"/>
      <c r="XDM700"/>
      <c r="XDN700"/>
      <c r="XDO700"/>
      <c r="XDP700"/>
      <c r="XDQ700"/>
      <c r="XDR700"/>
      <c r="XDS700"/>
      <c r="XDT700"/>
      <c r="XDU700"/>
      <c r="XDV700"/>
      <c r="XDW700"/>
      <c r="XDX700"/>
      <c r="XDY700"/>
      <c r="XDZ700"/>
      <c r="XEA700"/>
      <c r="XEB700"/>
      <c r="XEC700"/>
      <c r="XED700"/>
      <c r="XEE700"/>
      <c r="XEF700"/>
      <c r="XEG700"/>
      <c r="XEH700"/>
      <c r="XEI700"/>
      <c r="XEJ700"/>
      <c r="XEK700"/>
      <c r="XEL700"/>
      <c r="XEM700"/>
      <c r="XEN700"/>
      <c r="XEO700"/>
      <c r="XEP700"/>
      <c r="XEQ700"/>
      <c r="XER700"/>
      <c r="XES700"/>
      <c r="XET700"/>
      <c r="XEU700"/>
      <c r="XEV700"/>
      <c r="XEW700"/>
      <c r="XEX700"/>
      <c r="XEY700"/>
      <c r="XEZ700"/>
      <c r="XFA700"/>
      <c r="XFB700"/>
      <c r="XFC700"/>
    </row>
    <row r="701" spans="1:20 16329:16383" s="38" customFormat="1" ht="29.1" customHeight="1" outlineLevel="6" x14ac:dyDescent="0.25">
      <c r="A701" s="49" t="s">
        <v>1394</v>
      </c>
      <c r="B701" s="50"/>
      <c r="C701" s="50"/>
      <c r="D701" s="3" t="s">
        <v>931</v>
      </c>
      <c r="E701" s="3"/>
      <c r="F701" s="51" t="s">
        <v>1185</v>
      </c>
      <c r="G701" s="50" t="s">
        <v>102</v>
      </c>
      <c r="H701" s="52">
        <f>1</f>
        <v>1</v>
      </c>
      <c r="I701" s="36"/>
      <c r="J701" s="52">
        <v>1</v>
      </c>
      <c r="K701" s="53">
        <f>0</f>
        <v>0</v>
      </c>
      <c r="L701" s="53">
        <f>0</f>
        <v>0</v>
      </c>
      <c r="M701" s="53">
        <f>0</f>
        <v>0</v>
      </c>
      <c r="N701" s="54">
        <f>SUM(K701:M701)</f>
        <v>0</v>
      </c>
      <c r="O701" s="54">
        <f>ROUND((H701*K701),2)</f>
        <v>0</v>
      </c>
      <c r="P701" s="54">
        <f>ROUND((H701*L701),2)</f>
        <v>0</v>
      </c>
      <c r="Q701" s="54">
        <f>ROUND((H701*M701),2)</f>
        <v>0</v>
      </c>
      <c r="R701" s="54">
        <f>ROUND((H701*N701),2)</f>
        <v>0</v>
      </c>
      <c r="S701" s="54"/>
      <c r="T701" s="36"/>
      <c r="XDA701"/>
      <c r="XDB701"/>
      <c r="XDC701"/>
      <c r="XDD701"/>
      <c r="XDE701"/>
      <c r="XDF701"/>
      <c r="XDG701"/>
      <c r="XDH701"/>
      <c r="XDI701"/>
      <c r="XDJ701"/>
      <c r="XDK701"/>
      <c r="XDL701"/>
      <c r="XDM701"/>
      <c r="XDN701"/>
      <c r="XDO701"/>
      <c r="XDP701"/>
      <c r="XDQ701"/>
      <c r="XDR701"/>
      <c r="XDS701"/>
      <c r="XDT701"/>
      <c r="XDU701"/>
      <c r="XDV701"/>
      <c r="XDW701"/>
      <c r="XDX701"/>
      <c r="XDY701"/>
      <c r="XDZ701"/>
      <c r="XEA701"/>
      <c r="XEB701"/>
      <c r="XEC701"/>
      <c r="XED701"/>
      <c r="XEE701"/>
      <c r="XEF701"/>
      <c r="XEG701"/>
      <c r="XEH701"/>
      <c r="XEI701"/>
      <c r="XEJ701"/>
      <c r="XEK701"/>
      <c r="XEL701"/>
      <c r="XEM701"/>
      <c r="XEN701"/>
      <c r="XEO701"/>
      <c r="XEP701"/>
      <c r="XEQ701"/>
      <c r="XER701"/>
      <c r="XES701"/>
      <c r="XET701"/>
      <c r="XEU701"/>
      <c r="XEV701"/>
      <c r="XEW701"/>
      <c r="XEX701"/>
      <c r="XEY701"/>
      <c r="XEZ701"/>
      <c r="XFA701"/>
      <c r="XFB701"/>
      <c r="XFC701"/>
    </row>
    <row r="702" spans="1:20 16329:16383" s="38" customFormat="1" ht="29.1" customHeight="1" outlineLevel="6" x14ac:dyDescent="0.25">
      <c r="A702" s="49" t="s">
        <v>1395</v>
      </c>
      <c r="B702" s="50"/>
      <c r="C702" s="50"/>
      <c r="D702" s="3" t="s">
        <v>1290</v>
      </c>
      <c r="E702" s="3"/>
      <c r="F702" s="51" t="s">
        <v>1185</v>
      </c>
      <c r="G702" s="50" t="s">
        <v>102</v>
      </c>
      <c r="H702" s="52">
        <f>1</f>
        <v>1</v>
      </c>
      <c r="I702" s="36"/>
      <c r="J702" s="52">
        <v>1</v>
      </c>
      <c r="K702" s="53">
        <f>0</f>
        <v>0</v>
      </c>
      <c r="L702" s="53">
        <f>0</f>
        <v>0</v>
      </c>
      <c r="M702" s="53">
        <f>0</f>
        <v>0</v>
      </c>
      <c r="N702" s="54">
        <f>SUM(K702:M702)</f>
        <v>0</v>
      </c>
      <c r="O702" s="54">
        <f>ROUND((H702*K702),2)</f>
        <v>0</v>
      </c>
      <c r="P702" s="54">
        <f>ROUND((H702*L702),2)</f>
        <v>0</v>
      </c>
      <c r="Q702" s="54">
        <f>ROUND((H702*M702),2)</f>
        <v>0</v>
      </c>
      <c r="R702" s="54">
        <f>ROUND((H702*N702),2)</f>
        <v>0</v>
      </c>
      <c r="S702" s="54"/>
      <c r="T702" s="36"/>
      <c r="XDA702"/>
      <c r="XDB702"/>
      <c r="XDC702"/>
      <c r="XDD702"/>
      <c r="XDE702"/>
      <c r="XDF702"/>
      <c r="XDG702"/>
      <c r="XDH702"/>
      <c r="XDI702"/>
      <c r="XDJ702"/>
      <c r="XDK702"/>
      <c r="XDL702"/>
      <c r="XDM702"/>
      <c r="XDN702"/>
      <c r="XDO702"/>
      <c r="XDP702"/>
      <c r="XDQ702"/>
      <c r="XDR702"/>
      <c r="XDS702"/>
      <c r="XDT702"/>
      <c r="XDU702"/>
      <c r="XDV702"/>
      <c r="XDW702"/>
      <c r="XDX702"/>
      <c r="XDY702"/>
      <c r="XDZ702"/>
      <c r="XEA702"/>
      <c r="XEB702"/>
      <c r="XEC702"/>
      <c r="XED702"/>
      <c r="XEE702"/>
      <c r="XEF702"/>
      <c r="XEG702"/>
      <c r="XEH702"/>
      <c r="XEI702"/>
      <c r="XEJ702"/>
      <c r="XEK702"/>
      <c r="XEL702"/>
      <c r="XEM702"/>
      <c r="XEN702"/>
      <c r="XEO702"/>
      <c r="XEP702"/>
      <c r="XEQ702"/>
      <c r="XER702"/>
      <c r="XES702"/>
      <c r="XET702"/>
      <c r="XEU702"/>
      <c r="XEV702"/>
      <c r="XEW702"/>
      <c r="XEX702"/>
      <c r="XEY702"/>
      <c r="XEZ702"/>
      <c r="XFA702"/>
      <c r="XFB702"/>
      <c r="XFC702"/>
    </row>
    <row r="703" spans="1:20 16329:16383" s="38" customFormat="1" ht="29.1" customHeight="1" outlineLevel="4" x14ac:dyDescent="0.25">
      <c r="A703" s="60" t="s">
        <v>1396</v>
      </c>
      <c r="B703" s="61" t="s">
        <v>1397</v>
      </c>
      <c r="C703" s="61"/>
      <c r="D703" s="1" t="s">
        <v>956</v>
      </c>
      <c r="E703" s="1"/>
      <c r="F703" s="62"/>
      <c r="G703" s="61"/>
      <c r="H703" s="63"/>
      <c r="I703" s="36"/>
      <c r="J703" s="63"/>
      <c r="K703" s="64"/>
      <c r="L703" s="64"/>
      <c r="M703" s="64"/>
      <c r="N703" s="64"/>
      <c r="O703" s="64">
        <f>O704+O706+O708+O710</f>
        <v>0</v>
      </c>
      <c r="P703" s="64">
        <f>P704+P706+P708+P710</f>
        <v>0</v>
      </c>
      <c r="Q703" s="64">
        <f>Q704+Q706+Q708+Q710</f>
        <v>0</v>
      </c>
      <c r="R703" s="64">
        <f>R704+R706+R708+R710</f>
        <v>0</v>
      </c>
      <c r="S703" s="64"/>
      <c r="T703" s="36"/>
      <c r="XDA703"/>
      <c r="XDB703"/>
      <c r="XDC703"/>
      <c r="XDD703"/>
      <c r="XDE703"/>
      <c r="XDF703"/>
      <c r="XDG703"/>
      <c r="XDH703"/>
      <c r="XDI703"/>
      <c r="XDJ703"/>
      <c r="XDK703"/>
      <c r="XDL703"/>
      <c r="XDM703"/>
      <c r="XDN703"/>
      <c r="XDO703"/>
      <c r="XDP703"/>
      <c r="XDQ703"/>
      <c r="XDR703"/>
      <c r="XDS703"/>
      <c r="XDT703"/>
      <c r="XDU703"/>
      <c r="XDV703"/>
      <c r="XDW703"/>
      <c r="XDX703"/>
      <c r="XDY703"/>
      <c r="XDZ703"/>
      <c r="XEA703"/>
      <c r="XEB703"/>
      <c r="XEC703"/>
      <c r="XED703"/>
      <c r="XEE703"/>
      <c r="XEF703"/>
      <c r="XEG703"/>
      <c r="XEH703"/>
      <c r="XEI703"/>
      <c r="XEJ703"/>
      <c r="XEK703"/>
      <c r="XEL703"/>
      <c r="XEM703"/>
      <c r="XEN703"/>
      <c r="XEO703"/>
      <c r="XEP703"/>
      <c r="XEQ703"/>
      <c r="XER703"/>
      <c r="XES703"/>
      <c r="XET703"/>
      <c r="XEU703"/>
      <c r="XEV703"/>
      <c r="XEW703"/>
      <c r="XEX703"/>
      <c r="XEY703"/>
      <c r="XEZ703"/>
      <c r="XFA703"/>
      <c r="XFB703"/>
      <c r="XFC703"/>
    </row>
    <row r="704" spans="1:20 16329:16383" s="38" customFormat="1" ht="29.1" customHeight="1" outlineLevel="5" x14ac:dyDescent="0.25">
      <c r="A704" s="65" t="s">
        <v>1398</v>
      </c>
      <c r="B704" s="66" t="s">
        <v>1399</v>
      </c>
      <c r="C704" s="66"/>
      <c r="D704" s="98" t="s">
        <v>1275</v>
      </c>
      <c r="E704" s="98"/>
      <c r="F704" s="67" t="s">
        <v>1295</v>
      </c>
      <c r="G704" s="66"/>
      <c r="H704" s="68"/>
      <c r="I704" s="36"/>
      <c r="J704" s="68"/>
      <c r="K704" s="69"/>
      <c r="L704" s="69"/>
      <c r="M704" s="69"/>
      <c r="N704" s="69"/>
      <c r="O704" s="69">
        <f>O705</f>
        <v>0</v>
      </c>
      <c r="P704" s="69">
        <f>P705</f>
        <v>0</v>
      </c>
      <c r="Q704" s="69">
        <f>Q705</f>
        <v>0</v>
      </c>
      <c r="R704" s="69">
        <f>R705</f>
        <v>0</v>
      </c>
      <c r="S704" s="69"/>
      <c r="T704" s="36"/>
      <c r="XDA704"/>
      <c r="XDB704"/>
      <c r="XDC704"/>
      <c r="XDD704"/>
      <c r="XDE704"/>
      <c r="XDF704"/>
      <c r="XDG704"/>
      <c r="XDH704"/>
      <c r="XDI704"/>
      <c r="XDJ704"/>
      <c r="XDK704"/>
      <c r="XDL704"/>
      <c r="XDM704"/>
      <c r="XDN704"/>
      <c r="XDO704"/>
      <c r="XDP704"/>
      <c r="XDQ704"/>
      <c r="XDR704"/>
      <c r="XDS704"/>
      <c r="XDT704"/>
      <c r="XDU704"/>
      <c r="XDV704"/>
      <c r="XDW704"/>
      <c r="XDX704"/>
      <c r="XDY704"/>
      <c r="XDZ704"/>
      <c r="XEA704"/>
      <c r="XEB704"/>
      <c r="XEC704"/>
      <c r="XED704"/>
      <c r="XEE704"/>
      <c r="XEF704"/>
      <c r="XEG704"/>
      <c r="XEH704"/>
      <c r="XEI704"/>
      <c r="XEJ704"/>
      <c r="XEK704"/>
      <c r="XEL704"/>
      <c r="XEM704"/>
      <c r="XEN704"/>
      <c r="XEO704"/>
      <c r="XEP704"/>
      <c r="XEQ704"/>
      <c r="XER704"/>
      <c r="XES704"/>
      <c r="XET704"/>
      <c r="XEU704"/>
      <c r="XEV704"/>
      <c r="XEW704"/>
      <c r="XEX704"/>
      <c r="XEY704"/>
      <c r="XEZ704"/>
      <c r="XFA704"/>
      <c r="XFB704"/>
      <c r="XFC704"/>
    </row>
    <row r="705" spans="1:20 16329:16383" s="38" customFormat="1" ht="29.1" customHeight="1" outlineLevel="6" x14ac:dyDescent="0.25">
      <c r="A705" s="49" t="s">
        <v>1400</v>
      </c>
      <c r="B705" s="50"/>
      <c r="C705" s="50"/>
      <c r="D705" s="3" t="s">
        <v>1242</v>
      </c>
      <c r="E705" s="3"/>
      <c r="F705" s="51" t="s">
        <v>1217</v>
      </c>
      <c r="G705" s="50" t="s">
        <v>102</v>
      </c>
      <c r="H705" s="52">
        <f>1</f>
        <v>1</v>
      </c>
      <c r="I705" s="36"/>
      <c r="J705" s="52">
        <v>1</v>
      </c>
      <c r="K705" s="53">
        <f>0</f>
        <v>0</v>
      </c>
      <c r="L705" s="53">
        <f>0</f>
        <v>0</v>
      </c>
      <c r="M705" s="53">
        <f>0</f>
        <v>0</v>
      </c>
      <c r="N705" s="54">
        <f>SUM(K705:M705)</f>
        <v>0</v>
      </c>
      <c r="O705" s="54">
        <f>ROUND((H705*K705),2)</f>
        <v>0</v>
      </c>
      <c r="P705" s="54">
        <f>ROUND((H705*L705),2)</f>
        <v>0</v>
      </c>
      <c r="Q705" s="54">
        <f>ROUND((H705*M705),2)</f>
        <v>0</v>
      </c>
      <c r="R705" s="54">
        <f>ROUND((H705*N705),2)</f>
        <v>0</v>
      </c>
      <c r="S705" s="54"/>
      <c r="T705" s="36"/>
      <c r="XDA705"/>
      <c r="XDB705"/>
      <c r="XDC705"/>
      <c r="XDD705"/>
      <c r="XDE705"/>
      <c r="XDF705"/>
      <c r="XDG705"/>
      <c r="XDH705"/>
      <c r="XDI705"/>
      <c r="XDJ705"/>
      <c r="XDK705"/>
      <c r="XDL705"/>
      <c r="XDM705"/>
      <c r="XDN705"/>
      <c r="XDO705"/>
      <c r="XDP705"/>
      <c r="XDQ705"/>
      <c r="XDR705"/>
      <c r="XDS705"/>
      <c r="XDT705"/>
      <c r="XDU705"/>
      <c r="XDV705"/>
      <c r="XDW705"/>
      <c r="XDX705"/>
      <c r="XDY705"/>
      <c r="XDZ705"/>
      <c r="XEA705"/>
      <c r="XEB705"/>
      <c r="XEC705"/>
      <c r="XED705"/>
      <c r="XEE705"/>
      <c r="XEF705"/>
      <c r="XEG705"/>
      <c r="XEH705"/>
      <c r="XEI705"/>
      <c r="XEJ705"/>
      <c r="XEK705"/>
      <c r="XEL705"/>
      <c r="XEM705"/>
      <c r="XEN705"/>
      <c r="XEO705"/>
      <c r="XEP705"/>
      <c r="XEQ705"/>
      <c r="XER705"/>
      <c r="XES705"/>
      <c r="XET705"/>
      <c r="XEU705"/>
      <c r="XEV705"/>
      <c r="XEW705"/>
      <c r="XEX705"/>
      <c r="XEY705"/>
      <c r="XEZ705"/>
      <c r="XFA705"/>
      <c r="XFB705"/>
      <c r="XFC705"/>
    </row>
    <row r="706" spans="1:20 16329:16383" s="38" customFormat="1" ht="29.1" customHeight="1" outlineLevel="5" x14ac:dyDescent="0.25">
      <c r="A706" s="65" t="s">
        <v>1401</v>
      </c>
      <c r="B706" s="66" t="s">
        <v>1402</v>
      </c>
      <c r="C706" s="66"/>
      <c r="D706" s="98" t="s">
        <v>1265</v>
      </c>
      <c r="E706" s="98"/>
      <c r="F706" s="67" t="s">
        <v>1299</v>
      </c>
      <c r="G706" s="66"/>
      <c r="H706" s="68"/>
      <c r="I706" s="36"/>
      <c r="J706" s="68"/>
      <c r="K706" s="69"/>
      <c r="L706" s="69"/>
      <c r="M706" s="69"/>
      <c r="N706" s="69"/>
      <c r="O706" s="69">
        <f>O707</f>
        <v>0</v>
      </c>
      <c r="P706" s="69">
        <f>P707</f>
        <v>0</v>
      </c>
      <c r="Q706" s="69">
        <f>Q707</f>
        <v>0</v>
      </c>
      <c r="R706" s="69">
        <f>R707</f>
        <v>0</v>
      </c>
      <c r="S706" s="69"/>
      <c r="T706" s="36"/>
      <c r="XDA706"/>
      <c r="XDB706"/>
      <c r="XDC706"/>
      <c r="XDD706"/>
      <c r="XDE706"/>
      <c r="XDF706"/>
      <c r="XDG706"/>
      <c r="XDH706"/>
      <c r="XDI706"/>
      <c r="XDJ706"/>
      <c r="XDK706"/>
      <c r="XDL706"/>
      <c r="XDM706"/>
      <c r="XDN706"/>
      <c r="XDO706"/>
      <c r="XDP706"/>
      <c r="XDQ706"/>
      <c r="XDR706"/>
      <c r="XDS706"/>
      <c r="XDT706"/>
      <c r="XDU706"/>
      <c r="XDV706"/>
      <c r="XDW706"/>
      <c r="XDX706"/>
      <c r="XDY706"/>
      <c r="XDZ706"/>
      <c r="XEA706"/>
      <c r="XEB706"/>
      <c r="XEC706"/>
      <c r="XED706"/>
      <c r="XEE706"/>
      <c r="XEF706"/>
      <c r="XEG706"/>
      <c r="XEH706"/>
      <c r="XEI706"/>
      <c r="XEJ706"/>
      <c r="XEK706"/>
      <c r="XEL706"/>
      <c r="XEM706"/>
      <c r="XEN706"/>
      <c r="XEO706"/>
      <c r="XEP706"/>
      <c r="XEQ706"/>
      <c r="XER706"/>
      <c r="XES706"/>
      <c r="XET706"/>
      <c r="XEU706"/>
      <c r="XEV706"/>
      <c r="XEW706"/>
      <c r="XEX706"/>
      <c r="XEY706"/>
      <c r="XEZ706"/>
      <c r="XFA706"/>
      <c r="XFB706"/>
      <c r="XFC706"/>
    </row>
    <row r="707" spans="1:20 16329:16383" s="38" customFormat="1" ht="29.1" customHeight="1" outlineLevel="6" x14ac:dyDescent="0.25">
      <c r="A707" s="49" t="s">
        <v>1403</v>
      </c>
      <c r="B707" s="50"/>
      <c r="C707" s="50"/>
      <c r="D707" s="3" t="s">
        <v>1247</v>
      </c>
      <c r="E707" s="3"/>
      <c r="F707" s="51" t="s">
        <v>1221</v>
      </c>
      <c r="G707" s="50" t="s">
        <v>194</v>
      </c>
      <c r="H707" s="52">
        <f>1</f>
        <v>1</v>
      </c>
      <c r="I707" s="36"/>
      <c r="J707" s="52">
        <v>1</v>
      </c>
      <c r="K707" s="53">
        <f>0</f>
        <v>0</v>
      </c>
      <c r="L707" s="53">
        <f>0</f>
        <v>0</v>
      </c>
      <c r="M707" s="53">
        <f>0</f>
        <v>0</v>
      </c>
      <c r="N707" s="54">
        <f>SUM(K707:M707)</f>
        <v>0</v>
      </c>
      <c r="O707" s="54">
        <f>ROUND((H707*K707),2)</f>
        <v>0</v>
      </c>
      <c r="P707" s="54">
        <f>ROUND((H707*L707),2)</f>
        <v>0</v>
      </c>
      <c r="Q707" s="54">
        <f>ROUND((H707*M707),2)</f>
        <v>0</v>
      </c>
      <c r="R707" s="54">
        <f>ROUND((H707*N707),2)</f>
        <v>0</v>
      </c>
      <c r="S707" s="54"/>
      <c r="T707" s="36"/>
      <c r="XDA707"/>
      <c r="XDB707"/>
      <c r="XDC707"/>
      <c r="XDD707"/>
      <c r="XDE707"/>
      <c r="XDF707"/>
      <c r="XDG707"/>
      <c r="XDH707"/>
      <c r="XDI707"/>
      <c r="XDJ707"/>
      <c r="XDK707"/>
      <c r="XDL707"/>
      <c r="XDM707"/>
      <c r="XDN707"/>
      <c r="XDO707"/>
      <c r="XDP707"/>
      <c r="XDQ707"/>
      <c r="XDR707"/>
      <c r="XDS707"/>
      <c r="XDT707"/>
      <c r="XDU707"/>
      <c r="XDV707"/>
      <c r="XDW707"/>
      <c r="XDX707"/>
      <c r="XDY707"/>
      <c r="XDZ707"/>
      <c r="XEA707"/>
      <c r="XEB707"/>
      <c r="XEC707"/>
      <c r="XED707"/>
      <c r="XEE707"/>
      <c r="XEF707"/>
      <c r="XEG707"/>
      <c r="XEH707"/>
      <c r="XEI707"/>
      <c r="XEJ707"/>
      <c r="XEK707"/>
      <c r="XEL707"/>
      <c r="XEM707"/>
      <c r="XEN707"/>
      <c r="XEO707"/>
      <c r="XEP707"/>
      <c r="XEQ707"/>
      <c r="XER707"/>
      <c r="XES707"/>
      <c r="XET707"/>
      <c r="XEU707"/>
      <c r="XEV707"/>
      <c r="XEW707"/>
      <c r="XEX707"/>
      <c r="XEY707"/>
      <c r="XEZ707"/>
      <c r="XFA707"/>
      <c r="XFB707"/>
      <c r="XFC707"/>
    </row>
    <row r="708" spans="1:20 16329:16383" s="38" customFormat="1" ht="29.1" customHeight="1" outlineLevel="5" x14ac:dyDescent="0.25">
      <c r="A708" s="65" t="s">
        <v>1404</v>
      </c>
      <c r="B708" s="66" t="s">
        <v>1405</v>
      </c>
      <c r="C708" s="66"/>
      <c r="D708" s="98" t="s">
        <v>1250</v>
      </c>
      <c r="E708" s="98"/>
      <c r="F708" s="67" t="s">
        <v>1303</v>
      </c>
      <c r="G708" s="66"/>
      <c r="H708" s="68"/>
      <c r="I708" s="36"/>
      <c r="J708" s="68"/>
      <c r="K708" s="69"/>
      <c r="L708" s="69"/>
      <c r="M708" s="69"/>
      <c r="N708" s="69"/>
      <c r="O708" s="69">
        <f>O709</f>
        <v>0</v>
      </c>
      <c r="P708" s="69">
        <f>P709</f>
        <v>0</v>
      </c>
      <c r="Q708" s="69">
        <f>Q709</f>
        <v>0</v>
      </c>
      <c r="R708" s="69">
        <f>R709</f>
        <v>0</v>
      </c>
      <c r="S708" s="69"/>
      <c r="T708" s="36"/>
      <c r="XDA708"/>
      <c r="XDB708"/>
      <c r="XDC708"/>
      <c r="XDD708"/>
      <c r="XDE708"/>
      <c r="XDF708"/>
      <c r="XDG708"/>
      <c r="XDH708"/>
      <c r="XDI708"/>
      <c r="XDJ708"/>
      <c r="XDK708"/>
      <c r="XDL708"/>
      <c r="XDM708"/>
      <c r="XDN708"/>
      <c r="XDO708"/>
      <c r="XDP708"/>
      <c r="XDQ708"/>
      <c r="XDR708"/>
      <c r="XDS708"/>
      <c r="XDT708"/>
      <c r="XDU708"/>
      <c r="XDV708"/>
      <c r="XDW708"/>
      <c r="XDX708"/>
      <c r="XDY708"/>
      <c r="XDZ708"/>
      <c r="XEA708"/>
      <c r="XEB708"/>
      <c r="XEC708"/>
      <c r="XED708"/>
      <c r="XEE708"/>
      <c r="XEF708"/>
      <c r="XEG708"/>
      <c r="XEH708"/>
      <c r="XEI708"/>
      <c r="XEJ708"/>
      <c r="XEK708"/>
      <c r="XEL708"/>
      <c r="XEM708"/>
      <c r="XEN708"/>
      <c r="XEO708"/>
      <c r="XEP708"/>
      <c r="XEQ708"/>
      <c r="XER708"/>
      <c r="XES708"/>
      <c r="XET708"/>
      <c r="XEU708"/>
      <c r="XEV708"/>
      <c r="XEW708"/>
      <c r="XEX708"/>
      <c r="XEY708"/>
      <c r="XEZ708"/>
      <c r="XFA708"/>
      <c r="XFB708"/>
      <c r="XFC708"/>
    </row>
    <row r="709" spans="1:20 16329:16383" s="38" customFormat="1" ht="29.1" customHeight="1" outlineLevel="6" x14ac:dyDescent="0.25">
      <c r="A709" s="49" t="s">
        <v>1406</v>
      </c>
      <c r="B709" s="50"/>
      <c r="C709" s="50"/>
      <c r="D709" s="3" t="s">
        <v>1253</v>
      </c>
      <c r="E709" s="3"/>
      <c r="F709" s="51" t="s">
        <v>1221</v>
      </c>
      <c r="G709" s="50" t="s">
        <v>194</v>
      </c>
      <c r="H709" s="52">
        <f>1</f>
        <v>1</v>
      </c>
      <c r="I709" s="36"/>
      <c r="J709" s="52">
        <v>1</v>
      </c>
      <c r="K709" s="53">
        <f>0</f>
        <v>0</v>
      </c>
      <c r="L709" s="53">
        <f>0</f>
        <v>0</v>
      </c>
      <c r="M709" s="53">
        <f>0</f>
        <v>0</v>
      </c>
      <c r="N709" s="54">
        <f>SUM(K709:M709)</f>
        <v>0</v>
      </c>
      <c r="O709" s="54">
        <f>ROUND((H709*K709),2)</f>
        <v>0</v>
      </c>
      <c r="P709" s="54">
        <f>ROUND((H709*L709),2)</f>
        <v>0</v>
      </c>
      <c r="Q709" s="54">
        <f>ROUND((H709*M709),2)</f>
        <v>0</v>
      </c>
      <c r="R709" s="54">
        <f>ROUND((H709*N709),2)</f>
        <v>0</v>
      </c>
      <c r="S709" s="54"/>
      <c r="T709" s="36"/>
      <c r="XDA709"/>
      <c r="XDB709"/>
      <c r="XDC709"/>
      <c r="XDD709"/>
      <c r="XDE709"/>
      <c r="XDF709"/>
      <c r="XDG709"/>
      <c r="XDH709"/>
      <c r="XDI709"/>
      <c r="XDJ709"/>
      <c r="XDK709"/>
      <c r="XDL709"/>
      <c r="XDM709"/>
      <c r="XDN709"/>
      <c r="XDO709"/>
      <c r="XDP709"/>
      <c r="XDQ709"/>
      <c r="XDR709"/>
      <c r="XDS709"/>
      <c r="XDT709"/>
      <c r="XDU709"/>
      <c r="XDV709"/>
      <c r="XDW709"/>
      <c r="XDX709"/>
      <c r="XDY709"/>
      <c r="XDZ709"/>
      <c r="XEA709"/>
      <c r="XEB709"/>
      <c r="XEC709"/>
      <c r="XED709"/>
      <c r="XEE709"/>
      <c r="XEF709"/>
      <c r="XEG709"/>
      <c r="XEH709"/>
      <c r="XEI709"/>
      <c r="XEJ709"/>
      <c r="XEK709"/>
      <c r="XEL709"/>
      <c r="XEM709"/>
      <c r="XEN709"/>
      <c r="XEO709"/>
      <c r="XEP709"/>
      <c r="XEQ709"/>
      <c r="XER709"/>
      <c r="XES709"/>
      <c r="XET709"/>
      <c r="XEU709"/>
      <c r="XEV709"/>
      <c r="XEW709"/>
      <c r="XEX709"/>
      <c r="XEY709"/>
      <c r="XEZ709"/>
      <c r="XFA709"/>
      <c r="XFB709"/>
      <c r="XFC709"/>
    </row>
    <row r="710" spans="1:20 16329:16383" s="38" customFormat="1" ht="29.1" customHeight="1" outlineLevel="5" x14ac:dyDescent="0.25">
      <c r="A710" s="65" t="s">
        <v>1407</v>
      </c>
      <c r="B710" s="66" t="s">
        <v>1408</v>
      </c>
      <c r="C710" s="66"/>
      <c r="D710" s="98" t="s">
        <v>782</v>
      </c>
      <c r="E710" s="98"/>
      <c r="F710" s="67" t="s">
        <v>986</v>
      </c>
      <c r="G710" s="66"/>
      <c r="H710" s="68"/>
      <c r="I710" s="36"/>
      <c r="J710" s="68"/>
      <c r="K710" s="69"/>
      <c r="L710" s="69"/>
      <c r="M710" s="69"/>
      <c r="N710" s="69"/>
      <c r="O710" s="69">
        <f>O711</f>
        <v>0</v>
      </c>
      <c r="P710" s="69">
        <f>P711</f>
        <v>0</v>
      </c>
      <c r="Q710" s="69">
        <f>Q711</f>
        <v>0</v>
      </c>
      <c r="R710" s="69">
        <f>R711</f>
        <v>0</v>
      </c>
      <c r="S710" s="69"/>
      <c r="T710" s="36"/>
      <c r="XDA710"/>
      <c r="XDB710"/>
      <c r="XDC710"/>
      <c r="XDD710"/>
      <c r="XDE710"/>
      <c r="XDF710"/>
      <c r="XDG710"/>
      <c r="XDH710"/>
      <c r="XDI710"/>
      <c r="XDJ710"/>
      <c r="XDK710"/>
      <c r="XDL710"/>
      <c r="XDM710"/>
      <c r="XDN710"/>
      <c r="XDO710"/>
      <c r="XDP710"/>
      <c r="XDQ710"/>
      <c r="XDR710"/>
      <c r="XDS710"/>
      <c r="XDT710"/>
      <c r="XDU710"/>
      <c r="XDV710"/>
      <c r="XDW710"/>
      <c r="XDX710"/>
      <c r="XDY710"/>
      <c r="XDZ710"/>
      <c r="XEA710"/>
      <c r="XEB710"/>
      <c r="XEC710"/>
      <c r="XED710"/>
      <c r="XEE710"/>
      <c r="XEF710"/>
      <c r="XEG710"/>
      <c r="XEH710"/>
      <c r="XEI710"/>
      <c r="XEJ710"/>
      <c r="XEK710"/>
      <c r="XEL710"/>
      <c r="XEM710"/>
      <c r="XEN710"/>
      <c r="XEO710"/>
      <c r="XEP710"/>
      <c r="XEQ710"/>
      <c r="XER710"/>
      <c r="XES710"/>
      <c r="XET710"/>
      <c r="XEU710"/>
      <c r="XEV710"/>
      <c r="XEW710"/>
      <c r="XEX710"/>
      <c r="XEY710"/>
      <c r="XEZ710"/>
      <c r="XFA710"/>
      <c r="XFB710"/>
      <c r="XFC710"/>
    </row>
    <row r="711" spans="1:20 16329:16383" s="38" customFormat="1" ht="29.1" customHeight="1" outlineLevel="6" x14ac:dyDescent="0.25">
      <c r="A711" s="49" t="s">
        <v>1409</v>
      </c>
      <c r="B711" s="50"/>
      <c r="C711" s="50"/>
      <c r="D711" s="3" t="s">
        <v>931</v>
      </c>
      <c r="E711" s="3"/>
      <c r="F711" s="51" t="s">
        <v>1185</v>
      </c>
      <c r="G711" s="50" t="s">
        <v>102</v>
      </c>
      <c r="H711" s="52">
        <f>1</f>
        <v>1</v>
      </c>
      <c r="I711" s="36"/>
      <c r="J711" s="52">
        <v>1</v>
      </c>
      <c r="K711" s="53">
        <f>0</f>
        <v>0</v>
      </c>
      <c r="L711" s="53">
        <f>0</f>
        <v>0</v>
      </c>
      <c r="M711" s="53">
        <f>0</f>
        <v>0</v>
      </c>
      <c r="N711" s="54">
        <f>SUM(K711:M711)</f>
        <v>0</v>
      </c>
      <c r="O711" s="54">
        <f>ROUND((H711*K711),2)</f>
        <v>0</v>
      </c>
      <c r="P711" s="54">
        <f>ROUND((H711*L711),2)</f>
        <v>0</v>
      </c>
      <c r="Q711" s="54">
        <f>ROUND((H711*M711),2)</f>
        <v>0</v>
      </c>
      <c r="R711" s="54">
        <f>ROUND((H711*N711),2)</f>
        <v>0</v>
      </c>
      <c r="S711" s="54"/>
      <c r="T711" s="36"/>
      <c r="XDA711"/>
      <c r="XDB711"/>
      <c r="XDC711"/>
      <c r="XDD711"/>
      <c r="XDE711"/>
      <c r="XDF711"/>
      <c r="XDG711"/>
      <c r="XDH711"/>
      <c r="XDI711"/>
      <c r="XDJ711"/>
      <c r="XDK711"/>
      <c r="XDL711"/>
      <c r="XDM711"/>
      <c r="XDN711"/>
      <c r="XDO711"/>
      <c r="XDP711"/>
      <c r="XDQ711"/>
      <c r="XDR711"/>
      <c r="XDS711"/>
      <c r="XDT711"/>
      <c r="XDU711"/>
      <c r="XDV711"/>
      <c r="XDW711"/>
      <c r="XDX711"/>
      <c r="XDY711"/>
      <c r="XDZ711"/>
      <c r="XEA711"/>
      <c r="XEB711"/>
      <c r="XEC711"/>
      <c r="XED711"/>
      <c r="XEE711"/>
      <c r="XEF711"/>
      <c r="XEG711"/>
      <c r="XEH711"/>
      <c r="XEI711"/>
      <c r="XEJ711"/>
      <c r="XEK711"/>
      <c r="XEL711"/>
      <c r="XEM711"/>
      <c r="XEN711"/>
      <c r="XEO711"/>
      <c r="XEP711"/>
      <c r="XEQ711"/>
      <c r="XER711"/>
      <c r="XES711"/>
      <c r="XET711"/>
      <c r="XEU711"/>
      <c r="XEV711"/>
      <c r="XEW711"/>
      <c r="XEX711"/>
      <c r="XEY711"/>
      <c r="XEZ711"/>
      <c r="XFA711"/>
      <c r="XFB711"/>
      <c r="XFC711"/>
    </row>
    <row r="712" spans="1:20 16329:16383" s="38" customFormat="1" ht="29.1" customHeight="1" outlineLevel="2" x14ac:dyDescent="0.25">
      <c r="A712" s="44" t="s">
        <v>1410</v>
      </c>
      <c r="B712" s="45" t="s">
        <v>1411</v>
      </c>
      <c r="C712" s="45" t="s">
        <v>1412</v>
      </c>
      <c r="D712" s="4" t="s">
        <v>1413</v>
      </c>
      <c r="E712" s="4"/>
      <c r="F712" s="46"/>
      <c r="G712" s="45" t="s">
        <v>102</v>
      </c>
      <c r="H712" s="47"/>
      <c r="I712" s="36"/>
      <c r="J712" s="47"/>
      <c r="K712" s="48"/>
      <c r="L712" s="48"/>
      <c r="M712" s="48"/>
      <c r="N712" s="48"/>
      <c r="O712" s="48">
        <f>O713+O715+O717</f>
        <v>0</v>
      </c>
      <c r="P712" s="48">
        <f>P713+P715+P717</f>
        <v>0</v>
      </c>
      <c r="Q712" s="48">
        <f>Q713+Q715+Q717</f>
        <v>0</v>
      </c>
      <c r="R712" s="48">
        <f>R713+R715+R717</f>
        <v>0</v>
      </c>
      <c r="S712" s="48"/>
      <c r="T712" s="36"/>
      <c r="XDA712"/>
      <c r="XDB712"/>
      <c r="XDC712"/>
      <c r="XDD712"/>
      <c r="XDE712"/>
      <c r="XDF712"/>
      <c r="XDG712"/>
      <c r="XDH712"/>
      <c r="XDI712"/>
      <c r="XDJ712"/>
      <c r="XDK712"/>
      <c r="XDL712"/>
      <c r="XDM712"/>
      <c r="XDN712"/>
      <c r="XDO712"/>
      <c r="XDP712"/>
      <c r="XDQ712"/>
      <c r="XDR712"/>
      <c r="XDS712"/>
      <c r="XDT712"/>
      <c r="XDU712"/>
      <c r="XDV712"/>
      <c r="XDW712"/>
      <c r="XDX712"/>
      <c r="XDY712"/>
      <c r="XDZ712"/>
      <c r="XEA712"/>
      <c r="XEB712"/>
      <c r="XEC712"/>
      <c r="XED712"/>
      <c r="XEE712"/>
      <c r="XEF712"/>
      <c r="XEG712"/>
      <c r="XEH712"/>
      <c r="XEI712"/>
      <c r="XEJ712"/>
      <c r="XEK712"/>
      <c r="XEL712"/>
      <c r="XEM712"/>
      <c r="XEN712"/>
      <c r="XEO712"/>
      <c r="XEP712"/>
      <c r="XEQ712"/>
      <c r="XER712"/>
      <c r="XES712"/>
      <c r="XET712"/>
      <c r="XEU712"/>
      <c r="XEV712"/>
      <c r="XEW712"/>
      <c r="XEX712"/>
      <c r="XEY712"/>
      <c r="XEZ712"/>
      <c r="XFA712"/>
      <c r="XFB712"/>
      <c r="XFC712"/>
    </row>
    <row r="713" spans="1:20 16329:16383" s="38" customFormat="1" ht="29.1" customHeight="1" outlineLevel="3" x14ac:dyDescent="0.25">
      <c r="A713" s="55" t="s">
        <v>1414</v>
      </c>
      <c r="B713" s="56" t="s">
        <v>1415</v>
      </c>
      <c r="C713" s="56" t="s">
        <v>1416</v>
      </c>
      <c r="D713" s="2" t="s">
        <v>1417</v>
      </c>
      <c r="E713" s="2"/>
      <c r="F713" s="57"/>
      <c r="G713" s="56" t="s">
        <v>102</v>
      </c>
      <c r="H713" s="58"/>
      <c r="I713" s="36"/>
      <c r="J713" s="58"/>
      <c r="K713" s="59"/>
      <c r="L713" s="59"/>
      <c r="M713" s="59"/>
      <c r="N713" s="59"/>
      <c r="O713" s="59">
        <f>O714</f>
        <v>0</v>
      </c>
      <c r="P713" s="59">
        <f>P714</f>
        <v>0</v>
      </c>
      <c r="Q713" s="59">
        <f>Q714</f>
        <v>0</v>
      </c>
      <c r="R713" s="59">
        <f>R714</f>
        <v>0</v>
      </c>
      <c r="S713" s="59"/>
      <c r="T713" s="36"/>
      <c r="XDA713"/>
      <c r="XDB713"/>
      <c r="XDC713"/>
      <c r="XDD713"/>
      <c r="XDE713"/>
      <c r="XDF713"/>
      <c r="XDG713"/>
      <c r="XDH713"/>
      <c r="XDI713"/>
      <c r="XDJ713"/>
      <c r="XDK713"/>
      <c r="XDL713"/>
      <c r="XDM713"/>
      <c r="XDN713"/>
      <c r="XDO713"/>
      <c r="XDP713"/>
      <c r="XDQ713"/>
      <c r="XDR713"/>
      <c r="XDS713"/>
      <c r="XDT713"/>
      <c r="XDU713"/>
      <c r="XDV713"/>
      <c r="XDW713"/>
      <c r="XDX713"/>
      <c r="XDY713"/>
      <c r="XDZ713"/>
      <c r="XEA713"/>
      <c r="XEB713"/>
      <c r="XEC713"/>
      <c r="XED713"/>
      <c r="XEE713"/>
      <c r="XEF713"/>
      <c r="XEG713"/>
      <c r="XEH713"/>
      <c r="XEI713"/>
      <c r="XEJ713"/>
      <c r="XEK713"/>
      <c r="XEL713"/>
      <c r="XEM713"/>
      <c r="XEN713"/>
      <c r="XEO713"/>
      <c r="XEP713"/>
      <c r="XEQ713"/>
      <c r="XER713"/>
      <c r="XES713"/>
      <c r="XET713"/>
      <c r="XEU713"/>
      <c r="XEV713"/>
      <c r="XEW713"/>
      <c r="XEX713"/>
      <c r="XEY713"/>
      <c r="XEZ713"/>
      <c r="XFA713"/>
      <c r="XFB713"/>
      <c r="XFC713"/>
    </row>
    <row r="714" spans="1:20 16329:16383" s="38" customFormat="1" ht="29.1" customHeight="1" outlineLevel="4" x14ac:dyDescent="0.25">
      <c r="A714" s="49" t="s">
        <v>1418</v>
      </c>
      <c r="B714" s="50"/>
      <c r="C714" s="50"/>
      <c r="D714" s="3" t="s">
        <v>1417</v>
      </c>
      <c r="E714" s="3"/>
      <c r="F714" s="51"/>
      <c r="G714" s="50" t="s">
        <v>102</v>
      </c>
      <c r="H714" s="52">
        <f>1</f>
        <v>1</v>
      </c>
      <c r="I714" s="36"/>
      <c r="J714" s="52">
        <v>1</v>
      </c>
      <c r="K714" s="53">
        <f>0</f>
        <v>0</v>
      </c>
      <c r="L714" s="53">
        <f>0</f>
        <v>0</v>
      </c>
      <c r="M714" s="53">
        <f>0</f>
        <v>0</v>
      </c>
      <c r="N714" s="54">
        <f>SUM(K714:M714)</f>
        <v>0</v>
      </c>
      <c r="O714" s="54">
        <f>ROUND((H714*K714),2)</f>
        <v>0</v>
      </c>
      <c r="P714" s="54">
        <f>ROUND((H714*L714),2)</f>
        <v>0</v>
      </c>
      <c r="Q714" s="54">
        <f>ROUND((H714*M714),2)</f>
        <v>0</v>
      </c>
      <c r="R714" s="54">
        <f>ROUND((H714*N714),2)</f>
        <v>0</v>
      </c>
      <c r="S714" s="54"/>
      <c r="T714" s="36"/>
      <c r="XDA714"/>
      <c r="XDB714"/>
      <c r="XDC714"/>
      <c r="XDD714"/>
      <c r="XDE714"/>
      <c r="XDF714"/>
      <c r="XDG714"/>
      <c r="XDH714"/>
      <c r="XDI714"/>
      <c r="XDJ714"/>
      <c r="XDK714"/>
      <c r="XDL714"/>
      <c r="XDM714"/>
      <c r="XDN714"/>
      <c r="XDO714"/>
      <c r="XDP714"/>
      <c r="XDQ714"/>
      <c r="XDR714"/>
      <c r="XDS714"/>
      <c r="XDT714"/>
      <c r="XDU714"/>
      <c r="XDV714"/>
      <c r="XDW714"/>
      <c r="XDX714"/>
      <c r="XDY714"/>
      <c r="XDZ714"/>
      <c r="XEA714"/>
      <c r="XEB714"/>
      <c r="XEC714"/>
      <c r="XED714"/>
      <c r="XEE714"/>
      <c r="XEF714"/>
      <c r="XEG714"/>
      <c r="XEH714"/>
      <c r="XEI714"/>
      <c r="XEJ714"/>
      <c r="XEK714"/>
      <c r="XEL714"/>
      <c r="XEM714"/>
      <c r="XEN714"/>
      <c r="XEO714"/>
      <c r="XEP714"/>
      <c r="XEQ714"/>
      <c r="XER714"/>
      <c r="XES714"/>
      <c r="XET714"/>
      <c r="XEU714"/>
      <c r="XEV714"/>
      <c r="XEW714"/>
      <c r="XEX714"/>
      <c r="XEY714"/>
      <c r="XEZ714"/>
      <c r="XFA714"/>
      <c r="XFB714"/>
      <c r="XFC714"/>
    </row>
    <row r="715" spans="1:20 16329:16383" s="38" customFormat="1" ht="29.1" customHeight="1" outlineLevel="3" x14ac:dyDescent="0.25">
      <c r="A715" s="55" t="s">
        <v>1419</v>
      </c>
      <c r="B715" s="56" t="s">
        <v>1420</v>
      </c>
      <c r="C715" s="56" t="s">
        <v>1421</v>
      </c>
      <c r="D715" s="2" t="s">
        <v>1422</v>
      </c>
      <c r="E715" s="2"/>
      <c r="F715" s="57"/>
      <c r="G715" s="56" t="s">
        <v>102</v>
      </c>
      <c r="H715" s="58"/>
      <c r="I715" s="36"/>
      <c r="J715" s="58"/>
      <c r="K715" s="59"/>
      <c r="L715" s="59"/>
      <c r="M715" s="59"/>
      <c r="N715" s="59"/>
      <c r="O715" s="59">
        <f>O716</f>
        <v>0</v>
      </c>
      <c r="P715" s="59">
        <f>P716</f>
        <v>0</v>
      </c>
      <c r="Q715" s="59">
        <f>Q716</f>
        <v>0</v>
      </c>
      <c r="R715" s="59">
        <f>R716</f>
        <v>0</v>
      </c>
      <c r="S715" s="59"/>
      <c r="T715" s="36"/>
      <c r="XDA715"/>
      <c r="XDB715"/>
      <c r="XDC715"/>
      <c r="XDD715"/>
      <c r="XDE715"/>
      <c r="XDF715"/>
      <c r="XDG715"/>
      <c r="XDH715"/>
      <c r="XDI715"/>
      <c r="XDJ715"/>
      <c r="XDK715"/>
      <c r="XDL715"/>
      <c r="XDM715"/>
      <c r="XDN715"/>
      <c r="XDO715"/>
      <c r="XDP715"/>
      <c r="XDQ715"/>
      <c r="XDR715"/>
      <c r="XDS715"/>
      <c r="XDT715"/>
      <c r="XDU715"/>
      <c r="XDV715"/>
      <c r="XDW715"/>
      <c r="XDX715"/>
      <c r="XDY715"/>
      <c r="XDZ715"/>
      <c r="XEA715"/>
      <c r="XEB715"/>
      <c r="XEC715"/>
      <c r="XED715"/>
      <c r="XEE715"/>
      <c r="XEF715"/>
      <c r="XEG715"/>
      <c r="XEH715"/>
      <c r="XEI715"/>
      <c r="XEJ715"/>
      <c r="XEK715"/>
      <c r="XEL715"/>
      <c r="XEM715"/>
      <c r="XEN715"/>
      <c r="XEO715"/>
      <c r="XEP715"/>
      <c r="XEQ715"/>
      <c r="XER715"/>
      <c r="XES715"/>
      <c r="XET715"/>
      <c r="XEU715"/>
      <c r="XEV715"/>
      <c r="XEW715"/>
      <c r="XEX715"/>
      <c r="XEY715"/>
      <c r="XEZ715"/>
      <c r="XFA715"/>
      <c r="XFB715"/>
      <c r="XFC715"/>
    </row>
    <row r="716" spans="1:20 16329:16383" s="38" customFormat="1" ht="29.1" customHeight="1" outlineLevel="4" x14ac:dyDescent="0.25">
      <c r="A716" s="49" t="s">
        <v>1423</v>
      </c>
      <c r="B716" s="50"/>
      <c r="C716" s="50"/>
      <c r="D716" s="3" t="s">
        <v>1422</v>
      </c>
      <c r="E716" s="3"/>
      <c r="F716" s="51"/>
      <c r="G716" s="50" t="s">
        <v>102</v>
      </c>
      <c r="H716" s="52">
        <f>1</f>
        <v>1</v>
      </c>
      <c r="I716" s="36"/>
      <c r="J716" s="52">
        <v>1</v>
      </c>
      <c r="K716" s="53">
        <f>0</f>
        <v>0</v>
      </c>
      <c r="L716" s="53">
        <f>0</f>
        <v>0</v>
      </c>
      <c r="M716" s="53">
        <f>0</f>
        <v>0</v>
      </c>
      <c r="N716" s="54">
        <f>SUM(K716:M716)</f>
        <v>0</v>
      </c>
      <c r="O716" s="54">
        <f>ROUND((H716*K716),2)</f>
        <v>0</v>
      </c>
      <c r="P716" s="54">
        <f>ROUND((H716*L716),2)</f>
        <v>0</v>
      </c>
      <c r="Q716" s="54">
        <f>ROUND((H716*M716),2)</f>
        <v>0</v>
      </c>
      <c r="R716" s="54">
        <f>ROUND((H716*N716),2)</f>
        <v>0</v>
      </c>
      <c r="S716" s="54"/>
      <c r="T716" s="36"/>
      <c r="XDA716"/>
      <c r="XDB716"/>
      <c r="XDC716"/>
      <c r="XDD716"/>
      <c r="XDE716"/>
      <c r="XDF716"/>
      <c r="XDG716"/>
      <c r="XDH716"/>
      <c r="XDI716"/>
      <c r="XDJ716"/>
      <c r="XDK716"/>
      <c r="XDL716"/>
      <c r="XDM716"/>
      <c r="XDN716"/>
      <c r="XDO716"/>
      <c r="XDP716"/>
      <c r="XDQ716"/>
      <c r="XDR716"/>
      <c r="XDS716"/>
      <c r="XDT716"/>
      <c r="XDU716"/>
      <c r="XDV716"/>
      <c r="XDW716"/>
      <c r="XDX716"/>
      <c r="XDY716"/>
      <c r="XDZ716"/>
      <c r="XEA716"/>
      <c r="XEB716"/>
      <c r="XEC716"/>
      <c r="XED716"/>
      <c r="XEE716"/>
      <c r="XEF716"/>
      <c r="XEG716"/>
      <c r="XEH716"/>
      <c r="XEI716"/>
      <c r="XEJ716"/>
      <c r="XEK716"/>
      <c r="XEL716"/>
      <c r="XEM716"/>
      <c r="XEN716"/>
      <c r="XEO716"/>
      <c r="XEP716"/>
      <c r="XEQ716"/>
      <c r="XER716"/>
      <c r="XES716"/>
      <c r="XET716"/>
      <c r="XEU716"/>
      <c r="XEV716"/>
      <c r="XEW716"/>
      <c r="XEX716"/>
      <c r="XEY716"/>
      <c r="XEZ716"/>
      <c r="XFA716"/>
      <c r="XFB716"/>
      <c r="XFC716"/>
    </row>
    <row r="717" spans="1:20 16329:16383" s="38" customFormat="1" ht="29.1" customHeight="1" outlineLevel="3" x14ac:dyDescent="0.25">
      <c r="A717" s="55" t="s">
        <v>1424</v>
      </c>
      <c r="B717" s="56" t="s">
        <v>1425</v>
      </c>
      <c r="C717" s="56" t="s">
        <v>1426</v>
      </c>
      <c r="D717" s="2" t="s">
        <v>1427</v>
      </c>
      <c r="E717" s="2"/>
      <c r="F717" s="57"/>
      <c r="G717" s="56" t="s">
        <v>102</v>
      </c>
      <c r="H717" s="58"/>
      <c r="I717" s="36"/>
      <c r="J717" s="58"/>
      <c r="K717" s="59"/>
      <c r="L717" s="59"/>
      <c r="M717" s="59"/>
      <c r="N717" s="59"/>
      <c r="O717" s="59">
        <f>O718</f>
        <v>0</v>
      </c>
      <c r="P717" s="59">
        <f>P718</f>
        <v>0</v>
      </c>
      <c r="Q717" s="59">
        <f>Q718</f>
        <v>0</v>
      </c>
      <c r="R717" s="59">
        <f>R718</f>
        <v>0</v>
      </c>
      <c r="S717" s="59"/>
      <c r="T717" s="36"/>
      <c r="XDA717"/>
      <c r="XDB717"/>
      <c r="XDC717"/>
      <c r="XDD717"/>
      <c r="XDE717"/>
      <c r="XDF717"/>
      <c r="XDG717"/>
      <c r="XDH717"/>
      <c r="XDI717"/>
      <c r="XDJ717"/>
      <c r="XDK717"/>
      <c r="XDL717"/>
      <c r="XDM717"/>
      <c r="XDN717"/>
      <c r="XDO717"/>
      <c r="XDP717"/>
      <c r="XDQ717"/>
      <c r="XDR717"/>
      <c r="XDS717"/>
      <c r="XDT717"/>
      <c r="XDU717"/>
      <c r="XDV717"/>
      <c r="XDW717"/>
      <c r="XDX717"/>
      <c r="XDY717"/>
      <c r="XDZ717"/>
      <c r="XEA717"/>
      <c r="XEB717"/>
      <c r="XEC717"/>
      <c r="XED717"/>
      <c r="XEE717"/>
      <c r="XEF717"/>
      <c r="XEG717"/>
      <c r="XEH717"/>
      <c r="XEI717"/>
      <c r="XEJ717"/>
      <c r="XEK717"/>
      <c r="XEL717"/>
      <c r="XEM717"/>
      <c r="XEN717"/>
      <c r="XEO717"/>
      <c r="XEP717"/>
      <c r="XEQ717"/>
      <c r="XER717"/>
      <c r="XES717"/>
      <c r="XET717"/>
      <c r="XEU717"/>
      <c r="XEV717"/>
      <c r="XEW717"/>
      <c r="XEX717"/>
      <c r="XEY717"/>
      <c r="XEZ717"/>
      <c r="XFA717"/>
      <c r="XFB717"/>
      <c r="XFC717"/>
    </row>
    <row r="718" spans="1:20 16329:16383" s="38" customFormat="1" ht="29.1" customHeight="1" outlineLevel="4" x14ac:dyDescent="0.25">
      <c r="A718" s="49" t="s">
        <v>1428</v>
      </c>
      <c r="B718" s="50"/>
      <c r="C718" s="50"/>
      <c r="D718" s="3" t="s">
        <v>1427</v>
      </c>
      <c r="E718" s="3"/>
      <c r="F718" s="51"/>
      <c r="G718" s="50" t="s">
        <v>102</v>
      </c>
      <c r="H718" s="52">
        <f>1</f>
        <v>1</v>
      </c>
      <c r="I718" s="36"/>
      <c r="J718" s="52">
        <v>1</v>
      </c>
      <c r="K718" s="53">
        <f>0</f>
        <v>0</v>
      </c>
      <c r="L718" s="53">
        <f>0</f>
        <v>0</v>
      </c>
      <c r="M718" s="53">
        <f>0</f>
        <v>0</v>
      </c>
      <c r="N718" s="54">
        <f>SUM(K718:M718)</f>
        <v>0</v>
      </c>
      <c r="O718" s="54">
        <f>ROUND((H718*K718),2)</f>
        <v>0</v>
      </c>
      <c r="P718" s="54">
        <f>ROUND((H718*L718),2)</f>
        <v>0</v>
      </c>
      <c r="Q718" s="54">
        <f>ROUND((H718*M718),2)</f>
        <v>0</v>
      </c>
      <c r="R718" s="54">
        <f>ROUND((H718*N718),2)</f>
        <v>0</v>
      </c>
      <c r="S718" s="54"/>
      <c r="T718" s="36"/>
      <c r="XDA718"/>
      <c r="XDB718"/>
      <c r="XDC718"/>
      <c r="XDD718"/>
      <c r="XDE718"/>
      <c r="XDF718"/>
      <c r="XDG718"/>
      <c r="XDH718"/>
      <c r="XDI718"/>
      <c r="XDJ718"/>
      <c r="XDK718"/>
      <c r="XDL718"/>
      <c r="XDM718"/>
      <c r="XDN718"/>
      <c r="XDO718"/>
      <c r="XDP718"/>
      <c r="XDQ718"/>
      <c r="XDR718"/>
      <c r="XDS718"/>
      <c r="XDT718"/>
      <c r="XDU718"/>
      <c r="XDV718"/>
      <c r="XDW718"/>
      <c r="XDX718"/>
      <c r="XDY718"/>
      <c r="XDZ718"/>
      <c r="XEA718"/>
      <c r="XEB718"/>
      <c r="XEC718"/>
      <c r="XED718"/>
      <c r="XEE718"/>
      <c r="XEF718"/>
      <c r="XEG718"/>
      <c r="XEH718"/>
      <c r="XEI718"/>
      <c r="XEJ718"/>
      <c r="XEK718"/>
      <c r="XEL718"/>
      <c r="XEM718"/>
      <c r="XEN718"/>
      <c r="XEO718"/>
      <c r="XEP718"/>
      <c r="XEQ718"/>
      <c r="XER718"/>
      <c r="XES718"/>
      <c r="XET718"/>
      <c r="XEU718"/>
      <c r="XEV718"/>
      <c r="XEW718"/>
      <c r="XEX718"/>
      <c r="XEY718"/>
      <c r="XEZ718"/>
      <c r="XFA718"/>
      <c r="XFB718"/>
      <c r="XFC718"/>
    </row>
    <row r="719" spans="1:20 16329:16383" s="38" customFormat="1" ht="29.1" customHeight="1" outlineLevel="2" x14ac:dyDescent="0.25">
      <c r="A719" s="44" t="s">
        <v>1429</v>
      </c>
      <c r="B719" s="45" t="s">
        <v>1430</v>
      </c>
      <c r="C719" s="45" t="s">
        <v>1431</v>
      </c>
      <c r="D719" s="4" t="s">
        <v>1432</v>
      </c>
      <c r="E719" s="4"/>
      <c r="F719" s="46"/>
      <c r="G719" s="45" t="s">
        <v>29</v>
      </c>
      <c r="H719" s="47"/>
      <c r="I719" s="36"/>
      <c r="J719" s="47"/>
      <c r="K719" s="48"/>
      <c r="L719" s="48"/>
      <c r="M719" s="48"/>
      <c r="N719" s="48"/>
      <c r="O719" s="48">
        <f>O720+O721</f>
        <v>0</v>
      </c>
      <c r="P719" s="48">
        <f>P720+P721</f>
        <v>0</v>
      </c>
      <c r="Q719" s="48">
        <f>Q720+Q721</f>
        <v>0</v>
      </c>
      <c r="R719" s="48">
        <f>R720+R721</f>
        <v>0</v>
      </c>
      <c r="S719" s="48"/>
      <c r="T719" s="36"/>
      <c r="XDA719"/>
      <c r="XDB719"/>
      <c r="XDC719"/>
      <c r="XDD719"/>
      <c r="XDE719"/>
      <c r="XDF719"/>
      <c r="XDG719"/>
      <c r="XDH719"/>
      <c r="XDI719"/>
      <c r="XDJ719"/>
      <c r="XDK719"/>
      <c r="XDL719"/>
      <c r="XDM719"/>
      <c r="XDN719"/>
      <c r="XDO719"/>
      <c r="XDP719"/>
      <c r="XDQ719"/>
      <c r="XDR719"/>
      <c r="XDS719"/>
      <c r="XDT719"/>
      <c r="XDU719"/>
      <c r="XDV719"/>
      <c r="XDW719"/>
      <c r="XDX719"/>
      <c r="XDY719"/>
      <c r="XDZ719"/>
      <c r="XEA719"/>
      <c r="XEB719"/>
      <c r="XEC719"/>
      <c r="XED719"/>
      <c r="XEE719"/>
      <c r="XEF719"/>
      <c r="XEG719"/>
      <c r="XEH719"/>
      <c r="XEI719"/>
      <c r="XEJ719"/>
      <c r="XEK719"/>
      <c r="XEL719"/>
      <c r="XEM719"/>
      <c r="XEN719"/>
      <c r="XEO719"/>
      <c r="XEP719"/>
      <c r="XEQ719"/>
      <c r="XER719"/>
      <c r="XES719"/>
      <c r="XET719"/>
      <c r="XEU719"/>
      <c r="XEV719"/>
      <c r="XEW719"/>
      <c r="XEX719"/>
      <c r="XEY719"/>
      <c r="XEZ719"/>
      <c r="XFA719"/>
      <c r="XFB719"/>
      <c r="XFC719"/>
    </row>
    <row r="720" spans="1:20 16329:16383" s="38" customFormat="1" ht="29.1" customHeight="1" outlineLevel="3" x14ac:dyDescent="0.25">
      <c r="A720" s="49" t="s">
        <v>1433</v>
      </c>
      <c r="B720" s="50"/>
      <c r="C720" s="50"/>
      <c r="D720" s="3" t="s">
        <v>1434</v>
      </c>
      <c r="E720" s="3"/>
      <c r="F720" s="51"/>
      <c r="G720" s="50" t="s">
        <v>29</v>
      </c>
      <c r="H720" s="52">
        <f>1</f>
        <v>1</v>
      </c>
      <c r="I720" s="36"/>
      <c r="J720" s="52">
        <v>1</v>
      </c>
      <c r="K720" s="53">
        <f>0</f>
        <v>0</v>
      </c>
      <c r="L720" s="53">
        <f>0</f>
        <v>0</v>
      </c>
      <c r="M720" s="53">
        <f>0</f>
        <v>0</v>
      </c>
      <c r="N720" s="54">
        <f>SUM(K720:M720)</f>
        <v>0</v>
      </c>
      <c r="O720" s="54">
        <f>ROUND((H720*K720),2)</f>
        <v>0</v>
      </c>
      <c r="P720" s="54">
        <f>ROUND((H720*L720),2)</f>
        <v>0</v>
      </c>
      <c r="Q720" s="54">
        <f>ROUND((H720*M720),2)</f>
        <v>0</v>
      </c>
      <c r="R720" s="54">
        <f>ROUND((H720*N720),2)</f>
        <v>0</v>
      </c>
      <c r="S720" s="54"/>
      <c r="T720" s="36"/>
      <c r="XDA720"/>
      <c r="XDB720"/>
      <c r="XDC720"/>
      <c r="XDD720"/>
      <c r="XDE720"/>
      <c r="XDF720"/>
      <c r="XDG720"/>
      <c r="XDH720"/>
      <c r="XDI720"/>
      <c r="XDJ720"/>
      <c r="XDK720"/>
      <c r="XDL720"/>
      <c r="XDM720"/>
      <c r="XDN720"/>
      <c r="XDO720"/>
      <c r="XDP720"/>
      <c r="XDQ720"/>
      <c r="XDR720"/>
      <c r="XDS720"/>
      <c r="XDT720"/>
      <c r="XDU720"/>
      <c r="XDV720"/>
      <c r="XDW720"/>
      <c r="XDX720"/>
      <c r="XDY720"/>
      <c r="XDZ720"/>
      <c r="XEA720"/>
      <c r="XEB720"/>
      <c r="XEC720"/>
      <c r="XED720"/>
      <c r="XEE720"/>
      <c r="XEF720"/>
      <c r="XEG720"/>
      <c r="XEH720"/>
      <c r="XEI720"/>
      <c r="XEJ720"/>
      <c r="XEK720"/>
      <c r="XEL720"/>
      <c r="XEM720"/>
      <c r="XEN720"/>
      <c r="XEO720"/>
      <c r="XEP720"/>
      <c r="XEQ720"/>
      <c r="XER720"/>
      <c r="XES720"/>
      <c r="XET720"/>
      <c r="XEU720"/>
      <c r="XEV720"/>
      <c r="XEW720"/>
      <c r="XEX720"/>
      <c r="XEY720"/>
      <c r="XEZ720"/>
      <c r="XFA720"/>
      <c r="XFB720"/>
      <c r="XFC720"/>
    </row>
    <row r="721" spans="1:20 16329:16383" s="38" customFormat="1" ht="29.1" customHeight="1" outlineLevel="3" x14ac:dyDescent="0.25">
      <c r="A721" s="49" t="s">
        <v>1435</v>
      </c>
      <c r="B721" s="50"/>
      <c r="C721" s="50"/>
      <c r="D721" s="3" t="s">
        <v>1436</v>
      </c>
      <c r="E721" s="3"/>
      <c r="F721" s="51"/>
      <c r="G721" s="50" t="s">
        <v>29</v>
      </c>
      <c r="H721" s="52">
        <f>1</f>
        <v>1</v>
      </c>
      <c r="I721" s="36"/>
      <c r="J721" s="52">
        <v>1</v>
      </c>
      <c r="K721" s="53">
        <f>0</f>
        <v>0</v>
      </c>
      <c r="L721" s="53">
        <f>0</f>
        <v>0</v>
      </c>
      <c r="M721" s="53">
        <f>0</f>
        <v>0</v>
      </c>
      <c r="N721" s="54">
        <f>SUM(K721:M721)</f>
        <v>0</v>
      </c>
      <c r="O721" s="54">
        <f>ROUND((H721*K721),2)</f>
        <v>0</v>
      </c>
      <c r="P721" s="54">
        <f>ROUND((H721*L721),2)</f>
        <v>0</v>
      </c>
      <c r="Q721" s="54">
        <f>ROUND((H721*M721),2)</f>
        <v>0</v>
      </c>
      <c r="R721" s="54">
        <f>ROUND((H721*N721),2)</f>
        <v>0</v>
      </c>
      <c r="S721" s="54"/>
      <c r="T721" s="36"/>
      <c r="XDA721"/>
      <c r="XDB721"/>
      <c r="XDC721"/>
      <c r="XDD721"/>
      <c r="XDE721"/>
      <c r="XDF721"/>
      <c r="XDG721"/>
      <c r="XDH721"/>
      <c r="XDI721"/>
      <c r="XDJ721"/>
      <c r="XDK721"/>
      <c r="XDL721"/>
      <c r="XDM721"/>
      <c r="XDN721"/>
      <c r="XDO721"/>
      <c r="XDP721"/>
      <c r="XDQ721"/>
      <c r="XDR721"/>
      <c r="XDS721"/>
      <c r="XDT721"/>
      <c r="XDU721"/>
      <c r="XDV721"/>
      <c r="XDW721"/>
      <c r="XDX721"/>
      <c r="XDY721"/>
      <c r="XDZ721"/>
      <c r="XEA721"/>
      <c r="XEB721"/>
      <c r="XEC721"/>
      <c r="XED721"/>
      <c r="XEE721"/>
      <c r="XEF721"/>
      <c r="XEG721"/>
      <c r="XEH721"/>
      <c r="XEI721"/>
      <c r="XEJ721"/>
      <c r="XEK721"/>
      <c r="XEL721"/>
      <c r="XEM721"/>
      <c r="XEN721"/>
      <c r="XEO721"/>
      <c r="XEP721"/>
      <c r="XEQ721"/>
      <c r="XER721"/>
      <c r="XES721"/>
      <c r="XET721"/>
      <c r="XEU721"/>
      <c r="XEV721"/>
      <c r="XEW721"/>
      <c r="XEX721"/>
      <c r="XEY721"/>
      <c r="XEZ721"/>
      <c r="XFA721"/>
      <c r="XFB721"/>
      <c r="XFC721"/>
    </row>
    <row r="722" spans="1:20 16329:16383" s="38" customFormat="1" ht="29.1" customHeight="1" outlineLevel="2" x14ac:dyDescent="0.25">
      <c r="A722" s="44" t="s">
        <v>1437</v>
      </c>
      <c r="B722" s="45" t="s">
        <v>1438</v>
      </c>
      <c r="C722" s="45" t="s">
        <v>1439</v>
      </c>
      <c r="D722" s="4" t="s">
        <v>1440</v>
      </c>
      <c r="E722" s="4"/>
      <c r="F722" s="46"/>
      <c r="G722" s="45" t="s">
        <v>102</v>
      </c>
      <c r="H722" s="47"/>
      <c r="I722" s="36"/>
      <c r="J722" s="47"/>
      <c r="K722" s="48"/>
      <c r="L722" s="48"/>
      <c r="M722" s="48"/>
      <c r="N722" s="48"/>
      <c r="O722" s="48">
        <f>O723+O725+O727</f>
        <v>0</v>
      </c>
      <c r="P722" s="48">
        <f>P723+P725+P727</f>
        <v>0</v>
      </c>
      <c r="Q722" s="48">
        <f>Q723+Q725+Q727</f>
        <v>0</v>
      </c>
      <c r="R722" s="48">
        <f>R723+R725+R727</f>
        <v>0</v>
      </c>
      <c r="S722" s="48"/>
      <c r="T722" s="36"/>
      <c r="XDA722"/>
      <c r="XDB722"/>
      <c r="XDC722"/>
      <c r="XDD722"/>
      <c r="XDE722"/>
      <c r="XDF722"/>
      <c r="XDG722"/>
      <c r="XDH722"/>
      <c r="XDI722"/>
      <c r="XDJ722"/>
      <c r="XDK722"/>
      <c r="XDL722"/>
      <c r="XDM722"/>
      <c r="XDN722"/>
      <c r="XDO722"/>
      <c r="XDP722"/>
      <c r="XDQ722"/>
      <c r="XDR722"/>
      <c r="XDS722"/>
      <c r="XDT722"/>
      <c r="XDU722"/>
      <c r="XDV722"/>
      <c r="XDW722"/>
      <c r="XDX722"/>
      <c r="XDY722"/>
      <c r="XDZ722"/>
      <c r="XEA722"/>
      <c r="XEB722"/>
      <c r="XEC722"/>
      <c r="XED722"/>
      <c r="XEE722"/>
      <c r="XEF722"/>
      <c r="XEG722"/>
      <c r="XEH722"/>
      <c r="XEI722"/>
      <c r="XEJ722"/>
      <c r="XEK722"/>
      <c r="XEL722"/>
      <c r="XEM722"/>
      <c r="XEN722"/>
      <c r="XEO722"/>
      <c r="XEP722"/>
      <c r="XEQ722"/>
      <c r="XER722"/>
      <c r="XES722"/>
      <c r="XET722"/>
      <c r="XEU722"/>
      <c r="XEV722"/>
      <c r="XEW722"/>
      <c r="XEX722"/>
      <c r="XEY722"/>
      <c r="XEZ722"/>
      <c r="XFA722"/>
      <c r="XFB722"/>
      <c r="XFC722"/>
    </row>
    <row r="723" spans="1:20 16329:16383" s="38" customFormat="1" ht="29.1" customHeight="1" outlineLevel="3" x14ac:dyDescent="0.25">
      <c r="A723" s="55" t="s">
        <v>1441</v>
      </c>
      <c r="B723" s="56" t="s">
        <v>1442</v>
      </c>
      <c r="C723" s="56" t="s">
        <v>1443</v>
      </c>
      <c r="D723" s="2" t="s">
        <v>1444</v>
      </c>
      <c r="E723" s="2"/>
      <c r="F723" s="57"/>
      <c r="G723" s="56" t="s">
        <v>102</v>
      </c>
      <c r="H723" s="58"/>
      <c r="I723" s="36"/>
      <c r="J723" s="58"/>
      <c r="K723" s="59"/>
      <c r="L723" s="59"/>
      <c r="M723" s="59"/>
      <c r="N723" s="59"/>
      <c r="O723" s="59">
        <f>O724</f>
        <v>0</v>
      </c>
      <c r="P723" s="59">
        <f>P724</f>
        <v>0</v>
      </c>
      <c r="Q723" s="59">
        <f>Q724</f>
        <v>0</v>
      </c>
      <c r="R723" s="59">
        <f>R724</f>
        <v>0</v>
      </c>
      <c r="S723" s="59"/>
      <c r="T723" s="36"/>
      <c r="XDA723"/>
      <c r="XDB723"/>
      <c r="XDC723"/>
      <c r="XDD723"/>
      <c r="XDE723"/>
      <c r="XDF723"/>
      <c r="XDG723"/>
      <c r="XDH723"/>
      <c r="XDI723"/>
      <c r="XDJ723"/>
      <c r="XDK723"/>
      <c r="XDL723"/>
      <c r="XDM723"/>
      <c r="XDN723"/>
      <c r="XDO723"/>
      <c r="XDP723"/>
      <c r="XDQ723"/>
      <c r="XDR723"/>
      <c r="XDS723"/>
      <c r="XDT723"/>
      <c r="XDU723"/>
      <c r="XDV723"/>
      <c r="XDW723"/>
      <c r="XDX723"/>
      <c r="XDY723"/>
      <c r="XDZ723"/>
      <c r="XEA723"/>
      <c r="XEB723"/>
      <c r="XEC723"/>
      <c r="XED723"/>
      <c r="XEE723"/>
      <c r="XEF723"/>
      <c r="XEG723"/>
      <c r="XEH723"/>
      <c r="XEI723"/>
      <c r="XEJ723"/>
      <c r="XEK723"/>
      <c r="XEL723"/>
      <c r="XEM723"/>
      <c r="XEN723"/>
      <c r="XEO723"/>
      <c r="XEP723"/>
      <c r="XEQ723"/>
      <c r="XER723"/>
      <c r="XES723"/>
      <c r="XET723"/>
      <c r="XEU723"/>
      <c r="XEV723"/>
      <c r="XEW723"/>
      <c r="XEX723"/>
      <c r="XEY723"/>
      <c r="XEZ723"/>
      <c r="XFA723"/>
      <c r="XFB723"/>
      <c r="XFC723"/>
    </row>
    <row r="724" spans="1:20 16329:16383" s="38" customFormat="1" ht="29.1" customHeight="1" outlineLevel="4" x14ac:dyDescent="0.25">
      <c r="A724" s="49" t="s">
        <v>1445</v>
      </c>
      <c r="B724" s="50"/>
      <c r="C724" s="50"/>
      <c r="D724" s="3" t="s">
        <v>1444</v>
      </c>
      <c r="E724" s="3"/>
      <c r="F724" s="51"/>
      <c r="G724" s="50" t="s">
        <v>102</v>
      </c>
      <c r="H724" s="52">
        <f>1</f>
        <v>1</v>
      </c>
      <c r="I724" s="36"/>
      <c r="J724" s="52">
        <v>1</v>
      </c>
      <c r="K724" s="53">
        <f>0</f>
        <v>0</v>
      </c>
      <c r="L724" s="53">
        <f>0</f>
        <v>0</v>
      </c>
      <c r="M724" s="53">
        <f>0</f>
        <v>0</v>
      </c>
      <c r="N724" s="54">
        <f>SUM(K724:M724)</f>
        <v>0</v>
      </c>
      <c r="O724" s="54">
        <f>ROUND((H724*K724),2)</f>
        <v>0</v>
      </c>
      <c r="P724" s="54">
        <f>ROUND((H724*L724),2)</f>
        <v>0</v>
      </c>
      <c r="Q724" s="54">
        <f>ROUND((H724*M724),2)</f>
        <v>0</v>
      </c>
      <c r="R724" s="54">
        <f>ROUND((H724*N724),2)</f>
        <v>0</v>
      </c>
      <c r="S724" s="54"/>
      <c r="T724" s="36"/>
      <c r="XDA724"/>
      <c r="XDB724"/>
      <c r="XDC724"/>
      <c r="XDD724"/>
      <c r="XDE724"/>
      <c r="XDF724"/>
      <c r="XDG724"/>
      <c r="XDH724"/>
      <c r="XDI724"/>
      <c r="XDJ724"/>
      <c r="XDK724"/>
      <c r="XDL724"/>
      <c r="XDM724"/>
      <c r="XDN724"/>
      <c r="XDO724"/>
      <c r="XDP724"/>
      <c r="XDQ724"/>
      <c r="XDR724"/>
      <c r="XDS724"/>
      <c r="XDT724"/>
      <c r="XDU724"/>
      <c r="XDV724"/>
      <c r="XDW724"/>
      <c r="XDX724"/>
      <c r="XDY724"/>
      <c r="XDZ724"/>
      <c r="XEA724"/>
      <c r="XEB724"/>
      <c r="XEC724"/>
      <c r="XED724"/>
      <c r="XEE724"/>
      <c r="XEF724"/>
      <c r="XEG724"/>
      <c r="XEH724"/>
      <c r="XEI724"/>
      <c r="XEJ724"/>
      <c r="XEK724"/>
      <c r="XEL724"/>
      <c r="XEM724"/>
      <c r="XEN724"/>
      <c r="XEO724"/>
      <c r="XEP724"/>
      <c r="XEQ724"/>
      <c r="XER724"/>
      <c r="XES724"/>
      <c r="XET724"/>
      <c r="XEU724"/>
      <c r="XEV724"/>
      <c r="XEW724"/>
      <c r="XEX724"/>
      <c r="XEY724"/>
      <c r="XEZ724"/>
      <c r="XFA724"/>
      <c r="XFB724"/>
      <c r="XFC724"/>
    </row>
    <row r="725" spans="1:20 16329:16383" s="38" customFormat="1" ht="29.1" customHeight="1" outlineLevel="3" x14ac:dyDescent="0.25">
      <c r="A725" s="55" t="s">
        <v>1446</v>
      </c>
      <c r="B725" s="56" t="s">
        <v>1447</v>
      </c>
      <c r="C725" s="56" t="s">
        <v>1448</v>
      </c>
      <c r="D725" s="2" t="s">
        <v>1449</v>
      </c>
      <c r="E725" s="2"/>
      <c r="F725" s="57"/>
      <c r="G725" s="56" t="s">
        <v>102</v>
      </c>
      <c r="H725" s="58"/>
      <c r="I725" s="36"/>
      <c r="J725" s="58"/>
      <c r="K725" s="59"/>
      <c r="L725" s="59"/>
      <c r="M725" s="59"/>
      <c r="N725" s="59"/>
      <c r="O725" s="59">
        <f>O726</f>
        <v>0</v>
      </c>
      <c r="P725" s="59">
        <f>P726</f>
        <v>0</v>
      </c>
      <c r="Q725" s="59">
        <f>Q726</f>
        <v>0</v>
      </c>
      <c r="R725" s="59">
        <f>R726</f>
        <v>0</v>
      </c>
      <c r="S725" s="59"/>
      <c r="T725" s="36"/>
      <c r="XDA725"/>
      <c r="XDB725"/>
      <c r="XDC725"/>
      <c r="XDD725"/>
      <c r="XDE725"/>
      <c r="XDF725"/>
      <c r="XDG725"/>
      <c r="XDH725"/>
      <c r="XDI725"/>
      <c r="XDJ725"/>
      <c r="XDK725"/>
      <c r="XDL725"/>
      <c r="XDM725"/>
      <c r="XDN725"/>
      <c r="XDO725"/>
      <c r="XDP725"/>
      <c r="XDQ725"/>
      <c r="XDR725"/>
      <c r="XDS725"/>
      <c r="XDT725"/>
      <c r="XDU725"/>
      <c r="XDV725"/>
      <c r="XDW725"/>
      <c r="XDX725"/>
      <c r="XDY725"/>
      <c r="XDZ725"/>
      <c r="XEA725"/>
      <c r="XEB725"/>
      <c r="XEC725"/>
      <c r="XED725"/>
      <c r="XEE725"/>
      <c r="XEF725"/>
      <c r="XEG725"/>
      <c r="XEH725"/>
      <c r="XEI725"/>
      <c r="XEJ725"/>
      <c r="XEK725"/>
      <c r="XEL725"/>
      <c r="XEM725"/>
      <c r="XEN725"/>
      <c r="XEO725"/>
      <c r="XEP725"/>
      <c r="XEQ725"/>
      <c r="XER725"/>
      <c r="XES725"/>
      <c r="XET725"/>
      <c r="XEU725"/>
      <c r="XEV725"/>
      <c r="XEW725"/>
      <c r="XEX725"/>
      <c r="XEY725"/>
      <c r="XEZ725"/>
      <c r="XFA725"/>
      <c r="XFB725"/>
      <c r="XFC725"/>
    </row>
    <row r="726" spans="1:20 16329:16383" s="38" customFormat="1" ht="29.1" customHeight="1" outlineLevel="4" x14ac:dyDescent="0.25">
      <c r="A726" s="49" t="s">
        <v>1450</v>
      </c>
      <c r="B726" s="50"/>
      <c r="C726" s="50"/>
      <c r="D726" s="3" t="s">
        <v>1449</v>
      </c>
      <c r="E726" s="3"/>
      <c r="F726" s="51"/>
      <c r="G726" s="50" t="s">
        <v>102</v>
      </c>
      <c r="H726" s="52">
        <f>1</f>
        <v>1</v>
      </c>
      <c r="I726" s="36"/>
      <c r="J726" s="52">
        <v>1</v>
      </c>
      <c r="K726" s="53">
        <f>0</f>
        <v>0</v>
      </c>
      <c r="L726" s="53">
        <f>0</f>
        <v>0</v>
      </c>
      <c r="M726" s="53">
        <f>0</f>
        <v>0</v>
      </c>
      <c r="N726" s="54">
        <f>SUM(K726:M726)</f>
        <v>0</v>
      </c>
      <c r="O726" s="54">
        <f>ROUND((H726*K726),2)</f>
        <v>0</v>
      </c>
      <c r="P726" s="54">
        <f>ROUND((H726*L726),2)</f>
        <v>0</v>
      </c>
      <c r="Q726" s="54">
        <f>ROUND((H726*M726),2)</f>
        <v>0</v>
      </c>
      <c r="R726" s="54">
        <f>ROUND((H726*N726),2)</f>
        <v>0</v>
      </c>
      <c r="S726" s="54"/>
      <c r="T726" s="36"/>
      <c r="XDA726"/>
      <c r="XDB726"/>
      <c r="XDC726"/>
      <c r="XDD726"/>
      <c r="XDE726"/>
      <c r="XDF726"/>
      <c r="XDG726"/>
      <c r="XDH726"/>
      <c r="XDI726"/>
      <c r="XDJ726"/>
      <c r="XDK726"/>
      <c r="XDL726"/>
      <c r="XDM726"/>
      <c r="XDN726"/>
      <c r="XDO726"/>
      <c r="XDP726"/>
      <c r="XDQ726"/>
      <c r="XDR726"/>
      <c r="XDS726"/>
      <c r="XDT726"/>
      <c r="XDU726"/>
      <c r="XDV726"/>
      <c r="XDW726"/>
      <c r="XDX726"/>
      <c r="XDY726"/>
      <c r="XDZ726"/>
      <c r="XEA726"/>
      <c r="XEB726"/>
      <c r="XEC726"/>
      <c r="XED726"/>
      <c r="XEE726"/>
      <c r="XEF726"/>
      <c r="XEG726"/>
      <c r="XEH726"/>
      <c r="XEI726"/>
      <c r="XEJ726"/>
      <c r="XEK726"/>
      <c r="XEL726"/>
      <c r="XEM726"/>
      <c r="XEN726"/>
      <c r="XEO726"/>
      <c r="XEP726"/>
      <c r="XEQ726"/>
      <c r="XER726"/>
      <c r="XES726"/>
      <c r="XET726"/>
      <c r="XEU726"/>
      <c r="XEV726"/>
      <c r="XEW726"/>
      <c r="XEX726"/>
      <c r="XEY726"/>
      <c r="XEZ726"/>
      <c r="XFA726"/>
      <c r="XFB726"/>
      <c r="XFC726"/>
    </row>
    <row r="727" spans="1:20 16329:16383" s="38" customFormat="1" ht="29.1" customHeight="1" outlineLevel="3" x14ac:dyDescent="0.25">
      <c r="A727" s="55" t="s">
        <v>1451</v>
      </c>
      <c r="B727" s="56" t="s">
        <v>1452</v>
      </c>
      <c r="C727" s="56" t="s">
        <v>1453</v>
      </c>
      <c r="D727" s="2" t="s">
        <v>1454</v>
      </c>
      <c r="E727" s="2"/>
      <c r="F727" s="57"/>
      <c r="G727" s="56" t="s">
        <v>102</v>
      </c>
      <c r="H727" s="58"/>
      <c r="I727" s="36"/>
      <c r="J727" s="58"/>
      <c r="K727" s="59"/>
      <c r="L727" s="59"/>
      <c r="M727" s="59"/>
      <c r="N727" s="59"/>
      <c r="O727" s="59">
        <f>O728</f>
        <v>0</v>
      </c>
      <c r="P727" s="59">
        <f>P728</f>
        <v>0</v>
      </c>
      <c r="Q727" s="59">
        <f>Q728</f>
        <v>0</v>
      </c>
      <c r="R727" s="59">
        <f>R728</f>
        <v>0</v>
      </c>
      <c r="S727" s="59"/>
      <c r="T727" s="36"/>
      <c r="XDA727"/>
      <c r="XDB727"/>
      <c r="XDC727"/>
      <c r="XDD727"/>
      <c r="XDE727"/>
      <c r="XDF727"/>
      <c r="XDG727"/>
      <c r="XDH727"/>
      <c r="XDI727"/>
      <c r="XDJ727"/>
      <c r="XDK727"/>
      <c r="XDL727"/>
      <c r="XDM727"/>
      <c r="XDN727"/>
      <c r="XDO727"/>
      <c r="XDP727"/>
      <c r="XDQ727"/>
      <c r="XDR727"/>
      <c r="XDS727"/>
      <c r="XDT727"/>
      <c r="XDU727"/>
      <c r="XDV727"/>
      <c r="XDW727"/>
      <c r="XDX727"/>
      <c r="XDY727"/>
      <c r="XDZ727"/>
      <c r="XEA727"/>
      <c r="XEB727"/>
      <c r="XEC727"/>
      <c r="XED727"/>
      <c r="XEE727"/>
      <c r="XEF727"/>
      <c r="XEG727"/>
      <c r="XEH727"/>
      <c r="XEI727"/>
      <c r="XEJ727"/>
      <c r="XEK727"/>
      <c r="XEL727"/>
      <c r="XEM727"/>
      <c r="XEN727"/>
      <c r="XEO727"/>
      <c r="XEP727"/>
      <c r="XEQ727"/>
      <c r="XER727"/>
      <c r="XES727"/>
      <c r="XET727"/>
      <c r="XEU727"/>
      <c r="XEV727"/>
      <c r="XEW727"/>
      <c r="XEX727"/>
      <c r="XEY727"/>
      <c r="XEZ727"/>
      <c r="XFA727"/>
      <c r="XFB727"/>
      <c r="XFC727"/>
    </row>
    <row r="728" spans="1:20 16329:16383" s="38" customFormat="1" ht="29.1" customHeight="1" outlineLevel="4" x14ac:dyDescent="0.25">
      <c r="A728" s="49" t="s">
        <v>1455</v>
      </c>
      <c r="B728" s="50"/>
      <c r="C728" s="50"/>
      <c r="D728" s="3" t="s">
        <v>1454</v>
      </c>
      <c r="E728" s="3"/>
      <c r="F728" s="51"/>
      <c r="G728" s="50" t="s">
        <v>102</v>
      </c>
      <c r="H728" s="52">
        <f>1</f>
        <v>1</v>
      </c>
      <c r="I728" s="36"/>
      <c r="J728" s="52">
        <v>1</v>
      </c>
      <c r="K728" s="53">
        <f>0</f>
        <v>0</v>
      </c>
      <c r="L728" s="53">
        <f>0</f>
        <v>0</v>
      </c>
      <c r="M728" s="53">
        <f>0</f>
        <v>0</v>
      </c>
      <c r="N728" s="54">
        <f>SUM(K728:M728)</f>
        <v>0</v>
      </c>
      <c r="O728" s="54">
        <f>ROUND((H728*K728),2)</f>
        <v>0</v>
      </c>
      <c r="P728" s="54">
        <f>ROUND((H728*L728),2)</f>
        <v>0</v>
      </c>
      <c r="Q728" s="54">
        <f>ROUND((H728*M728),2)</f>
        <v>0</v>
      </c>
      <c r="R728" s="54">
        <f>ROUND((H728*N728),2)</f>
        <v>0</v>
      </c>
      <c r="S728" s="54"/>
      <c r="T728" s="36"/>
      <c r="XDA728"/>
      <c r="XDB728"/>
      <c r="XDC728"/>
      <c r="XDD728"/>
      <c r="XDE728"/>
      <c r="XDF728"/>
      <c r="XDG728"/>
      <c r="XDH728"/>
      <c r="XDI728"/>
      <c r="XDJ728"/>
      <c r="XDK728"/>
      <c r="XDL728"/>
      <c r="XDM728"/>
      <c r="XDN728"/>
      <c r="XDO728"/>
      <c r="XDP728"/>
      <c r="XDQ728"/>
      <c r="XDR728"/>
      <c r="XDS728"/>
      <c r="XDT728"/>
      <c r="XDU728"/>
      <c r="XDV728"/>
      <c r="XDW728"/>
      <c r="XDX728"/>
      <c r="XDY728"/>
      <c r="XDZ728"/>
      <c r="XEA728"/>
      <c r="XEB728"/>
      <c r="XEC728"/>
      <c r="XED728"/>
      <c r="XEE728"/>
      <c r="XEF728"/>
      <c r="XEG728"/>
      <c r="XEH728"/>
      <c r="XEI728"/>
      <c r="XEJ728"/>
      <c r="XEK728"/>
      <c r="XEL728"/>
      <c r="XEM728"/>
      <c r="XEN728"/>
      <c r="XEO728"/>
      <c r="XEP728"/>
      <c r="XEQ728"/>
      <c r="XER728"/>
      <c r="XES728"/>
      <c r="XET728"/>
      <c r="XEU728"/>
      <c r="XEV728"/>
      <c r="XEW728"/>
      <c r="XEX728"/>
      <c r="XEY728"/>
      <c r="XEZ728"/>
      <c r="XFA728"/>
      <c r="XFB728"/>
      <c r="XFC728"/>
    </row>
    <row r="729" spans="1:20 16329:16383" s="38" customFormat="1" ht="29.1" customHeight="1" outlineLevel="2" x14ac:dyDescent="0.25">
      <c r="A729" s="44" t="s">
        <v>1456</v>
      </c>
      <c r="B729" s="45" t="s">
        <v>1457</v>
      </c>
      <c r="C729" s="45" t="s">
        <v>1458</v>
      </c>
      <c r="D729" s="4" t="s">
        <v>1459</v>
      </c>
      <c r="E729" s="4"/>
      <c r="F729" s="46"/>
      <c r="G729" s="45" t="s">
        <v>29</v>
      </c>
      <c r="H729" s="47"/>
      <c r="I729" s="36"/>
      <c r="J729" s="47"/>
      <c r="K729" s="48"/>
      <c r="L729" s="48"/>
      <c r="M729" s="48"/>
      <c r="N729" s="48"/>
      <c r="O729" s="48">
        <f>O730+O732+O734+O736+O738+O740+O742</f>
        <v>0</v>
      </c>
      <c r="P729" s="48">
        <f>P730+P732+P734+P736+P738+P740+P742</f>
        <v>0</v>
      </c>
      <c r="Q729" s="48">
        <f>Q730+Q732+Q734+Q736+Q738+Q740+Q742</f>
        <v>0</v>
      </c>
      <c r="R729" s="48">
        <f>R730+R732+R734+R736+R738+R740+R742</f>
        <v>0</v>
      </c>
      <c r="S729" s="48"/>
      <c r="T729" s="36"/>
      <c r="XDA729"/>
      <c r="XDB729"/>
      <c r="XDC729"/>
      <c r="XDD729"/>
      <c r="XDE729"/>
      <c r="XDF729"/>
      <c r="XDG729"/>
      <c r="XDH729"/>
      <c r="XDI729"/>
      <c r="XDJ729"/>
      <c r="XDK729"/>
      <c r="XDL729"/>
      <c r="XDM729"/>
      <c r="XDN729"/>
      <c r="XDO729"/>
      <c r="XDP729"/>
      <c r="XDQ729"/>
      <c r="XDR729"/>
      <c r="XDS729"/>
      <c r="XDT729"/>
      <c r="XDU729"/>
      <c r="XDV729"/>
      <c r="XDW729"/>
      <c r="XDX729"/>
      <c r="XDY729"/>
      <c r="XDZ729"/>
      <c r="XEA729"/>
      <c r="XEB729"/>
      <c r="XEC729"/>
      <c r="XED729"/>
      <c r="XEE729"/>
      <c r="XEF729"/>
      <c r="XEG729"/>
      <c r="XEH729"/>
      <c r="XEI729"/>
      <c r="XEJ729"/>
      <c r="XEK729"/>
      <c r="XEL729"/>
      <c r="XEM729"/>
      <c r="XEN729"/>
      <c r="XEO729"/>
      <c r="XEP729"/>
      <c r="XEQ729"/>
      <c r="XER729"/>
      <c r="XES729"/>
      <c r="XET729"/>
      <c r="XEU729"/>
      <c r="XEV729"/>
      <c r="XEW729"/>
      <c r="XEX729"/>
      <c r="XEY729"/>
      <c r="XEZ729"/>
      <c r="XFA729"/>
      <c r="XFB729"/>
      <c r="XFC729"/>
    </row>
    <row r="730" spans="1:20 16329:16383" s="38" customFormat="1" ht="29.1" customHeight="1" outlineLevel="3" x14ac:dyDescent="0.25">
      <c r="A730" s="55" t="s">
        <v>1460</v>
      </c>
      <c r="B730" s="56" t="s">
        <v>1461</v>
      </c>
      <c r="C730" s="56" t="s">
        <v>1462</v>
      </c>
      <c r="D730" s="2" t="s">
        <v>1463</v>
      </c>
      <c r="E730" s="2"/>
      <c r="F730" s="57"/>
      <c r="G730" s="56" t="s">
        <v>194</v>
      </c>
      <c r="H730" s="58"/>
      <c r="I730" s="36"/>
      <c r="J730" s="58"/>
      <c r="K730" s="59"/>
      <c r="L730" s="59"/>
      <c r="M730" s="59"/>
      <c r="N730" s="59"/>
      <c r="O730" s="59">
        <f>O731</f>
        <v>0</v>
      </c>
      <c r="P730" s="59">
        <f>P731</f>
        <v>0</v>
      </c>
      <c r="Q730" s="59">
        <f>Q731</f>
        <v>0</v>
      </c>
      <c r="R730" s="59">
        <f>R731</f>
        <v>0</v>
      </c>
      <c r="S730" s="59"/>
      <c r="T730" s="36"/>
      <c r="XDA730"/>
      <c r="XDB730"/>
      <c r="XDC730"/>
      <c r="XDD730"/>
      <c r="XDE730"/>
      <c r="XDF730"/>
      <c r="XDG730"/>
      <c r="XDH730"/>
      <c r="XDI730"/>
      <c r="XDJ730"/>
      <c r="XDK730"/>
      <c r="XDL730"/>
      <c r="XDM730"/>
      <c r="XDN730"/>
      <c r="XDO730"/>
      <c r="XDP730"/>
      <c r="XDQ730"/>
      <c r="XDR730"/>
      <c r="XDS730"/>
      <c r="XDT730"/>
      <c r="XDU730"/>
      <c r="XDV730"/>
      <c r="XDW730"/>
      <c r="XDX730"/>
      <c r="XDY730"/>
      <c r="XDZ730"/>
      <c r="XEA730"/>
      <c r="XEB730"/>
      <c r="XEC730"/>
      <c r="XED730"/>
      <c r="XEE730"/>
      <c r="XEF730"/>
      <c r="XEG730"/>
      <c r="XEH730"/>
      <c r="XEI730"/>
      <c r="XEJ730"/>
      <c r="XEK730"/>
      <c r="XEL730"/>
      <c r="XEM730"/>
      <c r="XEN730"/>
      <c r="XEO730"/>
      <c r="XEP730"/>
      <c r="XEQ730"/>
      <c r="XER730"/>
      <c r="XES730"/>
      <c r="XET730"/>
      <c r="XEU730"/>
      <c r="XEV730"/>
      <c r="XEW730"/>
      <c r="XEX730"/>
      <c r="XEY730"/>
      <c r="XEZ730"/>
      <c r="XFA730"/>
      <c r="XFB730"/>
      <c r="XFC730"/>
    </row>
    <row r="731" spans="1:20 16329:16383" s="38" customFormat="1" ht="29.1" customHeight="1" outlineLevel="4" x14ac:dyDescent="0.25">
      <c r="A731" s="49" t="s">
        <v>1464</v>
      </c>
      <c r="B731" s="50"/>
      <c r="C731" s="50"/>
      <c r="D731" s="3" t="s">
        <v>1463</v>
      </c>
      <c r="E731" s="3"/>
      <c r="F731" s="51"/>
      <c r="G731" s="50" t="s">
        <v>102</v>
      </c>
      <c r="H731" s="52">
        <f>1</f>
        <v>1</v>
      </c>
      <c r="I731" s="36"/>
      <c r="J731" s="52">
        <v>1</v>
      </c>
      <c r="K731" s="53">
        <f>0</f>
        <v>0</v>
      </c>
      <c r="L731" s="53">
        <f>0</f>
        <v>0</v>
      </c>
      <c r="M731" s="53">
        <f>0</f>
        <v>0</v>
      </c>
      <c r="N731" s="54">
        <f>SUM(K731:M731)</f>
        <v>0</v>
      </c>
      <c r="O731" s="54">
        <f>ROUND((H731*K731),2)</f>
        <v>0</v>
      </c>
      <c r="P731" s="54">
        <f>ROUND((H731*L731),2)</f>
        <v>0</v>
      </c>
      <c r="Q731" s="54">
        <f>ROUND((H731*M731),2)</f>
        <v>0</v>
      </c>
      <c r="R731" s="54">
        <f>ROUND((H731*N731),2)</f>
        <v>0</v>
      </c>
      <c r="S731" s="54"/>
      <c r="T731" s="36"/>
      <c r="XDA731"/>
      <c r="XDB731"/>
      <c r="XDC731"/>
      <c r="XDD731"/>
      <c r="XDE731"/>
      <c r="XDF731"/>
      <c r="XDG731"/>
      <c r="XDH731"/>
      <c r="XDI731"/>
      <c r="XDJ731"/>
      <c r="XDK731"/>
      <c r="XDL731"/>
      <c r="XDM731"/>
      <c r="XDN731"/>
      <c r="XDO731"/>
      <c r="XDP731"/>
      <c r="XDQ731"/>
      <c r="XDR731"/>
      <c r="XDS731"/>
      <c r="XDT731"/>
      <c r="XDU731"/>
      <c r="XDV731"/>
      <c r="XDW731"/>
      <c r="XDX731"/>
      <c r="XDY731"/>
      <c r="XDZ731"/>
      <c r="XEA731"/>
      <c r="XEB731"/>
      <c r="XEC731"/>
      <c r="XED731"/>
      <c r="XEE731"/>
      <c r="XEF731"/>
      <c r="XEG731"/>
      <c r="XEH731"/>
      <c r="XEI731"/>
      <c r="XEJ731"/>
      <c r="XEK731"/>
      <c r="XEL731"/>
      <c r="XEM731"/>
      <c r="XEN731"/>
      <c r="XEO731"/>
      <c r="XEP731"/>
      <c r="XEQ731"/>
      <c r="XER731"/>
      <c r="XES731"/>
      <c r="XET731"/>
      <c r="XEU731"/>
      <c r="XEV731"/>
      <c r="XEW731"/>
      <c r="XEX731"/>
      <c r="XEY731"/>
      <c r="XEZ731"/>
      <c r="XFA731"/>
      <c r="XFB731"/>
      <c r="XFC731"/>
    </row>
    <row r="732" spans="1:20 16329:16383" s="38" customFormat="1" ht="29.1" customHeight="1" outlineLevel="3" x14ac:dyDescent="0.25">
      <c r="A732" s="55" t="s">
        <v>1465</v>
      </c>
      <c r="B732" s="56" t="s">
        <v>1466</v>
      </c>
      <c r="C732" s="56" t="s">
        <v>1467</v>
      </c>
      <c r="D732" s="2" t="s">
        <v>1468</v>
      </c>
      <c r="E732" s="2"/>
      <c r="F732" s="57"/>
      <c r="G732" s="56" t="s">
        <v>630</v>
      </c>
      <c r="H732" s="58"/>
      <c r="I732" s="36"/>
      <c r="J732" s="58"/>
      <c r="K732" s="59"/>
      <c r="L732" s="59"/>
      <c r="M732" s="59"/>
      <c r="N732" s="59"/>
      <c r="O732" s="59">
        <f>O733</f>
        <v>0</v>
      </c>
      <c r="P732" s="59">
        <f>P733</f>
        <v>0</v>
      </c>
      <c r="Q732" s="59">
        <f>Q733</f>
        <v>0</v>
      </c>
      <c r="R732" s="59">
        <f>R733</f>
        <v>0</v>
      </c>
      <c r="S732" s="59"/>
      <c r="T732" s="36"/>
      <c r="XDA732"/>
      <c r="XDB732"/>
      <c r="XDC732"/>
      <c r="XDD732"/>
      <c r="XDE732"/>
      <c r="XDF732"/>
      <c r="XDG732"/>
      <c r="XDH732"/>
      <c r="XDI732"/>
      <c r="XDJ732"/>
      <c r="XDK732"/>
      <c r="XDL732"/>
      <c r="XDM732"/>
      <c r="XDN732"/>
      <c r="XDO732"/>
      <c r="XDP732"/>
      <c r="XDQ732"/>
      <c r="XDR732"/>
      <c r="XDS732"/>
      <c r="XDT732"/>
      <c r="XDU732"/>
      <c r="XDV732"/>
      <c r="XDW732"/>
      <c r="XDX732"/>
      <c r="XDY732"/>
      <c r="XDZ732"/>
      <c r="XEA732"/>
      <c r="XEB732"/>
      <c r="XEC732"/>
      <c r="XED732"/>
      <c r="XEE732"/>
      <c r="XEF732"/>
      <c r="XEG732"/>
      <c r="XEH732"/>
      <c r="XEI732"/>
      <c r="XEJ732"/>
      <c r="XEK732"/>
      <c r="XEL732"/>
      <c r="XEM732"/>
      <c r="XEN732"/>
      <c r="XEO732"/>
      <c r="XEP732"/>
      <c r="XEQ732"/>
      <c r="XER732"/>
      <c r="XES732"/>
      <c r="XET732"/>
      <c r="XEU732"/>
      <c r="XEV732"/>
      <c r="XEW732"/>
      <c r="XEX732"/>
      <c r="XEY732"/>
      <c r="XEZ732"/>
      <c r="XFA732"/>
      <c r="XFB732"/>
      <c r="XFC732"/>
    </row>
    <row r="733" spans="1:20 16329:16383" s="38" customFormat="1" ht="29.1" customHeight="1" outlineLevel="4" x14ac:dyDescent="0.25">
      <c r="A733" s="49" t="s">
        <v>1469</v>
      </c>
      <c r="B733" s="50"/>
      <c r="C733" s="50"/>
      <c r="D733" s="3" t="s">
        <v>1468</v>
      </c>
      <c r="E733" s="3"/>
      <c r="F733" s="51"/>
      <c r="G733" s="50" t="s">
        <v>102</v>
      </c>
      <c r="H733" s="52">
        <f>1</f>
        <v>1</v>
      </c>
      <c r="I733" s="36"/>
      <c r="J733" s="52">
        <v>1</v>
      </c>
      <c r="K733" s="53">
        <f>0</f>
        <v>0</v>
      </c>
      <c r="L733" s="53">
        <f>0</f>
        <v>0</v>
      </c>
      <c r="M733" s="53">
        <f>0</f>
        <v>0</v>
      </c>
      <c r="N733" s="54">
        <f>SUM(K733:M733)</f>
        <v>0</v>
      </c>
      <c r="O733" s="54">
        <f>ROUND((H733*K733),2)</f>
        <v>0</v>
      </c>
      <c r="P733" s="54">
        <f>ROUND((H733*L733),2)</f>
        <v>0</v>
      </c>
      <c r="Q733" s="54">
        <f>ROUND((H733*M733),2)</f>
        <v>0</v>
      </c>
      <c r="R733" s="54">
        <f>ROUND((H733*N733),2)</f>
        <v>0</v>
      </c>
      <c r="S733" s="54"/>
      <c r="T733" s="36"/>
      <c r="XDA733"/>
      <c r="XDB733"/>
      <c r="XDC733"/>
      <c r="XDD733"/>
      <c r="XDE733"/>
      <c r="XDF733"/>
      <c r="XDG733"/>
      <c r="XDH733"/>
      <c r="XDI733"/>
      <c r="XDJ733"/>
      <c r="XDK733"/>
      <c r="XDL733"/>
      <c r="XDM733"/>
      <c r="XDN733"/>
      <c r="XDO733"/>
      <c r="XDP733"/>
      <c r="XDQ733"/>
      <c r="XDR733"/>
      <c r="XDS733"/>
      <c r="XDT733"/>
      <c r="XDU733"/>
      <c r="XDV733"/>
      <c r="XDW733"/>
      <c r="XDX733"/>
      <c r="XDY733"/>
      <c r="XDZ733"/>
      <c r="XEA733"/>
      <c r="XEB733"/>
      <c r="XEC733"/>
      <c r="XED733"/>
      <c r="XEE733"/>
      <c r="XEF733"/>
      <c r="XEG733"/>
      <c r="XEH733"/>
      <c r="XEI733"/>
      <c r="XEJ733"/>
      <c r="XEK733"/>
      <c r="XEL733"/>
      <c r="XEM733"/>
      <c r="XEN733"/>
      <c r="XEO733"/>
      <c r="XEP733"/>
      <c r="XEQ733"/>
      <c r="XER733"/>
      <c r="XES733"/>
      <c r="XET733"/>
      <c r="XEU733"/>
      <c r="XEV733"/>
      <c r="XEW733"/>
      <c r="XEX733"/>
      <c r="XEY733"/>
      <c r="XEZ733"/>
      <c r="XFA733"/>
      <c r="XFB733"/>
      <c r="XFC733"/>
    </row>
    <row r="734" spans="1:20 16329:16383" s="38" customFormat="1" ht="29.1" customHeight="1" outlineLevel="3" x14ac:dyDescent="0.25">
      <c r="A734" s="55" t="s">
        <v>1470</v>
      </c>
      <c r="B734" s="56" t="s">
        <v>1471</v>
      </c>
      <c r="C734" s="56" t="s">
        <v>1472</v>
      </c>
      <c r="D734" s="2" t="s">
        <v>1473</v>
      </c>
      <c r="E734" s="2"/>
      <c r="F734" s="57"/>
      <c r="G734" s="56" t="s">
        <v>102</v>
      </c>
      <c r="H734" s="58"/>
      <c r="I734" s="36"/>
      <c r="J734" s="58"/>
      <c r="K734" s="59"/>
      <c r="L734" s="59"/>
      <c r="M734" s="59"/>
      <c r="N734" s="59"/>
      <c r="O734" s="59">
        <f>O735</f>
        <v>0</v>
      </c>
      <c r="P734" s="59">
        <f>P735</f>
        <v>0</v>
      </c>
      <c r="Q734" s="59">
        <f>Q735</f>
        <v>0</v>
      </c>
      <c r="R734" s="59">
        <f>R735</f>
        <v>0</v>
      </c>
      <c r="S734" s="59"/>
      <c r="T734" s="36"/>
      <c r="XDA734"/>
      <c r="XDB734"/>
      <c r="XDC734"/>
      <c r="XDD734"/>
      <c r="XDE734"/>
      <c r="XDF734"/>
      <c r="XDG734"/>
      <c r="XDH734"/>
      <c r="XDI734"/>
      <c r="XDJ734"/>
      <c r="XDK734"/>
      <c r="XDL734"/>
      <c r="XDM734"/>
      <c r="XDN734"/>
      <c r="XDO734"/>
      <c r="XDP734"/>
      <c r="XDQ734"/>
      <c r="XDR734"/>
      <c r="XDS734"/>
      <c r="XDT734"/>
      <c r="XDU734"/>
      <c r="XDV734"/>
      <c r="XDW734"/>
      <c r="XDX734"/>
      <c r="XDY734"/>
      <c r="XDZ734"/>
      <c r="XEA734"/>
      <c r="XEB734"/>
      <c r="XEC734"/>
      <c r="XED734"/>
      <c r="XEE734"/>
      <c r="XEF734"/>
      <c r="XEG734"/>
      <c r="XEH734"/>
      <c r="XEI734"/>
      <c r="XEJ734"/>
      <c r="XEK734"/>
      <c r="XEL734"/>
      <c r="XEM734"/>
      <c r="XEN734"/>
      <c r="XEO734"/>
      <c r="XEP734"/>
      <c r="XEQ734"/>
      <c r="XER734"/>
      <c r="XES734"/>
      <c r="XET734"/>
      <c r="XEU734"/>
      <c r="XEV734"/>
      <c r="XEW734"/>
      <c r="XEX734"/>
      <c r="XEY734"/>
      <c r="XEZ734"/>
      <c r="XFA734"/>
      <c r="XFB734"/>
      <c r="XFC734"/>
    </row>
    <row r="735" spans="1:20 16329:16383" s="38" customFormat="1" ht="29.1" customHeight="1" outlineLevel="4" x14ac:dyDescent="0.25">
      <c r="A735" s="49" t="s">
        <v>1474</v>
      </c>
      <c r="B735" s="50"/>
      <c r="C735" s="50"/>
      <c r="D735" s="3" t="s">
        <v>1473</v>
      </c>
      <c r="E735" s="3"/>
      <c r="F735" s="51"/>
      <c r="G735" s="50" t="s">
        <v>102</v>
      </c>
      <c r="H735" s="52">
        <f>1</f>
        <v>1</v>
      </c>
      <c r="I735" s="36"/>
      <c r="J735" s="52">
        <v>1</v>
      </c>
      <c r="K735" s="53">
        <f>0</f>
        <v>0</v>
      </c>
      <c r="L735" s="53">
        <f>0</f>
        <v>0</v>
      </c>
      <c r="M735" s="53">
        <f>0</f>
        <v>0</v>
      </c>
      <c r="N735" s="54">
        <f>SUM(K735:M735)</f>
        <v>0</v>
      </c>
      <c r="O735" s="54">
        <f>ROUND((H735*K735),2)</f>
        <v>0</v>
      </c>
      <c r="P735" s="54">
        <f>ROUND((H735*L735),2)</f>
        <v>0</v>
      </c>
      <c r="Q735" s="54">
        <f>ROUND((H735*M735),2)</f>
        <v>0</v>
      </c>
      <c r="R735" s="54">
        <f>ROUND((H735*N735),2)</f>
        <v>0</v>
      </c>
      <c r="S735" s="54"/>
      <c r="T735" s="36"/>
      <c r="XDA735"/>
      <c r="XDB735"/>
      <c r="XDC735"/>
      <c r="XDD735"/>
      <c r="XDE735"/>
      <c r="XDF735"/>
      <c r="XDG735"/>
      <c r="XDH735"/>
      <c r="XDI735"/>
      <c r="XDJ735"/>
      <c r="XDK735"/>
      <c r="XDL735"/>
      <c r="XDM735"/>
      <c r="XDN735"/>
      <c r="XDO735"/>
      <c r="XDP735"/>
      <c r="XDQ735"/>
      <c r="XDR735"/>
      <c r="XDS735"/>
      <c r="XDT735"/>
      <c r="XDU735"/>
      <c r="XDV735"/>
      <c r="XDW735"/>
      <c r="XDX735"/>
      <c r="XDY735"/>
      <c r="XDZ735"/>
      <c r="XEA735"/>
      <c r="XEB735"/>
      <c r="XEC735"/>
      <c r="XED735"/>
      <c r="XEE735"/>
      <c r="XEF735"/>
      <c r="XEG735"/>
      <c r="XEH735"/>
      <c r="XEI735"/>
      <c r="XEJ735"/>
      <c r="XEK735"/>
      <c r="XEL735"/>
      <c r="XEM735"/>
      <c r="XEN735"/>
      <c r="XEO735"/>
      <c r="XEP735"/>
      <c r="XEQ735"/>
      <c r="XER735"/>
      <c r="XES735"/>
      <c r="XET735"/>
      <c r="XEU735"/>
      <c r="XEV735"/>
      <c r="XEW735"/>
      <c r="XEX735"/>
      <c r="XEY735"/>
      <c r="XEZ735"/>
      <c r="XFA735"/>
      <c r="XFB735"/>
      <c r="XFC735"/>
    </row>
    <row r="736" spans="1:20 16329:16383" s="38" customFormat="1" ht="29.1" customHeight="1" outlineLevel="3" x14ac:dyDescent="0.25">
      <c r="A736" s="55" t="s">
        <v>1475</v>
      </c>
      <c r="B736" s="56" t="s">
        <v>1476</v>
      </c>
      <c r="C736" s="56" t="s">
        <v>1477</v>
      </c>
      <c r="D736" s="2" t="s">
        <v>1478</v>
      </c>
      <c r="E736" s="2"/>
      <c r="F736" s="57"/>
      <c r="G736" s="56" t="s">
        <v>102</v>
      </c>
      <c r="H736" s="58"/>
      <c r="I736" s="36"/>
      <c r="J736" s="58"/>
      <c r="K736" s="59"/>
      <c r="L736" s="59"/>
      <c r="M736" s="59"/>
      <c r="N736" s="59"/>
      <c r="O736" s="59">
        <f>O737</f>
        <v>0</v>
      </c>
      <c r="P736" s="59">
        <f>P737</f>
        <v>0</v>
      </c>
      <c r="Q736" s="59">
        <f>Q737</f>
        <v>0</v>
      </c>
      <c r="R736" s="59">
        <f>R737</f>
        <v>0</v>
      </c>
      <c r="S736" s="59"/>
      <c r="T736" s="36"/>
      <c r="XDA736"/>
      <c r="XDB736"/>
      <c r="XDC736"/>
      <c r="XDD736"/>
      <c r="XDE736"/>
      <c r="XDF736"/>
      <c r="XDG736"/>
      <c r="XDH736"/>
      <c r="XDI736"/>
      <c r="XDJ736"/>
      <c r="XDK736"/>
      <c r="XDL736"/>
      <c r="XDM736"/>
      <c r="XDN736"/>
      <c r="XDO736"/>
      <c r="XDP736"/>
      <c r="XDQ736"/>
      <c r="XDR736"/>
      <c r="XDS736"/>
      <c r="XDT736"/>
      <c r="XDU736"/>
      <c r="XDV736"/>
      <c r="XDW736"/>
      <c r="XDX736"/>
      <c r="XDY736"/>
      <c r="XDZ736"/>
      <c r="XEA736"/>
      <c r="XEB736"/>
      <c r="XEC736"/>
      <c r="XED736"/>
      <c r="XEE736"/>
      <c r="XEF736"/>
      <c r="XEG736"/>
      <c r="XEH736"/>
      <c r="XEI736"/>
      <c r="XEJ736"/>
      <c r="XEK736"/>
      <c r="XEL736"/>
      <c r="XEM736"/>
      <c r="XEN736"/>
      <c r="XEO736"/>
      <c r="XEP736"/>
      <c r="XEQ736"/>
      <c r="XER736"/>
      <c r="XES736"/>
      <c r="XET736"/>
      <c r="XEU736"/>
      <c r="XEV736"/>
      <c r="XEW736"/>
      <c r="XEX736"/>
      <c r="XEY736"/>
      <c r="XEZ736"/>
      <c r="XFA736"/>
      <c r="XFB736"/>
      <c r="XFC736"/>
    </row>
    <row r="737" spans="1:20 16329:16383" s="38" customFormat="1" ht="29.1" customHeight="1" outlineLevel="4" x14ac:dyDescent="0.25">
      <c r="A737" s="49" t="s">
        <v>1479</v>
      </c>
      <c r="B737" s="50"/>
      <c r="C737" s="50"/>
      <c r="D737" s="3" t="s">
        <v>1478</v>
      </c>
      <c r="E737" s="3"/>
      <c r="F737" s="51"/>
      <c r="G737" s="50" t="s">
        <v>102</v>
      </c>
      <c r="H737" s="52">
        <f>1</f>
        <v>1</v>
      </c>
      <c r="I737" s="36"/>
      <c r="J737" s="52">
        <v>1</v>
      </c>
      <c r="K737" s="53">
        <f>0</f>
        <v>0</v>
      </c>
      <c r="L737" s="53">
        <f>0</f>
        <v>0</v>
      </c>
      <c r="M737" s="53">
        <f>0</f>
        <v>0</v>
      </c>
      <c r="N737" s="54">
        <f>SUM(K737:M737)</f>
        <v>0</v>
      </c>
      <c r="O737" s="54">
        <f>ROUND((H737*K737),2)</f>
        <v>0</v>
      </c>
      <c r="P737" s="54">
        <f>ROUND((H737*L737),2)</f>
        <v>0</v>
      </c>
      <c r="Q737" s="54">
        <f>ROUND((H737*M737),2)</f>
        <v>0</v>
      </c>
      <c r="R737" s="54">
        <f>ROUND((H737*N737),2)</f>
        <v>0</v>
      </c>
      <c r="S737" s="54"/>
      <c r="T737" s="36"/>
      <c r="XDA737"/>
      <c r="XDB737"/>
      <c r="XDC737"/>
      <c r="XDD737"/>
      <c r="XDE737"/>
      <c r="XDF737"/>
      <c r="XDG737"/>
      <c r="XDH737"/>
      <c r="XDI737"/>
      <c r="XDJ737"/>
      <c r="XDK737"/>
      <c r="XDL737"/>
      <c r="XDM737"/>
      <c r="XDN737"/>
      <c r="XDO737"/>
      <c r="XDP737"/>
      <c r="XDQ737"/>
      <c r="XDR737"/>
      <c r="XDS737"/>
      <c r="XDT737"/>
      <c r="XDU737"/>
      <c r="XDV737"/>
      <c r="XDW737"/>
      <c r="XDX737"/>
      <c r="XDY737"/>
      <c r="XDZ737"/>
      <c r="XEA737"/>
      <c r="XEB737"/>
      <c r="XEC737"/>
      <c r="XED737"/>
      <c r="XEE737"/>
      <c r="XEF737"/>
      <c r="XEG737"/>
      <c r="XEH737"/>
      <c r="XEI737"/>
      <c r="XEJ737"/>
      <c r="XEK737"/>
      <c r="XEL737"/>
      <c r="XEM737"/>
      <c r="XEN737"/>
      <c r="XEO737"/>
      <c r="XEP737"/>
      <c r="XEQ737"/>
      <c r="XER737"/>
      <c r="XES737"/>
      <c r="XET737"/>
      <c r="XEU737"/>
      <c r="XEV737"/>
      <c r="XEW737"/>
      <c r="XEX737"/>
      <c r="XEY737"/>
      <c r="XEZ737"/>
      <c r="XFA737"/>
      <c r="XFB737"/>
      <c r="XFC737"/>
    </row>
    <row r="738" spans="1:20 16329:16383" s="38" customFormat="1" ht="29.1" customHeight="1" outlineLevel="3" x14ac:dyDescent="0.25">
      <c r="A738" s="55" t="s">
        <v>1480</v>
      </c>
      <c r="B738" s="56" t="s">
        <v>1481</v>
      </c>
      <c r="C738" s="56" t="s">
        <v>1482</v>
      </c>
      <c r="D738" s="2" t="s">
        <v>1483</v>
      </c>
      <c r="E738" s="2"/>
      <c r="F738" s="57"/>
      <c r="G738" s="56" t="s">
        <v>102</v>
      </c>
      <c r="H738" s="58"/>
      <c r="I738" s="36"/>
      <c r="J738" s="58"/>
      <c r="K738" s="59"/>
      <c r="L738" s="59"/>
      <c r="M738" s="59"/>
      <c r="N738" s="59"/>
      <c r="O738" s="59">
        <f>O739</f>
        <v>0</v>
      </c>
      <c r="P738" s="59">
        <f>P739</f>
        <v>0</v>
      </c>
      <c r="Q738" s="59">
        <f>Q739</f>
        <v>0</v>
      </c>
      <c r="R738" s="59">
        <f>R739</f>
        <v>0</v>
      </c>
      <c r="S738" s="59"/>
      <c r="T738" s="36"/>
      <c r="XDA738"/>
      <c r="XDB738"/>
      <c r="XDC738"/>
      <c r="XDD738"/>
      <c r="XDE738"/>
      <c r="XDF738"/>
      <c r="XDG738"/>
      <c r="XDH738"/>
      <c r="XDI738"/>
      <c r="XDJ738"/>
      <c r="XDK738"/>
      <c r="XDL738"/>
      <c r="XDM738"/>
      <c r="XDN738"/>
      <c r="XDO738"/>
      <c r="XDP738"/>
      <c r="XDQ738"/>
      <c r="XDR738"/>
      <c r="XDS738"/>
      <c r="XDT738"/>
      <c r="XDU738"/>
      <c r="XDV738"/>
      <c r="XDW738"/>
      <c r="XDX738"/>
      <c r="XDY738"/>
      <c r="XDZ738"/>
      <c r="XEA738"/>
      <c r="XEB738"/>
      <c r="XEC738"/>
      <c r="XED738"/>
      <c r="XEE738"/>
      <c r="XEF738"/>
      <c r="XEG738"/>
      <c r="XEH738"/>
      <c r="XEI738"/>
      <c r="XEJ738"/>
      <c r="XEK738"/>
      <c r="XEL738"/>
      <c r="XEM738"/>
      <c r="XEN738"/>
      <c r="XEO738"/>
      <c r="XEP738"/>
      <c r="XEQ738"/>
      <c r="XER738"/>
      <c r="XES738"/>
      <c r="XET738"/>
      <c r="XEU738"/>
      <c r="XEV738"/>
      <c r="XEW738"/>
      <c r="XEX738"/>
      <c r="XEY738"/>
      <c r="XEZ738"/>
      <c r="XFA738"/>
      <c r="XFB738"/>
      <c r="XFC738"/>
    </row>
    <row r="739" spans="1:20 16329:16383" s="38" customFormat="1" ht="29.1" customHeight="1" outlineLevel="4" x14ac:dyDescent="0.25">
      <c r="A739" s="49" t="s">
        <v>1484</v>
      </c>
      <c r="B739" s="50"/>
      <c r="C739" s="50"/>
      <c r="D739" s="3" t="s">
        <v>1483</v>
      </c>
      <c r="E739" s="3"/>
      <c r="F739" s="51"/>
      <c r="G739" s="50" t="s">
        <v>102</v>
      </c>
      <c r="H739" s="52">
        <f>1</f>
        <v>1</v>
      </c>
      <c r="I739" s="36"/>
      <c r="J739" s="52">
        <v>1</v>
      </c>
      <c r="K739" s="53">
        <f>0</f>
        <v>0</v>
      </c>
      <c r="L739" s="53">
        <f>0</f>
        <v>0</v>
      </c>
      <c r="M739" s="53">
        <f>0</f>
        <v>0</v>
      </c>
      <c r="N739" s="54">
        <f>SUM(K739:M739)</f>
        <v>0</v>
      </c>
      <c r="O739" s="54">
        <f>ROUND((H739*K739),2)</f>
        <v>0</v>
      </c>
      <c r="P739" s="54">
        <f>ROUND((H739*L739),2)</f>
        <v>0</v>
      </c>
      <c r="Q739" s="54">
        <f>ROUND((H739*M739),2)</f>
        <v>0</v>
      </c>
      <c r="R739" s="54">
        <f>ROUND((H739*N739),2)</f>
        <v>0</v>
      </c>
      <c r="S739" s="54"/>
      <c r="T739" s="36"/>
      <c r="XDA739"/>
      <c r="XDB739"/>
      <c r="XDC739"/>
      <c r="XDD739"/>
      <c r="XDE739"/>
      <c r="XDF739"/>
      <c r="XDG739"/>
      <c r="XDH739"/>
      <c r="XDI739"/>
      <c r="XDJ739"/>
      <c r="XDK739"/>
      <c r="XDL739"/>
      <c r="XDM739"/>
      <c r="XDN739"/>
      <c r="XDO739"/>
      <c r="XDP739"/>
      <c r="XDQ739"/>
      <c r="XDR739"/>
      <c r="XDS739"/>
      <c r="XDT739"/>
      <c r="XDU739"/>
      <c r="XDV739"/>
      <c r="XDW739"/>
      <c r="XDX739"/>
      <c r="XDY739"/>
      <c r="XDZ739"/>
      <c r="XEA739"/>
      <c r="XEB739"/>
      <c r="XEC739"/>
      <c r="XED739"/>
      <c r="XEE739"/>
      <c r="XEF739"/>
      <c r="XEG739"/>
      <c r="XEH739"/>
      <c r="XEI739"/>
      <c r="XEJ739"/>
      <c r="XEK739"/>
      <c r="XEL739"/>
      <c r="XEM739"/>
      <c r="XEN739"/>
      <c r="XEO739"/>
      <c r="XEP739"/>
      <c r="XEQ739"/>
      <c r="XER739"/>
      <c r="XES739"/>
      <c r="XET739"/>
      <c r="XEU739"/>
      <c r="XEV739"/>
      <c r="XEW739"/>
      <c r="XEX739"/>
      <c r="XEY739"/>
      <c r="XEZ739"/>
      <c r="XFA739"/>
      <c r="XFB739"/>
      <c r="XFC739"/>
    </row>
    <row r="740" spans="1:20 16329:16383" s="38" customFormat="1" ht="29.1" customHeight="1" outlineLevel="3" x14ac:dyDescent="0.25">
      <c r="A740" s="55" t="s">
        <v>1485</v>
      </c>
      <c r="B740" s="56" t="s">
        <v>1486</v>
      </c>
      <c r="C740" s="56" t="s">
        <v>1487</v>
      </c>
      <c r="D740" s="2" t="s">
        <v>1488</v>
      </c>
      <c r="E740" s="2"/>
      <c r="F740" s="57"/>
      <c r="G740" s="56" t="s">
        <v>194</v>
      </c>
      <c r="H740" s="58"/>
      <c r="I740" s="36"/>
      <c r="J740" s="58"/>
      <c r="K740" s="59"/>
      <c r="L740" s="59"/>
      <c r="M740" s="59"/>
      <c r="N740" s="59"/>
      <c r="O740" s="59">
        <f>O741</f>
        <v>0</v>
      </c>
      <c r="P740" s="59">
        <f>P741</f>
        <v>0</v>
      </c>
      <c r="Q740" s="59">
        <f>Q741</f>
        <v>0</v>
      </c>
      <c r="R740" s="59">
        <f>R741</f>
        <v>0</v>
      </c>
      <c r="S740" s="59"/>
      <c r="T740" s="36"/>
      <c r="XDA740"/>
      <c r="XDB740"/>
      <c r="XDC740"/>
      <c r="XDD740"/>
      <c r="XDE740"/>
      <c r="XDF740"/>
      <c r="XDG740"/>
      <c r="XDH740"/>
      <c r="XDI740"/>
      <c r="XDJ740"/>
      <c r="XDK740"/>
      <c r="XDL740"/>
      <c r="XDM740"/>
      <c r="XDN740"/>
      <c r="XDO740"/>
      <c r="XDP740"/>
      <c r="XDQ740"/>
      <c r="XDR740"/>
      <c r="XDS740"/>
      <c r="XDT740"/>
      <c r="XDU740"/>
      <c r="XDV740"/>
      <c r="XDW740"/>
      <c r="XDX740"/>
      <c r="XDY740"/>
      <c r="XDZ740"/>
      <c r="XEA740"/>
      <c r="XEB740"/>
      <c r="XEC740"/>
      <c r="XED740"/>
      <c r="XEE740"/>
      <c r="XEF740"/>
      <c r="XEG740"/>
      <c r="XEH740"/>
      <c r="XEI740"/>
      <c r="XEJ740"/>
      <c r="XEK740"/>
      <c r="XEL740"/>
      <c r="XEM740"/>
      <c r="XEN740"/>
      <c r="XEO740"/>
      <c r="XEP740"/>
      <c r="XEQ740"/>
      <c r="XER740"/>
      <c r="XES740"/>
      <c r="XET740"/>
      <c r="XEU740"/>
      <c r="XEV740"/>
      <c r="XEW740"/>
      <c r="XEX740"/>
      <c r="XEY740"/>
      <c r="XEZ740"/>
      <c r="XFA740"/>
      <c r="XFB740"/>
      <c r="XFC740"/>
    </row>
    <row r="741" spans="1:20 16329:16383" s="38" customFormat="1" ht="29.1" customHeight="1" outlineLevel="4" x14ac:dyDescent="0.25">
      <c r="A741" s="49" t="s">
        <v>1489</v>
      </c>
      <c r="B741" s="50"/>
      <c r="C741" s="50"/>
      <c r="D741" s="3" t="s">
        <v>1488</v>
      </c>
      <c r="E741" s="3"/>
      <c r="F741" s="51"/>
      <c r="G741" s="50" t="s">
        <v>102</v>
      </c>
      <c r="H741" s="52">
        <f>1</f>
        <v>1</v>
      </c>
      <c r="I741" s="36"/>
      <c r="J741" s="52">
        <v>1</v>
      </c>
      <c r="K741" s="53">
        <f>0</f>
        <v>0</v>
      </c>
      <c r="L741" s="53">
        <f>0</f>
        <v>0</v>
      </c>
      <c r="M741" s="53">
        <f>0</f>
        <v>0</v>
      </c>
      <c r="N741" s="54">
        <f>SUM(K741:M741)</f>
        <v>0</v>
      </c>
      <c r="O741" s="54">
        <f>ROUND((H741*K741),2)</f>
        <v>0</v>
      </c>
      <c r="P741" s="54">
        <f>ROUND((H741*L741),2)</f>
        <v>0</v>
      </c>
      <c r="Q741" s="54">
        <f>ROUND((H741*M741),2)</f>
        <v>0</v>
      </c>
      <c r="R741" s="54">
        <f>ROUND((H741*N741),2)</f>
        <v>0</v>
      </c>
      <c r="S741" s="54"/>
      <c r="T741" s="36"/>
      <c r="XDA741"/>
      <c r="XDB741"/>
      <c r="XDC741"/>
      <c r="XDD741"/>
      <c r="XDE741"/>
      <c r="XDF741"/>
      <c r="XDG741"/>
      <c r="XDH741"/>
      <c r="XDI741"/>
      <c r="XDJ741"/>
      <c r="XDK741"/>
      <c r="XDL741"/>
      <c r="XDM741"/>
      <c r="XDN741"/>
      <c r="XDO741"/>
      <c r="XDP741"/>
      <c r="XDQ741"/>
      <c r="XDR741"/>
      <c r="XDS741"/>
      <c r="XDT741"/>
      <c r="XDU741"/>
      <c r="XDV741"/>
      <c r="XDW741"/>
      <c r="XDX741"/>
      <c r="XDY741"/>
      <c r="XDZ741"/>
      <c r="XEA741"/>
      <c r="XEB741"/>
      <c r="XEC741"/>
      <c r="XED741"/>
      <c r="XEE741"/>
      <c r="XEF741"/>
      <c r="XEG741"/>
      <c r="XEH741"/>
      <c r="XEI741"/>
      <c r="XEJ741"/>
      <c r="XEK741"/>
      <c r="XEL741"/>
      <c r="XEM741"/>
      <c r="XEN741"/>
      <c r="XEO741"/>
      <c r="XEP741"/>
      <c r="XEQ741"/>
      <c r="XER741"/>
      <c r="XES741"/>
      <c r="XET741"/>
      <c r="XEU741"/>
      <c r="XEV741"/>
      <c r="XEW741"/>
      <c r="XEX741"/>
      <c r="XEY741"/>
      <c r="XEZ741"/>
      <c r="XFA741"/>
      <c r="XFB741"/>
      <c r="XFC741"/>
    </row>
    <row r="742" spans="1:20 16329:16383" s="38" customFormat="1" ht="29.1" customHeight="1" outlineLevel="3" x14ac:dyDescent="0.25">
      <c r="A742" s="55" t="s">
        <v>1490</v>
      </c>
      <c r="B742" s="56" t="s">
        <v>1491</v>
      </c>
      <c r="C742" s="56" t="s">
        <v>1492</v>
      </c>
      <c r="D742" s="2" t="s">
        <v>1493</v>
      </c>
      <c r="E742" s="2"/>
      <c r="F742" s="57"/>
      <c r="G742" s="56" t="s">
        <v>194</v>
      </c>
      <c r="H742" s="58"/>
      <c r="I742" s="36"/>
      <c r="J742" s="58"/>
      <c r="K742" s="59"/>
      <c r="L742" s="59"/>
      <c r="M742" s="59"/>
      <c r="N742" s="59"/>
      <c r="O742" s="59">
        <f>O743</f>
        <v>0</v>
      </c>
      <c r="P742" s="59">
        <f>P743</f>
        <v>0</v>
      </c>
      <c r="Q742" s="59">
        <f>Q743</f>
        <v>0</v>
      </c>
      <c r="R742" s="59">
        <f>R743</f>
        <v>0</v>
      </c>
      <c r="S742" s="59"/>
      <c r="T742" s="36"/>
      <c r="XDA742"/>
      <c r="XDB742"/>
      <c r="XDC742"/>
      <c r="XDD742"/>
      <c r="XDE742"/>
      <c r="XDF742"/>
      <c r="XDG742"/>
      <c r="XDH742"/>
      <c r="XDI742"/>
      <c r="XDJ742"/>
      <c r="XDK742"/>
      <c r="XDL742"/>
      <c r="XDM742"/>
      <c r="XDN742"/>
      <c r="XDO742"/>
      <c r="XDP742"/>
      <c r="XDQ742"/>
      <c r="XDR742"/>
      <c r="XDS742"/>
      <c r="XDT742"/>
      <c r="XDU742"/>
      <c r="XDV742"/>
      <c r="XDW742"/>
      <c r="XDX742"/>
      <c r="XDY742"/>
      <c r="XDZ742"/>
      <c r="XEA742"/>
      <c r="XEB742"/>
      <c r="XEC742"/>
      <c r="XED742"/>
      <c r="XEE742"/>
      <c r="XEF742"/>
      <c r="XEG742"/>
      <c r="XEH742"/>
      <c r="XEI742"/>
      <c r="XEJ742"/>
      <c r="XEK742"/>
      <c r="XEL742"/>
      <c r="XEM742"/>
      <c r="XEN742"/>
      <c r="XEO742"/>
      <c r="XEP742"/>
      <c r="XEQ742"/>
      <c r="XER742"/>
      <c r="XES742"/>
      <c r="XET742"/>
      <c r="XEU742"/>
      <c r="XEV742"/>
      <c r="XEW742"/>
      <c r="XEX742"/>
      <c r="XEY742"/>
      <c r="XEZ742"/>
      <c r="XFA742"/>
      <c r="XFB742"/>
      <c r="XFC742"/>
    </row>
    <row r="743" spans="1:20 16329:16383" s="38" customFormat="1" ht="29.1" customHeight="1" outlineLevel="4" x14ac:dyDescent="0.25">
      <c r="A743" s="49" t="s">
        <v>1494</v>
      </c>
      <c r="B743" s="50"/>
      <c r="C743" s="50"/>
      <c r="D743" s="3" t="s">
        <v>1493</v>
      </c>
      <c r="E743" s="3"/>
      <c r="F743" s="51"/>
      <c r="G743" s="50" t="s">
        <v>102</v>
      </c>
      <c r="H743" s="52">
        <f>1</f>
        <v>1</v>
      </c>
      <c r="I743" s="36"/>
      <c r="J743" s="52">
        <v>1</v>
      </c>
      <c r="K743" s="53">
        <f>0</f>
        <v>0</v>
      </c>
      <c r="L743" s="53">
        <f>0</f>
        <v>0</v>
      </c>
      <c r="M743" s="53">
        <f>0</f>
        <v>0</v>
      </c>
      <c r="N743" s="54">
        <f>SUM(K743:M743)</f>
        <v>0</v>
      </c>
      <c r="O743" s="54">
        <f>ROUND((H743*K743),2)</f>
        <v>0</v>
      </c>
      <c r="P743" s="54">
        <f>ROUND((H743*L743),2)</f>
        <v>0</v>
      </c>
      <c r="Q743" s="54">
        <f>ROUND((H743*M743),2)</f>
        <v>0</v>
      </c>
      <c r="R743" s="54">
        <f>ROUND((H743*N743),2)</f>
        <v>0</v>
      </c>
      <c r="S743" s="54"/>
      <c r="T743" s="36"/>
      <c r="XDA743"/>
      <c r="XDB743"/>
      <c r="XDC743"/>
      <c r="XDD743"/>
      <c r="XDE743"/>
      <c r="XDF743"/>
      <c r="XDG743"/>
      <c r="XDH743"/>
      <c r="XDI743"/>
      <c r="XDJ743"/>
      <c r="XDK743"/>
      <c r="XDL743"/>
      <c r="XDM743"/>
      <c r="XDN743"/>
      <c r="XDO743"/>
      <c r="XDP743"/>
      <c r="XDQ743"/>
      <c r="XDR743"/>
      <c r="XDS743"/>
      <c r="XDT743"/>
      <c r="XDU743"/>
      <c r="XDV743"/>
      <c r="XDW743"/>
      <c r="XDX743"/>
      <c r="XDY743"/>
      <c r="XDZ743"/>
      <c r="XEA743"/>
      <c r="XEB743"/>
      <c r="XEC743"/>
      <c r="XED743"/>
      <c r="XEE743"/>
      <c r="XEF743"/>
      <c r="XEG743"/>
      <c r="XEH743"/>
      <c r="XEI743"/>
      <c r="XEJ743"/>
      <c r="XEK743"/>
      <c r="XEL743"/>
      <c r="XEM743"/>
      <c r="XEN743"/>
      <c r="XEO743"/>
      <c r="XEP743"/>
      <c r="XEQ743"/>
      <c r="XER743"/>
      <c r="XES743"/>
      <c r="XET743"/>
      <c r="XEU743"/>
      <c r="XEV743"/>
      <c r="XEW743"/>
      <c r="XEX743"/>
      <c r="XEY743"/>
      <c r="XEZ743"/>
      <c r="XFA743"/>
      <c r="XFB743"/>
      <c r="XFC743"/>
    </row>
    <row r="744" spans="1:20 16329:16383" s="38" customFormat="1" ht="29.1" customHeight="1" outlineLevel="2" x14ac:dyDescent="0.25">
      <c r="A744" s="44" t="s">
        <v>1495</v>
      </c>
      <c r="B744" s="45" t="s">
        <v>1496</v>
      </c>
      <c r="C744" s="45" t="s">
        <v>1497</v>
      </c>
      <c r="D744" s="4" t="s">
        <v>1498</v>
      </c>
      <c r="E744" s="4"/>
      <c r="F744" s="46"/>
      <c r="G744" s="45" t="s">
        <v>29</v>
      </c>
      <c r="H744" s="47"/>
      <c r="I744" s="36"/>
      <c r="J744" s="47"/>
      <c r="K744" s="48"/>
      <c r="L744" s="48"/>
      <c r="M744" s="48"/>
      <c r="N744" s="48"/>
      <c r="O744" s="48">
        <f>SUM(O745:O751)</f>
        <v>0</v>
      </c>
      <c r="P744" s="48">
        <f>SUM(P745:P751)</f>
        <v>0</v>
      </c>
      <c r="Q744" s="48">
        <f>SUM(Q745:Q751)</f>
        <v>0</v>
      </c>
      <c r="R744" s="48">
        <f>SUM(R745:R751)</f>
        <v>0</v>
      </c>
      <c r="S744" s="48"/>
      <c r="T744" s="36"/>
      <c r="XDA744"/>
      <c r="XDB744"/>
      <c r="XDC744"/>
      <c r="XDD744"/>
      <c r="XDE744"/>
      <c r="XDF744"/>
      <c r="XDG744"/>
      <c r="XDH744"/>
      <c r="XDI744"/>
      <c r="XDJ744"/>
      <c r="XDK744"/>
      <c r="XDL744"/>
      <c r="XDM744"/>
      <c r="XDN744"/>
      <c r="XDO744"/>
      <c r="XDP744"/>
      <c r="XDQ744"/>
      <c r="XDR744"/>
      <c r="XDS744"/>
      <c r="XDT744"/>
      <c r="XDU744"/>
      <c r="XDV744"/>
      <c r="XDW744"/>
      <c r="XDX744"/>
      <c r="XDY744"/>
      <c r="XDZ744"/>
      <c r="XEA744"/>
      <c r="XEB744"/>
      <c r="XEC744"/>
      <c r="XED744"/>
      <c r="XEE744"/>
      <c r="XEF744"/>
      <c r="XEG744"/>
      <c r="XEH744"/>
      <c r="XEI744"/>
      <c r="XEJ744"/>
      <c r="XEK744"/>
      <c r="XEL744"/>
      <c r="XEM744"/>
      <c r="XEN744"/>
      <c r="XEO744"/>
      <c r="XEP744"/>
      <c r="XEQ744"/>
      <c r="XER744"/>
      <c r="XES744"/>
      <c r="XET744"/>
      <c r="XEU744"/>
      <c r="XEV744"/>
      <c r="XEW744"/>
      <c r="XEX744"/>
      <c r="XEY744"/>
      <c r="XEZ744"/>
      <c r="XFA744"/>
      <c r="XFB744"/>
      <c r="XFC744"/>
    </row>
    <row r="745" spans="1:20 16329:16383" s="38" customFormat="1" ht="29.1" customHeight="1" outlineLevel="3" x14ac:dyDescent="0.25">
      <c r="A745" s="49" t="s">
        <v>1499</v>
      </c>
      <c r="B745" s="50"/>
      <c r="C745" s="50"/>
      <c r="D745" s="3" t="s">
        <v>1500</v>
      </c>
      <c r="E745" s="3"/>
      <c r="F745" s="51"/>
      <c r="G745" s="50" t="s">
        <v>102</v>
      </c>
      <c r="H745" s="52">
        <f>1</f>
        <v>1</v>
      </c>
      <c r="I745" s="36"/>
      <c r="J745" s="52">
        <v>1</v>
      </c>
      <c r="K745" s="53">
        <f>0</f>
        <v>0</v>
      </c>
      <c r="L745" s="53">
        <f>0</f>
        <v>0</v>
      </c>
      <c r="M745" s="53">
        <f>0</f>
        <v>0</v>
      </c>
      <c r="N745" s="54">
        <f t="shared" ref="N745:N751" si="34">SUM(K745:M745)</f>
        <v>0</v>
      </c>
      <c r="O745" s="54">
        <f t="shared" ref="O745:O751" si="35">ROUND((H745*K745),2)</f>
        <v>0</v>
      </c>
      <c r="P745" s="54">
        <f t="shared" ref="P745:P751" si="36">ROUND((H745*L745),2)</f>
        <v>0</v>
      </c>
      <c r="Q745" s="54">
        <f t="shared" ref="Q745:Q751" si="37">ROUND((H745*M745),2)</f>
        <v>0</v>
      </c>
      <c r="R745" s="54">
        <f t="shared" ref="R745:R751" si="38">ROUND((H745*N745),2)</f>
        <v>0</v>
      </c>
      <c r="S745" s="54"/>
      <c r="T745" s="36"/>
      <c r="XDA745"/>
      <c r="XDB745"/>
      <c r="XDC745"/>
      <c r="XDD745"/>
      <c r="XDE745"/>
      <c r="XDF745"/>
      <c r="XDG745"/>
      <c r="XDH745"/>
      <c r="XDI745"/>
      <c r="XDJ745"/>
      <c r="XDK745"/>
      <c r="XDL745"/>
      <c r="XDM745"/>
      <c r="XDN745"/>
      <c r="XDO745"/>
      <c r="XDP745"/>
      <c r="XDQ745"/>
      <c r="XDR745"/>
      <c r="XDS745"/>
      <c r="XDT745"/>
      <c r="XDU745"/>
      <c r="XDV745"/>
      <c r="XDW745"/>
      <c r="XDX745"/>
      <c r="XDY745"/>
      <c r="XDZ745"/>
      <c r="XEA745"/>
      <c r="XEB745"/>
      <c r="XEC745"/>
      <c r="XED745"/>
      <c r="XEE745"/>
      <c r="XEF745"/>
      <c r="XEG745"/>
      <c r="XEH745"/>
      <c r="XEI745"/>
      <c r="XEJ745"/>
      <c r="XEK745"/>
      <c r="XEL745"/>
      <c r="XEM745"/>
      <c r="XEN745"/>
      <c r="XEO745"/>
      <c r="XEP745"/>
      <c r="XEQ745"/>
      <c r="XER745"/>
      <c r="XES745"/>
      <c r="XET745"/>
      <c r="XEU745"/>
      <c r="XEV745"/>
      <c r="XEW745"/>
      <c r="XEX745"/>
      <c r="XEY745"/>
      <c r="XEZ745"/>
      <c r="XFA745"/>
      <c r="XFB745"/>
      <c r="XFC745"/>
    </row>
    <row r="746" spans="1:20 16329:16383" s="38" customFormat="1" ht="29.1" customHeight="1" outlineLevel="3" x14ac:dyDescent="0.25">
      <c r="A746" s="49" t="s">
        <v>1501</v>
      </c>
      <c r="B746" s="50"/>
      <c r="C746" s="50"/>
      <c r="D746" s="3" t="s">
        <v>1502</v>
      </c>
      <c r="E746" s="3"/>
      <c r="F746" s="51"/>
      <c r="G746" s="50" t="s">
        <v>102</v>
      </c>
      <c r="H746" s="52">
        <f>1</f>
        <v>1</v>
      </c>
      <c r="I746" s="36"/>
      <c r="J746" s="52">
        <v>1</v>
      </c>
      <c r="K746" s="53">
        <f>0</f>
        <v>0</v>
      </c>
      <c r="L746" s="53">
        <f>0</f>
        <v>0</v>
      </c>
      <c r="M746" s="53">
        <f>0</f>
        <v>0</v>
      </c>
      <c r="N746" s="54">
        <f t="shared" si="34"/>
        <v>0</v>
      </c>
      <c r="O746" s="54">
        <f t="shared" si="35"/>
        <v>0</v>
      </c>
      <c r="P746" s="54">
        <f t="shared" si="36"/>
        <v>0</v>
      </c>
      <c r="Q746" s="54">
        <f t="shared" si="37"/>
        <v>0</v>
      </c>
      <c r="R746" s="54">
        <f t="shared" si="38"/>
        <v>0</v>
      </c>
      <c r="S746" s="54"/>
      <c r="T746" s="36"/>
      <c r="XDA746"/>
      <c r="XDB746"/>
      <c r="XDC746"/>
      <c r="XDD746"/>
      <c r="XDE746"/>
      <c r="XDF746"/>
      <c r="XDG746"/>
      <c r="XDH746"/>
      <c r="XDI746"/>
      <c r="XDJ746"/>
      <c r="XDK746"/>
      <c r="XDL746"/>
      <c r="XDM746"/>
      <c r="XDN746"/>
      <c r="XDO746"/>
      <c r="XDP746"/>
      <c r="XDQ746"/>
      <c r="XDR746"/>
      <c r="XDS746"/>
      <c r="XDT746"/>
      <c r="XDU746"/>
      <c r="XDV746"/>
      <c r="XDW746"/>
      <c r="XDX746"/>
      <c r="XDY746"/>
      <c r="XDZ746"/>
      <c r="XEA746"/>
      <c r="XEB746"/>
      <c r="XEC746"/>
      <c r="XED746"/>
      <c r="XEE746"/>
      <c r="XEF746"/>
      <c r="XEG746"/>
      <c r="XEH746"/>
      <c r="XEI746"/>
      <c r="XEJ746"/>
      <c r="XEK746"/>
      <c r="XEL746"/>
      <c r="XEM746"/>
      <c r="XEN746"/>
      <c r="XEO746"/>
      <c r="XEP746"/>
      <c r="XEQ746"/>
      <c r="XER746"/>
      <c r="XES746"/>
      <c r="XET746"/>
      <c r="XEU746"/>
      <c r="XEV746"/>
      <c r="XEW746"/>
      <c r="XEX746"/>
      <c r="XEY746"/>
      <c r="XEZ746"/>
      <c r="XFA746"/>
      <c r="XFB746"/>
      <c r="XFC746"/>
    </row>
    <row r="747" spans="1:20 16329:16383" s="38" customFormat="1" ht="29.1" customHeight="1" outlineLevel="3" x14ac:dyDescent="0.25">
      <c r="A747" s="49" t="s">
        <v>1503</v>
      </c>
      <c r="B747" s="50"/>
      <c r="C747" s="50"/>
      <c r="D747" s="3" t="s">
        <v>1504</v>
      </c>
      <c r="E747" s="3"/>
      <c r="F747" s="51"/>
      <c r="G747" s="50" t="s">
        <v>102</v>
      </c>
      <c r="H747" s="52">
        <f>1</f>
        <v>1</v>
      </c>
      <c r="I747" s="36"/>
      <c r="J747" s="52">
        <v>1</v>
      </c>
      <c r="K747" s="53">
        <f>0</f>
        <v>0</v>
      </c>
      <c r="L747" s="53">
        <f>0</f>
        <v>0</v>
      </c>
      <c r="M747" s="53">
        <f>0</f>
        <v>0</v>
      </c>
      <c r="N747" s="54">
        <f t="shared" si="34"/>
        <v>0</v>
      </c>
      <c r="O747" s="54">
        <f t="shared" si="35"/>
        <v>0</v>
      </c>
      <c r="P747" s="54">
        <f t="shared" si="36"/>
        <v>0</v>
      </c>
      <c r="Q747" s="54">
        <f t="shared" si="37"/>
        <v>0</v>
      </c>
      <c r="R747" s="54">
        <f t="shared" si="38"/>
        <v>0</v>
      </c>
      <c r="S747" s="54"/>
      <c r="T747" s="36"/>
      <c r="XDA747"/>
      <c r="XDB747"/>
      <c r="XDC747"/>
      <c r="XDD747"/>
      <c r="XDE747"/>
      <c r="XDF747"/>
      <c r="XDG747"/>
      <c r="XDH747"/>
      <c r="XDI747"/>
      <c r="XDJ747"/>
      <c r="XDK747"/>
      <c r="XDL747"/>
      <c r="XDM747"/>
      <c r="XDN747"/>
      <c r="XDO747"/>
      <c r="XDP747"/>
      <c r="XDQ747"/>
      <c r="XDR747"/>
      <c r="XDS747"/>
      <c r="XDT747"/>
      <c r="XDU747"/>
      <c r="XDV747"/>
      <c r="XDW747"/>
      <c r="XDX747"/>
      <c r="XDY747"/>
      <c r="XDZ747"/>
      <c r="XEA747"/>
      <c r="XEB747"/>
      <c r="XEC747"/>
      <c r="XED747"/>
      <c r="XEE747"/>
      <c r="XEF747"/>
      <c r="XEG747"/>
      <c r="XEH747"/>
      <c r="XEI747"/>
      <c r="XEJ747"/>
      <c r="XEK747"/>
      <c r="XEL747"/>
      <c r="XEM747"/>
      <c r="XEN747"/>
      <c r="XEO747"/>
      <c r="XEP747"/>
      <c r="XEQ747"/>
      <c r="XER747"/>
      <c r="XES747"/>
      <c r="XET747"/>
      <c r="XEU747"/>
      <c r="XEV747"/>
      <c r="XEW747"/>
      <c r="XEX747"/>
      <c r="XEY747"/>
      <c r="XEZ747"/>
      <c r="XFA747"/>
      <c r="XFB747"/>
      <c r="XFC747"/>
    </row>
    <row r="748" spans="1:20 16329:16383" s="38" customFormat="1" ht="29.1" customHeight="1" outlineLevel="3" x14ac:dyDescent="0.25">
      <c r="A748" s="49" t="s">
        <v>1505</v>
      </c>
      <c r="B748" s="50"/>
      <c r="C748" s="50"/>
      <c r="D748" s="3" t="s">
        <v>1506</v>
      </c>
      <c r="E748" s="3"/>
      <c r="F748" s="51"/>
      <c r="G748" s="50" t="s">
        <v>102</v>
      </c>
      <c r="H748" s="52">
        <f>1</f>
        <v>1</v>
      </c>
      <c r="I748" s="36"/>
      <c r="J748" s="52">
        <v>1</v>
      </c>
      <c r="K748" s="53">
        <f>0</f>
        <v>0</v>
      </c>
      <c r="L748" s="53">
        <f>0</f>
        <v>0</v>
      </c>
      <c r="M748" s="53">
        <f>0</f>
        <v>0</v>
      </c>
      <c r="N748" s="54">
        <f t="shared" si="34"/>
        <v>0</v>
      </c>
      <c r="O748" s="54">
        <f t="shared" si="35"/>
        <v>0</v>
      </c>
      <c r="P748" s="54">
        <f t="shared" si="36"/>
        <v>0</v>
      </c>
      <c r="Q748" s="54">
        <f t="shared" si="37"/>
        <v>0</v>
      </c>
      <c r="R748" s="54">
        <f t="shared" si="38"/>
        <v>0</v>
      </c>
      <c r="S748" s="54"/>
      <c r="T748" s="36"/>
      <c r="XDA748"/>
      <c r="XDB748"/>
      <c r="XDC748"/>
      <c r="XDD748"/>
      <c r="XDE748"/>
      <c r="XDF748"/>
      <c r="XDG748"/>
      <c r="XDH748"/>
      <c r="XDI748"/>
      <c r="XDJ748"/>
      <c r="XDK748"/>
      <c r="XDL748"/>
      <c r="XDM748"/>
      <c r="XDN748"/>
      <c r="XDO748"/>
      <c r="XDP748"/>
      <c r="XDQ748"/>
      <c r="XDR748"/>
      <c r="XDS748"/>
      <c r="XDT748"/>
      <c r="XDU748"/>
      <c r="XDV748"/>
      <c r="XDW748"/>
      <c r="XDX748"/>
      <c r="XDY748"/>
      <c r="XDZ748"/>
      <c r="XEA748"/>
      <c r="XEB748"/>
      <c r="XEC748"/>
      <c r="XED748"/>
      <c r="XEE748"/>
      <c r="XEF748"/>
      <c r="XEG748"/>
      <c r="XEH748"/>
      <c r="XEI748"/>
      <c r="XEJ748"/>
      <c r="XEK748"/>
      <c r="XEL748"/>
      <c r="XEM748"/>
      <c r="XEN748"/>
      <c r="XEO748"/>
      <c r="XEP748"/>
      <c r="XEQ748"/>
      <c r="XER748"/>
      <c r="XES748"/>
      <c r="XET748"/>
      <c r="XEU748"/>
      <c r="XEV748"/>
      <c r="XEW748"/>
      <c r="XEX748"/>
      <c r="XEY748"/>
      <c r="XEZ748"/>
      <c r="XFA748"/>
      <c r="XFB748"/>
      <c r="XFC748"/>
    </row>
    <row r="749" spans="1:20 16329:16383" s="38" customFormat="1" ht="29.1" customHeight="1" outlineLevel="3" x14ac:dyDescent="0.25">
      <c r="A749" s="49" t="s">
        <v>1507</v>
      </c>
      <c r="B749" s="50"/>
      <c r="C749" s="50"/>
      <c r="D749" s="3" t="s">
        <v>1508</v>
      </c>
      <c r="E749" s="3"/>
      <c r="F749" s="51"/>
      <c r="G749" s="50" t="s">
        <v>102</v>
      </c>
      <c r="H749" s="52">
        <f>1</f>
        <v>1</v>
      </c>
      <c r="I749" s="36"/>
      <c r="J749" s="52">
        <v>1</v>
      </c>
      <c r="K749" s="53">
        <f>0</f>
        <v>0</v>
      </c>
      <c r="L749" s="53">
        <f>0</f>
        <v>0</v>
      </c>
      <c r="M749" s="53">
        <f>0</f>
        <v>0</v>
      </c>
      <c r="N749" s="54">
        <f t="shared" si="34"/>
        <v>0</v>
      </c>
      <c r="O749" s="54">
        <f t="shared" si="35"/>
        <v>0</v>
      </c>
      <c r="P749" s="54">
        <f t="shared" si="36"/>
        <v>0</v>
      </c>
      <c r="Q749" s="54">
        <f t="shared" si="37"/>
        <v>0</v>
      </c>
      <c r="R749" s="54">
        <f t="shared" si="38"/>
        <v>0</v>
      </c>
      <c r="S749" s="54"/>
      <c r="T749" s="36"/>
      <c r="XDA749"/>
      <c r="XDB749"/>
      <c r="XDC749"/>
      <c r="XDD749"/>
      <c r="XDE749"/>
      <c r="XDF749"/>
      <c r="XDG749"/>
      <c r="XDH749"/>
      <c r="XDI749"/>
      <c r="XDJ749"/>
      <c r="XDK749"/>
      <c r="XDL749"/>
      <c r="XDM749"/>
      <c r="XDN749"/>
      <c r="XDO749"/>
      <c r="XDP749"/>
      <c r="XDQ749"/>
      <c r="XDR749"/>
      <c r="XDS749"/>
      <c r="XDT749"/>
      <c r="XDU749"/>
      <c r="XDV749"/>
      <c r="XDW749"/>
      <c r="XDX749"/>
      <c r="XDY749"/>
      <c r="XDZ749"/>
      <c r="XEA749"/>
      <c r="XEB749"/>
      <c r="XEC749"/>
      <c r="XED749"/>
      <c r="XEE749"/>
      <c r="XEF749"/>
      <c r="XEG749"/>
      <c r="XEH749"/>
      <c r="XEI749"/>
      <c r="XEJ749"/>
      <c r="XEK749"/>
      <c r="XEL749"/>
      <c r="XEM749"/>
      <c r="XEN749"/>
      <c r="XEO749"/>
      <c r="XEP749"/>
      <c r="XEQ749"/>
      <c r="XER749"/>
      <c r="XES749"/>
      <c r="XET749"/>
      <c r="XEU749"/>
      <c r="XEV749"/>
      <c r="XEW749"/>
      <c r="XEX749"/>
      <c r="XEY749"/>
      <c r="XEZ749"/>
      <c r="XFA749"/>
      <c r="XFB749"/>
      <c r="XFC749"/>
    </row>
    <row r="750" spans="1:20 16329:16383" s="38" customFormat="1" ht="29.1" customHeight="1" outlineLevel="3" x14ac:dyDescent="0.25">
      <c r="A750" s="49" t="s">
        <v>1509</v>
      </c>
      <c r="B750" s="50"/>
      <c r="C750" s="50"/>
      <c r="D750" s="3" t="s">
        <v>1510</v>
      </c>
      <c r="E750" s="3"/>
      <c r="F750" s="51"/>
      <c r="G750" s="50" t="s">
        <v>102</v>
      </c>
      <c r="H750" s="52">
        <f>1</f>
        <v>1</v>
      </c>
      <c r="I750" s="36"/>
      <c r="J750" s="52">
        <v>1</v>
      </c>
      <c r="K750" s="53">
        <f>0</f>
        <v>0</v>
      </c>
      <c r="L750" s="53">
        <f>0</f>
        <v>0</v>
      </c>
      <c r="M750" s="53">
        <f>0</f>
        <v>0</v>
      </c>
      <c r="N750" s="54">
        <f t="shared" si="34"/>
        <v>0</v>
      </c>
      <c r="O750" s="54">
        <f t="shared" si="35"/>
        <v>0</v>
      </c>
      <c r="P750" s="54">
        <f t="shared" si="36"/>
        <v>0</v>
      </c>
      <c r="Q750" s="54">
        <f t="shared" si="37"/>
        <v>0</v>
      </c>
      <c r="R750" s="54">
        <f t="shared" si="38"/>
        <v>0</v>
      </c>
      <c r="S750" s="54"/>
      <c r="T750" s="36"/>
      <c r="XDA750"/>
      <c r="XDB750"/>
      <c r="XDC750"/>
      <c r="XDD750"/>
      <c r="XDE750"/>
      <c r="XDF750"/>
      <c r="XDG750"/>
      <c r="XDH750"/>
      <c r="XDI750"/>
      <c r="XDJ750"/>
      <c r="XDK750"/>
      <c r="XDL750"/>
      <c r="XDM750"/>
      <c r="XDN750"/>
      <c r="XDO750"/>
      <c r="XDP750"/>
      <c r="XDQ750"/>
      <c r="XDR750"/>
      <c r="XDS750"/>
      <c r="XDT750"/>
      <c r="XDU750"/>
      <c r="XDV750"/>
      <c r="XDW750"/>
      <c r="XDX750"/>
      <c r="XDY750"/>
      <c r="XDZ750"/>
      <c r="XEA750"/>
      <c r="XEB750"/>
      <c r="XEC750"/>
      <c r="XED750"/>
      <c r="XEE750"/>
      <c r="XEF750"/>
      <c r="XEG750"/>
      <c r="XEH750"/>
      <c r="XEI750"/>
      <c r="XEJ750"/>
      <c r="XEK750"/>
      <c r="XEL750"/>
      <c r="XEM750"/>
      <c r="XEN750"/>
      <c r="XEO750"/>
      <c r="XEP750"/>
      <c r="XEQ750"/>
      <c r="XER750"/>
      <c r="XES750"/>
      <c r="XET750"/>
      <c r="XEU750"/>
      <c r="XEV750"/>
      <c r="XEW750"/>
      <c r="XEX750"/>
      <c r="XEY750"/>
      <c r="XEZ750"/>
      <c r="XFA750"/>
      <c r="XFB750"/>
      <c r="XFC750"/>
    </row>
    <row r="751" spans="1:20 16329:16383" s="38" customFormat="1" ht="29.1" customHeight="1" outlineLevel="3" x14ac:dyDescent="0.25">
      <c r="A751" s="49" t="s">
        <v>1511</v>
      </c>
      <c r="B751" s="50"/>
      <c r="C751" s="50"/>
      <c r="D751" s="3" t="s">
        <v>1512</v>
      </c>
      <c r="E751" s="3"/>
      <c r="F751" s="51"/>
      <c r="G751" s="50" t="s">
        <v>102</v>
      </c>
      <c r="H751" s="52">
        <f>1</f>
        <v>1</v>
      </c>
      <c r="I751" s="36"/>
      <c r="J751" s="52">
        <v>1</v>
      </c>
      <c r="K751" s="53">
        <f>0</f>
        <v>0</v>
      </c>
      <c r="L751" s="53">
        <f>0</f>
        <v>0</v>
      </c>
      <c r="M751" s="53">
        <f>0</f>
        <v>0</v>
      </c>
      <c r="N751" s="54">
        <f t="shared" si="34"/>
        <v>0</v>
      </c>
      <c r="O751" s="54">
        <f t="shared" si="35"/>
        <v>0</v>
      </c>
      <c r="P751" s="54">
        <f t="shared" si="36"/>
        <v>0</v>
      </c>
      <c r="Q751" s="54">
        <f t="shared" si="37"/>
        <v>0</v>
      </c>
      <c r="R751" s="54">
        <f t="shared" si="38"/>
        <v>0</v>
      </c>
      <c r="S751" s="54"/>
      <c r="T751" s="36"/>
      <c r="XDA751"/>
      <c r="XDB751"/>
      <c r="XDC751"/>
      <c r="XDD751"/>
      <c r="XDE751"/>
      <c r="XDF751"/>
      <c r="XDG751"/>
      <c r="XDH751"/>
      <c r="XDI751"/>
      <c r="XDJ751"/>
      <c r="XDK751"/>
      <c r="XDL751"/>
      <c r="XDM751"/>
      <c r="XDN751"/>
      <c r="XDO751"/>
      <c r="XDP751"/>
      <c r="XDQ751"/>
      <c r="XDR751"/>
      <c r="XDS751"/>
      <c r="XDT751"/>
      <c r="XDU751"/>
      <c r="XDV751"/>
      <c r="XDW751"/>
      <c r="XDX751"/>
      <c r="XDY751"/>
      <c r="XDZ751"/>
      <c r="XEA751"/>
      <c r="XEB751"/>
      <c r="XEC751"/>
      <c r="XED751"/>
      <c r="XEE751"/>
      <c r="XEF751"/>
      <c r="XEG751"/>
      <c r="XEH751"/>
      <c r="XEI751"/>
      <c r="XEJ751"/>
      <c r="XEK751"/>
      <c r="XEL751"/>
      <c r="XEM751"/>
      <c r="XEN751"/>
      <c r="XEO751"/>
      <c r="XEP751"/>
      <c r="XEQ751"/>
      <c r="XER751"/>
      <c r="XES751"/>
      <c r="XET751"/>
      <c r="XEU751"/>
      <c r="XEV751"/>
      <c r="XEW751"/>
      <c r="XEX751"/>
      <c r="XEY751"/>
      <c r="XEZ751"/>
      <c r="XFA751"/>
      <c r="XFB751"/>
      <c r="XFC751"/>
    </row>
    <row r="752" spans="1:20 16329:16383" s="38" customFormat="1" ht="29.1" customHeight="1" outlineLevel="1" x14ac:dyDescent="0.25">
      <c r="A752" s="39" t="s">
        <v>1513</v>
      </c>
      <c r="B752" s="40" t="s">
        <v>42</v>
      </c>
      <c r="C752" s="40" t="s">
        <v>1514</v>
      </c>
      <c r="D752" s="5" t="s">
        <v>1515</v>
      </c>
      <c r="E752" s="5"/>
      <c r="F752" s="41"/>
      <c r="G752" s="40" t="s">
        <v>102</v>
      </c>
      <c r="H752" s="42"/>
      <c r="I752" s="36"/>
      <c r="J752" s="42"/>
      <c r="K752" s="43"/>
      <c r="L752" s="43"/>
      <c r="M752" s="43"/>
      <c r="N752" s="43"/>
      <c r="O752" s="43">
        <f>O753+O762+O811+O961+O966</f>
        <v>0</v>
      </c>
      <c r="P752" s="43">
        <f>P753+P762+P811+P961+P966</f>
        <v>0</v>
      </c>
      <c r="Q752" s="43">
        <f>Q753+Q762+Q811+Q961+Q966</f>
        <v>0</v>
      </c>
      <c r="R752" s="43">
        <f>R753+R762+R811+R961+R966</f>
        <v>0</v>
      </c>
      <c r="S752" s="43"/>
      <c r="T752" s="36"/>
      <c r="XDA752"/>
      <c r="XDB752"/>
      <c r="XDC752"/>
      <c r="XDD752"/>
      <c r="XDE752"/>
      <c r="XDF752"/>
      <c r="XDG752"/>
      <c r="XDH752"/>
      <c r="XDI752"/>
      <c r="XDJ752"/>
      <c r="XDK752"/>
      <c r="XDL752"/>
      <c r="XDM752"/>
      <c r="XDN752"/>
      <c r="XDO752"/>
      <c r="XDP752"/>
      <c r="XDQ752"/>
      <c r="XDR752"/>
      <c r="XDS752"/>
      <c r="XDT752"/>
      <c r="XDU752"/>
      <c r="XDV752"/>
      <c r="XDW752"/>
      <c r="XDX752"/>
      <c r="XDY752"/>
      <c r="XDZ752"/>
      <c r="XEA752"/>
      <c r="XEB752"/>
      <c r="XEC752"/>
      <c r="XED752"/>
      <c r="XEE752"/>
      <c r="XEF752"/>
      <c r="XEG752"/>
      <c r="XEH752"/>
      <c r="XEI752"/>
      <c r="XEJ752"/>
      <c r="XEK752"/>
      <c r="XEL752"/>
      <c r="XEM752"/>
      <c r="XEN752"/>
      <c r="XEO752"/>
      <c r="XEP752"/>
      <c r="XEQ752"/>
      <c r="XER752"/>
      <c r="XES752"/>
      <c r="XET752"/>
      <c r="XEU752"/>
      <c r="XEV752"/>
      <c r="XEW752"/>
      <c r="XEX752"/>
      <c r="XEY752"/>
      <c r="XEZ752"/>
      <c r="XFA752"/>
      <c r="XFB752"/>
      <c r="XFC752"/>
    </row>
    <row r="753" spans="1:20 16329:16383" s="38" customFormat="1" ht="29.1" customHeight="1" outlineLevel="2" x14ac:dyDescent="0.25">
      <c r="A753" s="44" t="s">
        <v>1516</v>
      </c>
      <c r="B753" s="45" t="s">
        <v>1517</v>
      </c>
      <c r="C753" s="45" t="s">
        <v>1518</v>
      </c>
      <c r="D753" s="4" t="s">
        <v>1519</v>
      </c>
      <c r="E753" s="4"/>
      <c r="F753" s="46"/>
      <c r="G753" s="45" t="s">
        <v>102</v>
      </c>
      <c r="H753" s="47"/>
      <c r="I753" s="36"/>
      <c r="J753" s="47"/>
      <c r="K753" s="48"/>
      <c r="L753" s="48"/>
      <c r="M753" s="48"/>
      <c r="N753" s="48"/>
      <c r="O753" s="48">
        <f>O754</f>
        <v>0</v>
      </c>
      <c r="P753" s="48">
        <f>P754</f>
        <v>0</v>
      </c>
      <c r="Q753" s="48">
        <f>Q754</f>
        <v>0</v>
      </c>
      <c r="R753" s="48">
        <f>R754</f>
        <v>0</v>
      </c>
      <c r="S753" s="48"/>
      <c r="T753" s="36"/>
      <c r="XDA753"/>
      <c r="XDB753"/>
      <c r="XDC753"/>
      <c r="XDD753"/>
      <c r="XDE753"/>
      <c r="XDF753"/>
      <c r="XDG753"/>
      <c r="XDH753"/>
      <c r="XDI753"/>
      <c r="XDJ753"/>
      <c r="XDK753"/>
      <c r="XDL753"/>
      <c r="XDM753"/>
      <c r="XDN753"/>
      <c r="XDO753"/>
      <c r="XDP753"/>
      <c r="XDQ753"/>
      <c r="XDR753"/>
      <c r="XDS753"/>
      <c r="XDT753"/>
      <c r="XDU753"/>
      <c r="XDV753"/>
      <c r="XDW753"/>
      <c r="XDX753"/>
      <c r="XDY753"/>
      <c r="XDZ753"/>
      <c r="XEA753"/>
      <c r="XEB753"/>
      <c r="XEC753"/>
      <c r="XED753"/>
      <c r="XEE753"/>
      <c r="XEF753"/>
      <c r="XEG753"/>
      <c r="XEH753"/>
      <c r="XEI753"/>
      <c r="XEJ753"/>
      <c r="XEK753"/>
      <c r="XEL753"/>
      <c r="XEM753"/>
      <c r="XEN753"/>
      <c r="XEO753"/>
      <c r="XEP753"/>
      <c r="XEQ753"/>
      <c r="XER753"/>
      <c r="XES753"/>
      <c r="XET753"/>
      <c r="XEU753"/>
      <c r="XEV753"/>
      <c r="XEW753"/>
      <c r="XEX753"/>
      <c r="XEY753"/>
      <c r="XEZ753"/>
      <c r="XFA753"/>
      <c r="XFB753"/>
      <c r="XFC753"/>
    </row>
    <row r="754" spans="1:20 16329:16383" s="38" customFormat="1" ht="29.1" customHeight="1" outlineLevel="3" x14ac:dyDescent="0.25">
      <c r="A754" s="55" t="s">
        <v>1520</v>
      </c>
      <c r="B754" s="56" t="s">
        <v>1521</v>
      </c>
      <c r="C754" s="56"/>
      <c r="D754" s="2" t="s">
        <v>1522</v>
      </c>
      <c r="E754" s="2"/>
      <c r="F754" s="57"/>
      <c r="G754" s="56"/>
      <c r="H754" s="58"/>
      <c r="I754" s="36"/>
      <c r="J754" s="58"/>
      <c r="K754" s="59"/>
      <c r="L754" s="59"/>
      <c r="M754" s="59"/>
      <c r="N754" s="59"/>
      <c r="O754" s="59">
        <f>SUM(O755:O761)</f>
        <v>0</v>
      </c>
      <c r="P754" s="59">
        <f>SUM(P755:P761)</f>
        <v>0</v>
      </c>
      <c r="Q754" s="59">
        <f>SUM(Q755:Q761)</f>
        <v>0</v>
      </c>
      <c r="R754" s="59">
        <f>SUM(R755:R761)</f>
        <v>0</v>
      </c>
      <c r="S754" s="59"/>
      <c r="T754" s="36"/>
      <c r="XDA754"/>
      <c r="XDB754"/>
      <c r="XDC754"/>
      <c r="XDD754"/>
      <c r="XDE754"/>
      <c r="XDF754"/>
      <c r="XDG754"/>
      <c r="XDH754"/>
      <c r="XDI754"/>
      <c r="XDJ754"/>
      <c r="XDK754"/>
      <c r="XDL754"/>
      <c r="XDM754"/>
      <c r="XDN754"/>
      <c r="XDO754"/>
      <c r="XDP754"/>
      <c r="XDQ754"/>
      <c r="XDR754"/>
      <c r="XDS754"/>
      <c r="XDT754"/>
      <c r="XDU754"/>
      <c r="XDV754"/>
      <c r="XDW754"/>
      <c r="XDX754"/>
      <c r="XDY754"/>
      <c r="XDZ754"/>
      <c r="XEA754"/>
      <c r="XEB754"/>
      <c r="XEC754"/>
      <c r="XED754"/>
      <c r="XEE754"/>
      <c r="XEF754"/>
      <c r="XEG754"/>
      <c r="XEH754"/>
      <c r="XEI754"/>
      <c r="XEJ754"/>
      <c r="XEK754"/>
      <c r="XEL754"/>
      <c r="XEM754"/>
      <c r="XEN754"/>
      <c r="XEO754"/>
      <c r="XEP754"/>
      <c r="XEQ754"/>
      <c r="XER754"/>
      <c r="XES754"/>
      <c r="XET754"/>
      <c r="XEU754"/>
      <c r="XEV754"/>
      <c r="XEW754"/>
      <c r="XEX754"/>
      <c r="XEY754"/>
      <c r="XEZ754"/>
      <c r="XFA754"/>
      <c r="XFB754"/>
      <c r="XFC754"/>
    </row>
    <row r="755" spans="1:20 16329:16383" s="38" customFormat="1" ht="29.1" customHeight="1" outlineLevel="4" x14ac:dyDescent="0.25">
      <c r="A755" s="49" t="s">
        <v>1523</v>
      </c>
      <c r="B755" s="50"/>
      <c r="C755" s="50"/>
      <c r="D755" s="3" t="s">
        <v>1524</v>
      </c>
      <c r="E755" s="3"/>
      <c r="F755" s="51"/>
      <c r="G755" s="50" t="s">
        <v>102</v>
      </c>
      <c r="H755" s="52">
        <f>1</f>
        <v>1</v>
      </c>
      <c r="I755" s="36"/>
      <c r="J755" s="52">
        <v>1</v>
      </c>
      <c r="K755" s="53">
        <f>0</f>
        <v>0</v>
      </c>
      <c r="L755" s="53">
        <f>0</f>
        <v>0</v>
      </c>
      <c r="M755" s="53">
        <f>0</f>
        <v>0</v>
      </c>
      <c r="N755" s="54">
        <f t="shared" ref="N755:N761" si="39">SUM(K755:M755)</f>
        <v>0</v>
      </c>
      <c r="O755" s="54">
        <f t="shared" ref="O755:O761" si="40">ROUND((H755*K755),2)</f>
        <v>0</v>
      </c>
      <c r="P755" s="54">
        <f t="shared" ref="P755:P761" si="41">ROUND((H755*L755),2)</f>
        <v>0</v>
      </c>
      <c r="Q755" s="54">
        <f t="shared" ref="Q755:Q761" si="42">ROUND((H755*M755),2)</f>
        <v>0</v>
      </c>
      <c r="R755" s="54">
        <f t="shared" ref="R755:R761" si="43">ROUND((H755*N755),2)</f>
        <v>0</v>
      </c>
      <c r="S755" s="54"/>
      <c r="T755" s="36"/>
      <c r="XDA755"/>
      <c r="XDB755"/>
      <c r="XDC755"/>
      <c r="XDD755"/>
      <c r="XDE755"/>
      <c r="XDF755"/>
      <c r="XDG755"/>
      <c r="XDH755"/>
      <c r="XDI755"/>
      <c r="XDJ755"/>
      <c r="XDK755"/>
      <c r="XDL755"/>
      <c r="XDM755"/>
      <c r="XDN755"/>
      <c r="XDO755"/>
      <c r="XDP755"/>
      <c r="XDQ755"/>
      <c r="XDR755"/>
      <c r="XDS755"/>
      <c r="XDT755"/>
      <c r="XDU755"/>
      <c r="XDV755"/>
      <c r="XDW755"/>
      <c r="XDX755"/>
      <c r="XDY755"/>
      <c r="XDZ755"/>
      <c r="XEA755"/>
      <c r="XEB755"/>
      <c r="XEC755"/>
      <c r="XED755"/>
      <c r="XEE755"/>
      <c r="XEF755"/>
      <c r="XEG755"/>
      <c r="XEH755"/>
      <c r="XEI755"/>
      <c r="XEJ755"/>
      <c r="XEK755"/>
      <c r="XEL755"/>
      <c r="XEM755"/>
      <c r="XEN755"/>
      <c r="XEO755"/>
      <c r="XEP755"/>
      <c r="XEQ755"/>
      <c r="XER755"/>
      <c r="XES755"/>
      <c r="XET755"/>
      <c r="XEU755"/>
      <c r="XEV755"/>
      <c r="XEW755"/>
      <c r="XEX755"/>
      <c r="XEY755"/>
      <c r="XEZ755"/>
      <c r="XFA755"/>
      <c r="XFB755"/>
      <c r="XFC755"/>
    </row>
    <row r="756" spans="1:20 16329:16383" s="38" customFormat="1" ht="29.1" customHeight="1" outlineLevel="4" x14ac:dyDescent="0.25">
      <c r="A756" s="49" t="s">
        <v>1525</v>
      </c>
      <c r="B756" s="50"/>
      <c r="C756" s="50"/>
      <c r="D756" s="3" t="s">
        <v>1526</v>
      </c>
      <c r="E756" s="3"/>
      <c r="F756" s="51"/>
      <c r="G756" s="50" t="s">
        <v>102</v>
      </c>
      <c r="H756" s="52">
        <f>1</f>
        <v>1</v>
      </c>
      <c r="I756" s="36"/>
      <c r="J756" s="52">
        <v>1</v>
      </c>
      <c r="K756" s="53">
        <f>0</f>
        <v>0</v>
      </c>
      <c r="L756" s="53">
        <f>0</f>
        <v>0</v>
      </c>
      <c r="M756" s="53">
        <f>0</f>
        <v>0</v>
      </c>
      <c r="N756" s="54">
        <f t="shared" si="39"/>
        <v>0</v>
      </c>
      <c r="O756" s="54">
        <f t="shared" si="40"/>
        <v>0</v>
      </c>
      <c r="P756" s="54">
        <f t="shared" si="41"/>
        <v>0</v>
      </c>
      <c r="Q756" s="54">
        <f t="shared" si="42"/>
        <v>0</v>
      </c>
      <c r="R756" s="54">
        <f t="shared" si="43"/>
        <v>0</v>
      </c>
      <c r="S756" s="54"/>
      <c r="T756" s="36"/>
      <c r="XDA756"/>
      <c r="XDB756"/>
      <c r="XDC756"/>
      <c r="XDD756"/>
      <c r="XDE756"/>
      <c r="XDF756"/>
      <c r="XDG756"/>
      <c r="XDH756"/>
      <c r="XDI756"/>
      <c r="XDJ756"/>
      <c r="XDK756"/>
      <c r="XDL756"/>
      <c r="XDM756"/>
      <c r="XDN756"/>
      <c r="XDO756"/>
      <c r="XDP756"/>
      <c r="XDQ756"/>
      <c r="XDR756"/>
      <c r="XDS756"/>
      <c r="XDT756"/>
      <c r="XDU756"/>
      <c r="XDV756"/>
      <c r="XDW756"/>
      <c r="XDX756"/>
      <c r="XDY756"/>
      <c r="XDZ756"/>
      <c r="XEA756"/>
      <c r="XEB756"/>
      <c r="XEC756"/>
      <c r="XED756"/>
      <c r="XEE756"/>
      <c r="XEF756"/>
      <c r="XEG756"/>
      <c r="XEH756"/>
      <c r="XEI756"/>
      <c r="XEJ756"/>
      <c r="XEK756"/>
      <c r="XEL756"/>
      <c r="XEM756"/>
      <c r="XEN756"/>
      <c r="XEO756"/>
      <c r="XEP756"/>
      <c r="XEQ756"/>
      <c r="XER756"/>
      <c r="XES756"/>
      <c r="XET756"/>
      <c r="XEU756"/>
      <c r="XEV756"/>
      <c r="XEW756"/>
      <c r="XEX756"/>
      <c r="XEY756"/>
      <c r="XEZ756"/>
      <c r="XFA756"/>
      <c r="XFB756"/>
      <c r="XFC756"/>
    </row>
    <row r="757" spans="1:20 16329:16383" s="38" customFormat="1" ht="29.1" customHeight="1" outlineLevel="4" x14ac:dyDescent="0.25">
      <c r="A757" s="49" t="s">
        <v>1527</v>
      </c>
      <c r="B757" s="50"/>
      <c r="C757" s="50"/>
      <c r="D757" s="3" t="s">
        <v>1528</v>
      </c>
      <c r="E757" s="3"/>
      <c r="F757" s="51"/>
      <c r="G757" s="50" t="s">
        <v>102</v>
      </c>
      <c r="H757" s="52">
        <f>1</f>
        <v>1</v>
      </c>
      <c r="I757" s="36"/>
      <c r="J757" s="52">
        <v>1</v>
      </c>
      <c r="K757" s="53">
        <f>0</f>
        <v>0</v>
      </c>
      <c r="L757" s="53">
        <f>0</f>
        <v>0</v>
      </c>
      <c r="M757" s="53">
        <f>0</f>
        <v>0</v>
      </c>
      <c r="N757" s="54">
        <f t="shared" si="39"/>
        <v>0</v>
      </c>
      <c r="O757" s="54">
        <f t="shared" si="40"/>
        <v>0</v>
      </c>
      <c r="P757" s="54">
        <f t="shared" si="41"/>
        <v>0</v>
      </c>
      <c r="Q757" s="54">
        <f t="shared" si="42"/>
        <v>0</v>
      </c>
      <c r="R757" s="54">
        <f t="shared" si="43"/>
        <v>0</v>
      </c>
      <c r="S757" s="54"/>
      <c r="T757" s="36"/>
      <c r="XDA757"/>
      <c r="XDB757"/>
      <c r="XDC757"/>
      <c r="XDD757"/>
      <c r="XDE757"/>
      <c r="XDF757"/>
      <c r="XDG757"/>
      <c r="XDH757"/>
      <c r="XDI757"/>
      <c r="XDJ757"/>
      <c r="XDK757"/>
      <c r="XDL757"/>
      <c r="XDM757"/>
      <c r="XDN757"/>
      <c r="XDO757"/>
      <c r="XDP757"/>
      <c r="XDQ757"/>
      <c r="XDR757"/>
      <c r="XDS757"/>
      <c r="XDT757"/>
      <c r="XDU757"/>
      <c r="XDV757"/>
      <c r="XDW757"/>
      <c r="XDX757"/>
      <c r="XDY757"/>
      <c r="XDZ757"/>
      <c r="XEA757"/>
      <c r="XEB757"/>
      <c r="XEC757"/>
      <c r="XED757"/>
      <c r="XEE757"/>
      <c r="XEF757"/>
      <c r="XEG757"/>
      <c r="XEH757"/>
      <c r="XEI757"/>
      <c r="XEJ757"/>
      <c r="XEK757"/>
      <c r="XEL757"/>
      <c r="XEM757"/>
      <c r="XEN757"/>
      <c r="XEO757"/>
      <c r="XEP757"/>
      <c r="XEQ757"/>
      <c r="XER757"/>
      <c r="XES757"/>
      <c r="XET757"/>
      <c r="XEU757"/>
      <c r="XEV757"/>
      <c r="XEW757"/>
      <c r="XEX757"/>
      <c r="XEY757"/>
      <c r="XEZ757"/>
      <c r="XFA757"/>
      <c r="XFB757"/>
      <c r="XFC757"/>
    </row>
    <row r="758" spans="1:20 16329:16383" s="38" customFormat="1" ht="29.1" customHeight="1" outlineLevel="4" x14ac:dyDescent="0.25">
      <c r="A758" s="49" t="s">
        <v>1529</v>
      </c>
      <c r="B758" s="50"/>
      <c r="C758" s="50"/>
      <c r="D758" s="3" t="s">
        <v>1530</v>
      </c>
      <c r="E758" s="3"/>
      <c r="F758" s="51"/>
      <c r="G758" s="50" t="s">
        <v>102</v>
      </c>
      <c r="H758" s="52">
        <f>1</f>
        <v>1</v>
      </c>
      <c r="I758" s="36"/>
      <c r="J758" s="52">
        <v>1</v>
      </c>
      <c r="K758" s="53">
        <f>0</f>
        <v>0</v>
      </c>
      <c r="L758" s="53">
        <f>0</f>
        <v>0</v>
      </c>
      <c r="M758" s="53">
        <f>0</f>
        <v>0</v>
      </c>
      <c r="N758" s="54">
        <f t="shared" si="39"/>
        <v>0</v>
      </c>
      <c r="O758" s="54">
        <f t="shared" si="40"/>
        <v>0</v>
      </c>
      <c r="P758" s="54">
        <f t="shared" si="41"/>
        <v>0</v>
      </c>
      <c r="Q758" s="54">
        <f t="shared" si="42"/>
        <v>0</v>
      </c>
      <c r="R758" s="54">
        <f t="shared" si="43"/>
        <v>0</v>
      </c>
      <c r="S758" s="54"/>
      <c r="T758" s="36"/>
      <c r="XDA758"/>
      <c r="XDB758"/>
      <c r="XDC758"/>
      <c r="XDD758"/>
      <c r="XDE758"/>
      <c r="XDF758"/>
      <c r="XDG758"/>
      <c r="XDH758"/>
      <c r="XDI758"/>
      <c r="XDJ758"/>
      <c r="XDK758"/>
      <c r="XDL758"/>
      <c r="XDM758"/>
      <c r="XDN758"/>
      <c r="XDO758"/>
      <c r="XDP758"/>
      <c r="XDQ758"/>
      <c r="XDR758"/>
      <c r="XDS758"/>
      <c r="XDT758"/>
      <c r="XDU758"/>
      <c r="XDV758"/>
      <c r="XDW758"/>
      <c r="XDX758"/>
      <c r="XDY758"/>
      <c r="XDZ758"/>
      <c r="XEA758"/>
      <c r="XEB758"/>
      <c r="XEC758"/>
      <c r="XED758"/>
      <c r="XEE758"/>
      <c r="XEF758"/>
      <c r="XEG758"/>
      <c r="XEH758"/>
      <c r="XEI758"/>
      <c r="XEJ758"/>
      <c r="XEK758"/>
      <c r="XEL758"/>
      <c r="XEM758"/>
      <c r="XEN758"/>
      <c r="XEO758"/>
      <c r="XEP758"/>
      <c r="XEQ758"/>
      <c r="XER758"/>
      <c r="XES758"/>
      <c r="XET758"/>
      <c r="XEU758"/>
      <c r="XEV758"/>
      <c r="XEW758"/>
      <c r="XEX758"/>
      <c r="XEY758"/>
      <c r="XEZ758"/>
      <c r="XFA758"/>
      <c r="XFB758"/>
      <c r="XFC758"/>
    </row>
    <row r="759" spans="1:20 16329:16383" s="38" customFormat="1" ht="29.1" customHeight="1" outlineLevel="4" x14ac:dyDescent="0.25">
      <c r="A759" s="49" t="s">
        <v>1531</v>
      </c>
      <c r="B759" s="50"/>
      <c r="C759" s="50"/>
      <c r="D759" s="3" t="s">
        <v>1532</v>
      </c>
      <c r="E759" s="3"/>
      <c r="F759" s="51"/>
      <c r="G759" s="50" t="s">
        <v>102</v>
      </c>
      <c r="H759" s="52">
        <f>1</f>
        <v>1</v>
      </c>
      <c r="I759" s="36"/>
      <c r="J759" s="52">
        <v>1</v>
      </c>
      <c r="K759" s="53">
        <f>0</f>
        <v>0</v>
      </c>
      <c r="L759" s="53">
        <f>0</f>
        <v>0</v>
      </c>
      <c r="M759" s="53">
        <f>0</f>
        <v>0</v>
      </c>
      <c r="N759" s="54">
        <f t="shared" si="39"/>
        <v>0</v>
      </c>
      <c r="O759" s="54">
        <f t="shared" si="40"/>
        <v>0</v>
      </c>
      <c r="P759" s="54">
        <f t="shared" si="41"/>
        <v>0</v>
      </c>
      <c r="Q759" s="54">
        <f t="shared" si="42"/>
        <v>0</v>
      </c>
      <c r="R759" s="54">
        <f t="shared" si="43"/>
        <v>0</v>
      </c>
      <c r="S759" s="54"/>
      <c r="T759" s="36"/>
      <c r="XDA759"/>
      <c r="XDB759"/>
      <c r="XDC759"/>
      <c r="XDD759"/>
      <c r="XDE759"/>
      <c r="XDF759"/>
      <c r="XDG759"/>
      <c r="XDH759"/>
      <c r="XDI759"/>
      <c r="XDJ759"/>
      <c r="XDK759"/>
      <c r="XDL759"/>
      <c r="XDM759"/>
      <c r="XDN759"/>
      <c r="XDO759"/>
      <c r="XDP759"/>
      <c r="XDQ759"/>
      <c r="XDR759"/>
      <c r="XDS759"/>
      <c r="XDT759"/>
      <c r="XDU759"/>
      <c r="XDV759"/>
      <c r="XDW759"/>
      <c r="XDX759"/>
      <c r="XDY759"/>
      <c r="XDZ759"/>
      <c r="XEA759"/>
      <c r="XEB759"/>
      <c r="XEC759"/>
      <c r="XED759"/>
      <c r="XEE759"/>
      <c r="XEF759"/>
      <c r="XEG759"/>
      <c r="XEH759"/>
      <c r="XEI759"/>
      <c r="XEJ759"/>
      <c r="XEK759"/>
      <c r="XEL759"/>
      <c r="XEM759"/>
      <c r="XEN759"/>
      <c r="XEO759"/>
      <c r="XEP759"/>
      <c r="XEQ759"/>
      <c r="XER759"/>
      <c r="XES759"/>
      <c r="XET759"/>
      <c r="XEU759"/>
      <c r="XEV759"/>
      <c r="XEW759"/>
      <c r="XEX759"/>
      <c r="XEY759"/>
      <c r="XEZ759"/>
      <c r="XFA759"/>
      <c r="XFB759"/>
      <c r="XFC759"/>
    </row>
    <row r="760" spans="1:20 16329:16383" s="38" customFormat="1" ht="29.1" customHeight="1" outlineLevel="4" x14ac:dyDescent="0.25">
      <c r="A760" s="49" t="s">
        <v>1533</v>
      </c>
      <c r="B760" s="50"/>
      <c r="C760" s="50"/>
      <c r="D760" s="3" t="s">
        <v>1534</v>
      </c>
      <c r="E760" s="3"/>
      <c r="F760" s="51"/>
      <c r="G760" s="50" t="s">
        <v>102</v>
      </c>
      <c r="H760" s="52">
        <f>1</f>
        <v>1</v>
      </c>
      <c r="I760" s="36"/>
      <c r="J760" s="52">
        <v>1</v>
      </c>
      <c r="K760" s="53">
        <f>0</f>
        <v>0</v>
      </c>
      <c r="L760" s="53">
        <f>0</f>
        <v>0</v>
      </c>
      <c r="M760" s="53">
        <f>0</f>
        <v>0</v>
      </c>
      <c r="N760" s="54">
        <f t="shared" si="39"/>
        <v>0</v>
      </c>
      <c r="O760" s="54">
        <f t="shared" si="40"/>
        <v>0</v>
      </c>
      <c r="P760" s="54">
        <f t="shared" si="41"/>
        <v>0</v>
      </c>
      <c r="Q760" s="54">
        <f t="shared" si="42"/>
        <v>0</v>
      </c>
      <c r="R760" s="54">
        <f t="shared" si="43"/>
        <v>0</v>
      </c>
      <c r="S760" s="54"/>
      <c r="T760" s="36"/>
      <c r="XDA760"/>
      <c r="XDB760"/>
      <c r="XDC760"/>
      <c r="XDD760"/>
      <c r="XDE760"/>
      <c r="XDF760"/>
      <c r="XDG760"/>
      <c r="XDH760"/>
      <c r="XDI760"/>
      <c r="XDJ760"/>
      <c r="XDK760"/>
      <c r="XDL760"/>
      <c r="XDM760"/>
      <c r="XDN760"/>
      <c r="XDO760"/>
      <c r="XDP760"/>
      <c r="XDQ760"/>
      <c r="XDR760"/>
      <c r="XDS760"/>
      <c r="XDT760"/>
      <c r="XDU760"/>
      <c r="XDV760"/>
      <c r="XDW760"/>
      <c r="XDX760"/>
      <c r="XDY760"/>
      <c r="XDZ760"/>
      <c r="XEA760"/>
      <c r="XEB760"/>
      <c r="XEC760"/>
      <c r="XED760"/>
      <c r="XEE760"/>
      <c r="XEF760"/>
      <c r="XEG760"/>
      <c r="XEH760"/>
      <c r="XEI760"/>
      <c r="XEJ760"/>
      <c r="XEK760"/>
      <c r="XEL760"/>
      <c r="XEM760"/>
      <c r="XEN760"/>
      <c r="XEO760"/>
      <c r="XEP760"/>
      <c r="XEQ760"/>
      <c r="XER760"/>
      <c r="XES760"/>
      <c r="XET760"/>
      <c r="XEU760"/>
      <c r="XEV760"/>
      <c r="XEW760"/>
      <c r="XEX760"/>
      <c r="XEY760"/>
      <c r="XEZ760"/>
      <c r="XFA760"/>
      <c r="XFB760"/>
      <c r="XFC760"/>
    </row>
    <row r="761" spans="1:20 16329:16383" s="38" customFormat="1" ht="29.1" customHeight="1" outlineLevel="4" x14ac:dyDescent="0.25">
      <c r="A761" s="49" t="s">
        <v>1535</v>
      </c>
      <c r="B761" s="50"/>
      <c r="C761" s="50"/>
      <c r="D761" s="3" t="s">
        <v>1536</v>
      </c>
      <c r="E761" s="3"/>
      <c r="F761" s="51"/>
      <c r="G761" s="50" t="s">
        <v>102</v>
      </c>
      <c r="H761" s="52">
        <f>1</f>
        <v>1</v>
      </c>
      <c r="I761" s="36"/>
      <c r="J761" s="52">
        <v>1</v>
      </c>
      <c r="K761" s="53">
        <f>0</f>
        <v>0</v>
      </c>
      <c r="L761" s="53">
        <f>0</f>
        <v>0</v>
      </c>
      <c r="M761" s="53">
        <f>0</f>
        <v>0</v>
      </c>
      <c r="N761" s="54">
        <f t="shared" si="39"/>
        <v>0</v>
      </c>
      <c r="O761" s="54">
        <f t="shared" si="40"/>
        <v>0</v>
      </c>
      <c r="P761" s="54">
        <f t="shared" si="41"/>
        <v>0</v>
      </c>
      <c r="Q761" s="54">
        <f t="shared" si="42"/>
        <v>0</v>
      </c>
      <c r="R761" s="54">
        <f t="shared" si="43"/>
        <v>0</v>
      </c>
      <c r="S761" s="54"/>
      <c r="T761" s="36"/>
      <c r="XDA761"/>
      <c r="XDB761"/>
      <c r="XDC761"/>
      <c r="XDD761"/>
      <c r="XDE761"/>
      <c r="XDF761"/>
      <c r="XDG761"/>
      <c r="XDH761"/>
      <c r="XDI761"/>
      <c r="XDJ761"/>
      <c r="XDK761"/>
      <c r="XDL761"/>
      <c r="XDM761"/>
      <c r="XDN761"/>
      <c r="XDO761"/>
      <c r="XDP761"/>
      <c r="XDQ761"/>
      <c r="XDR761"/>
      <c r="XDS761"/>
      <c r="XDT761"/>
      <c r="XDU761"/>
      <c r="XDV761"/>
      <c r="XDW761"/>
      <c r="XDX761"/>
      <c r="XDY761"/>
      <c r="XDZ761"/>
      <c r="XEA761"/>
      <c r="XEB761"/>
      <c r="XEC761"/>
      <c r="XED761"/>
      <c r="XEE761"/>
      <c r="XEF761"/>
      <c r="XEG761"/>
      <c r="XEH761"/>
      <c r="XEI761"/>
      <c r="XEJ761"/>
      <c r="XEK761"/>
      <c r="XEL761"/>
      <c r="XEM761"/>
      <c r="XEN761"/>
      <c r="XEO761"/>
      <c r="XEP761"/>
      <c r="XEQ761"/>
      <c r="XER761"/>
      <c r="XES761"/>
      <c r="XET761"/>
      <c r="XEU761"/>
      <c r="XEV761"/>
      <c r="XEW761"/>
      <c r="XEX761"/>
      <c r="XEY761"/>
      <c r="XEZ761"/>
      <c r="XFA761"/>
      <c r="XFB761"/>
      <c r="XFC761"/>
    </row>
    <row r="762" spans="1:20 16329:16383" s="38" customFormat="1" ht="29.1" customHeight="1" outlineLevel="2" x14ac:dyDescent="0.25">
      <c r="A762" s="44" t="s">
        <v>1537</v>
      </c>
      <c r="B762" s="45" t="s">
        <v>1538</v>
      </c>
      <c r="C762" s="45" t="s">
        <v>1518</v>
      </c>
      <c r="D762" s="4" t="s">
        <v>1539</v>
      </c>
      <c r="E762" s="4"/>
      <c r="F762" s="46"/>
      <c r="G762" s="45" t="s">
        <v>102</v>
      </c>
      <c r="H762" s="47"/>
      <c r="I762" s="36"/>
      <c r="J762" s="47"/>
      <c r="K762" s="48"/>
      <c r="L762" s="48"/>
      <c r="M762" s="48"/>
      <c r="N762" s="48"/>
      <c r="O762" s="48">
        <f>O763+O771+O779+O787+O795+O803</f>
        <v>0</v>
      </c>
      <c r="P762" s="48">
        <f>P763+P771+P779+P787+P795+P803</f>
        <v>0</v>
      </c>
      <c r="Q762" s="48">
        <f>Q763+Q771+Q779+Q787+Q795+Q803</f>
        <v>0</v>
      </c>
      <c r="R762" s="48">
        <f>R763+R771+R779+R787+R795+R803</f>
        <v>0</v>
      </c>
      <c r="S762" s="48"/>
      <c r="T762" s="36"/>
      <c r="XDA762"/>
      <c r="XDB762"/>
      <c r="XDC762"/>
      <c r="XDD762"/>
      <c r="XDE762"/>
      <c r="XDF762"/>
      <c r="XDG762"/>
      <c r="XDH762"/>
      <c r="XDI762"/>
      <c r="XDJ762"/>
      <c r="XDK762"/>
      <c r="XDL762"/>
      <c r="XDM762"/>
      <c r="XDN762"/>
      <c r="XDO762"/>
      <c r="XDP762"/>
      <c r="XDQ762"/>
      <c r="XDR762"/>
      <c r="XDS762"/>
      <c r="XDT762"/>
      <c r="XDU762"/>
      <c r="XDV762"/>
      <c r="XDW762"/>
      <c r="XDX762"/>
      <c r="XDY762"/>
      <c r="XDZ762"/>
      <c r="XEA762"/>
      <c r="XEB762"/>
      <c r="XEC762"/>
      <c r="XED762"/>
      <c r="XEE762"/>
      <c r="XEF762"/>
      <c r="XEG762"/>
      <c r="XEH762"/>
      <c r="XEI762"/>
      <c r="XEJ762"/>
      <c r="XEK762"/>
      <c r="XEL762"/>
      <c r="XEM762"/>
      <c r="XEN762"/>
      <c r="XEO762"/>
      <c r="XEP762"/>
      <c r="XEQ762"/>
      <c r="XER762"/>
      <c r="XES762"/>
      <c r="XET762"/>
      <c r="XEU762"/>
      <c r="XEV762"/>
      <c r="XEW762"/>
      <c r="XEX762"/>
      <c r="XEY762"/>
      <c r="XEZ762"/>
      <c r="XFA762"/>
      <c r="XFB762"/>
      <c r="XFC762"/>
    </row>
    <row r="763" spans="1:20 16329:16383" s="38" customFormat="1" ht="29.1" customHeight="1" outlineLevel="3" x14ac:dyDescent="0.25">
      <c r="A763" s="55" t="s">
        <v>1540</v>
      </c>
      <c r="B763" s="56" t="s">
        <v>1541</v>
      </c>
      <c r="C763" s="56"/>
      <c r="D763" s="2" t="s">
        <v>1542</v>
      </c>
      <c r="E763" s="2"/>
      <c r="F763" s="57"/>
      <c r="G763" s="56"/>
      <c r="H763" s="58"/>
      <c r="I763" s="36"/>
      <c r="J763" s="58"/>
      <c r="K763" s="59"/>
      <c r="L763" s="59"/>
      <c r="M763" s="59"/>
      <c r="N763" s="59"/>
      <c r="O763" s="59">
        <f>SUM(O764:O770)</f>
        <v>0</v>
      </c>
      <c r="P763" s="59">
        <f>SUM(P764:P770)</f>
        <v>0</v>
      </c>
      <c r="Q763" s="59">
        <f>SUM(Q764:Q770)</f>
        <v>0</v>
      </c>
      <c r="R763" s="59">
        <f>SUM(R764:R770)</f>
        <v>0</v>
      </c>
      <c r="S763" s="59"/>
      <c r="T763" s="36"/>
      <c r="XDA763"/>
      <c r="XDB763"/>
      <c r="XDC763"/>
      <c r="XDD763"/>
      <c r="XDE763"/>
      <c r="XDF763"/>
      <c r="XDG763"/>
      <c r="XDH763"/>
      <c r="XDI763"/>
      <c r="XDJ763"/>
      <c r="XDK763"/>
      <c r="XDL763"/>
      <c r="XDM763"/>
      <c r="XDN763"/>
      <c r="XDO763"/>
      <c r="XDP763"/>
      <c r="XDQ763"/>
      <c r="XDR763"/>
      <c r="XDS763"/>
      <c r="XDT763"/>
      <c r="XDU763"/>
      <c r="XDV763"/>
      <c r="XDW763"/>
      <c r="XDX763"/>
      <c r="XDY763"/>
      <c r="XDZ763"/>
      <c r="XEA763"/>
      <c r="XEB763"/>
      <c r="XEC763"/>
      <c r="XED763"/>
      <c r="XEE763"/>
      <c r="XEF763"/>
      <c r="XEG763"/>
      <c r="XEH763"/>
      <c r="XEI763"/>
      <c r="XEJ763"/>
      <c r="XEK763"/>
      <c r="XEL763"/>
      <c r="XEM763"/>
      <c r="XEN763"/>
      <c r="XEO763"/>
      <c r="XEP763"/>
      <c r="XEQ763"/>
      <c r="XER763"/>
      <c r="XES763"/>
      <c r="XET763"/>
      <c r="XEU763"/>
      <c r="XEV763"/>
      <c r="XEW763"/>
      <c r="XEX763"/>
      <c r="XEY763"/>
      <c r="XEZ763"/>
      <c r="XFA763"/>
      <c r="XFB763"/>
      <c r="XFC763"/>
    </row>
    <row r="764" spans="1:20 16329:16383" s="38" customFormat="1" ht="29.1" customHeight="1" outlineLevel="4" x14ac:dyDescent="0.25">
      <c r="A764" s="49" t="s">
        <v>1543</v>
      </c>
      <c r="B764" s="50"/>
      <c r="C764" s="50"/>
      <c r="D764" s="3" t="s">
        <v>1544</v>
      </c>
      <c r="E764" s="3"/>
      <c r="F764" s="51"/>
      <c r="G764" s="50" t="s">
        <v>102</v>
      </c>
      <c r="H764" s="52">
        <f>1</f>
        <v>1</v>
      </c>
      <c r="I764" s="36"/>
      <c r="J764" s="52">
        <v>1</v>
      </c>
      <c r="K764" s="53">
        <f>0</f>
        <v>0</v>
      </c>
      <c r="L764" s="53">
        <f>0</f>
        <v>0</v>
      </c>
      <c r="M764" s="53">
        <f>0</f>
        <v>0</v>
      </c>
      <c r="N764" s="54">
        <f t="shared" ref="N764:N770" si="44">SUM(K764:M764)</f>
        <v>0</v>
      </c>
      <c r="O764" s="54">
        <f t="shared" ref="O764:O770" si="45">ROUND((H764*K764),2)</f>
        <v>0</v>
      </c>
      <c r="P764" s="54">
        <f t="shared" ref="P764:P770" si="46">ROUND((H764*L764),2)</f>
        <v>0</v>
      </c>
      <c r="Q764" s="54">
        <f t="shared" ref="Q764:Q770" si="47">ROUND((H764*M764),2)</f>
        <v>0</v>
      </c>
      <c r="R764" s="54">
        <f t="shared" ref="R764:R770" si="48">ROUND((H764*N764),2)</f>
        <v>0</v>
      </c>
      <c r="S764" s="54"/>
      <c r="T764" s="36"/>
      <c r="XDA764"/>
      <c r="XDB764"/>
      <c r="XDC764"/>
      <c r="XDD764"/>
      <c r="XDE764"/>
      <c r="XDF764"/>
      <c r="XDG764"/>
      <c r="XDH764"/>
      <c r="XDI764"/>
      <c r="XDJ764"/>
      <c r="XDK764"/>
      <c r="XDL764"/>
      <c r="XDM764"/>
      <c r="XDN764"/>
      <c r="XDO764"/>
      <c r="XDP764"/>
      <c r="XDQ764"/>
      <c r="XDR764"/>
      <c r="XDS764"/>
      <c r="XDT764"/>
      <c r="XDU764"/>
      <c r="XDV764"/>
      <c r="XDW764"/>
      <c r="XDX764"/>
      <c r="XDY764"/>
      <c r="XDZ764"/>
      <c r="XEA764"/>
      <c r="XEB764"/>
      <c r="XEC764"/>
      <c r="XED764"/>
      <c r="XEE764"/>
      <c r="XEF764"/>
      <c r="XEG764"/>
      <c r="XEH764"/>
      <c r="XEI764"/>
      <c r="XEJ764"/>
      <c r="XEK764"/>
      <c r="XEL764"/>
      <c r="XEM764"/>
      <c r="XEN764"/>
      <c r="XEO764"/>
      <c r="XEP764"/>
      <c r="XEQ764"/>
      <c r="XER764"/>
      <c r="XES764"/>
      <c r="XET764"/>
      <c r="XEU764"/>
      <c r="XEV764"/>
      <c r="XEW764"/>
      <c r="XEX764"/>
      <c r="XEY764"/>
      <c r="XEZ764"/>
      <c r="XFA764"/>
      <c r="XFB764"/>
      <c r="XFC764"/>
    </row>
    <row r="765" spans="1:20 16329:16383" s="38" customFormat="1" ht="29.1" customHeight="1" outlineLevel="4" x14ac:dyDescent="0.25">
      <c r="A765" s="49" t="s">
        <v>1545</v>
      </c>
      <c r="B765" s="50"/>
      <c r="C765" s="50"/>
      <c r="D765" s="3" t="s">
        <v>1546</v>
      </c>
      <c r="E765" s="3"/>
      <c r="F765" s="51"/>
      <c r="G765" s="50" t="s">
        <v>102</v>
      </c>
      <c r="H765" s="52">
        <f>1</f>
        <v>1</v>
      </c>
      <c r="I765" s="36"/>
      <c r="J765" s="52">
        <v>1</v>
      </c>
      <c r="K765" s="53">
        <f>0</f>
        <v>0</v>
      </c>
      <c r="L765" s="53">
        <f>0</f>
        <v>0</v>
      </c>
      <c r="M765" s="53">
        <f>0</f>
        <v>0</v>
      </c>
      <c r="N765" s="54">
        <f t="shared" si="44"/>
        <v>0</v>
      </c>
      <c r="O765" s="54">
        <f t="shared" si="45"/>
        <v>0</v>
      </c>
      <c r="P765" s="54">
        <f t="shared" si="46"/>
        <v>0</v>
      </c>
      <c r="Q765" s="54">
        <f t="shared" si="47"/>
        <v>0</v>
      </c>
      <c r="R765" s="54">
        <f t="shared" si="48"/>
        <v>0</v>
      </c>
      <c r="S765" s="54"/>
      <c r="T765" s="36"/>
      <c r="XDA765"/>
      <c r="XDB765"/>
      <c r="XDC765"/>
      <c r="XDD765"/>
      <c r="XDE765"/>
      <c r="XDF765"/>
      <c r="XDG765"/>
      <c r="XDH765"/>
      <c r="XDI765"/>
      <c r="XDJ765"/>
      <c r="XDK765"/>
      <c r="XDL765"/>
      <c r="XDM765"/>
      <c r="XDN765"/>
      <c r="XDO765"/>
      <c r="XDP765"/>
      <c r="XDQ765"/>
      <c r="XDR765"/>
      <c r="XDS765"/>
      <c r="XDT765"/>
      <c r="XDU765"/>
      <c r="XDV765"/>
      <c r="XDW765"/>
      <c r="XDX765"/>
      <c r="XDY765"/>
      <c r="XDZ765"/>
      <c r="XEA765"/>
      <c r="XEB765"/>
      <c r="XEC765"/>
      <c r="XED765"/>
      <c r="XEE765"/>
      <c r="XEF765"/>
      <c r="XEG765"/>
      <c r="XEH765"/>
      <c r="XEI765"/>
      <c r="XEJ765"/>
      <c r="XEK765"/>
      <c r="XEL765"/>
      <c r="XEM765"/>
      <c r="XEN765"/>
      <c r="XEO765"/>
      <c r="XEP765"/>
      <c r="XEQ765"/>
      <c r="XER765"/>
      <c r="XES765"/>
      <c r="XET765"/>
      <c r="XEU765"/>
      <c r="XEV765"/>
      <c r="XEW765"/>
      <c r="XEX765"/>
      <c r="XEY765"/>
      <c r="XEZ765"/>
      <c r="XFA765"/>
      <c r="XFB765"/>
      <c r="XFC765"/>
    </row>
    <row r="766" spans="1:20 16329:16383" s="38" customFormat="1" ht="29.1" customHeight="1" outlineLevel="4" x14ac:dyDescent="0.25">
      <c r="A766" s="49" t="s">
        <v>1547</v>
      </c>
      <c r="B766" s="50"/>
      <c r="C766" s="50"/>
      <c r="D766" s="3" t="s">
        <v>1548</v>
      </c>
      <c r="E766" s="3"/>
      <c r="F766" s="51"/>
      <c r="G766" s="50" t="s">
        <v>102</v>
      </c>
      <c r="H766" s="52">
        <f>1</f>
        <v>1</v>
      </c>
      <c r="I766" s="36"/>
      <c r="J766" s="52">
        <v>1</v>
      </c>
      <c r="K766" s="53">
        <f>0</f>
        <v>0</v>
      </c>
      <c r="L766" s="53">
        <f>0</f>
        <v>0</v>
      </c>
      <c r="M766" s="53">
        <f>0</f>
        <v>0</v>
      </c>
      <c r="N766" s="54">
        <f t="shared" si="44"/>
        <v>0</v>
      </c>
      <c r="O766" s="54">
        <f t="shared" si="45"/>
        <v>0</v>
      </c>
      <c r="P766" s="54">
        <f t="shared" si="46"/>
        <v>0</v>
      </c>
      <c r="Q766" s="54">
        <f t="shared" si="47"/>
        <v>0</v>
      </c>
      <c r="R766" s="54">
        <f t="shared" si="48"/>
        <v>0</v>
      </c>
      <c r="S766" s="54"/>
      <c r="T766" s="36"/>
      <c r="XDA766"/>
      <c r="XDB766"/>
      <c r="XDC766"/>
      <c r="XDD766"/>
      <c r="XDE766"/>
      <c r="XDF766"/>
      <c r="XDG766"/>
      <c r="XDH766"/>
      <c r="XDI766"/>
      <c r="XDJ766"/>
      <c r="XDK766"/>
      <c r="XDL766"/>
      <c r="XDM766"/>
      <c r="XDN766"/>
      <c r="XDO766"/>
      <c r="XDP766"/>
      <c r="XDQ766"/>
      <c r="XDR766"/>
      <c r="XDS766"/>
      <c r="XDT766"/>
      <c r="XDU766"/>
      <c r="XDV766"/>
      <c r="XDW766"/>
      <c r="XDX766"/>
      <c r="XDY766"/>
      <c r="XDZ766"/>
      <c r="XEA766"/>
      <c r="XEB766"/>
      <c r="XEC766"/>
      <c r="XED766"/>
      <c r="XEE766"/>
      <c r="XEF766"/>
      <c r="XEG766"/>
      <c r="XEH766"/>
      <c r="XEI766"/>
      <c r="XEJ766"/>
      <c r="XEK766"/>
      <c r="XEL766"/>
      <c r="XEM766"/>
      <c r="XEN766"/>
      <c r="XEO766"/>
      <c r="XEP766"/>
      <c r="XEQ766"/>
      <c r="XER766"/>
      <c r="XES766"/>
      <c r="XET766"/>
      <c r="XEU766"/>
      <c r="XEV766"/>
      <c r="XEW766"/>
      <c r="XEX766"/>
      <c r="XEY766"/>
      <c r="XEZ766"/>
      <c r="XFA766"/>
      <c r="XFB766"/>
      <c r="XFC766"/>
    </row>
    <row r="767" spans="1:20 16329:16383" s="38" customFormat="1" ht="29.1" customHeight="1" outlineLevel="4" x14ac:dyDescent="0.25">
      <c r="A767" s="49" t="s">
        <v>1549</v>
      </c>
      <c r="B767" s="50"/>
      <c r="C767" s="50"/>
      <c r="D767" s="3" t="s">
        <v>1550</v>
      </c>
      <c r="E767" s="3"/>
      <c r="F767" s="51"/>
      <c r="G767" s="50" t="s">
        <v>102</v>
      </c>
      <c r="H767" s="52">
        <f>1</f>
        <v>1</v>
      </c>
      <c r="I767" s="36"/>
      <c r="J767" s="52">
        <v>1</v>
      </c>
      <c r="K767" s="53">
        <f>0</f>
        <v>0</v>
      </c>
      <c r="L767" s="53">
        <f>0</f>
        <v>0</v>
      </c>
      <c r="M767" s="53">
        <f>0</f>
        <v>0</v>
      </c>
      <c r="N767" s="54">
        <f t="shared" si="44"/>
        <v>0</v>
      </c>
      <c r="O767" s="54">
        <f t="shared" si="45"/>
        <v>0</v>
      </c>
      <c r="P767" s="54">
        <f t="shared" si="46"/>
        <v>0</v>
      </c>
      <c r="Q767" s="54">
        <f t="shared" si="47"/>
        <v>0</v>
      </c>
      <c r="R767" s="54">
        <f t="shared" si="48"/>
        <v>0</v>
      </c>
      <c r="S767" s="54"/>
      <c r="T767" s="36"/>
      <c r="XDA767"/>
      <c r="XDB767"/>
      <c r="XDC767"/>
      <c r="XDD767"/>
      <c r="XDE767"/>
      <c r="XDF767"/>
      <c r="XDG767"/>
      <c r="XDH767"/>
      <c r="XDI767"/>
      <c r="XDJ767"/>
      <c r="XDK767"/>
      <c r="XDL767"/>
      <c r="XDM767"/>
      <c r="XDN767"/>
      <c r="XDO767"/>
      <c r="XDP767"/>
      <c r="XDQ767"/>
      <c r="XDR767"/>
      <c r="XDS767"/>
      <c r="XDT767"/>
      <c r="XDU767"/>
      <c r="XDV767"/>
      <c r="XDW767"/>
      <c r="XDX767"/>
      <c r="XDY767"/>
      <c r="XDZ767"/>
      <c r="XEA767"/>
      <c r="XEB767"/>
      <c r="XEC767"/>
      <c r="XED767"/>
      <c r="XEE767"/>
      <c r="XEF767"/>
      <c r="XEG767"/>
      <c r="XEH767"/>
      <c r="XEI767"/>
      <c r="XEJ767"/>
      <c r="XEK767"/>
      <c r="XEL767"/>
      <c r="XEM767"/>
      <c r="XEN767"/>
      <c r="XEO767"/>
      <c r="XEP767"/>
      <c r="XEQ767"/>
      <c r="XER767"/>
      <c r="XES767"/>
      <c r="XET767"/>
      <c r="XEU767"/>
      <c r="XEV767"/>
      <c r="XEW767"/>
      <c r="XEX767"/>
      <c r="XEY767"/>
      <c r="XEZ767"/>
      <c r="XFA767"/>
      <c r="XFB767"/>
      <c r="XFC767"/>
    </row>
    <row r="768" spans="1:20 16329:16383" s="38" customFormat="1" ht="29.1" customHeight="1" outlineLevel="4" x14ac:dyDescent="0.25">
      <c r="A768" s="49" t="s">
        <v>1551</v>
      </c>
      <c r="B768" s="50"/>
      <c r="C768" s="50"/>
      <c r="D768" s="3" t="s">
        <v>1552</v>
      </c>
      <c r="E768" s="3"/>
      <c r="F768" s="51"/>
      <c r="G768" s="50" t="s">
        <v>102</v>
      </c>
      <c r="H768" s="52">
        <f>1</f>
        <v>1</v>
      </c>
      <c r="I768" s="36"/>
      <c r="J768" s="52">
        <v>1</v>
      </c>
      <c r="K768" s="53">
        <f>0</f>
        <v>0</v>
      </c>
      <c r="L768" s="53">
        <f>0</f>
        <v>0</v>
      </c>
      <c r="M768" s="53">
        <f>0</f>
        <v>0</v>
      </c>
      <c r="N768" s="54">
        <f t="shared" si="44"/>
        <v>0</v>
      </c>
      <c r="O768" s="54">
        <f t="shared" si="45"/>
        <v>0</v>
      </c>
      <c r="P768" s="54">
        <f t="shared" si="46"/>
        <v>0</v>
      </c>
      <c r="Q768" s="54">
        <f t="shared" si="47"/>
        <v>0</v>
      </c>
      <c r="R768" s="54">
        <f t="shared" si="48"/>
        <v>0</v>
      </c>
      <c r="S768" s="54"/>
      <c r="T768" s="36"/>
      <c r="XDA768"/>
      <c r="XDB768"/>
      <c r="XDC768"/>
      <c r="XDD768"/>
      <c r="XDE768"/>
      <c r="XDF768"/>
      <c r="XDG768"/>
      <c r="XDH768"/>
      <c r="XDI768"/>
      <c r="XDJ768"/>
      <c r="XDK768"/>
      <c r="XDL768"/>
      <c r="XDM768"/>
      <c r="XDN768"/>
      <c r="XDO768"/>
      <c r="XDP768"/>
      <c r="XDQ768"/>
      <c r="XDR768"/>
      <c r="XDS768"/>
      <c r="XDT768"/>
      <c r="XDU768"/>
      <c r="XDV768"/>
      <c r="XDW768"/>
      <c r="XDX768"/>
      <c r="XDY768"/>
      <c r="XDZ768"/>
      <c r="XEA768"/>
      <c r="XEB768"/>
      <c r="XEC768"/>
      <c r="XED768"/>
      <c r="XEE768"/>
      <c r="XEF768"/>
      <c r="XEG768"/>
      <c r="XEH768"/>
      <c r="XEI768"/>
      <c r="XEJ768"/>
      <c r="XEK768"/>
      <c r="XEL768"/>
      <c r="XEM768"/>
      <c r="XEN768"/>
      <c r="XEO768"/>
      <c r="XEP768"/>
      <c r="XEQ768"/>
      <c r="XER768"/>
      <c r="XES768"/>
      <c r="XET768"/>
      <c r="XEU768"/>
      <c r="XEV768"/>
      <c r="XEW768"/>
      <c r="XEX768"/>
      <c r="XEY768"/>
      <c r="XEZ768"/>
      <c r="XFA768"/>
      <c r="XFB768"/>
      <c r="XFC768"/>
    </row>
    <row r="769" spans="1:20 16329:16383" s="38" customFormat="1" ht="29.1" customHeight="1" outlineLevel="4" x14ac:dyDescent="0.25">
      <c r="A769" s="49" t="s">
        <v>1553</v>
      </c>
      <c r="B769" s="50"/>
      <c r="C769" s="50"/>
      <c r="D769" s="3" t="s">
        <v>1554</v>
      </c>
      <c r="E769" s="3"/>
      <c r="F769" s="51"/>
      <c r="G769" s="50" t="s">
        <v>102</v>
      </c>
      <c r="H769" s="52">
        <f>1</f>
        <v>1</v>
      </c>
      <c r="I769" s="36"/>
      <c r="J769" s="52">
        <v>1</v>
      </c>
      <c r="K769" s="53">
        <f>0</f>
        <v>0</v>
      </c>
      <c r="L769" s="53">
        <f>0</f>
        <v>0</v>
      </c>
      <c r="M769" s="53">
        <f>0</f>
        <v>0</v>
      </c>
      <c r="N769" s="54">
        <f t="shared" si="44"/>
        <v>0</v>
      </c>
      <c r="O769" s="54">
        <f t="shared" si="45"/>
        <v>0</v>
      </c>
      <c r="P769" s="54">
        <f t="shared" si="46"/>
        <v>0</v>
      </c>
      <c r="Q769" s="54">
        <f t="shared" si="47"/>
        <v>0</v>
      </c>
      <c r="R769" s="54">
        <f t="shared" si="48"/>
        <v>0</v>
      </c>
      <c r="S769" s="54"/>
      <c r="T769" s="36"/>
      <c r="XDA769"/>
      <c r="XDB769"/>
      <c r="XDC769"/>
      <c r="XDD769"/>
      <c r="XDE769"/>
      <c r="XDF769"/>
      <c r="XDG769"/>
      <c r="XDH769"/>
      <c r="XDI769"/>
      <c r="XDJ769"/>
      <c r="XDK769"/>
      <c r="XDL769"/>
      <c r="XDM769"/>
      <c r="XDN769"/>
      <c r="XDO769"/>
      <c r="XDP769"/>
      <c r="XDQ769"/>
      <c r="XDR769"/>
      <c r="XDS769"/>
      <c r="XDT769"/>
      <c r="XDU769"/>
      <c r="XDV769"/>
      <c r="XDW769"/>
      <c r="XDX769"/>
      <c r="XDY769"/>
      <c r="XDZ769"/>
      <c r="XEA769"/>
      <c r="XEB769"/>
      <c r="XEC769"/>
      <c r="XED769"/>
      <c r="XEE769"/>
      <c r="XEF769"/>
      <c r="XEG769"/>
      <c r="XEH769"/>
      <c r="XEI769"/>
      <c r="XEJ769"/>
      <c r="XEK769"/>
      <c r="XEL769"/>
      <c r="XEM769"/>
      <c r="XEN769"/>
      <c r="XEO769"/>
      <c r="XEP769"/>
      <c r="XEQ769"/>
      <c r="XER769"/>
      <c r="XES769"/>
      <c r="XET769"/>
      <c r="XEU769"/>
      <c r="XEV769"/>
      <c r="XEW769"/>
      <c r="XEX769"/>
      <c r="XEY769"/>
      <c r="XEZ769"/>
      <c r="XFA769"/>
      <c r="XFB769"/>
      <c r="XFC769"/>
    </row>
    <row r="770" spans="1:20 16329:16383" s="38" customFormat="1" ht="29.1" customHeight="1" outlineLevel="4" x14ac:dyDescent="0.25">
      <c r="A770" s="49" t="s">
        <v>1555</v>
      </c>
      <c r="B770" s="50"/>
      <c r="C770" s="50"/>
      <c r="D770" s="3" t="s">
        <v>1556</v>
      </c>
      <c r="E770" s="3"/>
      <c r="F770" s="51"/>
      <c r="G770" s="50" t="s">
        <v>102</v>
      </c>
      <c r="H770" s="52">
        <f>1</f>
        <v>1</v>
      </c>
      <c r="I770" s="36"/>
      <c r="J770" s="52">
        <v>1</v>
      </c>
      <c r="K770" s="53">
        <f>0</f>
        <v>0</v>
      </c>
      <c r="L770" s="53">
        <f>0</f>
        <v>0</v>
      </c>
      <c r="M770" s="53">
        <f>0</f>
        <v>0</v>
      </c>
      <c r="N770" s="54">
        <f t="shared" si="44"/>
        <v>0</v>
      </c>
      <c r="O770" s="54">
        <f t="shared" si="45"/>
        <v>0</v>
      </c>
      <c r="P770" s="54">
        <f t="shared" si="46"/>
        <v>0</v>
      </c>
      <c r="Q770" s="54">
        <f t="shared" si="47"/>
        <v>0</v>
      </c>
      <c r="R770" s="54">
        <f t="shared" si="48"/>
        <v>0</v>
      </c>
      <c r="S770" s="54"/>
      <c r="T770" s="36"/>
      <c r="XDA770"/>
      <c r="XDB770"/>
      <c r="XDC770"/>
      <c r="XDD770"/>
      <c r="XDE770"/>
      <c r="XDF770"/>
      <c r="XDG770"/>
      <c r="XDH770"/>
      <c r="XDI770"/>
      <c r="XDJ770"/>
      <c r="XDK770"/>
      <c r="XDL770"/>
      <c r="XDM770"/>
      <c r="XDN770"/>
      <c r="XDO770"/>
      <c r="XDP770"/>
      <c r="XDQ770"/>
      <c r="XDR770"/>
      <c r="XDS770"/>
      <c r="XDT770"/>
      <c r="XDU770"/>
      <c r="XDV770"/>
      <c r="XDW770"/>
      <c r="XDX770"/>
      <c r="XDY770"/>
      <c r="XDZ770"/>
      <c r="XEA770"/>
      <c r="XEB770"/>
      <c r="XEC770"/>
      <c r="XED770"/>
      <c r="XEE770"/>
      <c r="XEF770"/>
      <c r="XEG770"/>
      <c r="XEH770"/>
      <c r="XEI770"/>
      <c r="XEJ770"/>
      <c r="XEK770"/>
      <c r="XEL770"/>
      <c r="XEM770"/>
      <c r="XEN770"/>
      <c r="XEO770"/>
      <c r="XEP770"/>
      <c r="XEQ770"/>
      <c r="XER770"/>
      <c r="XES770"/>
      <c r="XET770"/>
      <c r="XEU770"/>
      <c r="XEV770"/>
      <c r="XEW770"/>
      <c r="XEX770"/>
      <c r="XEY770"/>
      <c r="XEZ770"/>
      <c r="XFA770"/>
      <c r="XFB770"/>
      <c r="XFC770"/>
    </row>
    <row r="771" spans="1:20 16329:16383" s="38" customFormat="1" ht="29.1" customHeight="1" outlineLevel="3" x14ac:dyDescent="0.25">
      <c r="A771" s="55" t="s">
        <v>1557</v>
      </c>
      <c r="B771" s="56" t="s">
        <v>1558</v>
      </c>
      <c r="C771" s="56"/>
      <c r="D771" s="2" t="s">
        <v>1559</v>
      </c>
      <c r="E771" s="2"/>
      <c r="F771" s="57"/>
      <c r="G771" s="56"/>
      <c r="H771" s="58"/>
      <c r="I771" s="36"/>
      <c r="J771" s="58"/>
      <c r="K771" s="59"/>
      <c r="L771" s="59"/>
      <c r="M771" s="59"/>
      <c r="N771" s="59"/>
      <c r="O771" s="59">
        <f>SUM(O772:O778)</f>
        <v>0</v>
      </c>
      <c r="P771" s="59">
        <f>SUM(P772:P778)</f>
        <v>0</v>
      </c>
      <c r="Q771" s="59">
        <f>SUM(Q772:Q778)</f>
        <v>0</v>
      </c>
      <c r="R771" s="59">
        <f>SUM(R772:R778)</f>
        <v>0</v>
      </c>
      <c r="S771" s="59"/>
      <c r="T771" s="36"/>
      <c r="XDA771"/>
      <c r="XDB771"/>
      <c r="XDC771"/>
      <c r="XDD771"/>
      <c r="XDE771"/>
      <c r="XDF771"/>
      <c r="XDG771"/>
      <c r="XDH771"/>
      <c r="XDI771"/>
      <c r="XDJ771"/>
      <c r="XDK771"/>
      <c r="XDL771"/>
      <c r="XDM771"/>
      <c r="XDN771"/>
      <c r="XDO771"/>
      <c r="XDP771"/>
      <c r="XDQ771"/>
      <c r="XDR771"/>
      <c r="XDS771"/>
      <c r="XDT771"/>
      <c r="XDU771"/>
      <c r="XDV771"/>
      <c r="XDW771"/>
      <c r="XDX771"/>
      <c r="XDY771"/>
      <c r="XDZ771"/>
      <c r="XEA771"/>
      <c r="XEB771"/>
      <c r="XEC771"/>
      <c r="XED771"/>
      <c r="XEE771"/>
      <c r="XEF771"/>
      <c r="XEG771"/>
      <c r="XEH771"/>
      <c r="XEI771"/>
      <c r="XEJ771"/>
      <c r="XEK771"/>
      <c r="XEL771"/>
      <c r="XEM771"/>
      <c r="XEN771"/>
      <c r="XEO771"/>
      <c r="XEP771"/>
      <c r="XEQ771"/>
      <c r="XER771"/>
      <c r="XES771"/>
      <c r="XET771"/>
      <c r="XEU771"/>
      <c r="XEV771"/>
      <c r="XEW771"/>
      <c r="XEX771"/>
      <c r="XEY771"/>
      <c r="XEZ771"/>
      <c r="XFA771"/>
      <c r="XFB771"/>
      <c r="XFC771"/>
    </row>
    <row r="772" spans="1:20 16329:16383" s="38" customFormat="1" ht="29.1" customHeight="1" outlineLevel="4" x14ac:dyDescent="0.25">
      <c r="A772" s="49" t="s">
        <v>1560</v>
      </c>
      <c r="B772" s="50"/>
      <c r="C772" s="50"/>
      <c r="D772" s="3" t="s">
        <v>1544</v>
      </c>
      <c r="E772" s="3"/>
      <c r="F772" s="51" t="s">
        <v>1561</v>
      </c>
      <c r="G772" s="50" t="s">
        <v>102</v>
      </c>
      <c r="H772" s="52">
        <f>1</f>
        <v>1</v>
      </c>
      <c r="I772" s="36"/>
      <c r="J772" s="52">
        <v>1</v>
      </c>
      <c r="K772" s="53">
        <f>0</f>
        <v>0</v>
      </c>
      <c r="L772" s="53">
        <f>0</f>
        <v>0</v>
      </c>
      <c r="M772" s="53">
        <f>0</f>
        <v>0</v>
      </c>
      <c r="N772" s="54">
        <f t="shared" ref="N772:N778" si="49">SUM(K772:M772)</f>
        <v>0</v>
      </c>
      <c r="O772" s="54">
        <f t="shared" ref="O772:O778" si="50">ROUND((H772*K772),2)</f>
        <v>0</v>
      </c>
      <c r="P772" s="54">
        <f t="shared" ref="P772:P778" si="51">ROUND((H772*L772),2)</f>
        <v>0</v>
      </c>
      <c r="Q772" s="54">
        <f t="shared" ref="Q772:Q778" si="52">ROUND((H772*M772),2)</f>
        <v>0</v>
      </c>
      <c r="R772" s="54">
        <f t="shared" ref="R772:R778" si="53">ROUND((H772*N772),2)</f>
        <v>0</v>
      </c>
      <c r="S772" s="54"/>
      <c r="T772" s="36"/>
      <c r="XDA772"/>
      <c r="XDB772"/>
      <c r="XDC772"/>
      <c r="XDD772"/>
      <c r="XDE772"/>
      <c r="XDF772"/>
      <c r="XDG772"/>
      <c r="XDH772"/>
      <c r="XDI772"/>
      <c r="XDJ772"/>
      <c r="XDK772"/>
      <c r="XDL772"/>
      <c r="XDM772"/>
      <c r="XDN772"/>
      <c r="XDO772"/>
      <c r="XDP772"/>
      <c r="XDQ772"/>
      <c r="XDR772"/>
      <c r="XDS772"/>
      <c r="XDT772"/>
      <c r="XDU772"/>
      <c r="XDV772"/>
      <c r="XDW772"/>
      <c r="XDX772"/>
      <c r="XDY772"/>
      <c r="XDZ772"/>
      <c r="XEA772"/>
      <c r="XEB772"/>
      <c r="XEC772"/>
      <c r="XED772"/>
      <c r="XEE772"/>
      <c r="XEF772"/>
      <c r="XEG772"/>
      <c r="XEH772"/>
      <c r="XEI772"/>
      <c r="XEJ772"/>
      <c r="XEK772"/>
      <c r="XEL772"/>
      <c r="XEM772"/>
      <c r="XEN772"/>
      <c r="XEO772"/>
      <c r="XEP772"/>
      <c r="XEQ772"/>
      <c r="XER772"/>
      <c r="XES772"/>
      <c r="XET772"/>
      <c r="XEU772"/>
      <c r="XEV772"/>
      <c r="XEW772"/>
      <c r="XEX772"/>
      <c r="XEY772"/>
      <c r="XEZ772"/>
      <c r="XFA772"/>
      <c r="XFB772"/>
      <c r="XFC772"/>
    </row>
    <row r="773" spans="1:20 16329:16383" s="38" customFormat="1" ht="29.1" customHeight="1" outlineLevel="4" x14ac:dyDescent="0.25">
      <c r="A773" s="49" t="s">
        <v>1562</v>
      </c>
      <c r="B773" s="50"/>
      <c r="C773" s="50"/>
      <c r="D773" s="3" t="s">
        <v>1546</v>
      </c>
      <c r="E773" s="3"/>
      <c r="F773" s="51" t="s">
        <v>1561</v>
      </c>
      <c r="G773" s="50" t="s">
        <v>102</v>
      </c>
      <c r="H773" s="52">
        <f>1</f>
        <v>1</v>
      </c>
      <c r="I773" s="36"/>
      <c r="J773" s="52">
        <v>1</v>
      </c>
      <c r="K773" s="53">
        <f>0</f>
        <v>0</v>
      </c>
      <c r="L773" s="53">
        <f>0</f>
        <v>0</v>
      </c>
      <c r="M773" s="53">
        <f>0</f>
        <v>0</v>
      </c>
      <c r="N773" s="54">
        <f t="shared" si="49"/>
        <v>0</v>
      </c>
      <c r="O773" s="54">
        <f t="shared" si="50"/>
        <v>0</v>
      </c>
      <c r="P773" s="54">
        <f t="shared" si="51"/>
        <v>0</v>
      </c>
      <c r="Q773" s="54">
        <f t="shared" si="52"/>
        <v>0</v>
      </c>
      <c r="R773" s="54">
        <f t="shared" si="53"/>
        <v>0</v>
      </c>
      <c r="S773" s="54"/>
      <c r="T773" s="36"/>
      <c r="XDA773"/>
      <c r="XDB773"/>
      <c r="XDC773"/>
      <c r="XDD773"/>
      <c r="XDE773"/>
      <c r="XDF773"/>
      <c r="XDG773"/>
      <c r="XDH773"/>
      <c r="XDI773"/>
      <c r="XDJ773"/>
      <c r="XDK773"/>
      <c r="XDL773"/>
      <c r="XDM773"/>
      <c r="XDN773"/>
      <c r="XDO773"/>
      <c r="XDP773"/>
      <c r="XDQ773"/>
      <c r="XDR773"/>
      <c r="XDS773"/>
      <c r="XDT773"/>
      <c r="XDU773"/>
      <c r="XDV773"/>
      <c r="XDW773"/>
      <c r="XDX773"/>
      <c r="XDY773"/>
      <c r="XDZ773"/>
      <c r="XEA773"/>
      <c r="XEB773"/>
      <c r="XEC773"/>
      <c r="XED773"/>
      <c r="XEE773"/>
      <c r="XEF773"/>
      <c r="XEG773"/>
      <c r="XEH773"/>
      <c r="XEI773"/>
      <c r="XEJ773"/>
      <c r="XEK773"/>
      <c r="XEL773"/>
      <c r="XEM773"/>
      <c r="XEN773"/>
      <c r="XEO773"/>
      <c r="XEP773"/>
      <c r="XEQ773"/>
      <c r="XER773"/>
      <c r="XES773"/>
      <c r="XET773"/>
      <c r="XEU773"/>
      <c r="XEV773"/>
      <c r="XEW773"/>
      <c r="XEX773"/>
      <c r="XEY773"/>
      <c r="XEZ773"/>
      <c r="XFA773"/>
      <c r="XFB773"/>
      <c r="XFC773"/>
    </row>
    <row r="774" spans="1:20 16329:16383" s="38" customFormat="1" ht="29.1" customHeight="1" outlineLevel="4" x14ac:dyDescent="0.25">
      <c r="A774" s="49" t="s">
        <v>1563</v>
      </c>
      <c r="B774" s="50"/>
      <c r="C774" s="50"/>
      <c r="D774" s="3" t="s">
        <v>1550</v>
      </c>
      <c r="E774" s="3"/>
      <c r="F774" s="51" t="s">
        <v>1561</v>
      </c>
      <c r="G774" s="50" t="s">
        <v>102</v>
      </c>
      <c r="H774" s="52">
        <f>1</f>
        <v>1</v>
      </c>
      <c r="I774" s="36"/>
      <c r="J774" s="52">
        <v>1</v>
      </c>
      <c r="K774" s="53">
        <f>0</f>
        <v>0</v>
      </c>
      <c r="L774" s="53">
        <f>0</f>
        <v>0</v>
      </c>
      <c r="M774" s="53">
        <f>0</f>
        <v>0</v>
      </c>
      <c r="N774" s="54">
        <f t="shared" si="49"/>
        <v>0</v>
      </c>
      <c r="O774" s="54">
        <f t="shared" si="50"/>
        <v>0</v>
      </c>
      <c r="P774" s="54">
        <f t="shared" si="51"/>
        <v>0</v>
      </c>
      <c r="Q774" s="54">
        <f t="shared" si="52"/>
        <v>0</v>
      </c>
      <c r="R774" s="54">
        <f t="shared" si="53"/>
        <v>0</v>
      </c>
      <c r="S774" s="54"/>
      <c r="T774" s="36"/>
      <c r="XDA774"/>
      <c r="XDB774"/>
      <c r="XDC774"/>
      <c r="XDD774"/>
      <c r="XDE774"/>
      <c r="XDF774"/>
      <c r="XDG774"/>
      <c r="XDH774"/>
      <c r="XDI774"/>
      <c r="XDJ774"/>
      <c r="XDK774"/>
      <c r="XDL774"/>
      <c r="XDM774"/>
      <c r="XDN774"/>
      <c r="XDO774"/>
      <c r="XDP774"/>
      <c r="XDQ774"/>
      <c r="XDR774"/>
      <c r="XDS774"/>
      <c r="XDT774"/>
      <c r="XDU774"/>
      <c r="XDV774"/>
      <c r="XDW774"/>
      <c r="XDX774"/>
      <c r="XDY774"/>
      <c r="XDZ774"/>
      <c r="XEA774"/>
      <c r="XEB774"/>
      <c r="XEC774"/>
      <c r="XED774"/>
      <c r="XEE774"/>
      <c r="XEF774"/>
      <c r="XEG774"/>
      <c r="XEH774"/>
      <c r="XEI774"/>
      <c r="XEJ774"/>
      <c r="XEK774"/>
      <c r="XEL774"/>
      <c r="XEM774"/>
      <c r="XEN774"/>
      <c r="XEO774"/>
      <c r="XEP774"/>
      <c r="XEQ774"/>
      <c r="XER774"/>
      <c r="XES774"/>
      <c r="XET774"/>
      <c r="XEU774"/>
      <c r="XEV774"/>
      <c r="XEW774"/>
      <c r="XEX774"/>
      <c r="XEY774"/>
      <c r="XEZ774"/>
      <c r="XFA774"/>
      <c r="XFB774"/>
      <c r="XFC774"/>
    </row>
    <row r="775" spans="1:20 16329:16383" s="38" customFormat="1" ht="29.1" customHeight="1" outlineLevel="4" x14ac:dyDescent="0.25">
      <c r="A775" s="49" t="s">
        <v>1564</v>
      </c>
      <c r="B775" s="50"/>
      <c r="C775" s="50"/>
      <c r="D775" s="3" t="s">
        <v>1550</v>
      </c>
      <c r="E775" s="3"/>
      <c r="F775" s="51" t="s">
        <v>1561</v>
      </c>
      <c r="G775" s="50" t="s">
        <v>102</v>
      </c>
      <c r="H775" s="52">
        <f>1</f>
        <v>1</v>
      </c>
      <c r="I775" s="36"/>
      <c r="J775" s="52">
        <v>1</v>
      </c>
      <c r="K775" s="53">
        <f>0</f>
        <v>0</v>
      </c>
      <c r="L775" s="53">
        <f>0</f>
        <v>0</v>
      </c>
      <c r="M775" s="53">
        <f>0</f>
        <v>0</v>
      </c>
      <c r="N775" s="54">
        <f t="shared" si="49"/>
        <v>0</v>
      </c>
      <c r="O775" s="54">
        <f t="shared" si="50"/>
        <v>0</v>
      </c>
      <c r="P775" s="54">
        <f t="shared" si="51"/>
        <v>0</v>
      </c>
      <c r="Q775" s="54">
        <f t="shared" si="52"/>
        <v>0</v>
      </c>
      <c r="R775" s="54">
        <f t="shared" si="53"/>
        <v>0</v>
      </c>
      <c r="S775" s="54"/>
      <c r="T775" s="36"/>
      <c r="XDA775"/>
      <c r="XDB775"/>
      <c r="XDC775"/>
      <c r="XDD775"/>
      <c r="XDE775"/>
      <c r="XDF775"/>
      <c r="XDG775"/>
      <c r="XDH775"/>
      <c r="XDI775"/>
      <c r="XDJ775"/>
      <c r="XDK775"/>
      <c r="XDL775"/>
      <c r="XDM775"/>
      <c r="XDN775"/>
      <c r="XDO775"/>
      <c r="XDP775"/>
      <c r="XDQ775"/>
      <c r="XDR775"/>
      <c r="XDS775"/>
      <c r="XDT775"/>
      <c r="XDU775"/>
      <c r="XDV775"/>
      <c r="XDW775"/>
      <c r="XDX775"/>
      <c r="XDY775"/>
      <c r="XDZ775"/>
      <c r="XEA775"/>
      <c r="XEB775"/>
      <c r="XEC775"/>
      <c r="XED775"/>
      <c r="XEE775"/>
      <c r="XEF775"/>
      <c r="XEG775"/>
      <c r="XEH775"/>
      <c r="XEI775"/>
      <c r="XEJ775"/>
      <c r="XEK775"/>
      <c r="XEL775"/>
      <c r="XEM775"/>
      <c r="XEN775"/>
      <c r="XEO775"/>
      <c r="XEP775"/>
      <c r="XEQ775"/>
      <c r="XER775"/>
      <c r="XES775"/>
      <c r="XET775"/>
      <c r="XEU775"/>
      <c r="XEV775"/>
      <c r="XEW775"/>
      <c r="XEX775"/>
      <c r="XEY775"/>
      <c r="XEZ775"/>
      <c r="XFA775"/>
      <c r="XFB775"/>
      <c r="XFC775"/>
    </row>
    <row r="776" spans="1:20 16329:16383" s="38" customFormat="1" ht="29.1" customHeight="1" outlineLevel="4" x14ac:dyDescent="0.25">
      <c r="A776" s="49" t="s">
        <v>1565</v>
      </c>
      <c r="B776" s="50"/>
      <c r="C776" s="50"/>
      <c r="D776" s="3" t="s">
        <v>1552</v>
      </c>
      <c r="E776" s="3"/>
      <c r="F776" s="51" t="s">
        <v>1561</v>
      </c>
      <c r="G776" s="50" t="s">
        <v>102</v>
      </c>
      <c r="H776" s="52">
        <f>1</f>
        <v>1</v>
      </c>
      <c r="I776" s="36"/>
      <c r="J776" s="52">
        <v>1</v>
      </c>
      <c r="K776" s="53">
        <f>0</f>
        <v>0</v>
      </c>
      <c r="L776" s="53">
        <f>0</f>
        <v>0</v>
      </c>
      <c r="M776" s="53">
        <f>0</f>
        <v>0</v>
      </c>
      <c r="N776" s="54">
        <f t="shared" si="49"/>
        <v>0</v>
      </c>
      <c r="O776" s="54">
        <f t="shared" si="50"/>
        <v>0</v>
      </c>
      <c r="P776" s="54">
        <f t="shared" si="51"/>
        <v>0</v>
      </c>
      <c r="Q776" s="54">
        <f t="shared" si="52"/>
        <v>0</v>
      </c>
      <c r="R776" s="54">
        <f t="shared" si="53"/>
        <v>0</v>
      </c>
      <c r="S776" s="54"/>
      <c r="T776" s="36"/>
      <c r="XDA776"/>
      <c r="XDB776"/>
      <c r="XDC776"/>
      <c r="XDD776"/>
      <c r="XDE776"/>
      <c r="XDF776"/>
      <c r="XDG776"/>
      <c r="XDH776"/>
      <c r="XDI776"/>
      <c r="XDJ776"/>
      <c r="XDK776"/>
      <c r="XDL776"/>
      <c r="XDM776"/>
      <c r="XDN776"/>
      <c r="XDO776"/>
      <c r="XDP776"/>
      <c r="XDQ776"/>
      <c r="XDR776"/>
      <c r="XDS776"/>
      <c r="XDT776"/>
      <c r="XDU776"/>
      <c r="XDV776"/>
      <c r="XDW776"/>
      <c r="XDX776"/>
      <c r="XDY776"/>
      <c r="XDZ776"/>
      <c r="XEA776"/>
      <c r="XEB776"/>
      <c r="XEC776"/>
      <c r="XED776"/>
      <c r="XEE776"/>
      <c r="XEF776"/>
      <c r="XEG776"/>
      <c r="XEH776"/>
      <c r="XEI776"/>
      <c r="XEJ776"/>
      <c r="XEK776"/>
      <c r="XEL776"/>
      <c r="XEM776"/>
      <c r="XEN776"/>
      <c r="XEO776"/>
      <c r="XEP776"/>
      <c r="XEQ776"/>
      <c r="XER776"/>
      <c r="XES776"/>
      <c r="XET776"/>
      <c r="XEU776"/>
      <c r="XEV776"/>
      <c r="XEW776"/>
      <c r="XEX776"/>
      <c r="XEY776"/>
      <c r="XEZ776"/>
      <c r="XFA776"/>
      <c r="XFB776"/>
      <c r="XFC776"/>
    </row>
    <row r="777" spans="1:20 16329:16383" s="38" customFormat="1" ht="29.1" customHeight="1" outlineLevel="4" x14ac:dyDescent="0.25">
      <c r="A777" s="49" t="s">
        <v>1566</v>
      </c>
      <c r="B777" s="50"/>
      <c r="C777" s="50"/>
      <c r="D777" s="3" t="s">
        <v>1567</v>
      </c>
      <c r="E777" s="3"/>
      <c r="F777" s="51" t="s">
        <v>1561</v>
      </c>
      <c r="G777" s="50" t="s">
        <v>102</v>
      </c>
      <c r="H777" s="52">
        <f>1</f>
        <v>1</v>
      </c>
      <c r="I777" s="36"/>
      <c r="J777" s="52">
        <v>1</v>
      </c>
      <c r="K777" s="53">
        <f>0</f>
        <v>0</v>
      </c>
      <c r="L777" s="53">
        <f>0</f>
        <v>0</v>
      </c>
      <c r="M777" s="53">
        <f>0</f>
        <v>0</v>
      </c>
      <c r="N777" s="54">
        <f t="shared" si="49"/>
        <v>0</v>
      </c>
      <c r="O777" s="54">
        <f t="shared" si="50"/>
        <v>0</v>
      </c>
      <c r="P777" s="54">
        <f t="shared" si="51"/>
        <v>0</v>
      </c>
      <c r="Q777" s="54">
        <f t="shared" si="52"/>
        <v>0</v>
      </c>
      <c r="R777" s="54">
        <f t="shared" si="53"/>
        <v>0</v>
      </c>
      <c r="S777" s="54"/>
      <c r="T777" s="36"/>
      <c r="XDA777"/>
      <c r="XDB777"/>
      <c r="XDC777"/>
      <c r="XDD777"/>
      <c r="XDE777"/>
      <c r="XDF777"/>
      <c r="XDG777"/>
      <c r="XDH777"/>
      <c r="XDI777"/>
      <c r="XDJ777"/>
      <c r="XDK777"/>
      <c r="XDL777"/>
      <c r="XDM777"/>
      <c r="XDN777"/>
      <c r="XDO777"/>
      <c r="XDP777"/>
      <c r="XDQ777"/>
      <c r="XDR777"/>
      <c r="XDS777"/>
      <c r="XDT777"/>
      <c r="XDU777"/>
      <c r="XDV777"/>
      <c r="XDW777"/>
      <c r="XDX777"/>
      <c r="XDY777"/>
      <c r="XDZ777"/>
      <c r="XEA777"/>
      <c r="XEB777"/>
      <c r="XEC777"/>
      <c r="XED777"/>
      <c r="XEE777"/>
      <c r="XEF777"/>
      <c r="XEG777"/>
      <c r="XEH777"/>
      <c r="XEI777"/>
      <c r="XEJ777"/>
      <c r="XEK777"/>
      <c r="XEL777"/>
      <c r="XEM777"/>
      <c r="XEN777"/>
      <c r="XEO777"/>
      <c r="XEP777"/>
      <c r="XEQ777"/>
      <c r="XER777"/>
      <c r="XES777"/>
      <c r="XET777"/>
      <c r="XEU777"/>
      <c r="XEV777"/>
      <c r="XEW777"/>
      <c r="XEX777"/>
      <c r="XEY777"/>
      <c r="XEZ777"/>
      <c r="XFA777"/>
      <c r="XFB777"/>
      <c r="XFC777"/>
    </row>
    <row r="778" spans="1:20 16329:16383" s="38" customFormat="1" ht="29.1" customHeight="1" outlineLevel="4" x14ac:dyDescent="0.25">
      <c r="A778" s="49" t="s">
        <v>1568</v>
      </c>
      <c r="B778" s="50"/>
      <c r="C778" s="50"/>
      <c r="D778" s="3" t="s">
        <v>1569</v>
      </c>
      <c r="E778" s="3"/>
      <c r="F778" s="51" t="s">
        <v>1561</v>
      </c>
      <c r="G778" s="50" t="s">
        <v>102</v>
      </c>
      <c r="H778" s="52">
        <f>1</f>
        <v>1</v>
      </c>
      <c r="I778" s="36"/>
      <c r="J778" s="52">
        <v>1</v>
      </c>
      <c r="K778" s="53">
        <f>0</f>
        <v>0</v>
      </c>
      <c r="L778" s="53">
        <f>0</f>
        <v>0</v>
      </c>
      <c r="M778" s="53">
        <f>0</f>
        <v>0</v>
      </c>
      <c r="N778" s="54">
        <f t="shared" si="49"/>
        <v>0</v>
      </c>
      <c r="O778" s="54">
        <f t="shared" si="50"/>
        <v>0</v>
      </c>
      <c r="P778" s="54">
        <f t="shared" si="51"/>
        <v>0</v>
      </c>
      <c r="Q778" s="54">
        <f t="shared" si="52"/>
        <v>0</v>
      </c>
      <c r="R778" s="54">
        <f t="shared" si="53"/>
        <v>0</v>
      </c>
      <c r="S778" s="54"/>
      <c r="T778" s="36"/>
      <c r="XDA778"/>
      <c r="XDB778"/>
      <c r="XDC778"/>
      <c r="XDD778"/>
      <c r="XDE778"/>
      <c r="XDF778"/>
      <c r="XDG778"/>
      <c r="XDH778"/>
      <c r="XDI778"/>
      <c r="XDJ778"/>
      <c r="XDK778"/>
      <c r="XDL778"/>
      <c r="XDM778"/>
      <c r="XDN778"/>
      <c r="XDO778"/>
      <c r="XDP778"/>
      <c r="XDQ778"/>
      <c r="XDR778"/>
      <c r="XDS778"/>
      <c r="XDT778"/>
      <c r="XDU778"/>
      <c r="XDV778"/>
      <c r="XDW778"/>
      <c r="XDX778"/>
      <c r="XDY778"/>
      <c r="XDZ778"/>
      <c r="XEA778"/>
      <c r="XEB778"/>
      <c r="XEC778"/>
      <c r="XED778"/>
      <c r="XEE778"/>
      <c r="XEF778"/>
      <c r="XEG778"/>
      <c r="XEH778"/>
      <c r="XEI778"/>
      <c r="XEJ778"/>
      <c r="XEK778"/>
      <c r="XEL778"/>
      <c r="XEM778"/>
      <c r="XEN778"/>
      <c r="XEO778"/>
      <c r="XEP778"/>
      <c r="XEQ778"/>
      <c r="XER778"/>
      <c r="XES778"/>
      <c r="XET778"/>
      <c r="XEU778"/>
      <c r="XEV778"/>
      <c r="XEW778"/>
      <c r="XEX778"/>
      <c r="XEY778"/>
      <c r="XEZ778"/>
      <c r="XFA778"/>
      <c r="XFB778"/>
      <c r="XFC778"/>
    </row>
    <row r="779" spans="1:20 16329:16383" s="38" customFormat="1" ht="29.1" customHeight="1" outlineLevel="3" x14ac:dyDescent="0.25">
      <c r="A779" s="55" t="s">
        <v>1570</v>
      </c>
      <c r="B779" s="56" t="s">
        <v>1571</v>
      </c>
      <c r="C779" s="56"/>
      <c r="D779" s="2" t="s">
        <v>1572</v>
      </c>
      <c r="E779" s="2"/>
      <c r="F779" s="57"/>
      <c r="G779" s="56"/>
      <c r="H779" s="58"/>
      <c r="I779" s="36"/>
      <c r="J779" s="58"/>
      <c r="K779" s="59"/>
      <c r="L779" s="59"/>
      <c r="M779" s="59"/>
      <c r="N779" s="59"/>
      <c r="O779" s="59">
        <f>SUM(O780:O786)</f>
        <v>0</v>
      </c>
      <c r="P779" s="59">
        <f>SUM(P780:P786)</f>
        <v>0</v>
      </c>
      <c r="Q779" s="59">
        <f>SUM(Q780:Q786)</f>
        <v>0</v>
      </c>
      <c r="R779" s="59">
        <f>SUM(R780:R786)</f>
        <v>0</v>
      </c>
      <c r="S779" s="59"/>
      <c r="T779" s="36"/>
      <c r="XDA779"/>
      <c r="XDB779"/>
      <c r="XDC779"/>
      <c r="XDD779"/>
      <c r="XDE779"/>
      <c r="XDF779"/>
      <c r="XDG779"/>
      <c r="XDH779"/>
      <c r="XDI779"/>
      <c r="XDJ779"/>
      <c r="XDK779"/>
      <c r="XDL779"/>
      <c r="XDM779"/>
      <c r="XDN779"/>
      <c r="XDO779"/>
      <c r="XDP779"/>
      <c r="XDQ779"/>
      <c r="XDR779"/>
      <c r="XDS779"/>
      <c r="XDT779"/>
      <c r="XDU779"/>
      <c r="XDV779"/>
      <c r="XDW779"/>
      <c r="XDX779"/>
      <c r="XDY779"/>
      <c r="XDZ779"/>
      <c r="XEA779"/>
      <c r="XEB779"/>
      <c r="XEC779"/>
      <c r="XED779"/>
      <c r="XEE779"/>
      <c r="XEF779"/>
      <c r="XEG779"/>
      <c r="XEH779"/>
      <c r="XEI779"/>
      <c r="XEJ779"/>
      <c r="XEK779"/>
      <c r="XEL779"/>
      <c r="XEM779"/>
      <c r="XEN779"/>
      <c r="XEO779"/>
      <c r="XEP779"/>
      <c r="XEQ779"/>
      <c r="XER779"/>
      <c r="XES779"/>
      <c r="XET779"/>
      <c r="XEU779"/>
      <c r="XEV779"/>
      <c r="XEW779"/>
      <c r="XEX779"/>
      <c r="XEY779"/>
      <c r="XEZ779"/>
      <c r="XFA779"/>
      <c r="XFB779"/>
      <c r="XFC779"/>
    </row>
    <row r="780" spans="1:20 16329:16383" s="38" customFormat="1" ht="29.1" customHeight="1" outlineLevel="4" x14ac:dyDescent="0.25">
      <c r="A780" s="49" t="s">
        <v>1573</v>
      </c>
      <c r="B780" s="50"/>
      <c r="C780" s="50"/>
      <c r="D780" s="3" t="s">
        <v>1544</v>
      </c>
      <c r="E780" s="3"/>
      <c r="F780" s="51"/>
      <c r="G780" s="50" t="s">
        <v>102</v>
      </c>
      <c r="H780" s="52">
        <f>1</f>
        <v>1</v>
      </c>
      <c r="I780" s="36"/>
      <c r="J780" s="52">
        <v>1</v>
      </c>
      <c r="K780" s="53">
        <f>0</f>
        <v>0</v>
      </c>
      <c r="L780" s="53">
        <f>0</f>
        <v>0</v>
      </c>
      <c r="M780" s="53">
        <f>0</f>
        <v>0</v>
      </c>
      <c r="N780" s="54">
        <f t="shared" ref="N780:N786" si="54">SUM(K780:M780)</f>
        <v>0</v>
      </c>
      <c r="O780" s="54">
        <f t="shared" ref="O780:O786" si="55">ROUND((H780*K780),2)</f>
        <v>0</v>
      </c>
      <c r="P780" s="54">
        <f t="shared" ref="P780:P786" si="56">ROUND((H780*L780),2)</f>
        <v>0</v>
      </c>
      <c r="Q780" s="54">
        <f t="shared" ref="Q780:Q786" si="57">ROUND((H780*M780),2)</f>
        <v>0</v>
      </c>
      <c r="R780" s="54">
        <f t="shared" ref="R780:R786" si="58">ROUND((H780*N780),2)</f>
        <v>0</v>
      </c>
      <c r="S780" s="54"/>
      <c r="T780" s="36"/>
      <c r="XDA780"/>
      <c r="XDB780"/>
      <c r="XDC780"/>
      <c r="XDD780"/>
      <c r="XDE780"/>
      <c r="XDF780"/>
      <c r="XDG780"/>
      <c r="XDH780"/>
      <c r="XDI780"/>
      <c r="XDJ780"/>
      <c r="XDK780"/>
      <c r="XDL780"/>
      <c r="XDM780"/>
      <c r="XDN780"/>
      <c r="XDO780"/>
      <c r="XDP780"/>
      <c r="XDQ780"/>
      <c r="XDR780"/>
      <c r="XDS780"/>
      <c r="XDT780"/>
      <c r="XDU780"/>
      <c r="XDV780"/>
      <c r="XDW780"/>
      <c r="XDX780"/>
      <c r="XDY780"/>
      <c r="XDZ780"/>
      <c r="XEA780"/>
      <c r="XEB780"/>
      <c r="XEC780"/>
      <c r="XED780"/>
      <c r="XEE780"/>
      <c r="XEF780"/>
      <c r="XEG780"/>
      <c r="XEH780"/>
      <c r="XEI780"/>
      <c r="XEJ780"/>
      <c r="XEK780"/>
      <c r="XEL780"/>
      <c r="XEM780"/>
      <c r="XEN780"/>
      <c r="XEO780"/>
      <c r="XEP780"/>
      <c r="XEQ780"/>
      <c r="XER780"/>
      <c r="XES780"/>
      <c r="XET780"/>
      <c r="XEU780"/>
      <c r="XEV780"/>
      <c r="XEW780"/>
      <c r="XEX780"/>
      <c r="XEY780"/>
      <c r="XEZ780"/>
      <c r="XFA780"/>
      <c r="XFB780"/>
      <c r="XFC780"/>
    </row>
    <row r="781" spans="1:20 16329:16383" s="38" customFormat="1" ht="29.1" customHeight="1" outlineLevel="4" x14ac:dyDescent="0.25">
      <c r="A781" s="49" t="s">
        <v>1574</v>
      </c>
      <c r="B781" s="50"/>
      <c r="C781" s="50"/>
      <c r="D781" s="3" t="s">
        <v>1546</v>
      </c>
      <c r="E781" s="3"/>
      <c r="F781" s="51"/>
      <c r="G781" s="50" t="s">
        <v>102</v>
      </c>
      <c r="H781" s="52">
        <f>1</f>
        <v>1</v>
      </c>
      <c r="I781" s="36"/>
      <c r="J781" s="52">
        <v>1</v>
      </c>
      <c r="K781" s="53">
        <f>0</f>
        <v>0</v>
      </c>
      <c r="L781" s="53">
        <f>0</f>
        <v>0</v>
      </c>
      <c r="M781" s="53">
        <f>0</f>
        <v>0</v>
      </c>
      <c r="N781" s="54">
        <f t="shared" si="54"/>
        <v>0</v>
      </c>
      <c r="O781" s="54">
        <f t="shared" si="55"/>
        <v>0</v>
      </c>
      <c r="P781" s="54">
        <f t="shared" si="56"/>
        <v>0</v>
      </c>
      <c r="Q781" s="54">
        <f t="shared" si="57"/>
        <v>0</v>
      </c>
      <c r="R781" s="54">
        <f t="shared" si="58"/>
        <v>0</v>
      </c>
      <c r="S781" s="54"/>
      <c r="T781" s="36"/>
      <c r="XDA781"/>
      <c r="XDB781"/>
      <c r="XDC781"/>
      <c r="XDD781"/>
      <c r="XDE781"/>
      <c r="XDF781"/>
      <c r="XDG781"/>
      <c r="XDH781"/>
      <c r="XDI781"/>
      <c r="XDJ781"/>
      <c r="XDK781"/>
      <c r="XDL781"/>
      <c r="XDM781"/>
      <c r="XDN781"/>
      <c r="XDO781"/>
      <c r="XDP781"/>
      <c r="XDQ781"/>
      <c r="XDR781"/>
      <c r="XDS781"/>
      <c r="XDT781"/>
      <c r="XDU781"/>
      <c r="XDV781"/>
      <c r="XDW781"/>
      <c r="XDX781"/>
      <c r="XDY781"/>
      <c r="XDZ781"/>
      <c r="XEA781"/>
      <c r="XEB781"/>
      <c r="XEC781"/>
      <c r="XED781"/>
      <c r="XEE781"/>
      <c r="XEF781"/>
      <c r="XEG781"/>
      <c r="XEH781"/>
      <c r="XEI781"/>
      <c r="XEJ781"/>
      <c r="XEK781"/>
      <c r="XEL781"/>
      <c r="XEM781"/>
      <c r="XEN781"/>
      <c r="XEO781"/>
      <c r="XEP781"/>
      <c r="XEQ781"/>
      <c r="XER781"/>
      <c r="XES781"/>
      <c r="XET781"/>
      <c r="XEU781"/>
      <c r="XEV781"/>
      <c r="XEW781"/>
      <c r="XEX781"/>
      <c r="XEY781"/>
      <c r="XEZ781"/>
      <c r="XFA781"/>
      <c r="XFB781"/>
      <c r="XFC781"/>
    </row>
    <row r="782" spans="1:20 16329:16383" s="38" customFormat="1" ht="29.1" customHeight="1" outlineLevel="4" x14ac:dyDescent="0.25">
      <c r="A782" s="49" t="s">
        <v>1575</v>
      </c>
      <c r="B782" s="50"/>
      <c r="C782" s="50"/>
      <c r="D782" s="3" t="s">
        <v>1548</v>
      </c>
      <c r="E782" s="3"/>
      <c r="F782" s="51"/>
      <c r="G782" s="50" t="s">
        <v>102</v>
      </c>
      <c r="H782" s="52">
        <f>1</f>
        <v>1</v>
      </c>
      <c r="I782" s="36"/>
      <c r="J782" s="52">
        <v>1</v>
      </c>
      <c r="K782" s="53">
        <f>0</f>
        <v>0</v>
      </c>
      <c r="L782" s="53">
        <f>0</f>
        <v>0</v>
      </c>
      <c r="M782" s="53">
        <f>0</f>
        <v>0</v>
      </c>
      <c r="N782" s="54">
        <f t="shared" si="54"/>
        <v>0</v>
      </c>
      <c r="O782" s="54">
        <f t="shared" si="55"/>
        <v>0</v>
      </c>
      <c r="P782" s="54">
        <f t="shared" si="56"/>
        <v>0</v>
      </c>
      <c r="Q782" s="54">
        <f t="shared" si="57"/>
        <v>0</v>
      </c>
      <c r="R782" s="54">
        <f t="shared" si="58"/>
        <v>0</v>
      </c>
      <c r="S782" s="54"/>
      <c r="T782" s="36"/>
      <c r="XDA782"/>
      <c r="XDB782"/>
      <c r="XDC782"/>
      <c r="XDD782"/>
      <c r="XDE782"/>
      <c r="XDF782"/>
      <c r="XDG782"/>
      <c r="XDH782"/>
      <c r="XDI782"/>
      <c r="XDJ782"/>
      <c r="XDK782"/>
      <c r="XDL782"/>
      <c r="XDM782"/>
      <c r="XDN782"/>
      <c r="XDO782"/>
      <c r="XDP782"/>
      <c r="XDQ782"/>
      <c r="XDR782"/>
      <c r="XDS782"/>
      <c r="XDT782"/>
      <c r="XDU782"/>
      <c r="XDV782"/>
      <c r="XDW782"/>
      <c r="XDX782"/>
      <c r="XDY782"/>
      <c r="XDZ782"/>
      <c r="XEA782"/>
      <c r="XEB782"/>
      <c r="XEC782"/>
      <c r="XED782"/>
      <c r="XEE782"/>
      <c r="XEF782"/>
      <c r="XEG782"/>
      <c r="XEH782"/>
      <c r="XEI782"/>
      <c r="XEJ782"/>
      <c r="XEK782"/>
      <c r="XEL782"/>
      <c r="XEM782"/>
      <c r="XEN782"/>
      <c r="XEO782"/>
      <c r="XEP782"/>
      <c r="XEQ782"/>
      <c r="XER782"/>
      <c r="XES782"/>
      <c r="XET782"/>
      <c r="XEU782"/>
      <c r="XEV782"/>
      <c r="XEW782"/>
      <c r="XEX782"/>
      <c r="XEY782"/>
      <c r="XEZ782"/>
      <c r="XFA782"/>
      <c r="XFB782"/>
      <c r="XFC782"/>
    </row>
    <row r="783" spans="1:20 16329:16383" s="38" customFormat="1" ht="29.1" customHeight="1" outlineLevel="4" x14ac:dyDescent="0.25">
      <c r="A783" s="49" t="s">
        <v>1576</v>
      </c>
      <c r="B783" s="50"/>
      <c r="C783" s="50"/>
      <c r="D783" s="3" t="s">
        <v>1550</v>
      </c>
      <c r="E783" s="3"/>
      <c r="F783" s="51"/>
      <c r="G783" s="50" t="s">
        <v>102</v>
      </c>
      <c r="H783" s="52">
        <f>1</f>
        <v>1</v>
      </c>
      <c r="I783" s="36"/>
      <c r="J783" s="52">
        <v>1</v>
      </c>
      <c r="K783" s="53">
        <f>0</f>
        <v>0</v>
      </c>
      <c r="L783" s="53">
        <f>0</f>
        <v>0</v>
      </c>
      <c r="M783" s="53">
        <f>0</f>
        <v>0</v>
      </c>
      <c r="N783" s="54">
        <f t="shared" si="54"/>
        <v>0</v>
      </c>
      <c r="O783" s="54">
        <f t="shared" si="55"/>
        <v>0</v>
      </c>
      <c r="P783" s="54">
        <f t="shared" si="56"/>
        <v>0</v>
      </c>
      <c r="Q783" s="54">
        <f t="shared" si="57"/>
        <v>0</v>
      </c>
      <c r="R783" s="54">
        <f t="shared" si="58"/>
        <v>0</v>
      </c>
      <c r="S783" s="54"/>
      <c r="T783" s="36"/>
      <c r="XDA783"/>
      <c r="XDB783"/>
      <c r="XDC783"/>
      <c r="XDD783"/>
      <c r="XDE783"/>
      <c r="XDF783"/>
      <c r="XDG783"/>
      <c r="XDH783"/>
      <c r="XDI783"/>
      <c r="XDJ783"/>
      <c r="XDK783"/>
      <c r="XDL783"/>
      <c r="XDM783"/>
      <c r="XDN783"/>
      <c r="XDO783"/>
      <c r="XDP783"/>
      <c r="XDQ783"/>
      <c r="XDR783"/>
      <c r="XDS783"/>
      <c r="XDT783"/>
      <c r="XDU783"/>
      <c r="XDV783"/>
      <c r="XDW783"/>
      <c r="XDX783"/>
      <c r="XDY783"/>
      <c r="XDZ783"/>
      <c r="XEA783"/>
      <c r="XEB783"/>
      <c r="XEC783"/>
      <c r="XED783"/>
      <c r="XEE783"/>
      <c r="XEF783"/>
      <c r="XEG783"/>
      <c r="XEH783"/>
      <c r="XEI783"/>
      <c r="XEJ783"/>
      <c r="XEK783"/>
      <c r="XEL783"/>
      <c r="XEM783"/>
      <c r="XEN783"/>
      <c r="XEO783"/>
      <c r="XEP783"/>
      <c r="XEQ783"/>
      <c r="XER783"/>
      <c r="XES783"/>
      <c r="XET783"/>
      <c r="XEU783"/>
      <c r="XEV783"/>
      <c r="XEW783"/>
      <c r="XEX783"/>
      <c r="XEY783"/>
      <c r="XEZ783"/>
      <c r="XFA783"/>
      <c r="XFB783"/>
      <c r="XFC783"/>
    </row>
    <row r="784" spans="1:20 16329:16383" s="38" customFormat="1" ht="29.1" customHeight="1" outlineLevel="4" x14ac:dyDescent="0.25">
      <c r="A784" s="49" t="s">
        <v>1577</v>
      </c>
      <c r="B784" s="50"/>
      <c r="C784" s="50"/>
      <c r="D784" s="3" t="s">
        <v>1552</v>
      </c>
      <c r="E784" s="3"/>
      <c r="F784" s="51"/>
      <c r="G784" s="50" t="s">
        <v>102</v>
      </c>
      <c r="H784" s="52">
        <f>1</f>
        <v>1</v>
      </c>
      <c r="I784" s="36"/>
      <c r="J784" s="52">
        <v>1</v>
      </c>
      <c r="K784" s="53">
        <f>0</f>
        <v>0</v>
      </c>
      <c r="L784" s="53">
        <f>0</f>
        <v>0</v>
      </c>
      <c r="M784" s="53">
        <f>0</f>
        <v>0</v>
      </c>
      <c r="N784" s="54">
        <f t="shared" si="54"/>
        <v>0</v>
      </c>
      <c r="O784" s="54">
        <f t="shared" si="55"/>
        <v>0</v>
      </c>
      <c r="P784" s="54">
        <f t="shared" si="56"/>
        <v>0</v>
      </c>
      <c r="Q784" s="54">
        <f t="shared" si="57"/>
        <v>0</v>
      </c>
      <c r="R784" s="54">
        <f t="shared" si="58"/>
        <v>0</v>
      </c>
      <c r="S784" s="54"/>
      <c r="T784" s="36"/>
      <c r="XDA784"/>
      <c r="XDB784"/>
      <c r="XDC784"/>
      <c r="XDD784"/>
      <c r="XDE784"/>
      <c r="XDF784"/>
      <c r="XDG784"/>
      <c r="XDH784"/>
      <c r="XDI784"/>
      <c r="XDJ784"/>
      <c r="XDK784"/>
      <c r="XDL784"/>
      <c r="XDM784"/>
      <c r="XDN784"/>
      <c r="XDO784"/>
      <c r="XDP784"/>
      <c r="XDQ784"/>
      <c r="XDR784"/>
      <c r="XDS784"/>
      <c r="XDT784"/>
      <c r="XDU784"/>
      <c r="XDV784"/>
      <c r="XDW784"/>
      <c r="XDX784"/>
      <c r="XDY784"/>
      <c r="XDZ784"/>
      <c r="XEA784"/>
      <c r="XEB784"/>
      <c r="XEC784"/>
      <c r="XED784"/>
      <c r="XEE784"/>
      <c r="XEF784"/>
      <c r="XEG784"/>
      <c r="XEH784"/>
      <c r="XEI784"/>
      <c r="XEJ784"/>
      <c r="XEK784"/>
      <c r="XEL784"/>
      <c r="XEM784"/>
      <c r="XEN784"/>
      <c r="XEO784"/>
      <c r="XEP784"/>
      <c r="XEQ784"/>
      <c r="XER784"/>
      <c r="XES784"/>
      <c r="XET784"/>
      <c r="XEU784"/>
      <c r="XEV784"/>
      <c r="XEW784"/>
      <c r="XEX784"/>
      <c r="XEY784"/>
      <c r="XEZ784"/>
      <c r="XFA784"/>
      <c r="XFB784"/>
      <c r="XFC784"/>
    </row>
    <row r="785" spans="1:20 16329:16383" s="38" customFormat="1" ht="29.1" customHeight="1" outlineLevel="4" x14ac:dyDescent="0.25">
      <c r="A785" s="49" t="s">
        <v>1578</v>
      </c>
      <c r="B785" s="50"/>
      <c r="C785" s="50"/>
      <c r="D785" s="3" t="s">
        <v>1554</v>
      </c>
      <c r="E785" s="3"/>
      <c r="F785" s="51"/>
      <c r="G785" s="50" t="s">
        <v>102</v>
      </c>
      <c r="H785" s="52">
        <f>1</f>
        <v>1</v>
      </c>
      <c r="I785" s="36"/>
      <c r="J785" s="52">
        <v>1</v>
      </c>
      <c r="K785" s="53">
        <f>0</f>
        <v>0</v>
      </c>
      <c r="L785" s="53">
        <f>0</f>
        <v>0</v>
      </c>
      <c r="M785" s="53">
        <f>0</f>
        <v>0</v>
      </c>
      <c r="N785" s="54">
        <f t="shared" si="54"/>
        <v>0</v>
      </c>
      <c r="O785" s="54">
        <f t="shared" si="55"/>
        <v>0</v>
      </c>
      <c r="P785" s="54">
        <f t="shared" si="56"/>
        <v>0</v>
      </c>
      <c r="Q785" s="54">
        <f t="shared" si="57"/>
        <v>0</v>
      </c>
      <c r="R785" s="54">
        <f t="shared" si="58"/>
        <v>0</v>
      </c>
      <c r="S785" s="54"/>
      <c r="T785" s="36"/>
      <c r="XDA785"/>
      <c r="XDB785"/>
      <c r="XDC785"/>
      <c r="XDD785"/>
      <c r="XDE785"/>
      <c r="XDF785"/>
      <c r="XDG785"/>
      <c r="XDH785"/>
      <c r="XDI785"/>
      <c r="XDJ785"/>
      <c r="XDK785"/>
      <c r="XDL785"/>
      <c r="XDM785"/>
      <c r="XDN785"/>
      <c r="XDO785"/>
      <c r="XDP785"/>
      <c r="XDQ785"/>
      <c r="XDR785"/>
      <c r="XDS785"/>
      <c r="XDT785"/>
      <c r="XDU785"/>
      <c r="XDV785"/>
      <c r="XDW785"/>
      <c r="XDX785"/>
      <c r="XDY785"/>
      <c r="XDZ785"/>
      <c r="XEA785"/>
      <c r="XEB785"/>
      <c r="XEC785"/>
      <c r="XED785"/>
      <c r="XEE785"/>
      <c r="XEF785"/>
      <c r="XEG785"/>
      <c r="XEH785"/>
      <c r="XEI785"/>
      <c r="XEJ785"/>
      <c r="XEK785"/>
      <c r="XEL785"/>
      <c r="XEM785"/>
      <c r="XEN785"/>
      <c r="XEO785"/>
      <c r="XEP785"/>
      <c r="XEQ785"/>
      <c r="XER785"/>
      <c r="XES785"/>
      <c r="XET785"/>
      <c r="XEU785"/>
      <c r="XEV785"/>
      <c r="XEW785"/>
      <c r="XEX785"/>
      <c r="XEY785"/>
      <c r="XEZ785"/>
      <c r="XFA785"/>
      <c r="XFB785"/>
      <c r="XFC785"/>
    </row>
    <row r="786" spans="1:20 16329:16383" s="38" customFormat="1" ht="29.1" customHeight="1" outlineLevel="4" x14ac:dyDescent="0.25">
      <c r="A786" s="49" t="s">
        <v>1579</v>
      </c>
      <c r="B786" s="50"/>
      <c r="C786" s="50"/>
      <c r="D786" s="3" t="s">
        <v>1556</v>
      </c>
      <c r="E786" s="3"/>
      <c r="F786" s="51"/>
      <c r="G786" s="50" t="s">
        <v>102</v>
      </c>
      <c r="H786" s="52">
        <f>1</f>
        <v>1</v>
      </c>
      <c r="I786" s="36"/>
      <c r="J786" s="52">
        <v>1</v>
      </c>
      <c r="K786" s="53">
        <f>0</f>
        <v>0</v>
      </c>
      <c r="L786" s="53">
        <f>0</f>
        <v>0</v>
      </c>
      <c r="M786" s="53">
        <f>0</f>
        <v>0</v>
      </c>
      <c r="N786" s="54">
        <f t="shared" si="54"/>
        <v>0</v>
      </c>
      <c r="O786" s="54">
        <f t="shared" si="55"/>
        <v>0</v>
      </c>
      <c r="P786" s="54">
        <f t="shared" si="56"/>
        <v>0</v>
      </c>
      <c r="Q786" s="54">
        <f t="shared" si="57"/>
        <v>0</v>
      </c>
      <c r="R786" s="54">
        <f t="shared" si="58"/>
        <v>0</v>
      </c>
      <c r="S786" s="54"/>
      <c r="T786" s="36"/>
      <c r="XDA786"/>
      <c r="XDB786"/>
      <c r="XDC786"/>
      <c r="XDD786"/>
      <c r="XDE786"/>
      <c r="XDF786"/>
      <c r="XDG786"/>
      <c r="XDH786"/>
      <c r="XDI786"/>
      <c r="XDJ786"/>
      <c r="XDK786"/>
      <c r="XDL786"/>
      <c r="XDM786"/>
      <c r="XDN786"/>
      <c r="XDO786"/>
      <c r="XDP786"/>
      <c r="XDQ786"/>
      <c r="XDR786"/>
      <c r="XDS786"/>
      <c r="XDT786"/>
      <c r="XDU786"/>
      <c r="XDV786"/>
      <c r="XDW786"/>
      <c r="XDX786"/>
      <c r="XDY786"/>
      <c r="XDZ786"/>
      <c r="XEA786"/>
      <c r="XEB786"/>
      <c r="XEC786"/>
      <c r="XED786"/>
      <c r="XEE786"/>
      <c r="XEF786"/>
      <c r="XEG786"/>
      <c r="XEH786"/>
      <c r="XEI786"/>
      <c r="XEJ786"/>
      <c r="XEK786"/>
      <c r="XEL786"/>
      <c r="XEM786"/>
      <c r="XEN786"/>
      <c r="XEO786"/>
      <c r="XEP786"/>
      <c r="XEQ786"/>
      <c r="XER786"/>
      <c r="XES786"/>
      <c r="XET786"/>
      <c r="XEU786"/>
      <c r="XEV786"/>
      <c r="XEW786"/>
      <c r="XEX786"/>
      <c r="XEY786"/>
      <c r="XEZ786"/>
      <c r="XFA786"/>
      <c r="XFB786"/>
      <c r="XFC786"/>
    </row>
    <row r="787" spans="1:20 16329:16383" s="38" customFormat="1" ht="29.1" customHeight="1" outlineLevel="3" x14ac:dyDescent="0.25">
      <c r="A787" s="55" t="s">
        <v>1580</v>
      </c>
      <c r="B787" s="56" t="s">
        <v>1581</v>
      </c>
      <c r="C787" s="56"/>
      <c r="D787" s="2" t="s">
        <v>1582</v>
      </c>
      <c r="E787" s="2"/>
      <c r="F787" s="57"/>
      <c r="G787" s="56"/>
      <c r="H787" s="58"/>
      <c r="I787" s="36"/>
      <c r="J787" s="58"/>
      <c r="K787" s="59"/>
      <c r="L787" s="59"/>
      <c r="M787" s="59"/>
      <c r="N787" s="59"/>
      <c r="O787" s="59">
        <f>SUM(O788:O794)</f>
        <v>0</v>
      </c>
      <c r="P787" s="59">
        <f>SUM(P788:P794)</f>
        <v>0</v>
      </c>
      <c r="Q787" s="59">
        <f>SUM(Q788:Q794)</f>
        <v>0</v>
      </c>
      <c r="R787" s="59">
        <f>SUM(R788:R794)</f>
        <v>0</v>
      </c>
      <c r="S787" s="59"/>
      <c r="T787" s="36"/>
      <c r="XDA787"/>
      <c r="XDB787"/>
      <c r="XDC787"/>
      <c r="XDD787"/>
      <c r="XDE787"/>
      <c r="XDF787"/>
      <c r="XDG787"/>
      <c r="XDH787"/>
      <c r="XDI787"/>
      <c r="XDJ787"/>
      <c r="XDK787"/>
      <c r="XDL787"/>
      <c r="XDM787"/>
      <c r="XDN787"/>
      <c r="XDO787"/>
      <c r="XDP787"/>
      <c r="XDQ787"/>
      <c r="XDR787"/>
      <c r="XDS787"/>
      <c r="XDT787"/>
      <c r="XDU787"/>
      <c r="XDV787"/>
      <c r="XDW787"/>
      <c r="XDX787"/>
      <c r="XDY787"/>
      <c r="XDZ787"/>
      <c r="XEA787"/>
      <c r="XEB787"/>
      <c r="XEC787"/>
      <c r="XED787"/>
      <c r="XEE787"/>
      <c r="XEF787"/>
      <c r="XEG787"/>
      <c r="XEH787"/>
      <c r="XEI787"/>
      <c r="XEJ787"/>
      <c r="XEK787"/>
      <c r="XEL787"/>
      <c r="XEM787"/>
      <c r="XEN787"/>
      <c r="XEO787"/>
      <c r="XEP787"/>
      <c r="XEQ787"/>
      <c r="XER787"/>
      <c r="XES787"/>
      <c r="XET787"/>
      <c r="XEU787"/>
      <c r="XEV787"/>
      <c r="XEW787"/>
      <c r="XEX787"/>
      <c r="XEY787"/>
      <c r="XEZ787"/>
      <c r="XFA787"/>
      <c r="XFB787"/>
      <c r="XFC787"/>
    </row>
    <row r="788" spans="1:20 16329:16383" s="38" customFormat="1" ht="29.1" customHeight="1" outlineLevel="4" x14ac:dyDescent="0.25">
      <c r="A788" s="49" t="s">
        <v>1583</v>
      </c>
      <c r="B788" s="50"/>
      <c r="C788" s="50"/>
      <c r="D788" s="3" t="s">
        <v>1544</v>
      </c>
      <c r="E788" s="3"/>
      <c r="F788" s="51"/>
      <c r="G788" s="50" t="s">
        <v>102</v>
      </c>
      <c r="H788" s="52">
        <f>1</f>
        <v>1</v>
      </c>
      <c r="I788" s="36"/>
      <c r="J788" s="52">
        <v>1</v>
      </c>
      <c r="K788" s="53">
        <f>0</f>
        <v>0</v>
      </c>
      <c r="L788" s="53">
        <f>0</f>
        <v>0</v>
      </c>
      <c r="M788" s="53">
        <f>0</f>
        <v>0</v>
      </c>
      <c r="N788" s="54">
        <f t="shared" ref="N788:N794" si="59">SUM(K788:M788)</f>
        <v>0</v>
      </c>
      <c r="O788" s="54">
        <f t="shared" ref="O788:O794" si="60">ROUND((H788*K788),2)</f>
        <v>0</v>
      </c>
      <c r="P788" s="54">
        <f t="shared" ref="P788:P794" si="61">ROUND((H788*L788),2)</f>
        <v>0</v>
      </c>
      <c r="Q788" s="54">
        <f t="shared" ref="Q788:Q794" si="62">ROUND((H788*M788),2)</f>
        <v>0</v>
      </c>
      <c r="R788" s="54">
        <f t="shared" ref="R788:R794" si="63">ROUND((H788*N788),2)</f>
        <v>0</v>
      </c>
      <c r="S788" s="54"/>
      <c r="T788" s="36"/>
      <c r="XDA788"/>
      <c r="XDB788"/>
      <c r="XDC788"/>
      <c r="XDD788"/>
      <c r="XDE788"/>
      <c r="XDF788"/>
      <c r="XDG788"/>
      <c r="XDH788"/>
      <c r="XDI788"/>
      <c r="XDJ788"/>
      <c r="XDK788"/>
      <c r="XDL788"/>
      <c r="XDM788"/>
      <c r="XDN788"/>
      <c r="XDO788"/>
      <c r="XDP788"/>
      <c r="XDQ788"/>
      <c r="XDR788"/>
      <c r="XDS788"/>
      <c r="XDT788"/>
      <c r="XDU788"/>
      <c r="XDV788"/>
      <c r="XDW788"/>
      <c r="XDX788"/>
      <c r="XDY788"/>
      <c r="XDZ788"/>
      <c r="XEA788"/>
      <c r="XEB788"/>
      <c r="XEC788"/>
      <c r="XED788"/>
      <c r="XEE788"/>
      <c r="XEF788"/>
      <c r="XEG788"/>
      <c r="XEH788"/>
      <c r="XEI788"/>
      <c r="XEJ788"/>
      <c r="XEK788"/>
      <c r="XEL788"/>
      <c r="XEM788"/>
      <c r="XEN788"/>
      <c r="XEO788"/>
      <c r="XEP788"/>
      <c r="XEQ788"/>
      <c r="XER788"/>
      <c r="XES788"/>
      <c r="XET788"/>
      <c r="XEU788"/>
      <c r="XEV788"/>
      <c r="XEW788"/>
      <c r="XEX788"/>
      <c r="XEY788"/>
      <c r="XEZ788"/>
      <c r="XFA788"/>
      <c r="XFB788"/>
      <c r="XFC788"/>
    </row>
    <row r="789" spans="1:20 16329:16383" s="38" customFormat="1" ht="29.1" customHeight="1" outlineLevel="4" x14ac:dyDescent="0.25">
      <c r="A789" s="49" t="s">
        <v>1584</v>
      </c>
      <c r="B789" s="50"/>
      <c r="C789" s="50"/>
      <c r="D789" s="3" t="s">
        <v>1546</v>
      </c>
      <c r="E789" s="3"/>
      <c r="F789" s="51"/>
      <c r="G789" s="50" t="s">
        <v>102</v>
      </c>
      <c r="H789" s="52">
        <f>1</f>
        <v>1</v>
      </c>
      <c r="I789" s="36"/>
      <c r="J789" s="52">
        <v>1</v>
      </c>
      <c r="K789" s="53">
        <f>0</f>
        <v>0</v>
      </c>
      <c r="L789" s="53">
        <f>0</f>
        <v>0</v>
      </c>
      <c r="M789" s="53">
        <f>0</f>
        <v>0</v>
      </c>
      <c r="N789" s="54">
        <f t="shared" si="59"/>
        <v>0</v>
      </c>
      <c r="O789" s="54">
        <f t="shared" si="60"/>
        <v>0</v>
      </c>
      <c r="P789" s="54">
        <f t="shared" si="61"/>
        <v>0</v>
      </c>
      <c r="Q789" s="54">
        <f t="shared" si="62"/>
        <v>0</v>
      </c>
      <c r="R789" s="54">
        <f t="shared" si="63"/>
        <v>0</v>
      </c>
      <c r="S789" s="54"/>
      <c r="T789" s="36"/>
      <c r="XDA789"/>
      <c r="XDB789"/>
      <c r="XDC789"/>
      <c r="XDD789"/>
      <c r="XDE789"/>
      <c r="XDF789"/>
      <c r="XDG789"/>
      <c r="XDH789"/>
      <c r="XDI789"/>
      <c r="XDJ789"/>
      <c r="XDK789"/>
      <c r="XDL789"/>
      <c r="XDM789"/>
      <c r="XDN789"/>
      <c r="XDO789"/>
      <c r="XDP789"/>
      <c r="XDQ789"/>
      <c r="XDR789"/>
      <c r="XDS789"/>
      <c r="XDT789"/>
      <c r="XDU789"/>
      <c r="XDV789"/>
      <c r="XDW789"/>
      <c r="XDX789"/>
      <c r="XDY789"/>
      <c r="XDZ789"/>
      <c r="XEA789"/>
      <c r="XEB789"/>
      <c r="XEC789"/>
      <c r="XED789"/>
      <c r="XEE789"/>
      <c r="XEF789"/>
      <c r="XEG789"/>
      <c r="XEH789"/>
      <c r="XEI789"/>
      <c r="XEJ789"/>
      <c r="XEK789"/>
      <c r="XEL789"/>
      <c r="XEM789"/>
      <c r="XEN789"/>
      <c r="XEO789"/>
      <c r="XEP789"/>
      <c r="XEQ789"/>
      <c r="XER789"/>
      <c r="XES789"/>
      <c r="XET789"/>
      <c r="XEU789"/>
      <c r="XEV789"/>
      <c r="XEW789"/>
      <c r="XEX789"/>
      <c r="XEY789"/>
      <c r="XEZ789"/>
      <c r="XFA789"/>
      <c r="XFB789"/>
      <c r="XFC789"/>
    </row>
    <row r="790" spans="1:20 16329:16383" s="38" customFormat="1" ht="29.1" customHeight="1" outlineLevel="4" x14ac:dyDescent="0.25">
      <c r="A790" s="49" t="s">
        <v>1585</v>
      </c>
      <c r="B790" s="50"/>
      <c r="C790" s="50"/>
      <c r="D790" s="3" t="s">
        <v>1548</v>
      </c>
      <c r="E790" s="3"/>
      <c r="F790" s="51"/>
      <c r="G790" s="50" t="s">
        <v>102</v>
      </c>
      <c r="H790" s="52">
        <f>1</f>
        <v>1</v>
      </c>
      <c r="I790" s="36"/>
      <c r="J790" s="52">
        <v>1</v>
      </c>
      <c r="K790" s="53">
        <f>0</f>
        <v>0</v>
      </c>
      <c r="L790" s="53">
        <f>0</f>
        <v>0</v>
      </c>
      <c r="M790" s="53">
        <f>0</f>
        <v>0</v>
      </c>
      <c r="N790" s="54">
        <f t="shared" si="59"/>
        <v>0</v>
      </c>
      <c r="O790" s="54">
        <f t="shared" si="60"/>
        <v>0</v>
      </c>
      <c r="P790" s="54">
        <f t="shared" si="61"/>
        <v>0</v>
      </c>
      <c r="Q790" s="54">
        <f t="shared" si="62"/>
        <v>0</v>
      </c>
      <c r="R790" s="54">
        <f t="shared" si="63"/>
        <v>0</v>
      </c>
      <c r="S790" s="54"/>
      <c r="T790" s="36"/>
      <c r="XDA790"/>
      <c r="XDB790"/>
      <c r="XDC790"/>
      <c r="XDD790"/>
      <c r="XDE790"/>
      <c r="XDF790"/>
      <c r="XDG790"/>
      <c r="XDH790"/>
      <c r="XDI790"/>
      <c r="XDJ790"/>
      <c r="XDK790"/>
      <c r="XDL790"/>
      <c r="XDM790"/>
      <c r="XDN790"/>
      <c r="XDO790"/>
      <c r="XDP790"/>
      <c r="XDQ790"/>
      <c r="XDR790"/>
      <c r="XDS790"/>
      <c r="XDT790"/>
      <c r="XDU790"/>
      <c r="XDV790"/>
      <c r="XDW790"/>
      <c r="XDX790"/>
      <c r="XDY790"/>
      <c r="XDZ790"/>
      <c r="XEA790"/>
      <c r="XEB790"/>
      <c r="XEC790"/>
      <c r="XED790"/>
      <c r="XEE790"/>
      <c r="XEF790"/>
      <c r="XEG790"/>
      <c r="XEH790"/>
      <c r="XEI790"/>
      <c r="XEJ790"/>
      <c r="XEK790"/>
      <c r="XEL790"/>
      <c r="XEM790"/>
      <c r="XEN790"/>
      <c r="XEO790"/>
      <c r="XEP790"/>
      <c r="XEQ790"/>
      <c r="XER790"/>
      <c r="XES790"/>
      <c r="XET790"/>
      <c r="XEU790"/>
      <c r="XEV790"/>
      <c r="XEW790"/>
      <c r="XEX790"/>
      <c r="XEY790"/>
      <c r="XEZ790"/>
      <c r="XFA790"/>
      <c r="XFB790"/>
      <c r="XFC790"/>
    </row>
    <row r="791" spans="1:20 16329:16383" s="38" customFormat="1" ht="29.1" customHeight="1" outlineLevel="4" x14ac:dyDescent="0.25">
      <c r="A791" s="49" t="s">
        <v>1586</v>
      </c>
      <c r="B791" s="50"/>
      <c r="C791" s="50"/>
      <c r="D791" s="3" t="s">
        <v>1550</v>
      </c>
      <c r="E791" s="3"/>
      <c r="F791" s="51"/>
      <c r="G791" s="50" t="s">
        <v>102</v>
      </c>
      <c r="H791" s="52">
        <f>1</f>
        <v>1</v>
      </c>
      <c r="I791" s="36"/>
      <c r="J791" s="52">
        <v>1</v>
      </c>
      <c r="K791" s="53">
        <f>0</f>
        <v>0</v>
      </c>
      <c r="L791" s="53">
        <f>0</f>
        <v>0</v>
      </c>
      <c r="M791" s="53">
        <f>0</f>
        <v>0</v>
      </c>
      <c r="N791" s="54">
        <f t="shared" si="59"/>
        <v>0</v>
      </c>
      <c r="O791" s="54">
        <f t="shared" si="60"/>
        <v>0</v>
      </c>
      <c r="P791" s="54">
        <f t="shared" si="61"/>
        <v>0</v>
      </c>
      <c r="Q791" s="54">
        <f t="shared" si="62"/>
        <v>0</v>
      </c>
      <c r="R791" s="54">
        <f t="shared" si="63"/>
        <v>0</v>
      </c>
      <c r="S791" s="54"/>
      <c r="T791" s="36"/>
      <c r="XDA791"/>
      <c r="XDB791"/>
      <c r="XDC791"/>
      <c r="XDD791"/>
      <c r="XDE791"/>
      <c r="XDF791"/>
      <c r="XDG791"/>
      <c r="XDH791"/>
      <c r="XDI791"/>
      <c r="XDJ791"/>
      <c r="XDK791"/>
      <c r="XDL791"/>
      <c r="XDM791"/>
      <c r="XDN791"/>
      <c r="XDO791"/>
      <c r="XDP791"/>
      <c r="XDQ791"/>
      <c r="XDR791"/>
      <c r="XDS791"/>
      <c r="XDT791"/>
      <c r="XDU791"/>
      <c r="XDV791"/>
      <c r="XDW791"/>
      <c r="XDX791"/>
      <c r="XDY791"/>
      <c r="XDZ791"/>
      <c r="XEA791"/>
      <c r="XEB791"/>
      <c r="XEC791"/>
      <c r="XED791"/>
      <c r="XEE791"/>
      <c r="XEF791"/>
      <c r="XEG791"/>
      <c r="XEH791"/>
      <c r="XEI791"/>
      <c r="XEJ791"/>
      <c r="XEK791"/>
      <c r="XEL791"/>
      <c r="XEM791"/>
      <c r="XEN791"/>
      <c r="XEO791"/>
      <c r="XEP791"/>
      <c r="XEQ791"/>
      <c r="XER791"/>
      <c r="XES791"/>
      <c r="XET791"/>
      <c r="XEU791"/>
      <c r="XEV791"/>
      <c r="XEW791"/>
      <c r="XEX791"/>
      <c r="XEY791"/>
      <c r="XEZ791"/>
      <c r="XFA791"/>
      <c r="XFB791"/>
      <c r="XFC791"/>
    </row>
    <row r="792" spans="1:20 16329:16383" s="38" customFormat="1" ht="29.1" customHeight="1" outlineLevel="4" x14ac:dyDescent="0.25">
      <c r="A792" s="49" t="s">
        <v>1587</v>
      </c>
      <c r="B792" s="50"/>
      <c r="C792" s="50"/>
      <c r="D792" s="3" t="s">
        <v>1552</v>
      </c>
      <c r="E792" s="3"/>
      <c r="F792" s="51"/>
      <c r="G792" s="50" t="s">
        <v>102</v>
      </c>
      <c r="H792" s="52">
        <f>1</f>
        <v>1</v>
      </c>
      <c r="I792" s="36"/>
      <c r="J792" s="52">
        <v>1</v>
      </c>
      <c r="K792" s="53">
        <f>0</f>
        <v>0</v>
      </c>
      <c r="L792" s="53">
        <f>0</f>
        <v>0</v>
      </c>
      <c r="M792" s="53">
        <f>0</f>
        <v>0</v>
      </c>
      <c r="N792" s="54">
        <f t="shared" si="59"/>
        <v>0</v>
      </c>
      <c r="O792" s="54">
        <f t="shared" si="60"/>
        <v>0</v>
      </c>
      <c r="P792" s="54">
        <f t="shared" si="61"/>
        <v>0</v>
      </c>
      <c r="Q792" s="54">
        <f t="shared" si="62"/>
        <v>0</v>
      </c>
      <c r="R792" s="54">
        <f t="shared" si="63"/>
        <v>0</v>
      </c>
      <c r="S792" s="54"/>
      <c r="T792" s="36"/>
      <c r="XDA792"/>
      <c r="XDB792"/>
      <c r="XDC792"/>
      <c r="XDD792"/>
      <c r="XDE792"/>
      <c r="XDF792"/>
      <c r="XDG792"/>
      <c r="XDH792"/>
      <c r="XDI792"/>
      <c r="XDJ792"/>
      <c r="XDK792"/>
      <c r="XDL792"/>
      <c r="XDM792"/>
      <c r="XDN792"/>
      <c r="XDO792"/>
      <c r="XDP792"/>
      <c r="XDQ792"/>
      <c r="XDR792"/>
      <c r="XDS792"/>
      <c r="XDT792"/>
      <c r="XDU792"/>
      <c r="XDV792"/>
      <c r="XDW792"/>
      <c r="XDX792"/>
      <c r="XDY792"/>
      <c r="XDZ792"/>
      <c r="XEA792"/>
      <c r="XEB792"/>
      <c r="XEC792"/>
      <c r="XED792"/>
      <c r="XEE792"/>
      <c r="XEF792"/>
      <c r="XEG792"/>
      <c r="XEH792"/>
      <c r="XEI792"/>
      <c r="XEJ792"/>
      <c r="XEK792"/>
      <c r="XEL792"/>
      <c r="XEM792"/>
      <c r="XEN792"/>
      <c r="XEO792"/>
      <c r="XEP792"/>
      <c r="XEQ792"/>
      <c r="XER792"/>
      <c r="XES792"/>
      <c r="XET792"/>
      <c r="XEU792"/>
      <c r="XEV792"/>
      <c r="XEW792"/>
      <c r="XEX792"/>
      <c r="XEY792"/>
      <c r="XEZ792"/>
      <c r="XFA792"/>
      <c r="XFB792"/>
      <c r="XFC792"/>
    </row>
    <row r="793" spans="1:20 16329:16383" s="38" customFormat="1" ht="29.1" customHeight="1" outlineLevel="4" x14ac:dyDescent="0.25">
      <c r="A793" s="49" t="s">
        <v>1588</v>
      </c>
      <c r="B793" s="50"/>
      <c r="C793" s="50"/>
      <c r="D793" s="3" t="s">
        <v>1554</v>
      </c>
      <c r="E793" s="3"/>
      <c r="F793" s="51"/>
      <c r="G793" s="50" t="s">
        <v>102</v>
      </c>
      <c r="H793" s="52">
        <f>1</f>
        <v>1</v>
      </c>
      <c r="I793" s="36"/>
      <c r="J793" s="52">
        <v>1</v>
      </c>
      <c r="K793" s="53">
        <f>0</f>
        <v>0</v>
      </c>
      <c r="L793" s="53">
        <f>0</f>
        <v>0</v>
      </c>
      <c r="M793" s="53">
        <f>0</f>
        <v>0</v>
      </c>
      <c r="N793" s="54">
        <f t="shared" si="59"/>
        <v>0</v>
      </c>
      <c r="O793" s="54">
        <f t="shared" si="60"/>
        <v>0</v>
      </c>
      <c r="P793" s="54">
        <f t="shared" si="61"/>
        <v>0</v>
      </c>
      <c r="Q793" s="54">
        <f t="shared" si="62"/>
        <v>0</v>
      </c>
      <c r="R793" s="54">
        <f t="shared" si="63"/>
        <v>0</v>
      </c>
      <c r="S793" s="54"/>
      <c r="T793" s="36"/>
      <c r="XDA793"/>
      <c r="XDB793"/>
      <c r="XDC793"/>
      <c r="XDD793"/>
      <c r="XDE793"/>
      <c r="XDF793"/>
      <c r="XDG793"/>
      <c r="XDH793"/>
      <c r="XDI793"/>
      <c r="XDJ793"/>
      <c r="XDK793"/>
      <c r="XDL793"/>
      <c r="XDM793"/>
      <c r="XDN793"/>
      <c r="XDO793"/>
      <c r="XDP793"/>
      <c r="XDQ793"/>
      <c r="XDR793"/>
      <c r="XDS793"/>
      <c r="XDT793"/>
      <c r="XDU793"/>
      <c r="XDV793"/>
      <c r="XDW793"/>
      <c r="XDX793"/>
      <c r="XDY793"/>
      <c r="XDZ793"/>
      <c r="XEA793"/>
      <c r="XEB793"/>
      <c r="XEC793"/>
      <c r="XED793"/>
      <c r="XEE793"/>
      <c r="XEF793"/>
      <c r="XEG793"/>
      <c r="XEH793"/>
      <c r="XEI793"/>
      <c r="XEJ793"/>
      <c r="XEK793"/>
      <c r="XEL793"/>
      <c r="XEM793"/>
      <c r="XEN793"/>
      <c r="XEO793"/>
      <c r="XEP793"/>
      <c r="XEQ793"/>
      <c r="XER793"/>
      <c r="XES793"/>
      <c r="XET793"/>
      <c r="XEU793"/>
      <c r="XEV793"/>
      <c r="XEW793"/>
      <c r="XEX793"/>
      <c r="XEY793"/>
      <c r="XEZ793"/>
      <c r="XFA793"/>
      <c r="XFB793"/>
      <c r="XFC793"/>
    </row>
    <row r="794" spans="1:20 16329:16383" s="38" customFormat="1" ht="29.1" customHeight="1" outlineLevel="4" x14ac:dyDescent="0.25">
      <c r="A794" s="49" t="s">
        <v>1589</v>
      </c>
      <c r="B794" s="50"/>
      <c r="C794" s="50"/>
      <c r="D794" s="3" t="s">
        <v>1556</v>
      </c>
      <c r="E794" s="3"/>
      <c r="F794" s="51"/>
      <c r="G794" s="50" t="s">
        <v>102</v>
      </c>
      <c r="H794" s="52">
        <f>1</f>
        <v>1</v>
      </c>
      <c r="I794" s="36"/>
      <c r="J794" s="52">
        <v>1</v>
      </c>
      <c r="K794" s="53">
        <f>0</f>
        <v>0</v>
      </c>
      <c r="L794" s="53">
        <f>0</f>
        <v>0</v>
      </c>
      <c r="M794" s="53">
        <f>0</f>
        <v>0</v>
      </c>
      <c r="N794" s="54">
        <f t="shared" si="59"/>
        <v>0</v>
      </c>
      <c r="O794" s="54">
        <f t="shared" si="60"/>
        <v>0</v>
      </c>
      <c r="P794" s="54">
        <f t="shared" si="61"/>
        <v>0</v>
      </c>
      <c r="Q794" s="54">
        <f t="shared" si="62"/>
        <v>0</v>
      </c>
      <c r="R794" s="54">
        <f t="shared" si="63"/>
        <v>0</v>
      </c>
      <c r="S794" s="54"/>
      <c r="T794" s="36"/>
      <c r="XDA794"/>
      <c r="XDB794"/>
      <c r="XDC794"/>
      <c r="XDD794"/>
      <c r="XDE794"/>
      <c r="XDF794"/>
      <c r="XDG794"/>
      <c r="XDH794"/>
      <c r="XDI794"/>
      <c r="XDJ794"/>
      <c r="XDK794"/>
      <c r="XDL794"/>
      <c r="XDM794"/>
      <c r="XDN794"/>
      <c r="XDO794"/>
      <c r="XDP794"/>
      <c r="XDQ794"/>
      <c r="XDR794"/>
      <c r="XDS794"/>
      <c r="XDT794"/>
      <c r="XDU794"/>
      <c r="XDV794"/>
      <c r="XDW794"/>
      <c r="XDX794"/>
      <c r="XDY794"/>
      <c r="XDZ794"/>
      <c r="XEA794"/>
      <c r="XEB794"/>
      <c r="XEC794"/>
      <c r="XED794"/>
      <c r="XEE794"/>
      <c r="XEF794"/>
      <c r="XEG794"/>
      <c r="XEH794"/>
      <c r="XEI794"/>
      <c r="XEJ794"/>
      <c r="XEK794"/>
      <c r="XEL794"/>
      <c r="XEM794"/>
      <c r="XEN794"/>
      <c r="XEO794"/>
      <c r="XEP794"/>
      <c r="XEQ794"/>
      <c r="XER794"/>
      <c r="XES794"/>
      <c r="XET794"/>
      <c r="XEU794"/>
      <c r="XEV794"/>
      <c r="XEW794"/>
      <c r="XEX794"/>
      <c r="XEY794"/>
      <c r="XEZ794"/>
      <c r="XFA794"/>
      <c r="XFB794"/>
      <c r="XFC794"/>
    </row>
    <row r="795" spans="1:20 16329:16383" s="38" customFormat="1" ht="29.1" customHeight="1" outlineLevel="3" x14ac:dyDescent="0.25">
      <c r="A795" s="55" t="s">
        <v>1590</v>
      </c>
      <c r="B795" s="56" t="s">
        <v>1591</v>
      </c>
      <c r="C795" s="56"/>
      <c r="D795" s="2" t="s">
        <v>1592</v>
      </c>
      <c r="E795" s="2"/>
      <c r="F795" s="57"/>
      <c r="G795" s="56"/>
      <c r="H795" s="58"/>
      <c r="I795" s="36"/>
      <c r="J795" s="58"/>
      <c r="K795" s="59"/>
      <c r="L795" s="59"/>
      <c r="M795" s="59"/>
      <c r="N795" s="59"/>
      <c r="O795" s="59">
        <f>SUM(O796:O802)</f>
        <v>0</v>
      </c>
      <c r="P795" s="59">
        <f>SUM(P796:P802)</f>
        <v>0</v>
      </c>
      <c r="Q795" s="59">
        <f>SUM(Q796:Q802)</f>
        <v>0</v>
      </c>
      <c r="R795" s="59">
        <f>SUM(R796:R802)</f>
        <v>0</v>
      </c>
      <c r="S795" s="59"/>
      <c r="T795" s="36"/>
      <c r="XDA795"/>
      <c r="XDB795"/>
      <c r="XDC795"/>
      <c r="XDD795"/>
      <c r="XDE795"/>
      <c r="XDF795"/>
      <c r="XDG795"/>
      <c r="XDH795"/>
      <c r="XDI795"/>
      <c r="XDJ795"/>
      <c r="XDK795"/>
      <c r="XDL795"/>
      <c r="XDM795"/>
      <c r="XDN795"/>
      <c r="XDO795"/>
      <c r="XDP795"/>
      <c r="XDQ795"/>
      <c r="XDR795"/>
      <c r="XDS795"/>
      <c r="XDT795"/>
      <c r="XDU795"/>
      <c r="XDV795"/>
      <c r="XDW795"/>
      <c r="XDX795"/>
      <c r="XDY795"/>
      <c r="XDZ795"/>
      <c r="XEA795"/>
      <c r="XEB795"/>
      <c r="XEC795"/>
      <c r="XED795"/>
      <c r="XEE795"/>
      <c r="XEF795"/>
      <c r="XEG795"/>
      <c r="XEH795"/>
      <c r="XEI795"/>
      <c r="XEJ795"/>
      <c r="XEK795"/>
      <c r="XEL795"/>
      <c r="XEM795"/>
      <c r="XEN795"/>
      <c r="XEO795"/>
      <c r="XEP795"/>
      <c r="XEQ795"/>
      <c r="XER795"/>
      <c r="XES795"/>
      <c r="XET795"/>
      <c r="XEU795"/>
      <c r="XEV795"/>
      <c r="XEW795"/>
      <c r="XEX795"/>
      <c r="XEY795"/>
      <c r="XEZ795"/>
      <c r="XFA795"/>
      <c r="XFB795"/>
      <c r="XFC795"/>
    </row>
    <row r="796" spans="1:20 16329:16383" s="38" customFormat="1" ht="29.1" customHeight="1" outlineLevel="4" x14ac:dyDescent="0.25">
      <c r="A796" s="49" t="s">
        <v>1593</v>
      </c>
      <c r="B796" s="50"/>
      <c r="C796" s="50"/>
      <c r="D796" s="3" t="s">
        <v>1544</v>
      </c>
      <c r="E796" s="3"/>
      <c r="F796" s="51"/>
      <c r="G796" s="50" t="s">
        <v>102</v>
      </c>
      <c r="H796" s="52">
        <f>1</f>
        <v>1</v>
      </c>
      <c r="I796" s="36"/>
      <c r="J796" s="52">
        <v>1</v>
      </c>
      <c r="K796" s="53">
        <f>0</f>
        <v>0</v>
      </c>
      <c r="L796" s="53">
        <f>0</f>
        <v>0</v>
      </c>
      <c r="M796" s="53">
        <f>0</f>
        <v>0</v>
      </c>
      <c r="N796" s="54">
        <f t="shared" ref="N796:N802" si="64">SUM(K796:M796)</f>
        <v>0</v>
      </c>
      <c r="O796" s="54">
        <f t="shared" ref="O796:O802" si="65">ROUND((H796*K796),2)</f>
        <v>0</v>
      </c>
      <c r="P796" s="54">
        <f t="shared" ref="P796:P802" si="66">ROUND((H796*L796),2)</f>
        <v>0</v>
      </c>
      <c r="Q796" s="54">
        <f t="shared" ref="Q796:Q802" si="67">ROUND((H796*M796),2)</f>
        <v>0</v>
      </c>
      <c r="R796" s="54">
        <f t="shared" ref="R796:R802" si="68">ROUND((H796*N796),2)</f>
        <v>0</v>
      </c>
      <c r="S796" s="54"/>
      <c r="T796" s="36"/>
      <c r="XDA796"/>
      <c r="XDB796"/>
      <c r="XDC796"/>
      <c r="XDD796"/>
      <c r="XDE796"/>
      <c r="XDF796"/>
      <c r="XDG796"/>
      <c r="XDH796"/>
      <c r="XDI796"/>
      <c r="XDJ796"/>
      <c r="XDK796"/>
      <c r="XDL796"/>
      <c r="XDM796"/>
      <c r="XDN796"/>
      <c r="XDO796"/>
      <c r="XDP796"/>
      <c r="XDQ796"/>
      <c r="XDR796"/>
      <c r="XDS796"/>
      <c r="XDT796"/>
      <c r="XDU796"/>
      <c r="XDV796"/>
      <c r="XDW796"/>
      <c r="XDX796"/>
      <c r="XDY796"/>
      <c r="XDZ796"/>
      <c r="XEA796"/>
      <c r="XEB796"/>
      <c r="XEC796"/>
      <c r="XED796"/>
      <c r="XEE796"/>
      <c r="XEF796"/>
      <c r="XEG796"/>
      <c r="XEH796"/>
      <c r="XEI796"/>
      <c r="XEJ796"/>
      <c r="XEK796"/>
      <c r="XEL796"/>
      <c r="XEM796"/>
      <c r="XEN796"/>
      <c r="XEO796"/>
      <c r="XEP796"/>
      <c r="XEQ796"/>
      <c r="XER796"/>
      <c r="XES796"/>
      <c r="XET796"/>
      <c r="XEU796"/>
      <c r="XEV796"/>
      <c r="XEW796"/>
      <c r="XEX796"/>
      <c r="XEY796"/>
      <c r="XEZ796"/>
      <c r="XFA796"/>
      <c r="XFB796"/>
      <c r="XFC796"/>
    </row>
    <row r="797" spans="1:20 16329:16383" s="38" customFormat="1" ht="29.1" customHeight="1" outlineLevel="4" x14ac:dyDescent="0.25">
      <c r="A797" s="49" t="s">
        <v>1594</v>
      </c>
      <c r="B797" s="50"/>
      <c r="C797" s="50"/>
      <c r="D797" s="3" t="s">
        <v>1546</v>
      </c>
      <c r="E797" s="3"/>
      <c r="F797" s="51"/>
      <c r="G797" s="50" t="s">
        <v>102</v>
      </c>
      <c r="H797" s="52">
        <f>1</f>
        <v>1</v>
      </c>
      <c r="I797" s="36"/>
      <c r="J797" s="52">
        <v>1</v>
      </c>
      <c r="K797" s="53">
        <f>0</f>
        <v>0</v>
      </c>
      <c r="L797" s="53">
        <f>0</f>
        <v>0</v>
      </c>
      <c r="M797" s="53">
        <f>0</f>
        <v>0</v>
      </c>
      <c r="N797" s="54">
        <f t="shared" si="64"/>
        <v>0</v>
      </c>
      <c r="O797" s="54">
        <f t="shared" si="65"/>
        <v>0</v>
      </c>
      <c r="P797" s="54">
        <f t="shared" si="66"/>
        <v>0</v>
      </c>
      <c r="Q797" s="54">
        <f t="shared" si="67"/>
        <v>0</v>
      </c>
      <c r="R797" s="54">
        <f t="shared" si="68"/>
        <v>0</v>
      </c>
      <c r="S797" s="54"/>
      <c r="T797" s="36"/>
      <c r="XDA797"/>
      <c r="XDB797"/>
      <c r="XDC797"/>
      <c r="XDD797"/>
      <c r="XDE797"/>
      <c r="XDF797"/>
      <c r="XDG797"/>
      <c r="XDH797"/>
      <c r="XDI797"/>
      <c r="XDJ797"/>
      <c r="XDK797"/>
      <c r="XDL797"/>
      <c r="XDM797"/>
      <c r="XDN797"/>
      <c r="XDO797"/>
      <c r="XDP797"/>
      <c r="XDQ797"/>
      <c r="XDR797"/>
      <c r="XDS797"/>
      <c r="XDT797"/>
      <c r="XDU797"/>
      <c r="XDV797"/>
      <c r="XDW797"/>
      <c r="XDX797"/>
      <c r="XDY797"/>
      <c r="XDZ797"/>
      <c r="XEA797"/>
      <c r="XEB797"/>
      <c r="XEC797"/>
      <c r="XED797"/>
      <c r="XEE797"/>
      <c r="XEF797"/>
      <c r="XEG797"/>
      <c r="XEH797"/>
      <c r="XEI797"/>
      <c r="XEJ797"/>
      <c r="XEK797"/>
      <c r="XEL797"/>
      <c r="XEM797"/>
      <c r="XEN797"/>
      <c r="XEO797"/>
      <c r="XEP797"/>
      <c r="XEQ797"/>
      <c r="XER797"/>
      <c r="XES797"/>
      <c r="XET797"/>
      <c r="XEU797"/>
      <c r="XEV797"/>
      <c r="XEW797"/>
      <c r="XEX797"/>
      <c r="XEY797"/>
      <c r="XEZ797"/>
      <c r="XFA797"/>
      <c r="XFB797"/>
      <c r="XFC797"/>
    </row>
    <row r="798" spans="1:20 16329:16383" s="38" customFormat="1" ht="29.1" customHeight="1" outlineLevel="4" x14ac:dyDescent="0.25">
      <c r="A798" s="49" t="s">
        <v>1595</v>
      </c>
      <c r="B798" s="50"/>
      <c r="C798" s="50"/>
      <c r="D798" s="3" t="s">
        <v>1548</v>
      </c>
      <c r="E798" s="3"/>
      <c r="F798" s="51"/>
      <c r="G798" s="50" t="s">
        <v>102</v>
      </c>
      <c r="H798" s="52">
        <f>1</f>
        <v>1</v>
      </c>
      <c r="I798" s="36"/>
      <c r="J798" s="52">
        <v>1</v>
      </c>
      <c r="K798" s="53">
        <f>0</f>
        <v>0</v>
      </c>
      <c r="L798" s="53">
        <f>0</f>
        <v>0</v>
      </c>
      <c r="M798" s="53">
        <f>0</f>
        <v>0</v>
      </c>
      <c r="N798" s="54">
        <f t="shared" si="64"/>
        <v>0</v>
      </c>
      <c r="O798" s="54">
        <f t="shared" si="65"/>
        <v>0</v>
      </c>
      <c r="P798" s="54">
        <f t="shared" si="66"/>
        <v>0</v>
      </c>
      <c r="Q798" s="54">
        <f t="shared" si="67"/>
        <v>0</v>
      </c>
      <c r="R798" s="54">
        <f t="shared" si="68"/>
        <v>0</v>
      </c>
      <c r="S798" s="54"/>
      <c r="T798" s="36"/>
      <c r="XDA798"/>
      <c r="XDB798"/>
      <c r="XDC798"/>
      <c r="XDD798"/>
      <c r="XDE798"/>
      <c r="XDF798"/>
      <c r="XDG798"/>
      <c r="XDH798"/>
      <c r="XDI798"/>
      <c r="XDJ798"/>
      <c r="XDK798"/>
      <c r="XDL798"/>
      <c r="XDM798"/>
      <c r="XDN798"/>
      <c r="XDO798"/>
      <c r="XDP798"/>
      <c r="XDQ798"/>
      <c r="XDR798"/>
      <c r="XDS798"/>
      <c r="XDT798"/>
      <c r="XDU798"/>
      <c r="XDV798"/>
      <c r="XDW798"/>
      <c r="XDX798"/>
      <c r="XDY798"/>
      <c r="XDZ798"/>
      <c r="XEA798"/>
      <c r="XEB798"/>
      <c r="XEC798"/>
      <c r="XED798"/>
      <c r="XEE798"/>
      <c r="XEF798"/>
      <c r="XEG798"/>
      <c r="XEH798"/>
      <c r="XEI798"/>
      <c r="XEJ798"/>
      <c r="XEK798"/>
      <c r="XEL798"/>
      <c r="XEM798"/>
      <c r="XEN798"/>
      <c r="XEO798"/>
      <c r="XEP798"/>
      <c r="XEQ798"/>
      <c r="XER798"/>
      <c r="XES798"/>
      <c r="XET798"/>
      <c r="XEU798"/>
      <c r="XEV798"/>
      <c r="XEW798"/>
      <c r="XEX798"/>
      <c r="XEY798"/>
      <c r="XEZ798"/>
      <c r="XFA798"/>
      <c r="XFB798"/>
      <c r="XFC798"/>
    </row>
    <row r="799" spans="1:20 16329:16383" s="38" customFormat="1" ht="29.1" customHeight="1" outlineLevel="4" x14ac:dyDescent="0.25">
      <c r="A799" s="49" t="s">
        <v>1596</v>
      </c>
      <c r="B799" s="50"/>
      <c r="C799" s="50"/>
      <c r="D799" s="3" t="s">
        <v>1550</v>
      </c>
      <c r="E799" s="3"/>
      <c r="F799" s="51"/>
      <c r="G799" s="50" t="s">
        <v>102</v>
      </c>
      <c r="H799" s="52">
        <f>1</f>
        <v>1</v>
      </c>
      <c r="I799" s="36"/>
      <c r="J799" s="52">
        <v>1</v>
      </c>
      <c r="K799" s="53">
        <f>0</f>
        <v>0</v>
      </c>
      <c r="L799" s="53">
        <f>0</f>
        <v>0</v>
      </c>
      <c r="M799" s="53">
        <f>0</f>
        <v>0</v>
      </c>
      <c r="N799" s="54">
        <f t="shared" si="64"/>
        <v>0</v>
      </c>
      <c r="O799" s="54">
        <f t="shared" si="65"/>
        <v>0</v>
      </c>
      <c r="P799" s="54">
        <f t="shared" si="66"/>
        <v>0</v>
      </c>
      <c r="Q799" s="54">
        <f t="shared" si="67"/>
        <v>0</v>
      </c>
      <c r="R799" s="54">
        <f t="shared" si="68"/>
        <v>0</v>
      </c>
      <c r="S799" s="54"/>
      <c r="T799" s="36"/>
      <c r="XDA799"/>
      <c r="XDB799"/>
      <c r="XDC799"/>
      <c r="XDD799"/>
      <c r="XDE799"/>
      <c r="XDF799"/>
      <c r="XDG799"/>
      <c r="XDH799"/>
      <c r="XDI799"/>
      <c r="XDJ799"/>
      <c r="XDK799"/>
      <c r="XDL799"/>
      <c r="XDM799"/>
      <c r="XDN799"/>
      <c r="XDO799"/>
      <c r="XDP799"/>
      <c r="XDQ799"/>
      <c r="XDR799"/>
      <c r="XDS799"/>
      <c r="XDT799"/>
      <c r="XDU799"/>
      <c r="XDV799"/>
      <c r="XDW799"/>
      <c r="XDX799"/>
      <c r="XDY799"/>
      <c r="XDZ799"/>
      <c r="XEA799"/>
      <c r="XEB799"/>
      <c r="XEC799"/>
      <c r="XED799"/>
      <c r="XEE799"/>
      <c r="XEF799"/>
      <c r="XEG799"/>
      <c r="XEH799"/>
      <c r="XEI799"/>
      <c r="XEJ799"/>
      <c r="XEK799"/>
      <c r="XEL799"/>
      <c r="XEM799"/>
      <c r="XEN799"/>
      <c r="XEO799"/>
      <c r="XEP799"/>
      <c r="XEQ799"/>
      <c r="XER799"/>
      <c r="XES799"/>
      <c r="XET799"/>
      <c r="XEU799"/>
      <c r="XEV799"/>
      <c r="XEW799"/>
      <c r="XEX799"/>
      <c r="XEY799"/>
      <c r="XEZ799"/>
      <c r="XFA799"/>
      <c r="XFB799"/>
      <c r="XFC799"/>
    </row>
    <row r="800" spans="1:20 16329:16383" s="38" customFormat="1" ht="29.1" customHeight="1" outlineLevel="4" x14ac:dyDescent="0.25">
      <c r="A800" s="49" t="s">
        <v>1597</v>
      </c>
      <c r="B800" s="50"/>
      <c r="C800" s="50"/>
      <c r="D800" s="3" t="s">
        <v>1552</v>
      </c>
      <c r="E800" s="3"/>
      <c r="F800" s="51"/>
      <c r="G800" s="50" t="s">
        <v>102</v>
      </c>
      <c r="H800" s="52">
        <f>1</f>
        <v>1</v>
      </c>
      <c r="I800" s="36"/>
      <c r="J800" s="52">
        <v>1</v>
      </c>
      <c r="K800" s="53">
        <f>0</f>
        <v>0</v>
      </c>
      <c r="L800" s="53">
        <f>0</f>
        <v>0</v>
      </c>
      <c r="M800" s="53">
        <f>0</f>
        <v>0</v>
      </c>
      <c r="N800" s="54">
        <f t="shared" si="64"/>
        <v>0</v>
      </c>
      <c r="O800" s="54">
        <f t="shared" si="65"/>
        <v>0</v>
      </c>
      <c r="P800" s="54">
        <f t="shared" si="66"/>
        <v>0</v>
      </c>
      <c r="Q800" s="54">
        <f t="shared" si="67"/>
        <v>0</v>
      </c>
      <c r="R800" s="54">
        <f t="shared" si="68"/>
        <v>0</v>
      </c>
      <c r="S800" s="54"/>
      <c r="T800" s="36"/>
      <c r="XDA800"/>
      <c r="XDB800"/>
      <c r="XDC800"/>
      <c r="XDD800"/>
      <c r="XDE800"/>
      <c r="XDF800"/>
      <c r="XDG800"/>
      <c r="XDH800"/>
      <c r="XDI800"/>
      <c r="XDJ800"/>
      <c r="XDK800"/>
      <c r="XDL800"/>
      <c r="XDM800"/>
      <c r="XDN800"/>
      <c r="XDO800"/>
      <c r="XDP800"/>
      <c r="XDQ800"/>
      <c r="XDR800"/>
      <c r="XDS800"/>
      <c r="XDT800"/>
      <c r="XDU800"/>
      <c r="XDV800"/>
      <c r="XDW800"/>
      <c r="XDX800"/>
      <c r="XDY800"/>
      <c r="XDZ800"/>
      <c r="XEA800"/>
      <c r="XEB800"/>
      <c r="XEC800"/>
      <c r="XED800"/>
      <c r="XEE800"/>
      <c r="XEF800"/>
      <c r="XEG800"/>
      <c r="XEH800"/>
      <c r="XEI800"/>
      <c r="XEJ800"/>
      <c r="XEK800"/>
      <c r="XEL800"/>
      <c r="XEM800"/>
      <c r="XEN800"/>
      <c r="XEO800"/>
      <c r="XEP800"/>
      <c r="XEQ800"/>
      <c r="XER800"/>
      <c r="XES800"/>
      <c r="XET800"/>
      <c r="XEU800"/>
      <c r="XEV800"/>
      <c r="XEW800"/>
      <c r="XEX800"/>
      <c r="XEY800"/>
      <c r="XEZ800"/>
      <c r="XFA800"/>
      <c r="XFB800"/>
      <c r="XFC800"/>
    </row>
    <row r="801" spans="1:20 16329:16383" s="38" customFormat="1" ht="29.1" customHeight="1" outlineLevel="4" x14ac:dyDescent="0.25">
      <c r="A801" s="49" t="s">
        <v>1598</v>
      </c>
      <c r="B801" s="50"/>
      <c r="C801" s="50"/>
      <c r="D801" s="3" t="s">
        <v>1554</v>
      </c>
      <c r="E801" s="3"/>
      <c r="F801" s="51"/>
      <c r="G801" s="50" t="s">
        <v>102</v>
      </c>
      <c r="H801" s="52">
        <f>1</f>
        <v>1</v>
      </c>
      <c r="I801" s="36"/>
      <c r="J801" s="52">
        <v>1</v>
      </c>
      <c r="K801" s="53">
        <f>0</f>
        <v>0</v>
      </c>
      <c r="L801" s="53">
        <f>0</f>
        <v>0</v>
      </c>
      <c r="M801" s="53">
        <f>0</f>
        <v>0</v>
      </c>
      <c r="N801" s="54">
        <f t="shared" si="64"/>
        <v>0</v>
      </c>
      <c r="O801" s="54">
        <f t="shared" si="65"/>
        <v>0</v>
      </c>
      <c r="P801" s="54">
        <f t="shared" si="66"/>
        <v>0</v>
      </c>
      <c r="Q801" s="54">
        <f t="shared" si="67"/>
        <v>0</v>
      </c>
      <c r="R801" s="54">
        <f t="shared" si="68"/>
        <v>0</v>
      </c>
      <c r="S801" s="54"/>
      <c r="T801" s="36"/>
      <c r="XDA801"/>
      <c r="XDB801"/>
      <c r="XDC801"/>
      <c r="XDD801"/>
      <c r="XDE801"/>
      <c r="XDF801"/>
      <c r="XDG801"/>
      <c r="XDH801"/>
      <c r="XDI801"/>
      <c r="XDJ801"/>
      <c r="XDK801"/>
      <c r="XDL801"/>
      <c r="XDM801"/>
      <c r="XDN801"/>
      <c r="XDO801"/>
      <c r="XDP801"/>
      <c r="XDQ801"/>
      <c r="XDR801"/>
      <c r="XDS801"/>
      <c r="XDT801"/>
      <c r="XDU801"/>
      <c r="XDV801"/>
      <c r="XDW801"/>
      <c r="XDX801"/>
      <c r="XDY801"/>
      <c r="XDZ801"/>
      <c r="XEA801"/>
      <c r="XEB801"/>
      <c r="XEC801"/>
      <c r="XED801"/>
      <c r="XEE801"/>
      <c r="XEF801"/>
      <c r="XEG801"/>
      <c r="XEH801"/>
      <c r="XEI801"/>
      <c r="XEJ801"/>
      <c r="XEK801"/>
      <c r="XEL801"/>
      <c r="XEM801"/>
      <c r="XEN801"/>
      <c r="XEO801"/>
      <c r="XEP801"/>
      <c r="XEQ801"/>
      <c r="XER801"/>
      <c r="XES801"/>
      <c r="XET801"/>
      <c r="XEU801"/>
      <c r="XEV801"/>
      <c r="XEW801"/>
      <c r="XEX801"/>
      <c r="XEY801"/>
      <c r="XEZ801"/>
      <c r="XFA801"/>
      <c r="XFB801"/>
      <c r="XFC801"/>
    </row>
    <row r="802" spans="1:20 16329:16383" s="38" customFormat="1" ht="29.1" customHeight="1" outlineLevel="4" x14ac:dyDescent="0.25">
      <c r="A802" s="49" t="s">
        <v>1599</v>
      </c>
      <c r="B802" s="50"/>
      <c r="C802" s="50"/>
      <c r="D802" s="3" t="s">
        <v>1556</v>
      </c>
      <c r="E802" s="3"/>
      <c r="F802" s="51"/>
      <c r="G802" s="50" t="s">
        <v>102</v>
      </c>
      <c r="H802" s="52">
        <f>1</f>
        <v>1</v>
      </c>
      <c r="I802" s="36"/>
      <c r="J802" s="52">
        <v>1</v>
      </c>
      <c r="K802" s="53">
        <f>0</f>
        <v>0</v>
      </c>
      <c r="L802" s="53">
        <f>0</f>
        <v>0</v>
      </c>
      <c r="M802" s="53">
        <f>0</f>
        <v>0</v>
      </c>
      <c r="N802" s="54">
        <f t="shared" si="64"/>
        <v>0</v>
      </c>
      <c r="O802" s="54">
        <f t="shared" si="65"/>
        <v>0</v>
      </c>
      <c r="P802" s="54">
        <f t="shared" si="66"/>
        <v>0</v>
      </c>
      <c r="Q802" s="54">
        <f t="shared" si="67"/>
        <v>0</v>
      </c>
      <c r="R802" s="54">
        <f t="shared" si="68"/>
        <v>0</v>
      </c>
      <c r="S802" s="54"/>
      <c r="T802" s="36"/>
      <c r="XDA802"/>
      <c r="XDB802"/>
      <c r="XDC802"/>
      <c r="XDD802"/>
      <c r="XDE802"/>
      <c r="XDF802"/>
      <c r="XDG802"/>
      <c r="XDH802"/>
      <c r="XDI802"/>
      <c r="XDJ802"/>
      <c r="XDK802"/>
      <c r="XDL802"/>
      <c r="XDM802"/>
      <c r="XDN802"/>
      <c r="XDO802"/>
      <c r="XDP802"/>
      <c r="XDQ802"/>
      <c r="XDR802"/>
      <c r="XDS802"/>
      <c r="XDT802"/>
      <c r="XDU802"/>
      <c r="XDV802"/>
      <c r="XDW802"/>
      <c r="XDX802"/>
      <c r="XDY802"/>
      <c r="XDZ802"/>
      <c r="XEA802"/>
      <c r="XEB802"/>
      <c r="XEC802"/>
      <c r="XED802"/>
      <c r="XEE802"/>
      <c r="XEF802"/>
      <c r="XEG802"/>
      <c r="XEH802"/>
      <c r="XEI802"/>
      <c r="XEJ802"/>
      <c r="XEK802"/>
      <c r="XEL802"/>
      <c r="XEM802"/>
      <c r="XEN802"/>
      <c r="XEO802"/>
      <c r="XEP802"/>
      <c r="XEQ802"/>
      <c r="XER802"/>
      <c r="XES802"/>
      <c r="XET802"/>
      <c r="XEU802"/>
      <c r="XEV802"/>
      <c r="XEW802"/>
      <c r="XEX802"/>
      <c r="XEY802"/>
      <c r="XEZ802"/>
      <c r="XFA802"/>
      <c r="XFB802"/>
      <c r="XFC802"/>
    </row>
    <row r="803" spans="1:20 16329:16383" s="38" customFormat="1" ht="29.1" customHeight="1" outlineLevel="3" x14ac:dyDescent="0.25">
      <c r="A803" s="55" t="s">
        <v>1600</v>
      </c>
      <c r="B803" s="56" t="s">
        <v>1601</v>
      </c>
      <c r="C803" s="56"/>
      <c r="D803" s="2" t="s">
        <v>1602</v>
      </c>
      <c r="E803" s="2"/>
      <c r="F803" s="57"/>
      <c r="G803" s="56"/>
      <c r="H803" s="58"/>
      <c r="I803" s="36"/>
      <c r="J803" s="58"/>
      <c r="K803" s="59"/>
      <c r="L803" s="59"/>
      <c r="M803" s="59"/>
      <c r="N803" s="59"/>
      <c r="O803" s="59">
        <f>SUM(O804:O810)</f>
        <v>0</v>
      </c>
      <c r="P803" s="59">
        <f>SUM(P804:P810)</f>
        <v>0</v>
      </c>
      <c r="Q803" s="59">
        <f>SUM(Q804:Q810)</f>
        <v>0</v>
      </c>
      <c r="R803" s="59">
        <f>SUM(R804:R810)</f>
        <v>0</v>
      </c>
      <c r="S803" s="59"/>
      <c r="T803" s="36"/>
      <c r="XDA803"/>
      <c r="XDB803"/>
      <c r="XDC803"/>
      <c r="XDD803"/>
      <c r="XDE803"/>
      <c r="XDF803"/>
      <c r="XDG803"/>
      <c r="XDH803"/>
      <c r="XDI803"/>
      <c r="XDJ803"/>
      <c r="XDK803"/>
      <c r="XDL803"/>
      <c r="XDM803"/>
      <c r="XDN803"/>
      <c r="XDO803"/>
      <c r="XDP803"/>
      <c r="XDQ803"/>
      <c r="XDR803"/>
      <c r="XDS803"/>
      <c r="XDT803"/>
      <c r="XDU803"/>
      <c r="XDV803"/>
      <c r="XDW803"/>
      <c r="XDX803"/>
      <c r="XDY803"/>
      <c r="XDZ803"/>
      <c r="XEA803"/>
      <c r="XEB803"/>
      <c r="XEC803"/>
      <c r="XED803"/>
      <c r="XEE803"/>
      <c r="XEF803"/>
      <c r="XEG803"/>
      <c r="XEH803"/>
      <c r="XEI803"/>
      <c r="XEJ803"/>
      <c r="XEK803"/>
      <c r="XEL803"/>
      <c r="XEM803"/>
      <c r="XEN803"/>
      <c r="XEO803"/>
      <c r="XEP803"/>
      <c r="XEQ803"/>
      <c r="XER803"/>
      <c r="XES803"/>
      <c r="XET803"/>
      <c r="XEU803"/>
      <c r="XEV803"/>
      <c r="XEW803"/>
      <c r="XEX803"/>
      <c r="XEY803"/>
      <c r="XEZ803"/>
      <c r="XFA803"/>
      <c r="XFB803"/>
      <c r="XFC803"/>
    </row>
    <row r="804" spans="1:20 16329:16383" s="38" customFormat="1" ht="29.1" customHeight="1" outlineLevel="4" x14ac:dyDescent="0.25">
      <c r="A804" s="49" t="s">
        <v>1603</v>
      </c>
      <c r="B804" s="50"/>
      <c r="C804" s="50"/>
      <c r="D804" s="3" t="s">
        <v>1544</v>
      </c>
      <c r="E804" s="3"/>
      <c r="F804" s="51"/>
      <c r="G804" s="50" t="s">
        <v>102</v>
      </c>
      <c r="H804" s="52">
        <f>1</f>
        <v>1</v>
      </c>
      <c r="I804" s="36"/>
      <c r="J804" s="52">
        <v>1</v>
      </c>
      <c r="K804" s="53">
        <f>0</f>
        <v>0</v>
      </c>
      <c r="L804" s="53">
        <f>0</f>
        <v>0</v>
      </c>
      <c r="M804" s="53">
        <f>0</f>
        <v>0</v>
      </c>
      <c r="N804" s="54">
        <f t="shared" ref="N804:N810" si="69">SUM(K804:M804)</f>
        <v>0</v>
      </c>
      <c r="O804" s="54">
        <f t="shared" ref="O804:O810" si="70">ROUND((H804*K804),2)</f>
        <v>0</v>
      </c>
      <c r="P804" s="54">
        <f t="shared" ref="P804:P810" si="71">ROUND((H804*L804),2)</f>
        <v>0</v>
      </c>
      <c r="Q804" s="54">
        <f t="shared" ref="Q804:Q810" si="72">ROUND((H804*M804),2)</f>
        <v>0</v>
      </c>
      <c r="R804" s="54">
        <f t="shared" ref="R804:R810" si="73">ROUND((H804*N804),2)</f>
        <v>0</v>
      </c>
      <c r="S804" s="54"/>
      <c r="T804" s="36"/>
      <c r="XDA804"/>
      <c r="XDB804"/>
      <c r="XDC804"/>
      <c r="XDD804"/>
      <c r="XDE804"/>
      <c r="XDF804"/>
      <c r="XDG804"/>
      <c r="XDH804"/>
      <c r="XDI804"/>
      <c r="XDJ804"/>
      <c r="XDK804"/>
      <c r="XDL804"/>
      <c r="XDM804"/>
      <c r="XDN804"/>
      <c r="XDO804"/>
      <c r="XDP804"/>
      <c r="XDQ804"/>
      <c r="XDR804"/>
      <c r="XDS804"/>
      <c r="XDT804"/>
      <c r="XDU804"/>
      <c r="XDV804"/>
      <c r="XDW804"/>
      <c r="XDX804"/>
      <c r="XDY804"/>
      <c r="XDZ804"/>
      <c r="XEA804"/>
      <c r="XEB804"/>
      <c r="XEC804"/>
      <c r="XED804"/>
      <c r="XEE804"/>
      <c r="XEF804"/>
      <c r="XEG804"/>
      <c r="XEH804"/>
      <c r="XEI804"/>
      <c r="XEJ804"/>
      <c r="XEK804"/>
      <c r="XEL804"/>
      <c r="XEM804"/>
      <c r="XEN804"/>
      <c r="XEO804"/>
      <c r="XEP804"/>
      <c r="XEQ804"/>
      <c r="XER804"/>
      <c r="XES804"/>
      <c r="XET804"/>
      <c r="XEU804"/>
      <c r="XEV804"/>
      <c r="XEW804"/>
      <c r="XEX804"/>
      <c r="XEY804"/>
      <c r="XEZ804"/>
      <c r="XFA804"/>
      <c r="XFB804"/>
      <c r="XFC804"/>
    </row>
    <row r="805" spans="1:20 16329:16383" s="38" customFormat="1" ht="29.1" customHeight="1" outlineLevel="4" x14ac:dyDescent="0.25">
      <c r="A805" s="49" t="s">
        <v>1604</v>
      </c>
      <c r="B805" s="50"/>
      <c r="C805" s="50"/>
      <c r="D805" s="3" t="s">
        <v>1546</v>
      </c>
      <c r="E805" s="3"/>
      <c r="F805" s="51"/>
      <c r="G805" s="50" t="s">
        <v>102</v>
      </c>
      <c r="H805" s="52">
        <f>1</f>
        <v>1</v>
      </c>
      <c r="I805" s="36"/>
      <c r="J805" s="52">
        <v>1</v>
      </c>
      <c r="K805" s="53">
        <f>0</f>
        <v>0</v>
      </c>
      <c r="L805" s="53">
        <f>0</f>
        <v>0</v>
      </c>
      <c r="M805" s="53">
        <f>0</f>
        <v>0</v>
      </c>
      <c r="N805" s="54">
        <f t="shared" si="69"/>
        <v>0</v>
      </c>
      <c r="O805" s="54">
        <f t="shared" si="70"/>
        <v>0</v>
      </c>
      <c r="P805" s="54">
        <f t="shared" si="71"/>
        <v>0</v>
      </c>
      <c r="Q805" s="54">
        <f t="shared" si="72"/>
        <v>0</v>
      </c>
      <c r="R805" s="54">
        <f t="shared" si="73"/>
        <v>0</v>
      </c>
      <c r="S805" s="54"/>
      <c r="T805" s="36"/>
      <c r="XDA805"/>
      <c r="XDB805"/>
      <c r="XDC805"/>
      <c r="XDD805"/>
      <c r="XDE805"/>
      <c r="XDF805"/>
      <c r="XDG805"/>
      <c r="XDH805"/>
      <c r="XDI805"/>
      <c r="XDJ805"/>
      <c r="XDK805"/>
      <c r="XDL805"/>
      <c r="XDM805"/>
      <c r="XDN805"/>
      <c r="XDO805"/>
      <c r="XDP805"/>
      <c r="XDQ805"/>
      <c r="XDR805"/>
      <c r="XDS805"/>
      <c r="XDT805"/>
      <c r="XDU805"/>
      <c r="XDV805"/>
      <c r="XDW805"/>
      <c r="XDX805"/>
      <c r="XDY805"/>
      <c r="XDZ805"/>
      <c r="XEA805"/>
      <c r="XEB805"/>
      <c r="XEC805"/>
      <c r="XED805"/>
      <c r="XEE805"/>
      <c r="XEF805"/>
      <c r="XEG805"/>
      <c r="XEH805"/>
      <c r="XEI805"/>
      <c r="XEJ805"/>
      <c r="XEK805"/>
      <c r="XEL805"/>
      <c r="XEM805"/>
      <c r="XEN805"/>
      <c r="XEO805"/>
      <c r="XEP805"/>
      <c r="XEQ805"/>
      <c r="XER805"/>
      <c r="XES805"/>
      <c r="XET805"/>
      <c r="XEU805"/>
      <c r="XEV805"/>
      <c r="XEW805"/>
      <c r="XEX805"/>
      <c r="XEY805"/>
      <c r="XEZ805"/>
      <c r="XFA805"/>
      <c r="XFB805"/>
      <c r="XFC805"/>
    </row>
    <row r="806" spans="1:20 16329:16383" s="38" customFormat="1" ht="29.1" customHeight="1" outlineLevel="4" x14ac:dyDescent="0.25">
      <c r="A806" s="49" t="s">
        <v>1605</v>
      </c>
      <c r="B806" s="50"/>
      <c r="C806" s="50"/>
      <c r="D806" s="3" t="s">
        <v>1550</v>
      </c>
      <c r="E806" s="3"/>
      <c r="F806" s="51"/>
      <c r="G806" s="50" t="s">
        <v>102</v>
      </c>
      <c r="H806" s="52">
        <f>1</f>
        <v>1</v>
      </c>
      <c r="I806" s="36"/>
      <c r="J806" s="52">
        <v>1</v>
      </c>
      <c r="K806" s="53">
        <f>0</f>
        <v>0</v>
      </c>
      <c r="L806" s="53">
        <f>0</f>
        <v>0</v>
      </c>
      <c r="M806" s="53">
        <f>0</f>
        <v>0</v>
      </c>
      <c r="N806" s="54">
        <f t="shared" si="69"/>
        <v>0</v>
      </c>
      <c r="O806" s="54">
        <f t="shared" si="70"/>
        <v>0</v>
      </c>
      <c r="P806" s="54">
        <f t="shared" si="71"/>
        <v>0</v>
      </c>
      <c r="Q806" s="54">
        <f t="shared" si="72"/>
        <v>0</v>
      </c>
      <c r="R806" s="54">
        <f t="shared" si="73"/>
        <v>0</v>
      </c>
      <c r="S806" s="54"/>
      <c r="T806" s="36"/>
      <c r="XDA806"/>
      <c r="XDB806"/>
      <c r="XDC806"/>
      <c r="XDD806"/>
      <c r="XDE806"/>
      <c r="XDF806"/>
      <c r="XDG806"/>
      <c r="XDH806"/>
      <c r="XDI806"/>
      <c r="XDJ806"/>
      <c r="XDK806"/>
      <c r="XDL806"/>
      <c r="XDM806"/>
      <c r="XDN806"/>
      <c r="XDO806"/>
      <c r="XDP806"/>
      <c r="XDQ806"/>
      <c r="XDR806"/>
      <c r="XDS806"/>
      <c r="XDT806"/>
      <c r="XDU806"/>
      <c r="XDV806"/>
      <c r="XDW806"/>
      <c r="XDX806"/>
      <c r="XDY806"/>
      <c r="XDZ806"/>
      <c r="XEA806"/>
      <c r="XEB806"/>
      <c r="XEC806"/>
      <c r="XED806"/>
      <c r="XEE806"/>
      <c r="XEF806"/>
      <c r="XEG806"/>
      <c r="XEH806"/>
      <c r="XEI806"/>
      <c r="XEJ806"/>
      <c r="XEK806"/>
      <c r="XEL806"/>
      <c r="XEM806"/>
      <c r="XEN806"/>
      <c r="XEO806"/>
      <c r="XEP806"/>
      <c r="XEQ806"/>
      <c r="XER806"/>
      <c r="XES806"/>
      <c r="XET806"/>
      <c r="XEU806"/>
      <c r="XEV806"/>
      <c r="XEW806"/>
      <c r="XEX806"/>
      <c r="XEY806"/>
      <c r="XEZ806"/>
      <c r="XFA806"/>
      <c r="XFB806"/>
      <c r="XFC806"/>
    </row>
    <row r="807" spans="1:20 16329:16383" s="38" customFormat="1" ht="29.1" customHeight="1" outlineLevel="4" x14ac:dyDescent="0.25">
      <c r="A807" s="49" t="s">
        <v>1606</v>
      </c>
      <c r="B807" s="50"/>
      <c r="C807" s="50"/>
      <c r="D807" s="3" t="s">
        <v>1550</v>
      </c>
      <c r="E807" s="3"/>
      <c r="F807" s="51"/>
      <c r="G807" s="50" t="s">
        <v>102</v>
      </c>
      <c r="H807" s="52">
        <f>1</f>
        <v>1</v>
      </c>
      <c r="I807" s="36"/>
      <c r="J807" s="52">
        <v>1</v>
      </c>
      <c r="K807" s="53">
        <f>0</f>
        <v>0</v>
      </c>
      <c r="L807" s="53">
        <f>0</f>
        <v>0</v>
      </c>
      <c r="M807" s="53">
        <f>0</f>
        <v>0</v>
      </c>
      <c r="N807" s="54">
        <f t="shared" si="69"/>
        <v>0</v>
      </c>
      <c r="O807" s="54">
        <f t="shared" si="70"/>
        <v>0</v>
      </c>
      <c r="P807" s="54">
        <f t="shared" si="71"/>
        <v>0</v>
      </c>
      <c r="Q807" s="54">
        <f t="shared" si="72"/>
        <v>0</v>
      </c>
      <c r="R807" s="54">
        <f t="shared" si="73"/>
        <v>0</v>
      </c>
      <c r="S807" s="54"/>
      <c r="T807" s="36"/>
      <c r="XDA807"/>
      <c r="XDB807"/>
      <c r="XDC807"/>
      <c r="XDD807"/>
      <c r="XDE807"/>
      <c r="XDF807"/>
      <c r="XDG807"/>
      <c r="XDH807"/>
      <c r="XDI807"/>
      <c r="XDJ807"/>
      <c r="XDK807"/>
      <c r="XDL807"/>
      <c r="XDM807"/>
      <c r="XDN807"/>
      <c r="XDO807"/>
      <c r="XDP807"/>
      <c r="XDQ807"/>
      <c r="XDR807"/>
      <c r="XDS807"/>
      <c r="XDT807"/>
      <c r="XDU807"/>
      <c r="XDV807"/>
      <c r="XDW807"/>
      <c r="XDX807"/>
      <c r="XDY807"/>
      <c r="XDZ807"/>
      <c r="XEA807"/>
      <c r="XEB807"/>
      <c r="XEC807"/>
      <c r="XED807"/>
      <c r="XEE807"/>
      <c r="XEF807"/>
      <c r="XEG807"/>
      <c r="XEH807"/>
      <c r="XEI807"/>
      <c r="XEJ807"/>
      <c r="XEK807"/>
      <c r="XEL807"/>
      <c r="XEM807"/>
      <c r="XEN807"/>
      <c r="XEO807"/>
      <c r="XEP807"/>
      <c r="XEQ807"/>
      <c r="XER807"/>
      <c r="XES807"/>
      <c r="XET807"/>
      <c r="XEU807"/>
      <c r="XEV807"/>
      <c r="XEW807"/>
      <c r="XEX807"/>
      <c r="XEY807"/>
      <c r="XEZ807"/>
      <c r="XFA807"/>
      <c r="XFB807"/>
      <c r="XFC807"/>
    </row>
    <row r="808" spans="1:20 16329:16383" s="38" customFormat="1" ht="29.1" customHeight="1" outlineLevel="4" x14ac:dyDescent="0.25">
      <c r="A808" s="49" t="s">
        <v>1607</v>
      </c>
      <c r="B808" s="50"/>
      <c r="C808" s="50"/>
      <c r="D808" s="3" t="s">
        <v>1552</v>
      </c>
      <c r="E808" s="3"/>
      <c r="F808" s="51"/>
      <c r="G808" s="50" t="s">
        <v>102</v>
      </c>
      <c r="H808" s="52">
        <f>1</f>
        <v>1</v>
      </c>
      <c r="I808" s="36"/>
      <c r="J808" s="52">
        <v>1</v>
      </c>
      <c r="K808" s="53">
        <f>0</f>
        <v>0</v>
      </c>
      <c r="L808" s="53">
        <f>0</f>
        <v>0</v>
      </c>
      <c r="M808" s="53">
        <f>0</f>
        <v>0</v>
      </c>
      <c r="N808" s="54">
        <f t="shared" si="69"/>
        <v>0</v>
      </c>
      <c r="O808" s="54">
        <f t="shared" si="70"/>
        <v>0</v>
      </c>
      <c r="P808" s="54">
        <f t="shared" si="71"/>
        <v>0</v>
      </c>
      <c r="Q808" s="54">
        <f t="shared" si="72"/>
        <v>0</v>
      </c>
      <c r="R808" s="54">
        <f t="shared" si="73"/>
        <v>0</v>
      </c>
      <c r="S808" s="54"/>
      <c r="T808" s="36"/>
      <c r="XDA808"/>
      <c r="XDB808"/>
      <c r="XDC808"/>
      <c r="XDD808"/>
      <c r="XDE808"/>
      <c r="XDF808"/>
      <c r="XDG808"/>
      <c r="XDH808"/>
      <c r="XDI808"/>
      <c r="XDJ808"/>
      <c r="XDK808"/>
      <c r="XDL808"/>
      <c r="XDM808"/>
      <c r="XDN808"/>
      <c r="XDO808"/>
      <c r="XDP808"/>
      <c r="XDQ808"/>
      <c r="XDR808"/>
      <c r="XDS808"/>
      <c r="XDT808"/>
      <c r="XDU808"/>
      <c r="XDV808"/>
      <c r="XDW808"/>
      <c r="XDX808"/>
      <c r="XDY808"/>
      <c r="XDZ808"/>
      <c r="XEA808"/>
      <c r="XEB808"/>
      <c r="XEC808"/>
      <c r="XED808"/>
      <c r="XEE808"/>
      <c r="XEF808"/>
      <c r="XEG808"/>
      <c r="XEH808"/>
      <c r="XEI808"/>
      <c r="XEJ808"/>
      <c r="XEK808"/>
      <c r="XEL808"/>
      <c r="XEM808"/>
      <c r="XEN808"/>
      <c r="XEO808"/>
      <c r="XEP808"/>
      <c r="XEQ808"/>
      <c r="XER808"/>
      <c r="XES808"/>
      <c r="XET808"/>
      <c r="XEU808"/>
      <c r="XEV808"/>
      <c r="XEW808"/>
      <c r="XEX808"/>
      <c r="XEY808"/>
      <c r="XEZ808"/>
      <c r="XFA808"/>
      <c r="XFB808"/>
      <c r="XFC808"/>
    </row>
    <row r="809" spans="1:20 16329:16383" s="38" customFormat="1" ht="29.1" customHeight="1" outlineLevel="4" x14ac:dyDescent="0.25">
      <c r="A809" s="49" t="s">
        <v>1608</v>
      </c>
      <c r="B809" s="50"/>
      <c r="C809" s="50"/>
      <c r="D809" s="3" t="s">
        <v>1567</v>
      </c>
      <c r="E809" s="3"/>
      <c r="F809" s="51"/>
      <c r="G809" s="50" t="s">
        <v>102</v>
      </c>
      <c r="H809" s="52">
        <f>1</f>
        <v>1</v>
      </c>
      <c r="I809" s="36"/>
      <c r="J809" s="52">
        <v>1</v>
      </c>
      <c r="K809" s="53">
        <f>0</f>
        <v>0</v>
      </c>
      <c r="L809" s="53">
        <f>0</f>
        <v>0</v>
      </c>
      <c r="M809" s="53">
        <f>0</f>
        <v>0</v>
      </c>
      <c r="N809" s="54">
        <f t="shared" si="69"/>
        <v>0</v>
      </c>
      <c r="O809" s="54">
        <f t="shared" si="70"/>
        <v>0</v>
      </c>
      <c r="P809" s="54">
        <f t="shared" si="71"/>
        <v>0</v>
      </c>
      <c r="Q809" s="54">
        <f t="shared" si="72"/>
        <v>0</v>
      </c>
      <c r="R809" s="54">
        <f t="shared" si="73"/>
        <v>0</v>
      </c>
      <c r="S809" s="54"/>
      <c r="T809" s="36"/>
      <c r="XDA809"/>
      <c r="XDB809"/>
      <c r="XDC809"/>
      <c r="XDD809"/>
      <c r="XDE809"/>
      <c r="XDF809"/>
      <c r="XDG809"/>
      <c r="XDH809"/>
      <c r="XDI809"/>
      <c r="XDJ809"/>
      <c r="XDK809"/>
      <c r="XDL809"/>
      <c r="XDM809"/>
      <c r="XDN809"/>
      <c r="XDO809"/>
      <c r="XDP809"/>
      <c r="XDQ809"/>
      <c r="XDR809"/>
      <c r="XDS809"/>
      <c r="XDT809"/>
      <c r="XDU809"/>
      <c r="XDV809"/>
      <c r="XDW809"/>
      <c r="XDX809"/>
      <c r="XDY809"/>
      <c r="XDZ809"/>
      <c r="XEA809"/>
      <c r="XEB809"/>
      <c r="XEC809"/>
      <c r="XED809"/>
      <c r="XEE809"/>
      <c r="XEF809"/>
      <c r="XEG809"/>
      <c r="XEH809"/>
      <c r="XEI809"/>
      <c r="XEJ809"/>
      <c r="XEK809"/>
      <c r="XEL809"/>
      <c r="XEM809"/>
      <c r="XEN809"/>
      <c r="XEO809"/>
      <c r="XEP809"/>
      <c r="XEQ809"/>
      <c r="XER809"/>
      <c r="XES809"/>
      <c r="XET809"/>
      <c r="XEU809"/>
      <c r="XEV809"/>
      <c r="XEW809"/>
      <c r="XEX809"/>
      <c r="XEY809"/>
      <c r="XEZ809"/>
      <c r="XFA809"/>
      <c r="XFB809"/>
      <c r="XFC809"/>
    </row>
    <row r="810" spans="1:20 16329:16383" s="38" customFormat="1" ht="29.1" customHeight="1" outlineLevel="4" x14ac:dyDescent="0.25">
      <c r="A810" s="49" t="s">
        <v>1609</v>
      </c>
      <c r="B810" s="50"/>
      <c r="C810" s="50"/>
      <c r="D810" s="3" t="s">
        <v>1569</v>
      </c>
      <c r="E810" s="3"/>
      <c r="F810" s="51"/>
      <c r="G810" s="50" t="s">
        <v>102</v>
      </c>
      <c r="H810" s="52">
        <f>1</f>
        <v>1</v>
      </c>
      <c r="I810" s="36"/>
      <c r="J810" s="52">
        <v>1</v>
      </c>
      <c r="K810" s="53">
        <f>0</f>
        <v>0</v>
      </c>
      <c r="L810" s="53">
        <f>0</f>
        <v>0</v>
      </c>
      <c r="M810" s="53">
        <f>0</f>
        <v>0</v>
      </c>
      <c r="N810" s="54">
        <f t="shared" si="69"/>
        <v>0</v>
      </c>
      <c r="O810" s="54">
        <f t="shared" si="70"/>
        <v>0</v>
      </c>
      <c r="P810" s="54">
        <f t="shared" si="71"/>
        <v>0</v>
      </c>
      <c r="Q810" s="54">
        <f t="shared" si="72"/>
        <v>0</v>
      </c>
      <c r="R810" s="54">
        <f t="shared" si="73"/>
        <v>0</v>
      </c>
      <c r="S810" s="54"/>
      <c r="T810" s="36"/>
      <c r="XDA810"/>
      <c r="XDB810"/>
      <c r="XDC810"/>
      <c r="XDD810"/>
      <c r="XDE810"/>
      <c r="XDF810"/>
      <c r="XDG810"/>
      <c r="XDH810"/>
      <c r="XDI810"/>
      <c r="XDJ810"/>
      <c r="XDK810"/>
      <c r="XDL810"/>
      <c r="XDM810"/>
      <c r="XDN810"/>
      <c r="XDO810"/>
      <c r="XDP810"/>
      <c r="XDQ810"/>
      <c r="XDR810"/>
      <c r="XDS810"/>
      <c r="XDT810"/>
      <c r="XDU810"/>
      <c r="XDV810"/>
      <c r="XDW810"/>
      <c r="XDX810"/>
      <c r="XDY810"/>
      <c r="XDZ810"/>
      <c r="XEA810"/>
      <c r="XEB810"/>
      <c r="XEC810"/>
      <c r="XED810"/>
      <c r="XEE810"/>
      <c r="XEF810"/>
      <c r="XEG810"/>
      <c r="XEH810"/>
      <c r="XEI810"/>
      <c r="XEJ810"/>
      <c r="XEK810"/>
      <c r="XEL810"/>
      <c r="XEM810"/>
      <c r="XEN810"/>
      <c r="XEO810"/>
      <c r="XEP810"/>
      <c r="XEQ810"/>
      <c r="XER810"/>
      <c r="XES810"/>
      <c r="XET810"/>
      <c r="XEU810"/>
      <c r="XEV810"/>
      <c r="XEW810"/>
      <c r="XEX810"/>
      <c r="XEY810"/>
      <c r="XEZ810"/>
      <c r="XFA810"/>
      <c r="XFB810"/>
      <c r="XFC810"/>
    </row>
    <row r="811" spans="1:20 16329:16383" s="38" customFormat="1" ht="29.1" customHeight="1" outlineLevel="2" x14ac:dyDescent="0.25">
      <c r="A811" s="44" t="s">
        <v>1610</v>
      </c>
      <c r="B811" s="45" t="s">
        <v>1611</v>
      </c>
      <c r="C811" s="45" t="s">
        <v>1518</v>
      </c>
      <c r="D811" s="4" t="s">
        <v>1612</v>
      </c>
      <c r="E811" s="4"/>
      <c r="F811" s="46"/>
      <c r="G811" s="45" t="s">
        <v>102</v>
      </c>
      <c r="H811" s="47"/>
      <c r="I811" s="36"/>
      <c r="J811" s="47"/>
      <c r="K811" s="48"/>
      <c r="L811" s="48"/>
      <c r="M811" s="48"/>
      <c r="N811" s="48"/>
      <c r="O811" s="48">
        <f>O812+O852+O885+O925</f>
        <v>0</v>
      </c>
      <c r="P811" s="48">
        <f>P812+P852+P885+P925</f>
        <v>0</v>
      </c>
      <c r="Q811" s="48">
        <f>Q812+Q852+Q885+Q925</f>
        <v>0</v>
      </c>
      <c r="R811" s="48">
        <f>R812+R852+R885+R925</f>
        <v>0</v>
      </c>
      <c r="S811" s="48"/>
      <c r="T811" s="36"/>
      <c r="XDA811"/>
      <c r="XDB811"/>
      <c r="XDC811"/>
      <c r="XDD811"/>
      <c r="XDE811"/>
      <c r="XDF811"/>
      <c r="XDG811"/>
      <c r="XDH811"/>
      <c r="XDI811"/>
      <c r="XDJ811"/>
      <c r="XDK811"/>
      <c r="XDL811"/>
      <c r="XDM811"/>
      <c r="XDN811"/>
      <c r="XDO811"/>
      <c r="XDP811"/>
      <c r="XDQ811"/>
      <c r="XDR811"/>
      <c r="XDS811"/>
      <c r="XDT811"/>
      <c r="XDU811"/>
      <c r="XDV811"/>
      <c r="XDW811"/>
      <c r="XDX811"/>
      <c r="XDY811"/>
      <c r="XDZ811"/>
      <c r="XEA811"/>
      <c r="XEB811"/>
      <c r="XEC811"/>
      <c r="XED811"/>
      <c r="XEE811"/>
      <c r="XEF811"/>
      <c r="XEG811"/>
      <c r="XEH811"/>
      <c r="XEI811"/>
      <c r="XEJ811"/>
      <c r="XEK811"/>
      <c r="XEL811"/>
      <c r="XEM811"/>
      <c r="XEN811"/>
      <c r="XEO811"/>
      <c r="XEP811"/>
      <c r="XEQ811"/>
      <c r="XER811"/>
      <c r="XES811"/>
      <c r="XET811"/>
      <c r="XEU811"/>
      <c r="XEV811"/>
      <c r="XEW811"/>
      <c r="XEX811"/>
      <c r="XEY811"/>
      <c r="XEZ811"/>
      <c r="XFA811"/>
      <c r="XFB811"/>
      <c r="XFC811"/>
    </row>
    <row r="812" spans="1:20 16329:16383" s="38" customFormat="1" ht="29.1" customHeight="1" outlineLevel="3" x14ac:dyDescent="0.25">
      <c r="A812" s="55" t="s">
        <v>1613</v>
      </c>
      <c r="B812" s="56" t="s">
        <v>1614</v>
      </c>
      <c r="C812" s="56"/>
      <c r="D812" s="2" t="s">
        <v>1615</v>
      </c>
      <c r="E812" s="2"/>
      <c r="F812" s="57"/>
      <c r="G812" s="56"/>
      <c r="H812" s="58"/>
      <c r="I812" s="36"/>
      <c r="J812" s="58"/>
      <c r="K812" s="59"/>
      <c r="L812" s="59"/>
      <c r="M812" s="59"/>
      <c r="N812" s="59"/>
      <c r="O812" s="59">
        <f>O813+O826+O837+O848</f>
        <v>0</v>
      </c>
      <c r="P812" s="59">
        <f>P813+P826+P837+P848</f>
        <v>0</v>
      </c>
      <c r="Q812" s="59">
        <f>Q813+Q826+Q837+Q848</f>
        <v>0</v>
      </c>
      <c r="R812" s="59">
        <f>R813+R826+R837+R848</f>
        <v>0</v>
      </c>
      <c r="S812" s="59"/>
      <c r="T812" s="36"/>
      <c r="XDA812"/>
      <c r="XDB812"/>
      <c r="XDC812"/>
      <c r="XDD812"/>
      <c r="XDE812"/>
      <c r="XDF812"/>
      <c r="XDG812"/>
      <c r="XDH812"/>
      <c r="XDI812"/>
      <c r="XDJ812"/>
      <c r="XDK812"/>
      <c r="XDL812"/>
      <c r="XDM812"/>
      <c r="XDN812"/>
      <c r="XDO812"/>
      <c r="XDP812"/>
      <c r="XDQ812"/>
      <c r="XDR812"/>
      <c r="XDS812"/>
      <c r="XDT812"/>
      <c r="XDU812"/>
      <c r="XDV812"/>
      <c r="XDW812"/>
      <c r="XDX812"/>
      <c r="XDY812"/>
      <c r="XDZ812"/>
      <c r="XEA812"/>
      <c r="XEB812"/>
      <c r="XEC812"/>
      <c r="XED812"/>
      <c r="XEE812"/>
      <c r="XEF812"/>
      <c r="XEG812"/>
      <c r="XEH812"/>
      <c r="XEI812"/>
      <c r="XEJ812"/>
      <c r="XEK812"/>
      <c r="XEL812"/>
      <c r="XEM812"/>
      <c r="XEN812"/>
      <c r="XEO812"/>
      <c r="XEP812"/>
      <c r="XEQ812"/>
      <c r="XER812"/>
      <c r="XES812"/>
      <c r="XET812"/>
      <c r="XEU812"/>
      <c r="XEV812"/>
      <c r="XEW812"/>
      <c r="XEX812"/>
      <c r="XEY812"/>
      <c r="XEZ812"/>
      <c r="XFA812"/>
      <c r="XFB812"/>
      <c r="XFC812"/>
    </row>
    <row r="813" spans="1:20 16329:16383" s="38" customFormat="1" ht="29.1" customHeight="1" outlineLevel="4" x14ac:dyDescent="0.25">
      <c r="A813" s="60" t="s">
        <v>1616</v>
      </c>
      <c r="B813" s="61" t="s">
        <v>1617</v>
      </c>
      <c r="C813" s="61"/>
      <c r="D813" s="1" t="s">
        <v>1618</v>
      </c>
      <c r="E813" s="1"/>
      <c r="F813" s="62"/>
      <c r="G813" s="61"/>
      <c r="H813" s="63"/>
      <c r="I813" s="36"/>
      <c r="J813" s="63"/>
      <c r="K813" s="64"/>
      <c r="L813" s="64"/>
      <c r="M813" s="64"/>
      <c r="N813" s="64"/>
      <c r="O813" s="64">
        <f>SUM(O814:O825)</f>
        <v>0</v>
      </c>
      <c r="P813" s="64">
        <f>SUM(P814:P825)</f>
        <v>0</v>
      </c>
      <c r="Q813" s="64">
        <f>SUM(Q814:Q825)</f>
        <v>0</v>
      </c>
      <c r="R813" s="64">
        <f>SUM(R814:R825)</f>
        <v>0</v>
      </c>
      <c r="S813" s="64"/>
      <c r="T813" s="36"/>
      <c r="XDA813"/>
      <c r="XDB813"/>
      <c r="XDC813"/>
      <c r="XDD813"/>
      <c r="XDE813"/>
      <c r="XDF813"/>
      <c r="XDG813"/>
      <c r="XDH813"/>
      <c r="XDI813"/>
      <c r="XDJ813"/>
      <c r="XDK813"/>
      <c r="XDL813"/>
      <c r="XDM813"/>
      <c r="XDN813"/>
      <c r="XDO813"/>
      <c r="XDP813"/>
      <c r="XDQ813"/>
      <c r="XDR813"/>
      <c r="XDS813"/>
      <c r="XDT813"/>
      <c r="XDU813"/>
      <c r="XDV813"/>
      <c r="XDW813"/>
      <c r="XDX813"/>
      <c r="XDY813"/>
      <c r="XDZ813"/>
      <c r="XEA813"/>
      <c r="XEB813"/>
      <c r="XEC813"/>
      <c r="XED813"/>
      <c r="XEE813"/>
      <c r="XEF813"/>
      <c r="XEG813"/>
      <c r="XEH813"/>
      <c r="XEI813"/>
      <c r="XEJ813"/>
      <c r="XEK813"/>
      <c r="XEL813"/>
      <c r="XEM813"/>
      <c r="XEN813"/>
      <c r="XEO813"/>
      <c r="XEP813"/>
      <c r="XEQ813"/>
      <c r="XER813"/>
      <c r="XES813"/>
      <c r="XET813"/>
      <c r="XEU813"/>
      <c r="XEV813"/>
      <c r="XEW813"/>
      <c r="XEX813"/>
      <c r="XEY813"/>
      <c r="XEZ813"/>
      <c r="XFA813"/>
      <c r="XFB813"/>
      <c r="XFC813"/>
    </row>
    <row r="814" spans="1:20 16329:16383" s="38" customFormat="1" ht="29.1" customHeight="1" outlineLevel="5" x14ac:dyDescent="0.25">
      <c r="A814" s="49" t="s">
        <v>1619</v>
      </c>
      <c r="B814" s="50"/>
      <c r="C814" s="50"/>
      <c r="D814" s="3" t="s">
        <v>1620</v>
      </c>
      <c r="E814" s="3"/>
      <c r="F814" s="51"/>
      <c r="G814" s="50" t="s">
        <v>102</v>
      </c>
      <c r="H814" s="52">
        <f>1</f>
        <v>1</v>
      </c>
      <c r="I814" s="36"/>
      <c r="J814" s="52">
        <v>1</v>
      </c>
      <c r="K814" s="53">
        <f>0</f>
        <v>0</v>
      </c>
      <c r="L814" s="53">
        <f>0</f>
        <v>0</v>
      </c>
      <c r="M814" s="53">
        <f>0</f>
        <v>0</v>
      </c>
      <c r="N814" s="54">
        <f t="shared" ref="N814:N825" si="74">SUM(K814:M814)</f>
        <v>0</v>
      </c>
      <c r="O814" s="54">
        <f t="shared" ref="O814:O825" si="75">ROUND((H814*K814),2)</f>
        <v>0</v>
      </c>
      <c r="P814" s="54">
        <f t="shared" ref="P814:P825" si="76">ROUND((H814*L814),2)</f>
        <v>0</v>
      </c>
      <c r="Q814" s="54">
        <f t="shared" ref="Q814:Q825" si="77">ROUND((H814*M814),2)</f>
        <v>0</v>
      </c>
      <c r="R814" s="54">
        <f t="shared" ref="R814:R825" si="78">ROUND((H814*N814),2)</f>
        <v>0</v>
      </c>
      <c r="S814" s="54"/>
      <c r="T814" s="36"/>
      <c r="XDA814"/>
      <c r="XDB814"/>
      <c r="XDC814"/>
      <c r="XDD814"/>
      <c r="XDE814"/>
      <c r="XDF814"/>
      <c r="XDG814"/>
      <c r="XDH814"/>
      <c r="XDI814"/>
      <c r="XDJ814"/>
      <c r="XDK814"/>
      <c r="XDL814"/>
      <c r="XDM814"/>
      <c r="XDN814"/>
      <c r="XDO814"/>
      <c r="XDP814"/>
      <c r="XDQ814"/>
      <c r="XDR814"/>
      <c r="XDS814"/>
      <c r="XDT814"/>
      <c r="XDU814"/>
      <c r="XDV814"/>
      <c r="XDW814"/>
      <c r="XDX814"/>
      <c r="XDY814"/>
      <c r="XDZ814"/>
      <c r="XEA814"/>
      <c r="XEB814"/>
      <c r="XEC814"/>
      <c r="XED814"/>
      <c r="XEE814"/>
      <c r="XEF814"/>
      <c r="XEG814"/>
      <c r="XEH814"/>
      <c r="XEI814"/>
      <c r="XEJ814"/>
      <c r="XEK814"/>
      <c r="XEL814"/>
      <c r="XEM814"/>
      <c r="XEN814"/>
      <c r="XEO814"/>
      <c r="XEP814"/>
      <c r="XEQ814"/>
      <c r="XER814"/>
      <c r="XES814"/>
      <c r="XET814"/>
      <c r="XEU814"/>
      <c r="XEV814"/>
      <c r="XEW814"/>
      <c r="XEX814"/>
      <c r="XEY814"/>
      <c r="XEZ814"/>
      <c r="XFA814"/>
      <c r="XFB814"/>
      <c r="XFC814"/>
    </row>
    <row r="815" spans="1:20 16329:16383" s="38" customFormat="1" ht="29.1" customHeight="1" outlineLevel="5" x14ac:dyDescent="0.25">
      <c r="A815" s="49" t="s">
        <v>1621</v>
      </c>
      <c r="B815" s="50"/>
      <c r="C815" s="50"/>
      <c r="D815" s="3" t="s">
        <v>1622</v>
      </c>
      <c r="E815" s="3"/>
      <c r="F815" s="51"/>
      <c r="G815" s="50" t="s">
        <v>102</v>
      </c>
      <c r="H815" s="52">
        <f>1</f>
        <v>1</v>
      </c>
      <c r="I815" s="36"/>
      <c r="J815" s="52">
        <v>1</v>
      </c>
      <c r="K815" s="53">
        <f>0</f>
        <v>0</v>
      </c>
      <c r="L815" s="53">
        <f>0</f>
        <v>0</v>
      </c>
      <c r="M815" s="53">
        <f>0</f>
        <v>0</v>
      </c>
      <c r="N815" s="54">
        <f t="shared" si="74"/>
        <v>0</v>
      </c>
      <c r="O815" s="54">
        <f t="shared" si="75"/>
        <v>0</v>
      </c>
      <c r="P815" s="54">
        <f t="shared" si="76"/>
        <v>0</v>
      </c>
      <c r="Q815" s="54">
        <f t="shared" si="77"/>
        <v>0</v>
      </c>
      <c r="R815" s="54">
        <f t="shared" si="78"/>
        <v>0</v>
      </c>
      <c r="S815" s="54"/>
      <c r="T815" s="36"/>
      <c r="XDA815"/>
      <c r="XDB815"/>
      <c r="XDC815"/>
      <c r="XDD815"/>
      <c r="XDE815"/>
      <c r="XDF815"/>
      <c r="XDG815"/>
      <c r="XDH815"/>
      <c r="XDI815"/>
      <c r="XDJ815"/>
      <c r="XDK815"/>
      <c r="XDL815"/>
      <c r="XDM815"/>
      <c r="XDN815"/>
      <c r="XDO815"/>
      <c r="XDP815"/>
      <c r="XDQ815"/>
      <c r="XDR815"/>
      <c r="XDS815"/>
      <c r="XDT815"/>
      <c r="XDU815"/>
      <c r="XDV815"/>
      <c r="XDW815"/>
      <c r="XDX815"/>
      <c r="XDY815"/>
      <c r="XDZ815"/>
      <c r="XEA815"/>
      <c r="XEB815"/>
      <c r="XEC815"/>
      <c r="XED815"/>
      <c r="XEE815"/>
      <c r="XEF815"/>
      <c r="XEG815"/>
      <c r="XEH815"/>
      <c r="XEI815"/>
      <c r="XEJ815"/>
      <c r="XEK815"/>
      <c r="XEL815"/>
      <c r="XEM815"/>
      <c r="XEN815"/>
      <c r="XEO815"/>
      <c r="XEP815"/>
      <c r="XEQ815"/>
      <c r="XER815"/>
      <c r="XES815"/>
      <c r="XET815"/>
      <c r="XEU815"/>
      <c r="XEV815"/>
      <c r="XEW815"/>
      <c r="XEX815"/>
      <c r="XEY815"/>
      <c r="XEZ815"/>
      <c r="XFA815"/>
      <c r="XFB815"/>
      <c r="XFC815"/>
    </row>
    <row r="816" spans="1:20 16329:16383" s="38" customFormat="1" ht="29.1" customHeight="1" outlineLevel="5" x14ac:dyDescent="0.25">
      <c r="A816" s="49" t="s">
        <v>1623</v>
      </c>
      <c r="B816" s="50"/>
      <c r="C816" s="50"/>
      <c r="D816" s="3" t="s">
        <v>1624</v>
      </c>
      <c r="E816" s="3"/>
      <c r="F816" s="51"/>
      <c r="G816" s="50" t="s">
        <v>102</v>
      </c>
      <c r="H816" s="52">
        <f>1</f>
        <v>1</v>
      </c>
      <c r="I816" s="36"/>
      <c r="J816" s="52">
        <v>1</v>
      </c>
      <c r="K816" s="53">
        <f>0</f>
        <v>0</v>
      </c>
      <c r="L816" s="53">
        <f>0</f>
        <v>0</v>
      </c>
      <c r="M816" s="53">
        <f>0</f>
        <v>0</v>
      </c>
      <c r="N816" s="54">
        <f t="shared" si="74"/>
        <v>0</v>
      </c>
      <c r="O816" s="54">
        <f t="shared" si="75"/>
        <v>0</v>
      </c>
      <c r="P816" s="54">
        <f t="shared" si="76"/>
        <v>0</v>
      </c>
      <c r="Q816" s="54">
        <f t="shared" si="77"/>
        <v>0</v>
      </c>
      <c r="R816" s="54">
        <f t="shared" si="78"/>
        <v>0</v>
      </c>
      <c r="S816" s="54"/>
      <c r="T816" s="36"/>
      <c r="XDA816"/>
      <c r="XDB816"/>
      <c r="XDC816"/>
      <c r="XDD816"/>
      <c r="XDE816"/>
      <c r="XDF816"/>
      <c r="XDG816"/>
      <c r="XDH816"/>
      <c r="XDI816"/>
      <c r="XDJ816"/>
      <c r="XDK816"/>
      <c r="XDL816"/>
      <c r="XDM816"/>
      <c r="XDN816"/>
      <c r="XDO816"/>
      <c r="XDP816"/>
      <c r="XDQ816"/>
      <c r="XDR816"/>
      <c r="XDS816"/>
      <c r="XDT816"/>
      <c r="XDU816"/>
      <c r="XDV816"/>
      <c r="XDW816"/>
      <c r="XDX816"/>
      <c r="XDY816"/>
      <c r="XDZ816"/>
      <c r="XEA816"/>
      <c r="XEB816"/>
      <c r="XEC816"/>
      <c r="XED816"/>
      <c r="XEE816"/>
      <c r="XEF816"/>
      <c r="XEG816"/>
      <c r="XEH816"/>
      <c r="XEI816"/>
      <c r="XEJ816"/>
      <c r="XEK816"/>
      <c r="XEL816"/>
      <c r="XEM816"/>
      <c r="XEN816"/>
      <c r="XEO816"/>
      <c r="XEP816"/>
      <c r="XEQ816"/>
      <c r="XER816"/>
      <c r="XES816"/>
      <c r="XET816"/>
      <c r="XEU816"/>
      <c r="XEV816"/>
      <c r="XEW816"/>
      <c r="XEX816"/>
      <c r="XEY816"/>
      <c r="XEZ816"/>
      <c r="XFA816"/>
      <c r="XFB816"/>
      <c r="XFC816"/>
    </row>
    <row r="817" spans="1:20 16329:16383" s="38" customFormat="1" ht="29.1" customHeight="1" outlineLevel="5" x14ac:dyDescent="0.25">
      <c r="A817" s="49" t="s">
        <v>1625</v>
      </c>
      <c r="B817" s="50"/>
      <c r="C817" s="50"/>
      <c r="D817" s="3" t="s">
        <v>1626</v>
      </c>
      <c r="E817" s="3"/>
      <c r="F817" s="51"/>
      <c r="G817" s="50" t="s">
        <v>102</v>
      </c>
      <c r="H817" s="52">
        <f>1</f>
        <v>1</v>
      </c>
      <c r="I817" s="36"/>
      <c r="J817" s="52">
        <v>1</v>
      </c>
      <c r="K817" s="53">
        <f>0</f>
        <v>0</v>
      </c>
      <c r="L817" s="53">
        <f>0</f>
        <v>0</v>
      </c>
      <c r="M817" s="53">
        <f>0</f>
        <v>0</v>
      </c>
      <c r="N817" s="54">
        <f t="shared" si="74"/>
        <v>0</v>
      </c>
      <c r="O817" s="54">
        <f t="shared" si="75"/>
        <v>0</v>
      </c>
      <c r="P817" s="54">
        <f t="shared" si="76"/>
        <v>0</v>
      </c>
      <c r="Q817" s="54">
        <f t="shared" si="77"/>
        <v>0</v>
      </c>
      <c r="R817" s="54">
        <f t="shared" si="78"/>
        <v>0</v>
      </c>
      <c r="S817" s="54"/>
      <c r="T817" s="36"/>
      <c r="XDA817"/>
      <c r="XDB817"/>
      <c r="XDC817"/>
      <c r="XDD817"/>
      <c r="XDE817"/>
      <c r="XDF817"/>
      <c r="XDG817"/>
      <c r="XDH817"/>
      <c r="XDI817"/>
      <c r="XDJ817"/>
      <c r="XDK817"/>
      <c r="XDL817"/>
      <c r="XDM817"/>
      <c r="XDN817"/>
      <c r="XDO817"/>
      <c r="XDP817"/>
      <c r="XDQ817"/>
      <c r="XDR817"/>
      <c r="XDS817"/>
      <c r="XDT817"/>
      <c r="XDU817"/>
      <c r="XDV817"/>
      <c r="XDW817"/>
      <c r="XDX817"/>
      <c r="XDY817"/>
      <c r="XDZ817"/>
      <c r="XEA817"/>
      <c r="XEB817"/>
      <c r="XEC817"/>
      <c r="XED817"/>
      <c r="XEE817"/>
      <c r="XEF817"/>
      <c r="XEG817"/>
      <c r="XEH817"/>
      <c r="XEI817"/>
      <c r="XEJ817"/>
      <c r="XEK817"/>
      <c r="XEL817"/>
      <c r="XEM817"/>
      <c r="XEN817"/>
      <c r="XEO817"/>
      <c r="XEP817"/>
      <c r="XEQ817"/>
      <c r="XER817"/>
      <c r="XES817"/>
      <c r="XET817"/>
      <c r="XEU817"/>
      <c r="XEV817"/>
      <c r="XEW817"/>
      <c r="XEX817"/>
      <c r="XEY817"/>
      <c r="XEZ817"/>
      <c r="XFA817"/>
      <c r="XFB817"/>
      <c r="XFC817"/>
    </row>
    <row r="818" spans="1:20 16329:16383" s="38" customFormat="1" ht="29.1" customHeight="1" outlineLevel="5" x14ac:dyDescent="0.25">
      <c r="A818" s="49" t="s">
        <v>1627</v>
      </c>
      <c r="B818" s="50"/>
      <c r="C818" s="50"/>
      <c r="D818" s="3" t="s">
        <v>1628</v>
      </c>
      <c r="E818" s="3"/>
      <c r="F818" s="51"/>
      <c r="G818" s="50" t="s">
        <v>102</v>
      </c>
      <c r="H818" s="52">
        <f>1</f>
        <v>1</v>
      </c>
      <c r="I818" s="36"/>
      <c r="J818" s="52">
        <v>1</v>
      </c>
      <c r="K818" s="53">
        <f>0</f>
        <v>0</v>
      </c>
      <c r="L818" s="53">
        <f>0</f>
        <v>0</v>
      </c>
      <c r="M818" s="53">
        <f>0</f>
        <v>0</v>
      </c>
      <c r="N818" s="54">
        <f t="shared" si="74"/>
        <v>0</v>
      </c>
      <c r="O818" s="54">
        <f t="shared" si="75"/>
        <v>0</v>
      </c>
      <c r="P818" s="54">
        <f t="shared" si="76"/>
        <v>0</v>
      </c>
      <c r="Q818" s="54">
        <f t="shared" si="77"/>
        <v>0</v>
      </c>
      <c r="R818" s="54">
        <f t="shared" si="78"/>
        <v>0</v>
      </c>
      <c r="S818" s="54"/>
      <c r="T818" s="36"/>
      <c r="XDA818"/>
      <c r="XDB818"/>
      <c r="XDC818"/>
      <c r="XDD818"/>
      <c r="XDE818"/>
      <c r="XDF818"/>
      <c r="XDG818"/>
      <c r="XDH818"/>
      <c r="XDI818"/>
      <c r="XDJ818"/>
      <c r="XDK818"/>
      <c r="XDL818"/>
      <c r="XDM818"/>
      <c r="XDN818"/>
      <c r="XDO818"/>
      <c r="XDP818"/>
      <c r="XDQ818"/>
      <c r="XDR818"/>
      <c r="XDS818"/>
      <c r="XDT818"/>
      <c r="XDU818"/>
      <c r="XDV818"/>
      <c r="XDW818"/>
      <c r="XDX818"/>
      <c r="XDY818"/>
      <c r="XDZ818"/>
      <c r="XEA818"/>
      <c r="XEB818"/>
      <c r="XEC818"/>
      <c r="XED818"/>
      <c r="XEE818"/>
      <c r="XEF818"/>
      <c r="XEG818"/>
      <c r="XEH818"/>
      <c r="XEI818"/>
      <c r="XEJ818"/>
      <c r="XEK818"/>
      <c r="XEL818"/>
      <c r="XEM818"/>
      <c r="XEN818"/>
      <c r="XEO818"/>
      <c r="XEP818"/>
      <c r="XEQ818"/>
      <c r="XER818"/>
      <c r="XES818"/>
      <c r="XET818"/>
      <c r="XEU818"/>
      <c r="XEV818"/>
      <c r="XEW818"/>
      <c r="XEX818"/>
      <c r="XEY818"/>
      <c r="XEZ818"/>
      <c r="XFA818"/>
      <c r="XFB818"/>
      <c r="XFC818"/>
    </row>
    <row r="819" spans="1:20 16329:16383" s="38" customFormat="1" ht="29.1" customHeight="1" outlineLevel="5" x14ac:dyDescent="0.25">
      <c r="A819" s="49" t="s">
        <v>1629</v>
      </c>
      <c r="B819" s="50"/>
      <c r="C819" s="50"/>
      <c r="D819" s="3" t="s">
        <v>1630</v>
      </c>
      <c r="E819" s="3"/>
      <c r="F819" s="51"/>
      <c r="G819" s="50" t="s">
        <v>102</v>
      </c>
      <c r="H819" s="52">
        <f>1</f>
        <v>1</v>
      </c>
      <c r="I819" s="36"/>
      <c r="J819" s="52">
        <v>1</v>
      </c>
      <c r="K819" s="53">
        <f>0</f>
        <v>0</v>
      </c>
      <c r="L819" s="53">
        <f>0</f>
        <v>0</v>
      </c>
      <c r="M819" s="53">
        <f>0</f>
        <v>0</v>
      </c>
      <c r="N819" s="54">
        <f t="shared" si="74"/>
        <v>0</v>
      </c>
      <c r="O819" s="54">
        <f t="shared" si="75"/>
        <v>0</v>
      </c>
      <c r="P819" s="54">
        <f t="shared" si="76"/>
        <v>0</v>
      </c>
      <c r="Q819" s="54">
        <f t="shared" si="77"/>
        <v>0</v>
      </c>
      <c r="R819" s="54">
        <f t="shared" si="78"/>
        <v>0</v>
      </c>
      <c r="S819" s="54"/>
      <c r="T819" s="36"/>
      <c r="XDA819"/>
      <c r="XDB819"/>
      <c r="XDC819"/>
      <c r="XDD819"/>
      <c r="XDE819"/>
      <c r="XDF819"/>
      <c r="XDG819"/>
      <c r="XDH819"/>
      <c r="XDI819"/>
      <c r="XDJ819"/>
      <c r="XDK819"/>
      <c r="XDL819"/>
      <c r="XDM819"/>
      <c r="XDN819"/>
      <c r="XDO819"/>
      <c r="XDP819"/>
      <c r="XDQ819"/>
      <c r="XDR819"/>
      <c r="XDS819"/>
      <c r="XDT819"/>
      <c r="XDU819"/>
      <c r="XDV819"/>
      <c r="XDW819"/>
      <c r="XDX819"/>
      <c r="XDY819"/>
      <c r="XDZ819"/>
      <c r="XEA819"/>
      <c r="XEB819"/>
      <c r="XEC819"/>
      <c r="XED819"/>
      <c r="XEE819"/>
      <c r="XEF819"/>
      <c r="XEG819"/>
      <c r="XEH819"/>
      <c r="XEI819"/>
      <c r="XEJ819"/>
      <c r="XEK819"/>
      <c r="XEL819"/>
      <c r="XEM819"/>
      <c r="XEN819"/>
      <c r="XEO819"/>
      <c r="XEP819"/>
      <c r="XEQ819"/>
      <c r="XER819"/>
      <c r="XES819"/>
      <c r="XET819"/>
      <c r="XEU819"/>
      <c r="XEV819"/>
      <c r="XEW819"/>
      <c r="XEX819"/>
      <c r="XEY819"/>
      <c r="XEZ819"/>
      <c r="XFA819"/>
      <c r="XFB819"/>
      <c r="XFC819"/>
    </row>
    <row r="820" spans="1:20 16329:16383" s="38" customFormat="1" ht="29.1" customHeight="1" outlineLevel="5" x14ac:dyDescent="0.25">
      <c r="A820" s="49" t="s">
        <v>1631</v>
      </c>
      <c r="B820" s="50"/>
      <c r="C820" s="50"/>
      <c r="D820" s="3" t="s">
        <v>1632</v>
      </c>
      <c r="E820" s="3"/>
      <c r="F820" s="51"/>
      <c r="G820" s="50" t="s">
        <v>102</v>
      </c>
      <c r="H820" s="52">
        <f>1</f>
        <v>1</v>
      </c>
      <c r="I820" s="36"/>
      <c r="J820" s="52">
        <v>1</v>
      </c>
      <c r="K820" s="53">
        <f>0</f>
        <v>0</v>
      </c>
      <c r="L820" s="53">
        <f>0</f>
        <v>0</v>
      </c>
      <c r="M820" s="53">
        <f>0</f>
        <v>0</v>
      </c>
      <c r="N820" s="54">
        <f t="shared" si="74"/>
        <v>0</v>
      </c>
      <c r="O820" s="54">
        <f t="shared" si="75"/>
        <v>0</v>
      </c>
      <c r="P820" s="54">
        <f t="shared" si="76"/>
        <v>0</v>
      </c>
      <c r="Q820" s="54">
        <f t="shared" si="77"/>
        <v>0</v>
      </c>
      <c r="R820" s="54">
        <f t="shared" si="78"/>
        <v>0</v>
      </c>
      <c r="S820" s="54"/>
      <c r="T820" s="36"/>
      <c r="XDA820"/>
      <c r="XDB820"/>
      <c r="XDC820"/>
      <c r="XDD820"/>
      <c r="XDE820"/>
      <c r="XDF820"/>
      <c r="XDG820"/>
      <c r="XDH820"/>
      <c r="XDI820"/>
      <c r="XDJ820"/>
      <c r="XDK820"/>
      <c r="XDL820"/>
      <c r="XDM820"/>
      <c r="XDN820"/>
      <c r="XDO820"/>
      <c r="XDP820"/>
      <c r="XDQ820"/>
      <c r="XDR820"/>
      <c r="XDS820"/>
      <c r="XDT820"/>
      <c r="XDU820"/>
      <c r="XDV820"/>
      <c r="XDW820"/>
      <c r="XDX820"/>
      <c r="XDY820"/>
      <c r="XDZ820"/>
      <c r="XEA820"/>
      <c r="XEB820"/>
      <c r="XEC820"/>
      <c r="XED820"/>
      <c r="XEE820"/>
      <c r="XEF820"/>
      <c r="XEG820"/>
      <c r="XEH820"/>
      <c r="XEI820"/>
      <c r="XEJ820"/>
      <c r="XEK820"/>
      <c r="XEL820"/>
      <c r="XEM820"/>
      <c r="XEN820"/>
      <c r="XEO820"/>
      <c r="XEP820"/>
      <c r="XEQ820"/>
      <c r="XER820"/>
      <c r="XES820"/>
      <c r="XET820"/>
      <c r="XEU820"/>
      <c r="XEV820"/>
      <c r="XEW820"/>
      <c r="XEX820"/>
      <c r="XEY820"/>
      <c r="XEZ820"/>
      <c r="XFA820"/>
      <c r="XFB820"/>
      <c r="XFC820"/>
    </row>
    <row r="821" spans="1:20 16329:16383" s="38" customFormat="1" ht="29.1" customHeight="1" outlineLevel="5" x14ac:dyDescent="0.25">
      <c r="A821" s="49" t="s">
        <v>1633</v>
      </c>
      <c r="B821" s="50"/>
      <c r="C821" s="50"/>
      <c r="D821" s="3" t="s">
        <v>1634</v>
      </c>
      <c r="E821" s="3"/>
      <c r="F821" s="51"/>
      <c r="G821" s="50" t="s">
        <v>102</v>
      </c>
      <c r="H821" s="52">
        <f>1</f>
        <v>1</v>
      </c>
      <c r="I821" s="36"/>
      <c r="J821" s="52">
        <v>1</v>
      </c>
      <c r="K821" s="53">
        <f>0</f>
        <v>0</v>
      </c>
      <c r="L821" s="53">
        <f>0</f>
        <v>0</v>
      </c>
      <c r="M821" s="53">
        <f>0</f>
        <v>0</v>
      </c>
      <c r="N821" s="54">
        <f t="shared" si="74"/>
        <v>0</v>
      </c>
      <c r="O821" s="54">
        <f t="shared" si="75"/>
        <v>0</v>
      </c>
      <c r="P821" s="54">
        <f t="shared" si="76"/>
        <v>0</v>
      </c>
      <c r="Q821" s="54">
        <f t="shared" si="77"/>
        <v>0</v>
      </c>
      <c r="R821" s="54">
        <f t="shared" si="78"/>
        <v>0</v>
      </c>
      <c r="S821" s="54"/>
      <c r="T821" s="36"/>
      <c r="XDA821"/>
      <c r="XDB821"/>
      <c r="XDC821"/>
      <c r="XDD821"/>
      <c r="XDE821"/>
      <c r="XDF821"/>
      <c r="XDG821"/>
      <c r="XDH821"/>
      <c r="XDI821"/>
      <c r="XDJ821"/>
      <c r="XDK821"/>
      <c r="XDL821"/>
      <c r="XDM821"/>
      <c r="XDN821"/>
      <c r="XDO821"/>
      <c r="XDP821"/>
      <c r="XDQ821"/>
      <c r="XDR821"/>
      <c r="XDS821"/>
      <c r="XDT821"/>
      <c r="XDU821"/>
      <c r="XDV821"/>
      <c r="XDW821"/>
      <c r="XDX821"/>
      <c r="XDY821"/>
      <c r="XDZ821"/>
      <c r="XEA821"/>
      <c r="XEB821"/>
      <c r="XEC821"/>
      <c r="XED821"/>
      <c r="XEE821"/>
      <c r="XEF821"/>
      <c r="XEG821"/>
      <c r="XEH821"/>
      <c r="XEI821"/>
      <c r="XEJ821"/>
      <c r="XEK821"/>
      <c r="XEL821"/>
      <c r="XEM821"/>
      <c r="XEN821"/>
      <c r="XEO821"/>
      <c r="XEP821"/>
      <c r="XEQ821"/>
      <c r="XER821"/>
      <c r="XES821"/>
      <c r="XET821"/>
      <c r="XEU821"/>
      <c r="XEV821"/>
      <c r="XEW821"/>
      <c r="XEX821"/>
      <c r="XEY821"/>
      <c r="XEZ821"/>
      <c r="XFA821"/>
      <c r="XFB821"/>
      <c r="XFC821"/>
    </row>
    <row r="822" spans="1:20 16329:16383" s="38" customFormat="1" ht="29.1" customHeight="1" outlineLevel="5" x14ac:dyDescent="0.25">
      <c r="A822" s="49" t="s">
        <v>1635</v>
      </c>
      <c r="B822" s="50"/>
      <c r="C822" s="50"/>
      <c r="D822" s="3" t="s">
        <v>1636</v>
      </c>
      <c r="E822" s="3"/>
      <c r="F822" s="51"/>
      <c r="G822" s="50" t="s">
        <v>102</v>
      </c>
      <c r="H822" s="52">
        <f>1</f>
        <v>1</v>
      </c>
      <c r="I822" s="36"/>
      <c r="J822" s="52">
        <v>1</v>
      </c>
      <c r="K822" s="53">
        <f>0</f>
        <v>0</v>
      </c>
      <c r="L822" s="53">
        <f>0</f>
        <v>0</v>
      </c>
      <c r="M822" s="53">
        <f>0</f>
        <v>0</v>
      </c>
      <c r="N822" s="54">
        <f t="shared" si="74"/>
        <v>0</v>
      </c>
      <c r="O822" s="54">
        <f t="shared" si="75"/>
        <v>0</v>
      </c>
      <c r="P822" s="54">
        <f t="shared" si="76"/>
        <v>0</v>
      </c>
      <c r="Q822" s="54">
        <f t="shared" si="77"/>
        <v>0</v>
      </c>
      <c r="R822" s="54">
        <f t="shared" si="78"/>
        <v>0</v>
      </c>
      <c r="S822" s="54"/>
      <c r="T822" s="36"/>
      <c r="XDA822"/>
      <c r="XDB822"/>
      <c r="XDC822"/>
      <c r="XDD822"/>
      <c r="XDE822"/>
      <c r="XDF822"/>
      <c r="XDG822"/>
      <c r="XDH822"/>
      <c r="XDI822"/>
      <c r="XDJ822"/>
      <c r="XDK822"/>
      <c r="XDL822"/>
      <c r="XDM822"/>
      <c r="XDN822"/>
      <c r="XDO822"/>
      <c r="XDP822"/>
      <c r="XDQ822"/>
      <c r="XDR822"/>
      <c r="XDS822"/>
      <c r="XDT822"/>
      <c r="XDU822"/>
      <c r="XDV822"/>
      <c r="XDW822"/>
      <c r="XDX822"/>
      <c r="XDY822"/>
      <c r="XDZ822"/>
      <c r="XEA822"/>
      <c r="XEB822"/>
      <c r="XEC822"/>
      <c r="XED822"/>
      <c r="XEE822"/>
      <c r="XEF822"/>
      <c r="XEG822"/>
      <c r="XEH822"/>
      <c r="XEI822"/>
      <c r="XEJ822"/>
      <c r="XEK822"/>
      <c r="XEL822"/>
      <c r="XEM822"/>
      <c r="XEN822"/>
      <c r="XEO822"/>
      <c r="XEP822"/>
      <c r="XEQ822"/>
      <c r="XER822"/>
      <c r="XES822"/>
      <c r="XET822"/>
      <c r="XEU822"/>
      <c r="XEV822"/>
      <c r="XEW822"/>
      <c r="XEX822"/>
      <c r="XEY822"/>
      <c r="XEZ822"/>
      <c r="XFA822"/>
      <c r="XFB822"/>
      <c r="XFC822"/>
    </row>
    <row r="823" spans="1:20 16329:16383" s="38" customFormat="1" ht="29.1" customHeight="1" outlineLevel="5" x14ac:dyDescent="0.25">
      <c r="A823" s="49" t="s">
        <v>1637</v>
      </c>
      <c r="B823" s="50"/>
      <c r="C823" s="50"/>
      <c r="D823" s="3" t="s">
        <v>1638</v>
      </c>
      <c r="E823" s="3"/>
      <c r="F823" s="51"/>
      <c r="G823" s="50" t="s">
        <v>102</v>
      </c>
      <c r="H823" s="52">
        <f>1</f>
        <v>1</v>
      </c>
      <c r="I823" s="36"/>
      <c r="J823" s="52">
        <v>1</v>
      </c>
      <c r="K823" s="53">
        <f>0</f>
        <v>0</v>
      </c>
      <c r="L823" s="53">
        <f>0</f>
        <v>0</v>
      </c>
      <c r="M823" s="53">
        <f>0</f>
        <v>0</v>
      </c>
      <c r="N823" s="54">
        <f t="shared" si="74"/>
        <v>0</v>
      </c>
      <c r="O823" s="54">
        <f t="shared" si="75"/>
        <v>0</v>
      </c>
      <c r="P823" s="54">
        <f t="shared" si="76"/>
        <v>0</v>
      </c>
      <c r="Q823" s="54">
        <f t="shared" si="77"/>
        <v>0</v>
      </c>
      <c r="R823" s="54">
        <f t="shared" si="78"/>
        <v>0</v>
      </c>
      <c r="S823" s="54"/>
      <c r="T823" s="36"/>
      <c r="XDA823"/>
      <c r="XDB823"/>
      <c r="XDC823"/>
      <c r="XDD823"/>
      <c r="XDE823"/>
      <c r="XDF823"/>
      <c r="XDG823"/>
      <c r="XDH823"/>
      <c r="XDI823"/>
      <c r="XDJ823"/>
      <c r="XDK823"/>
      <c r="XDL823"/>
      <c r="XDM823"/>
      <c r="XDN823"/>
      <c r="XDO823"/>
      <c r="XDP823"/>
      <c r="XDQ823"/>
      <c r="XDR823"/>
      <c r="XDS823"/>
      <c r="XDT823"/>
      <c r="XDU823"/>
      <c r="XDV823"/>
      <c r="XDW823"/>
      <c r="XDX823"/>
      <c r="XDY823"/>
      <c r="XDZ823"/>
      <c r="XEA823"/>
      <c r="XEB823"/>
      <c r="XEC823"/>
      <c r="XED823"/>
      <c r="XEE823"/>
      <c r="XEF823"/>
      <c r="XEG823"/>
      <c r="XEH823"/>
      <c r="XEI823"/>
      <c r="XEJ823"/>
      <c r="XEK823"/>
      <c r="XEL823"/>
      <c r="XEM823"/>
      <c r="XEN823"/>
      <c r="XEO823"/>
      <c r="XEP823"/>
      <c r="XEQ823"/>
      <c r="XER823"/>
      <c r="XES823"/>
      <c r="XET823"/>
      <c r="XEU823"/>
      <c r="XEV823"/>
      <c r="XEW823"/>
      <c r="XEX823"/>
      <c r="XEY823"/>
      <c r="XEZ823"/>
      <c r="XFA823"/>
      <c r="XFB823"/>
      <c r="XFC823"/>
    </row>
    <row r="824" spans="1:20 16329:16383" s="38" customFormat="1" ht="29.1" customHeight="1" outlineLevel="5" x14ac:dyDescent="0.25">
      <c r="A824" s="49" t="s">
        <v>1639</v>
      </c>
      <c r="B824" s="50"/>
      <c r="C824" s="50"/>
      <c r="D824" s="3" t="s">
        <v>1632</v>
      </c>
      <c r="E824" s="3"/>
      <c r="F824" s="51"/>
      <c r="G824" s="50" t="s">
        <v>102</v>
      </c>
      <c r="H824" s="52">
        <f>1</f>
        <v>1</v>
      </c>
      <c r="I824" s="36"/>
      <c r="J824" s="52">
        <v>1</v>
      </c>
      <c r="K824" s="53">
        <f>0</f>
        <v>0</v>
      </c>
      <c r="L824" s="53">
        <f>0</f>
        <v>0</v>
      </c>
      <c r="M824" s="53">
        <f>0</f>
        <v>0</v>
      </c>
      <c r="N824" s="54">
        <f t="shared" si="74"/>
        <v>0</v>
      </c>
      <c r="O824" s="54">
        <f t="shared" si="75"/>
        <v>0</v>
      </c>
      <c r="P824" s="54">
        <f t="shared" si="76"/>
        <v>0</v>
      </c>
      <c r="Q824" s="54">
        <f t="shared" si="77"/>
        <v>0</v>
      </c>
      <c r="R824" s="54">
        <f t="shared" si="78"/>
        <v>0</v>
      </c>
      <c r="S824" s="54"/>
      <c r="T824" s="36"/>
      <c r="XDA824"/>
      <c r="XDB824"/>
      <c r="XDC824"/>
      <c r="XDD824"/>
      <c r="XDE824"/>
      <c r="XDF824"/>
      <c r="XDG824"/>
      <c r="XDH824"/>
      <c r="XDI824"/>
      <c r="XDJ824"/>
      <c r="XDK824"/>
      <c r="XDL824"/>
      <c r="XDM824"/>
      <c r="XDN824"/>
      <c r="XDO824"/>
      <c r="XDP824"/>
      <c r="XDQ824"/>
      <c r="XDR824"/>
      <c r="XDS824"/>
      <c r="XDT824"/>
      <c r="XDU824"/>
      <c r="XDV824"/>
      <c r="XDW824"/>
      <c r="XDX824"/>
      <c r="XDY824"/>
      <c r="XDZ824"/>
      <c r="XEA824"/>
      <c r="XEB824"/>
      <c r="XEC824"/>
      <c r="XED824"/>
      <c r="XEE824"/>
      <c r="XEF824"/>
      <c r="XEG824"/>
      <c r="XEH824"/>
      <c r="XEI824"/>
      <c r="XEJ824"/>
      <c r="XEK824"/>
      <c r="XEL824"/>
      <c r="XEM824"/>
      <c r="XEN824"/>
      <c r="XEO824"/>
      <c r="XEP824"/>
      <c r="XEQ824"/>
      <c r="XER824"/>
      <c r="XES824"/>
      <c r="XET824"/>
      <c r="XEU824"/>
      <c r="XEV824"/>
      <c r="XEW824"/>
      <c r="XEX824"/>
      <c r="XEY824"/>
      <c r="XEZ824"/>
      <c r="XFA824"/>
      <c r="XFB824"/>
      <c r="XFC824"/>
    </row>
    <row r="825" spans="1:20 16329:16383" s="38" customFormat="1" ht="29.1" customHeight="1" outlineLevel="5" x14ac:dyDescent="0.25">
      <c r="A825" s="49" t="s">
        <v>1640</v>
      </c>
      <c r="B825" s="50"/>
      <c r="C825" s="50"/>
      <c r="D825" s="3" t="s">
        <v>1641</v>
      </c>
      <c r="E825" s="3"/>
      <c r="F825" s="51"/>
      <c r="G825" s="50" t="s">
        <v>102</v>
      </c>
      <c r="H825" s="52">
        <f>1</f>
        <v>1</v>
      </c>
      <c r="I825" s="36"/>
      <c r="J825" s="52">
        <v>1</v>
      </c>
      <c r="K825" s="53">
        <f>0</f>
        <v>0</v>
      </c>
      <c r="L825" s="53">
        <f>0</f>
        <v>0</v>
      </c>
      <c r="M825" s="53">
        <f>0</f>
        <v>0</v>
      </c>
      <c r="N825" s="54">
        <f t="shared" si="74"/>
        <v>0</v>
      </c>
      <c r="O825" s="54">
        <f t="shared" si="75"/>
        <v>0</v>
      </c>
      <c r="P825" s="54">
        <f t="shared" si="76"/>
        <v>0</v>
      </c>
      <c r="Q825" s="54">
        <f t="shared" si="77"/>
        <v>0</v>
      </c>
      <c r="R825" s="54">
        <f t="shared" si="78"/>
        <v>0</v>
      </c>
      <c r="S825" s="54"/>
      <c r="T825" s="36"/>
      <c r="XDA825"/>
      <c r="XDB825"/>
      <c r="XDC825"/>
      <c r="XDD825"/>
      <c r="XDE825"/>
      <c r="XDF825"/>
      <c r="XDG825"/>
      <c r="XDH825"/>
      <c r="XDI825"/>
      <c r="XDJ825"/>
      <c r="XDK825"/>
      <c r="XDL825"/>
      <c r="XDM825"/>
      <c r="XDN825"/>
      <c r="XDO825"/>
      <c r="XDP825"/>
      <c r="XDQ825"/>
      <c r="XDR825"/>
      <c r="XDS825"/>
      <c r="XDT825"/>
      <c r="XDU825"/>
      <c r="XDV825"/>
      <c r="XDW825"/>
      <c r="XDX825"/>
      <c r="XDY825"/>
      <c r="XDZ825"/>
      <c r="XEA825"/>
      <c r="XEB825"/>
      <c r="XEC825"/>
      <c r="XED825"/>
      <c r="XEE825"/>
      <c r="XEF825"/>
      <c r="XEG825"/>
      <c r="XEH825"/>
      <c r="XEI825"/>
      <c r="XEJ825"/>
      <c r="XEK825"/>
      <c r="XEL825"/>
      <c r="XEM825"/>
      <c r="XEN825"/>
      <c r="XEO825"/>
      <c r="XEP825"/>
      <c r="XEQ825"/>
      <c r="XER825"/>
      <c r="XES825"/>
      <c r="XET825"/>
      <c r="XEU825"/>
      <c r="XEV825"/>
      <c r="XEW825"/>
      <c r="XEX825"/>
      <c r="XEY825"/>
      <c r="XEZ825"/>
      <c r="XFA825"/>
      <c r="XFB825"/>
      <c r="XFC825"/>
    </row>
    <row r="826" spans="1:20 16329:16383" s="38" customFormat="1" ht="29.1" customHeight="1" outlineLevel="4" x14ac:dyDescent="0.25">
      <c r="A826" s="60" t="s">
        <v>1642</v>
      </c>
      <c r="B826" s="61" t="s">
        <v>1643</v>
      </c>
      <c r="C826" s="61"/>
      <c r="D826" s="1" t="s">
        <v>1644</v>
      </c>
      <c r="E826" s="1"/>
      <c r="F826" s="62"/>
      <c r="G826" s="61"/>
      <c r="H826" s="63"/>
      <c r="I826" s="36"/>
      <c r="J826" s="63"/>
      <c r="K826" s="64"/>
      <c r="L826" s="64"/>
      <c r="M826" s="64"/>
      <c r="N826" s="64"/>
      <c r="O826" s="64">
        <f>SUM(O827:O836)</f>
        <v>0</v>
      </c>
      <c r="P826" s="64">
        <f>SUM(P827:P836)</f>
        <v>0</v>
      </c>
      <c r="Q826" s="64">
        <f>SUM(Q827:Q836)</f>
        <v>0</v>
      </c>
      <c r="R826" s="64">
        <f>SUM(R827:R836)</f>
        <v>0</v>
      </c>
      <c r="S826" s="64"/>
      <c r="T826" s="36"/>
      <c r="XDA826"/>
      <c r="XDB826"/>
      <c r="XDC826"/>
      <c r="XDD826"/>
      <c r="XDE826"/>
      <c r="XDF826"/>
      <c r="XDG826"/>
      <c r="XDH826"/>
      <c r="XDI826"/>
      <c r="XDJ826"/>
      <c r="XDK826"/>
      <c r="XDL826"/>
      <c r="XDM826"/>
      <c r="XDN826"/>
      <c r="XDO826"/>
      <c r="XDP826"/>
      <c r="XDQ826"/>
      <c r="XDR826"/>
      <c r="XDS826"/>
      <c r="XDT826"/>
      <c r="XDU826"/>
      <c r="XDV826"/>
      <c r="XDW826"/>
      <c r="XDX826"/>
      <c r="XDY826"/>
      <c r="XDZ826"/>
      <c r="XEA826"/>
      <c r="XEB826"/>
      <c r="XEC826"/>
      <c r="XED826"/>
      <c r="XEE826"/>
      <c r="XEF826"/>
      <c r="XEG826"/>
      <c r="XEH826"/>
      <c r="XEI826"/>
      <c r="XEJ826"/>
      <c r="XEK826"/>
      <c r="XEL826"/>
      <c r="XEM826"/>
      <c r="XEN826"/>
      <c r="XEO826"/>
      <c r="XEP826"/>
      <c r="XEQ826"/>
      <c r="XER826"/>
      <c r="XES826"/>
      <c r="XET826"/>
      <c r="XEU826"/>
      <c r="XEV826"/>
      <c r="XEW826"/>
      <c r="XEX826"/>
      <c r="XEY826"/>
      <c r="XEZ826"/>
      <c r="XFA826"/>
      <c r="XFB826"/>
      <c r="XFC826"/>
    </row>
    <row r="827" spans="1:20 16329:16383" s="38" customFormat="1" ht="29.1" customHeight="1" outlineLevel="5" x14ac:dyDescent="0.25">
      <c r="A827" s="49" t="s">
        <v>1645</v>
      </c>
      <c r="B827" s="50"/>
      <c r="C827" s="50"/>
      <c r="D827" s="3" t="s">
        <v>1646</v>
      </c>
      <c r="E827" s="3"/>
      <c r="F827" s="51"/>
      <c r="G827" s="50" t="s">
        <v>102</v>
      </c>
      <c r="H827" s="52">
        <f>1</f>
        <v>1</v>
      </c>
      <c r="I827" s="36"/>
      <c r="J827" s="52">
        <v>1</v>
      </c>
      <c r="K827" s="53">
        <f>0</f>
        <v>0</v>
      </c>
      <c r="L827" s="53">
        <f>0</f>
        <v>0</v>
      </c>
      <c r="M827" s="53">
        <f>0</f>
        <v>0</v>
      </c>
      <c r="N827" s="54">
        <f t="shared" ref="N827:N836" si="79">SUM(K827:M827)</f>
        <v>0</v>
      </c>
      <c r="O827" s="54">
        <f t="shared" ref="O827:O836" si="80">ROUND((H827*K827),2)</f>
        <v>0</v>
      </c>
      <c r="P827" s="54">
        <f t="shared" ref="P827:P836" si="81">ROUND((H827*L827),2)</f>
        <v>0</v>
      </c>
      <c r="Q827" s="54">
        <f t="shared" ref="Q827:Q836" si="82">ROUND((H827*M827),2)</f>
        <v>0</v>
      </c>
      <c r="R827" s="54">
        <f t="shared" ref="R827:R836" si="83">ROUND((H827*N827),2)</f>
        <v>0</v>
      </c>
      <c r="S827" s="54"/>
      <c r="T827" s="36"/>
      <c r="XDA827"/>
      <c r="XDB827"/>
      <c r="XDC827"/>
      <c r="XDD827"/>
      <c r="XDE827"/>
      <c r="XDF827"/>
      <c r="XDG827"/>
      <c r="XDH827"/>
      <c r="XDI827"/>
      <c r="XDJ827"/>
      <c r="XDK827"/>
      <c r="XDL827"/>
      <c r="XDM827"/>
      <c r="XDN827"/>
      <c r="XDO827"/>
      <c r="XDP827"/>
      <c r="XDQ827"/>
      <c r="XDR827"/>
      <c r="XDS827"/>
      <c r="XDT827"/>
      <c r="XDU827"/>
      <c r="XDV827"/>
      <c r="XDW827"/>
      <c r="XDX827"/>
      <c r="XDY827"/>
      <c r="XDZ827"/>
      <c r="XEA827"/>
      <c r="XEB827"/>
      <c r="XEC827"/>
      <c r="XED827"/>
      <c r="XEE827"/>
      <c r="XEF827"/>
      <c r="XEG827"/>
      <c r="XEH827"/>
      <c r="XEI827"/>
      <c r="XEJ827"/>
      <c r="XEK827"/>
      <c r="XEL827"/>
      <c r="XEM827"/>
      <c r="XEN827"/>
      <c r="XEO827"/>
      <c r="XEP827"/>
      <c r="XEQ827"/>
      <c r="XER827"/>
      <c r="XES827"/>
      <c r="XET827"/>
      <c r="XEU827"/>
      <c r="XEV827"/>
      <c r="XEW827"/>
      <c r="XEX827"/>
      <c r="XEY827"/>
      <c r="XEZ827"/>
      <c r="XFA827"/>
      <c r="XFB827"/>
      <c r="XFC827"/>
    </row>
    <row r="828" spans="1:20 16329:16383" s="38" customFormat="1" ht="29.1" customHeight="1" outlineLevel="5" x14ac:dyDescent="0.25">
      <c r="A828" s="49" t="s">
        <v>1647</v>
      </c>
      <c r="B828" s="50"/>
      <c r="C828" s="50"/>
      <c r="D828" s="3" t="s">
        <v>1648</v>
      </c>
      <c r="E828" s="3"/>
      <c r="F828" s="51"/>
      <c r="G828" s="50" t="s">
        <v>102</v>
      </c>
      <c r="H828" s="52">
        <f>1</f>
        <v>1</v>
      </c>
      <c r="I828" s="36"/>
      <c r="J828" s="52">
        <v>1</v>
      </c>
      <c r="K828" s="53">
        <f>0</f>
        <v>0</v>
      </c>
      <c r="L828" s="53">
        <f>0</f>
        <v>0</v>
      </c>
      <c r="M828" s="53">
        <f>0</f>
        <v>0</v>
      </c>
      <c r="N828" s="54">
        <f t="shared" si="79"/>
        <v>0</v>
      </c>
      <c r="O828" s="54">
        <f t="shared" si="80"/>
        <v>0</v>
      </c>
      <c r="P828" s="54">
        <f t="shared" si="81"/>
        <v>0</v>
      </c>
      <c r="Q828" s="54">
        <f t="shared" si="82"/>
        <v>0</v>
      </c>
      <c r="R828" s="54">
        <f t="shared" si="83"/>
        <v>0</v>
      </c>
      <c r="S828" s="54"/>
      <c r="T828" s="36"/>
      <c r="XDA828"/>
      <c r="XDB828"/>
      <c r="XDC828"/>
      <c r="XDD828"/>
      <c r="XDE828"/>
      <c r="XDF828"/>
      <c r="XDG828"/>
      <c r="XDH828"/>
      <c r="XDI828"/>
      <c r="XDJ828"/>
      <c r="XDK828"/>
      <c r="XDL828"/>
      <c r="XDM828"/>
      <c r="XDN828"/>
      <c r="XDO828"/>
      <c r="XDP828"/>
      <c r="XDQ828"/>
      <c r="XDR828"/>
      <c r="XDS828"/>
      <c r="XDT828"/>
      <c r="XDU828"/>
      <c r="XDV828"/>
      <c r="XDW828"/>
      <c r="XDX828"/>
      <c r="XDY828"/>
      <c r="XDZ828"/>
      <c r="XEA828"/>
      <c r="XEB828"/>
      <c r="XEC828"/>
      <c r="XED828"/>
      <c r="XEE828"/>
      <c r="XEF828"/>
      <c r="XEG828"/>
      <c r="XEH828"/>
      <c r="XEI828"/>
      <c r="XEJ828"/>
      <c r="XEK828"/>
      <c r="XEL828"/>
      <c r="XEM828"/>
      <c r="XEN828"/>
      <c r="XEO828"/>
      <c r="XEP828"/>
      <c r="XEQ828"/>
      <c r="XER828"/>
      <c r="XES828"/>
      <c r="XET828"/>
      <c r="XEU828"/>
      <c r="XEV828"/>
      <c r="XEW828"/>
      <c r="XEX828"/>
      <c r="XEY828"/>
      <c r="XEZ828"/>
      <c r="XFA828"/>
      <c r="XFB828"/>
      <c r="XFC828"/>
    </row>
    <row r="829" spans="1:20 16329:16383" s="38" customFormat="1" ht="29.1" customHeight="1" outlineLevel="5" x14ac:dyDescent="0.25">
      <c r="A829" s="49" t="s">
        <v>1649</v>
      </c>
      <c r="B829" s="50"/>
      <c r="C829" s="50"/>
      <c r="D829" s="3" t="s">
        <v>1650</v>
      </c>
      <c r="E829" s="3"/>
      <c r="F829" s="51"/>
      <c r="G829" s="50" t="s">
        <v>102</v>
      </c>
      <c r="H829" s="52">
        <f>1</f>
        <v>1</v>
      </c>
      <c r="I829" s="36"/>
      <c r="J829" s="52">
        <v>1</v>
      </c>
      <c r="K829" s="53">
        <f>0</f>
        <v>0</v>
      </c>
      <c r="L829" s="53">
        <f>0</f>
        <v>0</v>
      </c>
      <c r="M829" s="53">
        <f>0</f>
        <v>0</v>
      </c>
      <c r="N829" s="54">
        <f t="shared" si="79"/>
        <v>0</v>
      </c>
      <c r="O829" s="54">
        <f t="shared" si="80"/>
        <v>0</v>
      </c>
      <c r="P829" s="54">
        <f t="shared" si="81"/>
        <v>0</v>
      </c>
      <c r="Q829" s="54">
        <f t="shared" si="82"/>
        <v>0</v>
      </c>
      <c r="R829" s="54">
        <f t="shared" si="83"/>
        <v>0</v>
      </c>
      <c r="S829" s="54"/>
      <c r="T829" s="36"/>
      <c r="XDA829"/>
      <c r="XDB829"/>
      <c r="XDC829"/>
      <c r="XDD829"/>
      <c r="XDE829"/>
      <c r="XDF829"/>
      <c r="XDG829"/>
      <c r="XDH829"/>
      <c r="XDI829"/>
      <c r="XDJ829"/>
      <c r="XDK829"/>
      <c r="XDL829"/>
      <c r="XDM829"/>
      <c r="XDN829"/>
      <c r="XDO829"/>
      <c r="XDP829"/>
      <c r="XDQ829"/>
      <c r="XDR829"/>
      <c r="XDS829"/>
      <c r="XDT829"/>
      <c r="XDU829"/>
      <c r="XDV829"/>
      <c r="XDW829"/>
      <c r="XDX829"/>
      <c r="XDY829"/>
      <c r="XDZ829"/>
      <c r="XEA829"/>
      <c r="XEB829"/>
      <c r="XEC829"/>
      <c r="XED829"/>
      <c r="XEE829"/>
      <c r="XEF829"/>
      <c r="XEG829"/>
      <c r="XEH829"/>
      <c r="XEI829"/>
      <c r="XEJ829"/>
      <c r="XEK829"/>
      <c r="XEL829"/>
      <c r="XEM829"/>
      <c r="XEN829"/>
      <c r="XEO829"/>
      <c r="XEP829"/>
      <c r="XEQ829"/>
      <c r="XER829"/>
      <c r="XES829"/>
      <c r="XET829"/>
      <c r="XEU829"/>
      <c r="XEV829"/>
      <c r="XEW829"/>
      <c r="XEX829"/>
      <c r="XEY829"/>
      <c r="XEZ829"/>
      <c r="XFA829"/>
      <c r="XFB829"/>
      <c r="XFC829"/>
    </row>
    <row r="830" spans="1:20 16329:16383" s="38" customFormat="1" ht="29.1" customHeight="1" outlineLevel="5" x14ac:dyDescent="0.25">
      <c r="A830" s="49" t="s">
        <v>1651</v>
      </c>
      <c r="B830" s="50"/>
      <c r="C830" s="50"/>
      <c r="D830" s="3" t="s">
        <v>1544</v>
      </c>
      <c r="E830" s="3"/>
      <c r="F830" s="51"/>
      <c r="G830" s="50" t="s">
        <v>102</v>
      </c>
      <c r="H830" s="52">
        <f>1</f>
        <v>1</v>
      </c>
      <c r="I830" s="36"/>
      <c r="J830" s="52">
        <v>1</v>
      </c>
      <c r="K830" s="53">
        <f>0</f>
        <v>0</v>
      </c>
      <c r="L830" s="53">
        <f>0</f>
        <v>0</v>
      </c>
      <c r="M830" s="53">
        <f>0</f>
        <v>0</v>
      </c>
      <c r="N830" s="54">
        <f t="shared" si="79"/>
        <v>0</v>
      </c>
      <c r="O830" s="54">
        <f t="shared" si="80"/>
        <v>0</v>
      </c>
      <c r="P830" s="54">
        <f t="shared" si="81"/>
        <v>0</v>
      </c>
      <c r="Q830" s="54">
        <f t="shared" si="82"/>
        <v>0</v>
      </c>
      <c r="R830" s="54">
        <f t="shared" si="83"/>
        <v>0</v>
      </c>
      <c r="S830" s="54"/>
      <c r="T830" s="36"/>
      <c r="XDA830"/>
      <c r="XDB830"/>
      <c r="XDC830"/>
      <c r="XDD830"/>
      <c r="XDE830"/>
      <c r="XDF830"/>
      <c r="XDG830"/>
      <c r="XDH830"/>
      <c r="XDI830"/>
      <c r="XDJ830"/>
      <c r="XDK830"/>
      <c r="XDL830"/>
      <c r="XDM830"/>
      <c r="XDN830"/>
      <c r="XDO830"/>
      <c r="XDP830"/>
      <c r="XDQ830"/>
      <c r="XDR830"/>
      <c r="XDS830"/>
      <c r="XDT830"/>
      <c r="XDU830"/>
      <c r="XDV830"/>
      <c r="XDW830"/>
      <c r="XDX830"/>
      <c r="XDY830"/>
      <c r="XDZ830"/>
      <c r="XEA830"/>
      <c r="XEB830"/>
      <c r="XEC830"/>
      <c r="XED830"/>
      <c r="XEE830"/>
      <c r="XEF830"/>
      <c r="XEG830"/>
      <c r="XEH830"/>
      <c r="XEI830"/>
      <c r="XEJ830"/>
      <c r="XEK830"/>
      <c r="XEL830"/>
      <c r="XEM830"/>
      <c r="XEN830"/>
      <c r="XEO830"/>
      <c r="XEP830"/>
      <c r="XEQ830"/>
      <c r="XER830"/>
      <c r="XES830"/>
      <c r="XET830"/>
      <c r="XEU830"/>
      <c r="XEV830"/>
      <c r="XEW830"/>
      <c r="XEX830"/>
      <c r="XEY830"/>
      <c r="XEZ830"/>
      <c r="XFA830"/>
      <c r="XFB830"/>
      <c r="XFC830"/>
    </row>
    <row r="831" spans="1:20 16329:16383" s="38" customFormat="1" ht="29.1" customHeight="1" outlineLevel="5" x14ac:dyDescent="0.25">
      <c r="A831" s="49" t="s">
        <v>1652</v>
      </c>
      <c r="B831" s="50"/>
      <c r="C831" s="50"/>
      <c r="D831" s="3" t="s">
        <v>1546</v>
      </c>
      <c r="E831" s="3"/>
      <c r="F831" s="51"/>
      <c r="G831" s="50" t="s">
        <v>102</v>
      </c>
      <c r="H831" s="52">
        <f>1</f>
        <v>1</v>
      </c>
      <c r="I831" s="36"/>
      <c r="J831" s="52">
        <v>1</v>
      </c>
      <c r="K831" s="53">
        <f>0</f>
        <v>0</v>
      </c>
      <c r="L831" s="53">
        <f>0</f>
        <v>0</v>
      </c>
      <c r="M831" s="53">
        <f>0</f>
        <v>0</v>
      </c>
      <c r="N831" s="54">
        <f t="shared" si="79"/>
        <v>0</v>
      </c>
      <c r="O831" s="54">
        <f t="shared" si="80"/>
        <v>0</v>
      </c>
      <c r="P831" s="54">
        <f t="shared" si="81"/>
        <v>0</v>
      </c>
      <c r="Q831" s="54">
        <f t="shared" si="82"/>
        <v>0</v>
      </c>
      <c r="R831" s="54">
        <f t="shared" si="83"/>
        <v>0</v>
      </c>
      <c r="S831" s="54"/>
      <c r="T831" s="36"/>
      <c r="XDA831"/>
      <c r="XDB831"/>
      <c r="XDC831"/>
      <c r="XDD831"/>
      <c r="XDE831"/>
      <c r="XDF831"/>
      <c r="XDG831"/>
      <c r="XDH831"/>
      <c r="XDI831"/>
      <c r="XDJ831"/>
      <c r="XDK831"/>
      <c r="XDL831"/>
      <c r="XDM831"/>
      <c r="XDN831"/>
      <c r="XDO831"/>
      <c r="XDP831"/>
      <c r="XDQ831"/>
      <c r="XDR831"/>
      <c r="XDS831"/>
      <c r="XDT831"/>
      <c r="XDU831"/>
      <c r="XDV831"/>
      <c r="XDW831"/>
      <c r="XDX831"/>
      <c r="XDY831"/>
      <c r="XDZ831"/>
      <c r="XEA831"/>
      <c r="XEB831"/>
      <c r="XEC831"/>
      <c r="XED831"/>
      <c r="XEE831"/>
      <c r="XEF831"/>
      <c r="XEG831"/>
      <c r="XEH831"/>
      <c r="XEI831"/>
      <c r="XEJ831"/>
      <c r="XEK831"/>
      <c r="XEL831"/>
      <c r="XEM831"/>
      <c r="XEN831"/>
      <c r="XEO831"/>
      <c r="XEP831"/>
      <c r="XEQ831"/>
      <c r="XER831"/>
      <c r="XES831"/>
      <c r="XET831"/>
      <c r="XEU831"/>
      <c r="XEV831"/>
      <c r="XEW831"/>
      <c r="XEX831"/>
      <c r="XEY831"/>
      <c r="XEZ831"/>
      <c r="XFA831"/>
      <c r="XFB831"/>
      <c r="XFC831"/>
    </row>
    <row r="832" spans="1:20 16329:16383" s="38" customFormat="1" ht="29.1" customHeight="1" outlineLevel="5" x14ac:dyDescent="0.25">
      <c r="A832" s="49" t="s">
        <v>1653</v>
      </c>
      <c r="B832" s="50"/>
      <c r="C832" s="50"/>
      <c r="D832" s="3" t="s">
        <v>1550</v>
      </c>
      <c r="E832" s="3"/>
      <c r="F832" s="51"/>
      <c r="G832" s="50" t="s">
        <v>102</v>
      </c>
      <c r="H832" s="52">
        <f>1</f>
        <v>1</v>
      </c>
      <c r="I832" s="36"/>
      <c r="J832" s="52">
        <v>1</v>
      </c>
      <c r="K832" s="53">
        <f>0</f>
        <v>0</v>
      </c>
      <c r="L832" s="53">
        <f>0</f>
        <v>0</v>
      </c>
      <c r="M832" s="53">
        <f>0</f>
        <v>0</v>
      </c>
      <c r="N832" s="54">
        <f t="shared" si="79"/>
        <v>0</v>
      </c>
      <c r="O832" s="54">
        <f t="shared" si="80"/>
        <v>0</v>
      </c>
      <c r="P832" s="54">
        <f t="shared" si="81"/>
        <v>0</v>
      </c>
      <c r="Q832" s="54">
        <f t="shared" si="82"/>
        <v>0</v>
      </c>
      <c r="R832" s="54">
        <f t="shared" si="83"/>
        <v>0</v>
      </c>
      <c r="S832" s="54"/>
      <c r="T832" s="36"/>
      <c r="XDA832"/>
      <c r="XDB832"/>
      <c r="XDC832"/>
      <c r="XDD832"/>
      <c r="XDE832"/>
      <c r="XDF832"/>
      <c r="XDG832"/>
      <c r="XDH832"/>
      <c r="XDI832"/>
      <c r="XDJ832"/>
      <c r="XDK832"/>
      <c r="XDL832"/>
      <c r="XDM832"/>
      <c r="XDN832"/>
      <c r="XDO832"/>
      <c r="XDP832"/>
      <c r="XDQ832"/>
      <c r="XDR832"/>
      <c r="XDS832"/>
      <c r="XDT832"/>
      <c r="XDU832"/>
      <c r="XDV832"/>
      <c r="XDW832"/>
      <c r="XDX832"/>
      <c r="XDY832"/>
      <c r="XDZ832"/>
      <c r="XEA832"/>
      <c r="XEB832"/>
      <c r="XEC832"/>
      <c r="XED832"/>
      <c r="XEE832"/>
      <c r="XEF832"/>
      <c r="XEG832"/>
      <c r="XEH832"/>
      <c r="XEI832"/>
      <c r="XEJ832"/>
      <c r="XEK832"/>
      <c r="XEL832"/>
      <c r="XEM832"/>
      <c r="XEN832"/>
      <c r="XEO832"/>
      <c r="XEP832"/>
      <c r="XEQ832"/>
      <c r="XER832"/>
      <c r="XES832"/>
      <c r="XET832"/>
      <c r="XEU832"/>
      <c r="XEV832"/>
      <c r="XEW832"/>
      <c r="XEX832"/>
      <c r="XEY832"/>
      <c r="XEZ832"/>
      <c r="XFA832"/>
      <c r="XFB832"/>
      <c r="XFC832"/>
    </row>
    <row r="833" spans="1:20 16329:16383" s="38" customFormat="1" ht="29.1" customHeight="1" outlineLevel="5" x14ac:dyDescent="0.25">
      <c r="A833" s="49" t="s">
        <v>1654</v>
      </c>
      <c r="B833" s="50"/>
      <c r="C833" s="50"/>
      <c r="D833" s="3" t="s">
        <v>1550</v>
      </c>
      <c r="E833" s="3"/>
      <c r="F833" s="51"/>
      <c r="G833" s="50" t="s">
        <v>102</v>
      </c>
      <c r="H833" s="52">
        <f>1</f>
        <v>1</v>
      </c>
      <c r="I833" s="36"/>
      <c r="J833" s="52">
        <v>1</v>
      </c>
      <c r="K833" s="53">
        <f>0</f>
        <v>0</v>
      </c>
      <c r="L833" s="53">
        <f>0</f>
        <v>0</v>
      </c>
      <c r="M833" s="53">
        <f>0</f>
        <v>0</v>
      </c>
      <c r="N833" s="54">
        <f t="shared" si="79"/>
        <v>0</v>
      </c>
      <c r="O833" s="54">
        <f t="shared" si="80"/>
        <v>0</v>
      </c>
      <c r="P833" s="54">
        <f t="shared" si="81"/>
        <v>0</v>
      </c>
      <c r="Q833" s="54">
        <f t="shared" si="82"/>
        <v>0</v>
      </c>
      <c r="R833" s="54">
        <f t="shared" si="83"/>
        <v>0</v>
      </c>
      <c r="S833" s="54"/>
      <c r="T833" s="36"/>
      <c r="XDA833"/>
      <c r="XDB833"/>
      <c r="XDC833"/>
      <c r="XDD833"/>
      <c r="XDE833"/>
      <c r="XDF833"/>
      <c r="XDG833"/>
      <c r="XDH833"/>
      <c r="XDI833"/>
      <c r="XDJ833"/>
      <c r="XDK833"/>
      <c r="XDL833"/>
      <c r="XDM833"/>
      <c r="XDN833"/>
      <c r="XDO833"/>
      <c r="XDP833"/>
      <c r="XDQ833"/>
      <c r="XDR833"/>
      <c r="XDS833"/>
      <c r="XDT833"/>
      <c r="XDU833"/>
      <c r="XDV833"/>
      <c r="XDW833"/>
      <c r="XDX833"/>
      <c r="XDY833"/>
      <c r="XDZ833"/>
      <c r="XEA833"/>
      <c r="XEB833"/>
      <c r="XEC833"/>
      <c r="XED833"/>
      <c r="XEE833"/>
      <c r="XEF833"/>
      <c r="XEG833"/>
      <c r="XEH833"/>
      <c r="XEI833"/>
      <c r="XEJ833"/>
      <c r="XEK833"/>
      <c r="XEL833"/>
      <c r="XEM833"/>
      <c r="XEN833"/>
      <c r="XEO833"/>
      <c r="XEP833"/>
      <c r="XEQ833"/>
      <c r="XER833"/>
      <c r="XES833"/>
      <c r="XET833"/>
      <c r="XEU833"/>
      <c r="XEV833"/>
      <c r="XEW833"/>
      <c r="XEX833"/>
      <c r="XEY833"/>
      <c r="XEZ833"/>
      <c r="XFA833"/>
      <c r="XFB833"/>
      <c r="XFC833"/>
    </row>
    <row r="834" spans="1:20 16329:16383" s="38" customFormat="1" ht="29.1" customHeight="1" outlineLevel="5" x14ac:dyDescent="0.25">
      <c r="A834" s="49" t="s">
        <v>1655</v>
      </c>
      <c r="B834" s="50"/>
      <c r="C834" s="50"/>
      <c r="D834" s="3" t="s">
        <v>1552</v>
      </c>
      <c r="E834" s="3"/>
      <c r="F834" s="51"/>
      <c r="G834" s="50" t="s">
        <v>102</v>
      </c>
      <c r="H834" s="52">
        <f>1</f>
        <v>1</v>
      </c>
      <c r="I834" s="36"/>
      <c r="J834" s="52">
        <v>1</v>
      </c>
      <c r="K834" s="53">
        <f>0</f>
        <v>0</v>
      </c>
      <c r="L834" s="53">
        <f>0</f>
        <v>0</v>
      </c>
      <c r="M834" s="53">
        <f>0</f>
        <v>0</v>
      </c>
      <c r="N834" s="54">
        <f t="shared" si="79"/>
        <v>0</v>
      </c>
      <c r="O834" s="54">
        <f t="shared" si="80"/>
        <v>0</v>
      </c>
      <c r="P834" s="54">
        <f t="shared" si="81"/>
        <v>0</v>
      </c>
      <c r="Q834" s="54">
        <f t="shared" si="82"/>
        <v>0</v>
      </c>
      <c r="R834" s="54">
        <f t="shared" si="83"/>
        <v>0</v>
      </c>
      <c r="S834" s="54"/>
      <c r="T834" s="36"/>
      <c r="XDA834"/>
      <c r="XDB834"/>
      <c r="XDC834"/>
      <c r="XDD834"/>
      <c r="XDE834"/>
      <c r="XDF834"/>
      <c r="XDG834"/>
      <c r="XDH834"/>
      <c r="XDI834"/>
      <c r="XDJ834"/>
      <c r="XDK834"/>
      <c r="XDL834"/>
      <c r="XDM834"/>
      <c r="XDN834"/>
      <c r="XDO834"/>
      <c r="XDP834"/>
      <c r="XDQ834"/>
      <c r="XDR834"/>
      <c r="XDS834"/>
      <c r="XDT834"/>
      <c r="XDU834"/>
      <c r="XDV834"/>
      <c r="XDW834"/>
      <c r="XDX834"/>
      <c r="XDY834"/>
      <c r="XDZ834"/>
      <c r="XEA834"/>
      <c r="XEB834"/>
      <c r="XEC834"/>
      <c r="XED834"/>
      <c r="XEE834"/>
      <c r="XEF834"/>
      <c r="XEG834"/>
      <c r="XEH834"/>
      <c r="XEI834"/>
      <c r="XEJ834"/>
      <c r="XEK834"/>
      <c r="XEL834"/>
      <c r="XEM834"/>
      <c r="XEN834"/>
      <c r="XEO834"/>
      <c r="XEP834"/>
      <c r="XEQ834"/>
      <c r="XER834"/>
      <c r="XES834"/>
      <c r="XET834"/>
      <c r="XEU834"/>
      <c r="XEV834"/>
      <c r="XEW834"/>
      <c r="XEX834"/>
      <c r="XEY834"/>
      <c r="XEZ834"/>
      <c r="XFA834"/>
      <c r="XFB834"/>
      <c r="XFC834"/>
    </row>
    <row r="835" spans="1:20 16329:16383" s="38" customFormat="1" ht="29.1" customHeight="1" outlineLevel="5" x14ac:dyDescent="0.25">
      <c r="A835" s="49" t="s">
        <v>1656</v>
      </c>
      <c r="B835" s="50"/>
      <c r="C835" s="50"/>
      <c r="D835" s="3" t="s">
        <v>1567</v>
      </c>
      <c r="E835" s="3"/>
      <c r="F835" s="51"/>
      <c r="G835" s="50" t="s">
        <v>102</v>
      </c>
      <c r="H835" s="52">
        <f>1</f>
        <v>1</v>
      </c>
      <c r="I835" s="36"/>
      <c r="J835" s="52">
        <v>1</v>
      </c>
      <c r="K835" s="53">
        <f>0</f>
        <v>0</v>
      </c>
      <c r="L835" s="53">
        <f>0</f>
        <v>0</v>
      </c>
      <c r="M835" s="53">
        <f>0</f>
        <v>0</v>
      </c>
      <c r="N835" s="54">
        <f t="shared" si="79"/>
        <v>0</v>
      </c>
      <c r="O835" s="54">
        <f t="shared" si="80"/>
        <v>0</v>
      </c>
      <c r="P835" s="54">
        <f t="shared" si="81"/>
        <v>0</v>
      </c>
      <c r="Q835" s="54">
        <f t="shared" si="82"/>
        <v>0</v>
      </c>
      <c r="R835" s="54">
        <f t="shared" si="83"/>
        <v>0</v>
      </c>
      <c r="S835" s="54"/>
      <c r="T835" s="36"/>
      <c r="XDA835"/>
      <c r="XDB835"/>
      <c r="XDC835"/>
      <c r="XDD835"/>
      <c r="XDE835"/>
      <c r="XDF835"/>
      <c r="XDG835"/>
      <c r="XDH835"/>
      <c r="XDI835"/>
      <c r="XDJ835"/>
      <c r="XDK835"/>
      <c r="XDL835"/>
      <c r="XDM835"/>
      <c r="XDN835"/>
      <c r="XDO835"/>
      <c r="XDP835"/>
      <c r="XDQ835"/>
      <c r="XDR835"/>
      <c r="XDS835"/>
      <c r="XDT835"/>
      <c r="XDU835"/>
      <c r="XDV835"/>
      <c r="XDW835"/>
      <c r="XDX835"/>
      <c r="XDY835"/>
      <c r="XDZ835"/>
      <c r="XEA835"/>
      <c r="XEB835"/>
      <c r="XEC835"/>
      <c r="XED835"/>
      <c r="XEE835"/>
      <c r="XEF835"/>
      <c r="XEG835"/>
      <c r="XEH835"/>
      <c r="XEI835"/>
      <c r="XEJ835"/>
      <c r="XEK835"/>
      <c r="XEL835"/>
      <c r="XEM835"/>
      <c r="XEN835"/>
      <c r="XEO835"/>
      <c r="XEP835"/>
      <c r="XEQ835"/>
      <c r="XER835"/>
      <c r="XES835"/>
      <c r="XET835"/>
      <c r="XEU835"/>
      <c r="XEV835"/>
      <c r="XEW835"/>
      <c r="XEX835"/>
      <c r="XEY835"/>
      <c r="XEZ835"/>
      <c r="XFA835"/>
      <c r="XFB835"/>
      <c r="XFC835"/>
    </row>
    <row r="836" spans="1:20 16329:16383" s="38" customFormat="1" ht="29.1" customHeight="1" outlineLevel="5" x14ac:dyDescent="0.25">
      <c r="A836" s="49" t="s">
        <v>1657</v>
      </c>
      <c r="B836" s="50"/>
      <c r="C836" s="50"/>
      <c r="D836" s="3" t="s">
        <v>1569</v>
      </c>
      <c r="E836" s="3"/>
      <c r="F836" s="51"/>
      <c r="G836" s="50" t="s">
        <v>102</v>
      </c>
      <c r="H836" s="52">
        <f>1</f>
        <v>1</v>
      </c>
      <c r="I836" s="36"/>
      <c r="J836" s="52">
        <v>1</v>
      </c>
      <c r="K836" s="53">
        <f>0</f>
        <v>0</v>
      </c>
      <c r="L836" s="53">
        <f>0</f>
        <v>0</v>
      </c>
      <c r="M836" s="53">
        <f>0</f>
        <v>0</v>
      </c>
      <c r="N836" s="54">
        <f t="shared" si="79"/>
        <v>0</v>
      </c>
      <c r="O836" s="54">
        <f t="shared" si="80"/>
        <v>0</v>
      </c>
      <c r="P836" s="54">
        <f t="shared" si="81"/>
        <v>0</v>
      </c>
      <c r="Q836" s="54">
        <f t="shared" si="82"/>
        <v>0</v>
      </c>
      <c r="R836" s="54">
        <f t="shared" si="83"/>
        <v>0</v>
      </c>
      <c r="S836" s="54"/>
      <c r="T836" s="36"/>
      <c r="XDA836"/>
      <c r="XDB836"/>
      <c r="XDC836"/>
      <c r="XDD836"/>
      <c r="XDE836"/>
      <c r="XDF836"/>
      <c r="XDG836"/>
      <c r="XDH836"/>
      <c r="XDI836"/>
      <c r="XDJ836"/>
      <c r="XDK836"/>
      <c r="XDL836"/>
      <c r="XDM836"/>
      <c r="XDN836"/>
      <c r="XDO836"/>
      <c r="XDP836"/>
      <c r="XDQ836"/>
      <c r="XDR836"/>
      <c r="XDS836"/>
      <c r="XDT836"/>
      <c r="XDU836"/>
      <c r="XDV836"/>
      <c r="XDW836"/>
      <c r="XDX836"/>
      <c r="XDY836"/>
      <c r="XDZ836"/>
      <c r="XEA836"/>
      <c r="XEB836"/>
      <c r="XEC836"/>
      <c r="XED836"/>
      <c r="XEE836"/>
      <c r="XEF836"/>
      <c r="XEG836"/>
      <c r="XEH836"/>
      <c r="XEI836"/>
      <c r="XEJ836"/>
      <c r="XEK836"/>
      <c r="XEL836"/>
      <c r="XEM836"/>
      <c r="XEN836"/>
      <c r="XEO836"/>
      <c r="XEP836"/>
      <c r="XEQ836"/>
      <c r="XER836"/>
      <c r="XES836"/>
      <c r="XET836"/>
      <c r="XEU836"/>
      <c r="XEV836"/>
      <c r="XEW836"/>
      <c r="XEX836"/>
      <c r="XEY836"/>
      <c r="XEZ836"/>
      <c r="XFA836"/>
      <c r="XFB836"/>
      <c r="XFC836"/>
    </row>
    <row r="837" spans="1:20 16329:16383" s="38" customFormat="1" ht="29.1" customHeight="1" outlineLevel="4" x14ac:dyDescent="0.25">
      <c r="A837" s="60" t="s">
        <v>1658</v>
      </c>
      <c r="B837" s="61" t="s">
        <v>1659</v>
      </c>
      <c r="C837" s="61"/>
      <c r="D837" s="1" t="s">
        <v>1660</v>
      </c>
      <c r="E837" s="1"/>
      <c r="F837" s="62"/>
      <c r="G837" s="61"/>
      <c r="H837" s="63"/>
      <c r="I837" s="36"/>
      <c r="J837" s="63"/>
      <c r="K837" s="64"/>
      <c r="L837" s="64"/>
      <c r="M837" s="64"/>
      <c r="N837" s="64"/>
      <c r="O837" s="64">
        <f>SUM(O838:O847)</f>
        <v>0</v>
      </c>
      <c r="P837" s="64">
        <f>SUM(P838:P847)</f>
        <v>0</v>
      </c>
      <c r="Q837" s="64">
        <f>SUM(Q838:Q847)</f>
        <v>0</v>
      </c>
      <c r="R837" s="64">
        <f>SUM(R838:R847)</f>
        <v>0</v>
      </c>
      <c r="S837" s="64"/>
      <c r="T837" s="36"/>
      <c r="XDA837"/>
      <c r="XDB837"/>
      <c r="XDC837"/>
      <c r="XDD837"/>
      <c r="XDE837"/>
      <c r="XDF837"/>
      <c r="XDG837"/>
      <c r="XDH837"/>
      <c r="XDI837"/>
      <c r="XDJ837"/>
      <c r="XDK837"/>
      <c r="XDL837"/>
      <c r="XDM837"/>
      <c r="XDN837"/>
      <c r="XDO837"/>
      <c r="XDP837"/>
      <c r="XDQ837"/>
      <c r="XDR837"/>
      <c r="XDS837"/>
      <c r="XDT837"/>
      <c r="XDU837"/>
      <c r="XDV837"/>
      <c r="XDW837"/>
      <c r="XDX837"/>
      <c r="XDY837"/>
      <c r="XDZ837"/>
      <c r="XEA837"/>
      <c r="XEB837"/>
      <c r="XEC837"/>
      <c r="XED837"/>
      <c r="XEE837"/>
      <c r="XEF837"/>
      <c r="XEG837"/>
      <c r="XEH837"/>
      <c r="XEI837"/>
      <c r="XEJ837"/>
      <c r="XEK837"/>
      <c r="XEL837"/>
      <c r="XEM837"/>
      <c r="XEN837"/>
      <c r="XEO837"/>
      <c r="XEP837"/>
      <c r="XEQ837"/>
      <c r="XER837"/>
      <c r="XES837"/>
      <c r="XET837"/>
      <c r="XEU837"/>
      <c r="XEV837"/>
      <c r="XEW837"/>
      <c r="XEX837"/>
      <c r="XEY837"/>
      <c r="XEZ837"/>
      <c r="XFA837"/>
      <c r="XFB837"/>
      <c r="XFC837"/>
    </row>
    <row r="838" spans="1:20 16329:16383" s="38" customFormat="1" ht="29.1" customHeight="1" outlineLevel="5" x14ac:dyDescent="0.25">
      <c r="A838" s="49" t="s">
        <v>1661</v>
      </c>
      <c r="B838" s="50"/>
      <c r="C838" s="50"/>
      <c r="D838" s="3" t="s">
        <v>1646</v>
      </c>
      <c r="E838" s="3"/>
      <c r="F838" s="51"/>
      <c r="G838" s="50" t="s">
        <v>102</v>
      </c>
      <c r="H838" s="52">
        <f>1</f>
        <v>1</v>
      </c>
      <c r="I838" s="36"/>
      <c r="J838" s="52">
        <v>1</v>
      </c>
      <c r="K838" s="53">
        <f>0</f>
        <v>0</v>
      </c>
      <c r="L838" s="53">
        <f>0</f>
        <v>0</v>
      </c>
      <c r="M838" s="53">
        <f>0</f>
        <v>0</v>
      </c>
      <c r="N838" s="54">
        <f t="shared" ref="N838:N847" si="84">SUM(K838:M838)</f>
        <v>0</v>
      </c>
      <c r="O838" s="54">
        <f t="shared" ref="O838:O847" si="85">ROUND((H838*K838),2)</f>
        <v>0</v>
      </c>
      <c r="P838" s="54">
        <f t="shared" ref="P838:P847" si="86">ROUND((H838*L838),2)</f>
        <v>0</v>
      </c>
      <c r="Q838" s="54">
        <f t="shared" ref="Q838:Q847" si="87">ROUND((H838*M838),2)</f>
        <v>0</v>
      </c>
      <c r="R838" s="54">
        <f t="shared" ref="R838:R847" si="88">ROUND((H838*N838),2)</f>
        <v>0</v>
      </c>
      <c r="S838" s="54"/>
      <c r="T838" s="36"/>
      <c r="XDA838"/>
      <c r="XDB838"/>
      <c r="XDC838"/>
      <c r="XDD838"/>
      <c r="XDE838"/>
      <c r="XDF838"/>
      <c r="XDG838"/>
      <c r="XDH838"/>
      <c r="XDI838"/>
      <c r="XDJ838"/>
      <c r="XDK838"/>
      <c r="XDL838"/>
      <c r="XDM838"/>
      <c r="XDN838"/>
      <c r="XDO838"/>
      <c r="XDP838"/>
      <c r="XDQ838"/>
      <c r="XDR838"/>
      <c r="XDS838"/>
      <c r="XDT838"/>
      <c r="XDU838"/>
      <c r="XDV838"/>
      <c r="XDW838"/>
      <c r="XDX838"/>
      <c r="XDY838"/>
      <c r="XDZ838"/>
      <c r="XEA838"/>
      <c r="XEB838"/>
      <c r="XEC838"/>
      <c r="XED838"/>
      <c r="XEE838"/>
      <c r="XEF838"/>
      <c r="XEG838"/>
      <c r="XEH838"/>
      <c r="XEI838"/>
      <c r="XEJ838"/>
      <c r="XEK838"/>
      <c r="XEL838"/>
      <c r="XEM838"/>
      <c r="XEN838"/>
      <c r="XEO838"/>
      <c r="XEP838"/>
      <c r="XEQ838"/>
      <c r="XER838"/>
      <c r="XES838"/>
      <c r="XET838"/>
      <c r="XEU838"/>
      <c r="XEV838"/>
      <c r="XEW838"/>
      <c r="XEX838"/>
      <c r="XEY838"/>
      <c r="XEZ838"/>
      <c r="XFA838"/>
      <c r="XFB838"/>
      <c r="XFC838"/>
    </row>
    <row r="839" spans="1:20 16329:16383" s="38" customFormat="1" ht="29.1" customHeight="1" outlineLevel="5" x14ac:dyDescent="0.25">
      <c r="A839" s="49" t="s">
        <v>1662</v>
      </c>
      <c r="B839" s="50"/>
      <c r="C839" s="50"/>
      <c r="D839" s="3" t="s">
        <v>1648</v>
      </c>
      <c r="E839" s="3"/>
      <c r="F839" s="51"/>
      <c r="G839" s="50" t="s">
        <v>102</v>
      </c>
      <c r="H839" s="52">
        <f>1</f>
        <v>1</v>
      </c>
      <c r="I839" s="36"/>
      <c r="J839" s="52">
        <v>1</v>
      </c>
      <c r="K839" s="53">
        <f>0</f>
        <v>0</v>
      </c>
      <c r="L839" s="53">
        <f>0</f>
        <v>0</v>
      </c>
      <c r="M839" s="53">
        <f>0</f>
        <v>0</v>
      </c>
      <c r="N839" s="54">
        <f t="shared" si="84"/>
        <v>0</v>
      </c>
      <c r="O839" s="54">
        <f t="shared" si="85"/>
        <v>0</v>
      </c>
      <c r="P839" s="54">
        <f t="shared" si="86"/>
        <v>0</v>
      </c>
      <c r="Q839" s="54">
        <f t="shared" si="87"/>
        <v>0</v>
      </c>
      <c r="R839" s="54">
        <f t="shared" si="88"/>
        <v>0</v>
      </c>
      <c r="S839" s="54"/>
      <c r="T839" s="36"/>
      <c r="XDA839"/>
      <c r="XDB839"/>
      <c r="XDC839"/>
      <c r="XDD839"/>
      <c r="XDE839"/>
      <c r="XDF839"/>
      <c r="XDG839"/>
      <c r="XDH839"/>
      <c r="XDI839"/>
      <c r="XDJ839"/>
      <c r="XDK839"/>
      <c r="XDL839"/>
      <c r="XDM839"/>
      <c r="XDN839"/>
      <c r="XDO839"/>
      <c r="XDP839"/>
      <c r="XDQ839"/>
      <c r="XDR839"/>
      <c r="XDS839"/>
      <c r="XDT839"/>
      <c r="XDU839"/>
      <c r="XDV839"/>
      <c r="XDW839"/>
      <c r="XDX839"/>
      <c r="XDY839"/>
      <c r="XDZ839"/>
      <c r="XEA839"/>
      <c r="XEB839"/>
      <c r="XEC839"/>
      <c r="XED839"/>
      <c r="XEE839"/>
      <c r="XEF839"/>
      <c r="XEG839"/>
      <c r="XEH839"/>
      <c r="XEI839"/>
      <c r="XEJ839"/>
      <c r="XEK839"/>
      <c r="XEL839"/>
      <c r="XEM839"/>
      <c r="XEN839"/>
      <c r="XEO839"/>
      <c r="XEP839"/>
      <c r="XEQ839"/>
      <c r="XER839"/>
      <c r="XES839"/>
      <c r="XET839"/>
      <c r="XEU839"/>
      <c r="XEV839"/>
      <c r="XEW839"/>
      <c r="XEX839"/>
      <c r="XEY839"/>
      <c r="XEZ839"/>
      <c r="XFA839"/>
      <c r="XFB839"/>
      <c r="XFC839"/>
    </row>
    <row r="840" spans="1:20 16329:16383" s="38" customFormat="1" ht="29.1" customHeight="1" outlineLevel="5" x14ac:dyDescent="0.25">
      <c r="A840" s="49" t="s">
        <v>1663</v>
      </c>
      <c r="B840" s="50"/>
      <c r="C840" s="50"/>
      <c r="D840" s="3" t="s">
        <v>1650</v>
      </c>
      <c r="E840" s="3"/>
      <c r="F840" s="51"/>
      <c r="G840" s="50" t="s">
        <v>102</v>
      </c>
      <c r="H840" s="52">
        <f>1</f>
        <v>1</v>
      </c>
      <c r="I840" s="36"/>
      <c r="J840" s="52">
        <v>1</v>
      </c>
      <c r="K840" s="53">
        <f>0</f>
        <v>0</v>
      </c>
      <c r="L840" s="53">
        <f>0</f>
        <v>0</v>
      </c>
      <c r="M840" s="53">
        <f>0</f>
        <v>0</v>
      </c>
      <c r="N840" s="54">
        <f t="shared" si="84"/>
        <v>0</v>
      </c>
      <c r="O840" s="54">
        <f t="shared" si="85"/>
        <v>0</v>
      </c>
      <c r="P840" s="54">
        <f t="shared" si="86"/>
        <v>0</v>
      </c>
      <c r="Q840" s="54">
        <f t="shared" si="87"/>
        <v>0</v>
      </c>
      <c r="R840" s="54">
        <f t="shared" si="88"/>
        <v>0</v>
      </c>
      <c r="S840" s="54"/>
      <c r="T840" s="36"/>
      <c r="XDA840"/>
      <c r="XDB840"/>
      <c r="XDC840"/>
      <c r="XDD840"/>
      <c r="XDE840"/>
      <c r="XDF840"/>
      <c r="XDG840"/>
      <c r="XDH840"/>
      <c r="XDI840"/>
      <c r="XDJ840"/>
      <c r="XDK840"/>
      <c r="XDL840"/>
      <c r="XDM840"/>
      <c r="XDN840"/>
      <c r="XDO840"/>
      <c r="XDP840"/>
      <c r="XDQ840"/>
      <c r="XDR840"/>
      <c r="XDS840"/>
      <c r="XDT840"/>
      <c r="XDU840"/>
      <c r="XDV840"/>
      <c r="XDW840"/>
      <c r="XDX840"/>
      <c r="XDY840"/>
      <c r="XDZ840"/>
      <c r="XEA840"/>
      <c r="XEB840"/>
      <c r="XEC840"/>
      <c r="XED840"/>
      <c r="XEE840"/>
      <c r="XEF840"/>
      <c r="XEG840"/>
      <c r="XEH840"/>
      <c r="XEI840"/>
      <c r="XEJ840"/>
      <c r="XEK840"/>
      <c r="XEL840"/>
      <c r="XEM840"/>
      <c r="XEN840"/>
      <c r="XEO840"/>
      <c r="XEP840"/>
      <c r="XEQ840"/>
      <c r="XER840"/>
      <c r="XES840"/>
      <c r="XET840"/>
      <c r="XEU840"/>
      <c r="XEV840"/>
      <c r="XEW840"/>
      <c r="XEX840"/>
      <c r="XEY840"/>
      <c r="XEZ840"/>
      <c r="XFA840"/>
      <c r="XFB840"/>
      <c r="XFC840"/>
    </row>
    <row r="841" spans="1:20 16329:16383" s="38" customFormat="1" ht="29.1" customHeight="1" outlineLevel="5" x14ac:dyDescent="0.25">
      <c r="A841" s="49" t="s">
        <v>1664</v>
      </c>
      <c r="B841" s="50"/>
      <c r="C841" s="50"/>
      <c r="D841" s="3" t="s">
        <v>1544</v>
      </c>
      <c r="E841" s="3"/>
      <c r="F841" s="51"/>
      <c r="G841" s="50" t="s">
        <v>102</v>
      </c>
      <c r="H841" s="52">
        <f>1</f>
        <v>1</v>
      </c>
      <c r="I841" s="36"/>
      <c r="J841" s="52">
        <v>1</v>
      </c>
      <c r="K841" s="53">
        <f>0</f>
        <v>0</v>
      </c>
      <c r="L841" s="53">
        <f>0</f>
        <v>0</v>
      </c>
      <c r="M841" s="53">
        <f>0</f>
        <v>0</v>
      </c>
      <c r="N841" s="54">
        <f t="shared" si="84"/>
        <v>0</v>
      </c>
      <c r="O841" s="54">
        <f t="shared" si="85"/>
        <v>0</v>
      </c>
      <c r="P841" s="54">
        <f t="shared" si="86"/>
        <v>0</v>
      </c>
      <c r="Q841" s="54">
        <f t="shared" si="87"/>
        <v>0</v>
      </c>
      <c r="R841" s="54">
        <f t="shared" si="88"/>
        <v>0</v>
      </c>
      <c r="S841" s="54"/>
      <c r="T841" s="36"/>
      <c r="XDA841"/>
      <c r="XDB841"/>
      <c r="XDC841"/>
      <c r="XDD841"/>
      <c r="XDE841"/>
      <c r="XDF841"/>
      <c r="XDG841"/>
      <c r="XDH841"/>
      <c r="XDI841"/>
      <c r="XDJ841"/>
      <c r="XDK841"/>
      <c r="XDL841"/>
      <c r="XDM841"/>
      <c r="XDN841"/>
      <c r="XDO841"/>
      <c r="XDP841"/>
      <c r="XDQ841"/>
      <c r="XDR841"/>
      <c r="XDS841"/>
      <c r="XDT841"/>
      <c r="XDU841"/>
      <c r="XDV841"/>
      <c r="XDW841"/>
      <c r="XDX841"/>
      <c r="XDY841"/>
      <c r="XDZ841"/>
      <c r="XEA841"/>
      <c r="XEB841"/>
      <c r="XEC841"/>
      <c r="XED841"/>
      <c r="XEE841"/>
      <c r="XEF841"/>
      <c r="XEG841"/>
      <c r="XEH841"/>
      <c r="XEI841"/>
      <c r="XEJ841"/>
      <c r="XEK841"/>
      <c r="XEL841"/>
      <c r="XEM841"/>
      <c r="XEN841"/>
      <c r="XEO841"/>
      <c r="XEP841"/>
      <c r="XEQ841"/>
      <c r="XER841"/>
      <c r="XES841"/>
      <c r="XET841"/>
      <c r="XEU841"/>
      <c r="XEV841"/>
      <c r="XEW841"/>
      <c r="XEX841"/>
      <c r="XEY841"/>
      <c r="XEZ841"/>
      <c r="XFA841"/>
      <c r="XFB841"/>
      <c r="XFC841"/>
    </row>
    <row r="842" spans="1:20 16329:16383" s="38" customFormat="1" ht="29.1" customHeight="1" outlineLevel="5" x14ac:dyDescent="0.25">
      <c r="A842" s="49" t="s">
        <v>1665</v>
      </c>
      <c r="B842" s="50"/>
      <c r="C842" s="50"/>
      <c r="D842" s="3" t="s">
        <v>1546</v>
      </c>
      <c r="E842" s="3"/>
      <c r="F842" s="51"/>
      <c r="G842" s="50" t="s">
        <v>102</v>
      </c>
      <c r="H842" s="52">
        <f>1</f>
        <v>1</v>
      </c>
      <c r="I842" s="36"/>
      <c r="J842" s="52">
        <v>1</v>
      </c>
      <c r="K842" s="53">
        <f>0</f>
        <v>0</v>
      </c>
      <c r="L842" s="53">
        <f>0</f>
        <v>0</v>
      </c>
      <c r="M842" s="53">
        <f>0</f>
        <v>0</v>
      </c>
      <c r="N842" s="54">
        <f t="shared" si="84"/>
        <v>0</v>
      </c>
      <c r="O842" s="54">
        <f t="shared" si="85"/>
        <v>0</v>
      </c>
      <c r="P842" s="54">
        <f t="shared" si="86"/>
        <v>0</v>
      </c>
      <c r="Q842" s="54">
        <f t="shared" si="87"/>
        <v>0</v>
      </c>
      <c r="R842" s="54">
        <f t="shared" si="88"/>
        <v>0</v>
      </c>
      <c r="S842" s="54"/>
      <c r="T842" s="36"/>
      <c r="XDA842"/>
      <c r="XDB842"/>
      <c r="XDC842"/>
      <c r="XDD842"/>
      <c r="XDE842"/>
      <c r="XDF842"/>
      <c r="XDG842"/>
      <c r="XDH842"/>
      <c r="XDI842"/>
      <c r="XDJ842"/>
      <c r="XDK842"/>
      <c r="XDL842"/>
      <c r="XDM842"/>
      <c r="XDN842"/>
      <c r="XDO842"/>
      <c r="XDP842"/>
      <c r="XDQ842"/>
      <c r="XDR842"/>
      <c r="XDS842"/>
      <c r="XDT842"/>
      <c r="XDU842"/>
      <c r="XDV842"/>
      <c r="XDW842"/>
      <c r="XDX842"/>
      <c r="XDY842"/>
      <c r="XDZ842"/>
      <c r="XEA842"/>
      <c r="XEB842"/>
      <c r="XEC842"/>
      <c r="XED842"/>
      <c r="XEE842"/>
      <c r="XEF842"/>
      <c r="XEG842"/>
      <c r="XEH842"/>
      <c r="XEI842"/>
      <c r="XEJ842"/>
      <c r="XEK842"/>
      <c r="XEL842"/>
      <c r="XEM842"/>
      <c r="XEN842"/>
      <c r="XEO842"/>
      <c r="XEP842"/>
      <c r="XEQ842"/>
      <c r="XER842"/>
      <c r="XES842"/>
      <c r="XET842"/>
      <c r="XEU842"/>
      <c r="XEV842"/>
      <c r="XEW842"/>
      <c r="XEX842"/>
      <c r="XEY842"/>
      <c r="XEZ842"/>
      <c r="XFA842"/>
      <c r="XFB842"/>
      <c r="XFC842"/>
    </row>
    <row r="843" spans="1:20 16329:16383" s="38" customFormat="1" ht="29.1" customHeight="1" outlineLevel="5" x14ac:dyDescent="0.25">
      <c r="A843" s="49" t="s">
        <v>1666</v>
      </c>
      <c r="B843" s="50"/>
      <c r="C843" s="50"/>
      <c r="D843" s="3" t="s">
        <v>1550</v>
      </c>
      <c r="E843" s="3"/>
      <c r="F843" s="51"/>
      <c r="G843" s="50" t="s">
        <v>102</v>
      </c>
      <c r="H843" s="52">
        <f>1</f>
        <v>1</v>
      </c>
      <c r="I843" s="36"/>
      <c r="J843" s="52">
        <v>1</v>
      </c>
      <c r="K843" s="53">
        <f>0</f>
        <v>0</v>
      </c>
      <c r="L843" s="53">
        <f>0</f>
        <v>0</v>
      </c>
      <c r="M843" s="53">
        <f>0</f>
        <v>0</v>
      </c>
      <c r="N843" s="54">
        <f t="shared" si="84"/>
        <v>0</v>
      </c>
      <c r="O843" s="54">
        <f t="shared" si="85"/>
        <v>0</v>
      </c>
      <c r="P843" s="54">
        <f t="shared" si="86"/>
        <v>0</v>
      </c>
      <c r="Q843" s="54">
        <f t="shared" si="87"/>
        <v>0</v>
      </c>
      <c r="R843" s="54">
        <f t="shared" si="88"/>
        <v>0</v>
      </c>
      <c r="S843" s="54"/>
      <c r="T843" s="36"/>
      <c r="XDA843"/>
      <c r="XDB843"/>
      <c r="XDC843"/>
      <c r="XDD843"/>
      <c r="XDE843"/>
      <c r="XDF843"/>
      <c r="XDG843"/>
      <c r="XDH843"/>
      <c r="XDI843"/>
      <c r="XDJ843"/>
      <c r="XDK843"/>
      <c r="XDL843"/>
      <c r="XDM843"/>
      <c r="XDN843"/>
      <c r="XDO843"/>
      <c r="XDP843"/>
      <c r="XDQ843"/>
      <c r="XDR843"/>
      <c r="XDS843"/>
      <c r="XDT843"/>
      <c r="XDU843"/>
      <c r="XDV843"/>
      <c r="XDW843"/>
      <c r="XDX843"/>
      <c r="XDY843"/>
      <c r="XDZ843"/>
      <c r="XEA843"/>
      <c r="XEB843"/>
      <c r="XEC843"/>
      <c r="XED843"/>
      <c r="XEE843"/>
      <c r="XEF843"/>
      <c r="XEG843"/>
      <c r="XEH843"/>
      <c r="XEI843"/>
      <c r="XEJ843"/>
      <c r="XEK843"/>
      <c r="XEL843"/>
      <c r="XEM843"/>
      <c r="XEN843"/>
      <c r="XEO843"/>
      <c r="XEP843"/>
      <c r="XEQ843"/>
      <c r="XER843"/>
      <c r="XES843"/>
      <c r="XET843"/>
      <c r="XEU843"/>
      <c r="XEV843"/>
      <c r="XEW843"/>
      <c r="XEX843"/>
      <c r="XEY843"/>
      <c r="XEZ843"/>
      <c r="XFA843"/>
      <c r="XFB843"/>
      <c r="XFC843"/>
    </row>
    <row r="844" spans="1:20 16329:16383" s="38" customFormat="1" ht="29.1" customHeight="1" outlineLevel="5" x14ac:dyDescent="0.25">
      <c r="A844" s="49" t="s">
        <v>1667</v>
      </c>
      <c r="B844" s="50"/>
      <c r="C844" s="50"/>
      <c r="D844" s="3" t="s">
        <v>1550</v>
      </c>
      <c r="E844" s="3"/>
      <c r="F844" s="51"/>
      <c r="G844" s="50" t="s">
        <v>102</v>
      </c>
      <c r="H844" s="52">
        <f>1</f>
        <v>1</v>
      </c>
      <c r="I844" s="36"/>
      <c r="J844" s="52">
        <v>1</v>
      </c>
      <c r="K844" s="53">
        <f>0</f>
        <v>0</v>
      </c>
      <c r="L844" s="53">
        <f>0</f>
        <v>0</v>
      </c>
      <c r="M844" s="53">
        <f>0</f>
        <v>0</v>
      </c>
      <c r="N844" s="54">
        <f t="shared" si="84"/>
        <v>0</v>
      </c>
      <c r="O844" s="54">
        <f t="shared" si="85"/>
        <v>0</v>
      </c>
      <c r="P844" s="54">
        <f t="shared" si="86"/>
        <v>0</v>
      </c>
      <c r="Q844" s="54">
        <f t="shared" si="87"/>
        <v>0</v>
      </c>
      <c r="R844" s="54">
        <f t="shared" si="88"/>
        <v>0</v>
      </c>
      <c r="S844" s="54"/>
      <c r="T844" s="36"/>
      <c r="XDA844"/>
      <c r="XDB844"/>
      <c r="XDC844"/>
      <c r="XDD844"/>
      <c r="XDE844"/>
      <c r="XDF844"/>
      <c r="XDG844"/>
      <c r="XDH844"/>
      <c r="XDI844"/>
      <c r="XDJ844"/>
      <c r="XDK844"/>
      <c r="XDL844"/>
      <c r="XDM844"/>
      <c r="XDN844"/>
      <c r="XDO844"/>
      <c r="XDP844"/>
      <c r="XDQ844"/>
      <c r="XDR844"/>
      <c r="XDS844"/>
      <c r="XDT844"/>
      <c r="XDU844"/>
      <c r="XDV844"/>
      <c r="XDW844"/>
      <c r="XDX844"/>
      <c r="XDY844"/>
      <c r="XDZ844"/>
      <c r="XEA844"/>
      <c r="XEB844"/>
      <c r="XEC844"/>
      <c r="XED844"/>
      <c r="XEE844"/>
      <c r="XEF844"/>
      <c r="XEG844"/>
      <c r="XEH844"/>
      <c r="XEI844"/>
      <c r="XEJ844"/>
      <c r="XEK844"/>
      <c r="XEL844"/>
      <c r="XEM844"/>
      <c r="XEN844"/>
      <c r="XEO844"/>
      <c r="XEP844"/>
      <c r="XEQ844"/>
      <c r="XER844"/>
      <c r="XES844"/>
      <c r="XET844"/>
      <c r="XEU844"/>
      <c r="XEV844"/>
      <c r="XEW844"/>
      <c r="XEX844"/>
      <c r="XEY844"/>
      <c r="XEZ844"/>
      <c r="XFA844"/>
      <c r="XFB844"/>
      <c r="XFC844"/>
    </row>
    <row r="845" spans="1:20 16329:16383" s="38" customFormat="1" ht="29.1" customHeight="1" outlineLevel="5" x14ac:dyDescent="0.25">
      <c r="A845" s="49" t="s">
        <v>1668</v>
      </c>
      <c r="B845" s="50"/>
      <c r="C845" s="50"/>
      <c r="D845" s="3" t="s">
        <v>1552</v>
      </c>
      <c r="E845" s="3"/>
      <c r="F845" s="51"/>
      <c r="G845" s="50" t="s">
        <v>102</v>
      </c>
      <c r="H845" s="52">
        <f>1</f>
        <v>1</v>
      </c>
      <c r="I845" s="36"/>
      <c r="J845" s="52">
        <v>1</v>
      </c>
      <c r="K845" s="53">
        <f>0</f>
        <v>0</v>
      </c>
      <c r="L845" s="53">
        <f>0</f>
        <v>0</v>
      </c>
      <c r="M845" s="53">
        <f>0</f>
        <v>0</v>
      </c>
      <c r="N845" s="54">
        <f t="shared" si="84"/>
        <v>0</v>
      </c>
      <c r="O845" s="54">
        <f t="shared" si="85"/>
        <v>0</v>
      </c>
      <c r="P845" s="54">
        <f t="shared" si="86"/>
        <v>0</v>
      </c>
      <c r="Q845" s="54">
        <f t="shared" si="87"/>
        <v>0</v>
      </c>
      <c r="R845" s="54">
        <f t="shared" si="88"/>
        <v>0</v>
      </c>
      <c r="S845" s="54"/>
      <c r="T845" s="36"/>
      <c r="XDA845"/>
      <c r="XDB845"/>
      <c r="XDC845"/>
      <c r="XDD845"/>
      <c r="XDE845"/>
      <c r="XDF845"/>
      <c r="XDG845"/>
      <c r="XDH845"/>
      <c r="XDI845"/>
      <c r="XDJ845"/>
      <c r="XDK845"/>
      <c r="XDL845"/>
      <c r="XDM845"/>
      <c r="XDN845"/>
      <c r="XDO845"/>
      <c r="XDP845"/>
      <c r="XDQ845"/>
      <c r="XDR845"/>
      <c r="XDS845"/>
      <c r="XDT845"/>
      <c r="XDU845"/>
      <c r="XDV845"/>
      <c r="XDW845"/>
      <c r="XDX845"/>
      <c r="XDY845"/>
      <c r="XDZ845"/>
      <c r="XEA845"/>
      <c r="XEB845"/>
      <c r="XEC845"/>
      <c r="XED845"/>
      <c r="XEE845"/>
      <c r="XEF845"/>
      <c r="XEG845"/>
      <c r="XEH845"/>
      <c r="XEI845"/>
      <c r="XEJ845"/>
      <c r="XEK845"/>
      <c r="XEL845"/>
      <c r="XEM845"/>
      <c r="XEN845"/>
      <c r="XEO845"/>
      <c r="XEP845"/>
      <c r="XEQ845"/>
      <c r="XER845"/>
      <c r="XES845"/>
      <c r="XET845"/>
      <c r="XEU845"/>
      <c r="XEV845"/>
      <c r="XEW845"/>
      <c r="XEX845"/>
      <c r="XEY845"/>
      <c r="XEZ845"/>
      <c r="XFA845"/>
      <c r="XFB845"/>
      <c r="XFC845"/>
    </row>
    <row r="846" spans="1:20 16329:16383" s="38" customFormat="1" ht="29.1" customHeight="1" outlineLevel="5" x14ac:dyDescent="0.25">
      <c r="A846" s="49" t="s">
        <v>1669</v>
      </c>
      <c r="B846" s="50"/>
      <c r="C846" s="50"/>
      <c r="D846" s="3" t="s">
        <v>1567</v>
      </c>
      <c r="E846" s="3"/>
      <c r="F846" s="51"/>
      <c r="G846" s="50" t="s">
        <v>102</v>
      </c>
      <c r="H846" s="52">
        <f>1</f>
        <v>1</v>
      </c>
      <c r="I846" s="36"/>
      <c r="J846" s="52">
        <v>1</v>
      </c>
      <c r="K846" s="53">
        <f>0</f>
        <v>0</v>
      </c>
      <c r="L846" s="53">
        <f>0</f>
        <v>0</v>
      </c>
      <c r="M846" s="53">
        <f>0</f>
        <v>0</v>
      </c>
      <c r="N846" s="54">
        <f t="shared" si="84"/>
        <v>0</v>
      </c>
      <c r="O846" s="54">
        <f t="shared" si="85"/>
        <v>0</v>
      </c>
      <c r="P846" s="54">
        <f t="shared" si="86"/>
        <v>0</v>
      </c>
      <c r="Q846" s="54">
        <f t="shared" si="87"/>
        <v>0</v>
      </c>
      <c r="R846" s="54">
        <f t="shared" si="88"/>
        <v>0</v>
      </c>
      <c r="S846" s="54"/>
      <c r="T846" s="36"/>
      <c r="XDA846"/>
      <c r="XDB846"/>
      <c r="XDC846"/>
      <c r="XDD846"/>
      <c r="XDE846"/>
      <c r="XDF846"/>
      <c r="XDG846"/>
      <c r="XDH846"/>
      <c r="XDI846"/>
      <c r="XDJ846"/>
      <c r="XDK846"/>
      <c r="XDL846"/>
      <c r="XDM846"/>
      <c r="XDN846"/>
      <c r="XDO846"/>
      <c r="XDP846"/>
      <c r="XDQ846"/>
      <c r="XDR846"/>
      <c r="XDS846"/>
      <c r="XDT846"/>
      <c r="XDU846"/>
      <c r="XDV846"/>
      <c r="XDW846"/>
      <c r="XDX846"/>
      <c r="XDY846"/>
      <c r="XDZ846"/>
      <c r="XEA846"/>
      <c r="XEB846"/>
      <c r="XEC846"/>
      <c r="XED846"/>
      <c r="XEE846"/>
      <c r="XEF846"/>
      <c r="XEG846"/>
      <c r="XEH846"/>
      <c r="XEI846"/>
      <c r="XEJ846"/>
      <c r="XEK846"/>
      <c r="XEL846"/>
      <c r="XEM846"/>
      <c r="XEN846"/>
      <c r="XEO846"/>
      <c r="XEP846"/>
      <c r="XEQ846"/>
      <c r="XER846"/>
      <c r="XES846"/>
      <c r="XET846"/>
      <c r="XEU846"/>
      <c r="XEV846"/>
      <c r="XEW846"/>
      <c r="XEX846"/>
      <c r="XEY846"/>
      <c r="XEZ846"/>
      <c r="XFA846"/>
      <c r="XFB846"/>
      <c r="XFC846"/>
    </row>
    <row r="847" spans="1:20 16329:16383" s="38" customFormat="1" ht="29.1" customHeight="1" outlineLevel="5" x14ac:dyDescent="0.25">
      <c r="A847" s="49" t="s">
        <v>1670</v>
      </c>
      <c r="B847" s="50"/>
      <c r="C847" s="50"/>
      <c r="D847" s="3" t="s">
        <v>1569</v>
      </c>
      <c r="E847" s="3"/>
      <c r="F847" s="51"/>
      <c r="G847" s="50" t="s">
        <v>102</v>
      </c>
      <c r="H847" s="52">
        <f>1</f>
        <v>1</v>
      </c>
      <c r="I847" s="36"/>
      <c r="J847" s="52">
        <v>1</v>
      </c>
      <c r="K847" s="53">
        <f>0</f>
        <v>0</v>
      </c>
      <c r="L847" s="53">
        <f>0</f>
        <v>0</v>
      </c>
      <c r="M847" s="53">
        <f>0</f>
        <v>0</v>
      </c>
      <c r="N847" s="54">
        <f t="shared" si="84"/>
        <v>0</v>
      </c>
      <c r="O847" s="54">
        <f t="shared" si="85"/>
        <v>0</v>
      </c>
      <c r="P847" s="54">
        <f t="shared" si="86"/>
        <v>0</v>
      </c>
      <c r="Q847" s="54">
        <f t="shared" si="87"/>
        <v>0</v>
      </c>
      <c r="R847" s="54">
        <f t="shared" si="88"/>
        <v>0</v>
      </c>
      <c r="S847" s="54"/>
      <c r="T847" s="36"/>
      <c r="XDA847"/>
      <c r="XDB847"/>
      <c r="XDC847"/>
      <c r="XDD847"/>
      <c r="XDE847"/>
      <c r="XDF847"/>
      <c r="XDG847"/>
      <c r="XDH847"/>
      <c r="XDI847"/>
      <c r="XDJ847"/>
      <c r="XDK847"/>
      <c r="XDL847"/>
      <c r="XDM847"/>
      <c r="XDN847"/>
      <c r="XDO847"/>
      <c r="XDP847"/>
      <c r="XDQ847"/>
      <c r="XDR847"/>
      <c r="XDS847"/>
      <c r="XDT847"/>
      <c r="XDU847"/>
      <c r="XDV847"/>
      <c r="XDW847"/>
      <c r="XDX847"/>
      <c r="XDY847"/>
      <c r="XDZ847"/>
      <c r="XEA847"/>
      <c r="XEB847"/>
      <c r="XEC847"/>
      <c r="XED847"/>
      <c r="XEE847"/>
      <c r="XEF847"/>
      <c r="XEG847"/>
      <c r="XEH847"/>
      <c r="XEI847"/>
      <c r="XEJ847"/>
      <c r="XEK847"/>
      <c r="XEL847"/>
      <c r="XEM847"/>
      <c r="XEN847"/>
      <c r="XEO847"/>
      <c r="XEP847"/>
      <c r="XEQ847"/>
      <c r="XER847"/>
      <c r="XES847"/>
      <c r="XET847"/>
      <c r="XEU847"/>
      <c r="XEV847"/>
      <c r="XEW847"/>
      <c r="XEX847"/>
      <c r="XEY847"/>
      <c r="XEZ847"/>
      <c r="XFA847"/>
      <c r="XFB847"/>
      <c r="XFC847"/>
    </row>
    <row r="848" spans="1:20 16329:16383" s="38" customFormat="1" ht="29.1" customHeight="1" outlineLevel="4" x14ac:dyDescent="0.25">
      <c r="A848" s="60" t="s">
        <v>1671</v>
      </c>
      <c r="B848" s="61" t="s">
        <v>1672</v>
      </c>
      <c r="C848" s="61"/>
      <c r="D848" s="1" t="s">
        <v>1673</v>
      </c>
      <c r="E848" s="1"/>
      <c r="F848" s="62"/>
      <c r="G848" s="61"/>
      <c r="H848" s="63"/>
      <c r="I848" s="36"/>
      <c r="J848" s="63"/>
      <c r="K848" s="64"/>
      <c r="L848" s="64"/>
      <c r="M848" s="64"/>
      <c r="N848" s="64"/>
      <c r="O848" s="64">
        <f>SUM(O849:O851)</f>
        <v>0</v>
      </c>
      <c r="P848" s="64">
        <f>SUM(P849:P851)</f>
        <v>0</v>
      </c>
      <c r="Q848" s="64">
        <f>SUM(Q849:Q851)</f>
        <v>0</v>
      </c>
      <c r="R848" s="64">
        <f>SUM(R849:R851)</f>
        <v>0</v>
      </c>
      <c r="S848" s="64"/>
      <c r="T848" s="36"/>
      <c r="XDA848"/>
      <c r="XDB848"/>
      <c r="XDC848"/>
      <c r="XDD848"/>
      <c r="XDE848"/>
      <c r="XDF848"/>
      <c r="XDG848"/>
      <c r="XDH848"/>
      <c r="XDI848"/>
      <c r="XDJ848"/>
      <c r="XDK848"/>
      <c r="XDL848"/>
      <c r="XDM848"/>
      <c r="XDN848"/>
      <c r="XDO848"/>
      <c r="XDP848"/>
      <c r="XDQ848"/>
      <c r="XDR848"/>
      <c r="XDS848"/>
      <c r="XDT848"/>
      <c r="XDU848"/>
      <c r="XDV848"/>
      <c r="XDW848"/>
      <c r="XDX848"/>
      <c r="XDY848"/>
      <c r="XDZ848"/>
      <c r="XEA848"/>
      <c r="XEB848"/>
      <c r="XEC848"/>
      <c r="XED848"/>
      <c r="XEE848"/>
      <c r="XEF848"/>
      <c r="XEG848"/>
      <c r="XEH848"/>
      <c r="XEI848"/>
      <c r="XEJ848"/>
      <c r="XEK848"/>
      <c r="XEL848"/>
      <c r="XEM848"/>
      <c r="XEN848"/>
      <c r="XEO848"/>
      <c r="XEP848"/>
      <c r="XEQ848"/>
      <c r="XER848"/>
      <c r="XES848"/>
      <c r="XET848"/>
      <c r="XEU848"/>
      <c r="XEV848"/>
      <c r="XEW848"/>
      <c r="XEX848"/>
      <c r="XEY848"/>
      <c r="XEZ848"/>
      <c r="XFA848"/>
      <c r="XFB848"/>
      <c r="XFC848"/>
    </row>
    <row r="849" spans="1:20 16329:16383" s="38" customFormat="1" ht="29.1" customHeight="1" outlineLevel="5" x14ac:dyDescent="0.25">
      <c r="A849" s="49" t="s">
        <v>1674</v>
      </c>
      <c r="B849" s="50"/>
      <c r="C849" s="50"/>
      <c r="D849" s="3" t="s">
        <v>1675</v>
      </c>
      <c r="E849" s="3"/>
      <c r="F849" s="51"/>
      <c r="G849" s="50" t="s">
        <v>102</v>
      </c>
      <c r="H849" s="52">
        <f>1</f>
        <v>1</v>
      </c>
      <c r="I849" s="36"/>
      <c r="J849" s="52">
        <v>1</v>
      </c>
      <c r="K849" s="53">
        <f>0</f>
        <v>0</v>
      </c>
      <c r="L849" s="53">
        <f>0</f>
        <v>0</v>
      </c>
      <c r="M849" s="53">
        <f>0</f>
        <v>0</v>
      </c>
      <c r="N849" s="54">
        <f>SUM(K849:M849)</f>
        <v>0</v>
      </c>
      <c r="O849" s="54">
        <f>ROUND((H849*K849),2)</f>
        <v>0</v>
      </c>
      <c r="P849" s="54">
        <f>ROUND((H849*L849),2)</f>
        <v>0</v>
      </c>
      <c r="Q849" s="54">
        <f>ROUND((H849*M849),2)</f>
        <v>0</v>
      </c>
      <c r="R849" s="54">
        <f>ROUND((H849*N849),2)</f>
        <v>0</v>
      </c>
      <c r="S849" s="54"/>
      <c r="T849" s="36"/>
      <c r="XDA849"/>
      <c r="XDB849"/>
      <c r="XDC849"/>
      <c r="XDD849"/>
      <c r="XDE849"/>
      <c r="XDF849"/>
      <c r="XDG849"/>
      <c r="XDH849"/>
      <c r="XDI849"/>
      <c r="XDJ849"/>
      <c r="XDK849"/>
      <c r="XDL849"/>
      <c r="XDM849"/>
      <c r="XDN849"/>
      <c r="XDO849"/>
      <c r="XDP849"/>
      <c r="XDQ849"/>
      <c r="XDR849"/>
      <c r="XDS849"/>
      <c r="XDT849"/>
      <c r="XDU849"/>
      <c r="XDV849"/>
      <c r="XDW849"/>
      <c r="XDX849"/>
      <c r="XDY849"/>
      <c r="XDZ849"/>
      <c r="XEA849"/>
      <c r="XEB849"/>
      <c r="XEC849"/>
      <c r="XED849"/>
      <c r="XEE849"/>
      <c r="XEF849"/>
      <c r="XEG849"/>
      <c r="XEH849"/>
      <c r="XEI849"/>
      <c r="XEJ849"/>
      <c r="XEK849"/>
      <c r="XEL849"/>
      <c r="XEM849"/>
      <c r="XEN849"/>
      <c r="XEO849"/>
      <c r="XEP849"/>
      <c r="XEQ849"/>
      <c r="XER849"/>
      <c r="XES849"/>
      <c r="XET849"/>
      <c r="XEU849"/>
      <c r="XEV849"/>
      <c r="XEW849"/>
      <c r="XEX849"/>
      <c r="XEY849"/>
      <c r="XEZ849"/>
      <c r="XFA849"/>
      <c r="XFB849"/>
      <c r="XFC849"/>
    </row>
    <row r="850" spans="1:20 16329:16383" s="38" customFormat="1" ht="29.1" customHeight="1" outlineLevel="5" x14ac:dyDescent="0.25">
      <c r="A850" s="49" t="s">
        <v>1676</v>
      </c>
      <c r="B850" s="50"/>
      <c r="C850" s="50"/>
      <c r="D850" s="3" t="s">
        <v>1677</v>
      </c>
      <c r="E850" s="3"/>
      <c r="F850" s="51"/>
      <c r="G850" s="50" t="s">
        <v>102</v>
      </c>
      <c r="H850" s="52">
        <f>1</f>
        <v>1</v>
      </c>
      <c r="I850" s="36"/>
      <c r="J850" s="52">
        <v>1</v>
      </c>
      <c r="K850" s="53">
        <f>0</f>
        <v>0</v>
      </c>
      <c r="L850" s="53">
        <f>0</f>
        <v>0</v>
      </c>
      <c r="M850" s="53">
        <f>0</f>
        <v>0</v>
      </c>
      <c r="N850" s="54">
        <f>SUM(K850:M850)</f>
        <v>0</v>
      </c>
      <c r="O850" s="54">
        <f>ROUND((H850*K850),2)</f>
        <v>0</v>
      </c>
      <c r="P850" s="54">
        <f>ROUND((H850*L850),2)</f>
        <v>0</v>
      </c>
      <c r="Q850" s="54">
        <f>ROUND((H850*M850),2)</f>
        <v>0</v>
      </c>
      <c r="R850" s="54">
        <f>ROUND((H850*N850),2)</f>
        <v>0</v>
      </c>
      <c r="S850" s="54"/>
      <c r="T850" s="36"/>
      <c r="XDA850"/>
      <c r="XDB850"/>
      <c r="XDC850"/>
      <c r="XDD850"/>
      <c r="XDE850"/>
      <c r="XDF850"/>
      <c r="XDG850"/>
      <c r="XDH850"/>
      <c r="XDI850"/>
      <c r="XDJ850"/>
      <c r="XDK850"/>
      <c r="XDL850"/>
      <c r="XDM850"/>
      <c r="XDN850"/>
      <c r="XDO850"/>
      <c r="XDP850"/>
      <c r="XDQ850"/>
      <c r="XDR850"/>
      <c r="XDS850"/>
      <c r="XDT850"/>
      <c r="XDU850"/>
      <c r="XDV850"/>
      <c r="XDW850"/>
      <c r="XDX850"/>
      <c r="XDY850"/>
      <c r="XDZ850"/>
      <c r="XEA850"/>
      <c r="XEB850"/>
      <c r="XEC850"/>
      <c r="XED850"/>
      <c r="XEE850"/>
      <c r="XEF850"/>
      <c r="XEG850"/>
      <c r="XEH850"/>
      <c r="XEI850"/>
      <c r="XEJ850"/>
      <c r="XEK850"/>
      <c r="XEL850"/>
      <c r="XEM850"/>
      <c r="XEN850"/>
      <c r="XEO850"/>
      <c r="XEP850"/>
      <c r="XEQ850"/>
      <c r="XER850"/>
      <c r="XES850"/>
      <c r="XET850"/>
      <c r="XEU850"/>
      <c r="XEV850"/>
      <c r="XEW850"/>
      <c r="XEX850"/>
      <c r="XEY850"/>
      <c r="XEZ850"/>
      <c r="XFA850"/>
      <c r="XFB850"/>
      <c r="XFC850"/>
    </row>
    <row r="851" spans="1:20 16329:16383" s="38" customFormat="1" ht="29.1" customHeight="1" outlineLevel="5" x14ac:dyDescent="0.25">
      <c r="A851" s="49" t="s">
        <v>1678</v>
      </c>
      <c r="B851" s="50"/>
      <c r="C851" s="50"/>
      <c r="D851" s="3" t="s">
        <v>1679</v>
      </c>
      <c r="E851" s="3"/>
      <c r="F851" s="51"/>
      <c r="G851" s="50" t="s">
        <v>102</v>
      </c>
      <c r="H851" s="52">
        <f>1</f>
        <v>1</v>
      </c>
      <c r="I851" s="36"/>
      <c r="J851" s="52">
        <v>1</v>
      </c>
      <c r="K851" s="53">
        <f>0</f>
        <v>0</v>
      </c>
      <c r="L851" s="53">
        <f>0</f>
        <v>0</v>
      </c>
      <c r="M851" s="53">
        <f>0</f>
        <v>0</v>
      </c>
      <c r="N851" s="54">
        <f>SUM(K851:M851)</f>
        <v>0</v>
      </c>
      <c r="O851" s="54">
        <f>ROUND((H851*K851),2)</f>
        <v>0</v>
      </c>
      <c r="P851" s="54">
        <f>ROUND((H851*L851),2)</f>
        <v>0</v>
      </c>
      <c r="Q851" s="54">
        <f>ROUND((H851*M851),2)</f>
        <v>0</v>
      </c>
      <c r="R851" s="54">
        <f>ROUND((H851*N851),2)</f>
        <v>0</v>
      </c>
      <c r="S851" s="54"/>
      <c r="T851" s="36"/>
      <c r="XDA851"/>
      <c r="XDB851"/>
      <c r="XDC851"/>
      <c r="XDD851"/>
      <c r="XDE851"/>
      <c r="XDF851"/>
      <c r="XDG851"/>
      <c r="XDH851"/>
      <c r="XDI851"/>
      <c r="XDJ851"/>
      <c r="XDK851"/>
      <c r="XDL851"/>
      <c r="XDM851"/>
      <c r="XDN851"/>
      <c r="XDO851"/>
      <c r="XDP851"/>
      <c r="XDQ851"/>
      <c r="XDR851"/>
      <c r="XDS851"/>
      <c r="XDT851"/>
      <c r="XDU851"/>
      <c r="XDV851"/>
      <c r="XDW851"/>
      <c r="XDX851"/>
      <c r="XDY851"/>
      <c r="XDZ851"/>
      <c r="XEA851"/>
      <c r="XEB851"/>
      <c r="XEC851"/>
      <c r="XED851"/>
      <c r="XEE851"/>
      <c r="XEF851"/>
      <c r="XEG851"/>
      <c r="XEH851"/>
      <c r="XEI851"/>
      <c r="XEJ851"/>
      <c r="XEK851"/>
      <c r="XEL851"/>
      <c r="XEM851"/>
      <c r="XEN851"/>
      <c r="XEO851"/>
      <c r="XEP851"/>
      <c r="XEQ851"/>
      <c r="XER851"/>
      <c r="XES851"/>
      <c r="XET851"/>
      <c r="XEU851"/>
      <c r="XEV851"/>
      <c r="XEW851"/>
      <c r="XEX851"/>
      <c r="XEY851"/>
      <c r="XEZ851"/>
      <c r="XFA851"/>
      <c r="XFB851"/>
      <c r="XFC851"/>
    </row>
    <row r="852" spans="1:20 16329:16383" s="38" customFormat="1" ht="29.1" customHeight="1" outlineLevel="3" x14ac:dyDescent="0.25">
      <c r="A852" s="55" t="s">
        <v>1680</v>
      </c>
      <c r="B852" s="56" t="s">
        <v>1681</v>
      </c>
      <c r="C852" s="56"/>
      <c r="D852" s="2" t="s">
        <v>1682</v>
      </c>
      <c r="E852" s="2"/>
      <c r="F852" s="57"/>
      <c r="G852" s="56"/>
      <c r="H852" s="58"/>
      <c r="I852" s="36"/>
      <c r="J852" s="58"/>
      <c r="K852" s="59"/>
      <c r="L852" s="59"/>
      <c r="M852" s="59"/>
      <c r="N852" s="59"/>
      <c r="O852" s="59">
        <f>O853+O864+O874</f>
        <v>0</v>
      </c>
      <c r="P852" s="59">
        <f>P853+P864+P874</f>
        <v>0</v>
      </c>
      <c r="Q852" s="59">
        <f>Q853+Q864+Q874</f>
        <v>0</v>
      </c>
      <c r="R852" s="59">
        <f>R853+R864+R874</f>
        <v>0</v>
      </c>
      <c r="S852" s="59"/>
      <c r="T852" s="36"/>
      <c r="XDA852"/>
      <c r="XDB852"/>
      <c r="XDC852"/>
      <c r="XDD852"/>
      <c r="XDE852"/>
      <c r="XDF852"/>
      <c r="XDG852"/>
      <c r="XDH852"/>
      <c r="XDI852"/>
      <c r="XDJ852"/>
      <c r="XDK852"/>
      <c r="XDL852"/>
      <c r="XDM852"/>
      <c r="XDN852"/>
      <c r="XDO852"/>
      <c r="XDP852"/>
      <c r="XDQ852"/>
      <c r="XDR852"/>
      <c r="XDS852"/>
      <c r="XDT852"/>
      <c r="XDU852"/>
      <c r="XDV852"/>
      <c r="XDW852"/>
      <c r="XDX852"/>
      <c r="XDY852"/>
      <c r="XDZ852"/>
      <c r="XEA852"/>
      <c r="XEB852"/>
      <c r="XEC852"/>
      <c r="XED852"/>
      <c r="XEE852"/>
      <c r="XEF852"/>
      <c r="XEG852"/>
      <c r="XEH852"/>
      <c r="XEI852"/>
      <c r="XEJ852"/>
      <c r="XEK852"/>
      <c r="XEL852"/>
      <c r="XEM852"/>
      <c r="XEN852"/>
      <c r="XEO852"/>
      <c r="XEP852"/>
      <c r="XEQ852"/>
      <c r="XER852"/>
      <c r="XES852"/>
      <c r="XET852"/>
      <c r="XEU852"/>
      <c r="XEV852"/>
      <c r="XEW852"/>
      <c r="XEX852"/>
      <c r="XEY852"/>
      <c r="XEZ852"/>
      <c r="XFA852"/>
      <c r="XFB852"/>
      <c r="XFC852"/>
    </row>
    <row r="853" spans="1:20 16329:16383" s="38" customFormat="1" ht="29.1" customHeight="1" outlineLevel="4" x14ac:dyDescent="0.25">
      <c r="A853" s="60" t="s">
        <v>1683</v>
      </c>
      <c r="B853" s="61" t="s">
        <v>1684</v>
      </c>
      <c r="C853" s="61"/>
      <c r="D853" s="1" t="s">
        <v>1685</v>
      </c>
      <c r="E853" s="1"/>
      <c r="F853" s="62"/>
      <c r="G853" s="61"/>
      <c r="H853" s="63"/>
      <c r="I853" s="36"/>
      <c r="J853" s="63"/>
      <c r="K853" s="64"/>
      <c r="L853" s="64"/>
      <c r="M853" s="64"/>
      <c r="N853" s="64"/>
      <c r="O853" s="64">
        <f>SUM(O854:O863)</f>
        <v>0</v>
      </c>
      <c r="P853" s="64">
        <f>SUM(P854:P863)</f>
        <v>0</v>
      </c>
      <c r="Q853" s="64">
        <f>SUM(Q854:Q863)</f>
        <v>0</v>
      </c>
      <c r="R853" s="64">
        <f>SUM(R854:R863)</f>
        <v>0</v>
      </c>
      <c r="S853" s="64"/>
      <c r="T853" s="36"/>
      <c r="XDA853"/>
      <c r="XDB853"/>
      <c r="XDC853"/>
      <c r="XDD853"/>
      <c r="XDE853"/>
      <c r="XDF853"/>
      <c r="XDG853"/>
      <c r="XDH853"/>
      <c r="XDI853"/>
      <c r="XDJ853"/>
      <c r="XDK853"/>
      <c r="XDL853"/>
      <c r="XDM853"/>
      <c r="XDN853"/>
      <c r="XDO853"/>
      <c r="XDP853"/>
      <c r="XDQ853"/>
      <c r="XDR853"/>
      <c r="XDS853"/>
      <c r="XDT853"/>
      <c r="XDU853"/>
      <c r="XDV853"/>
      <c r="XDW853"/>
      <c r="XDX853"/>
      <c r="XDY853"/>
      <c r="XDZ853"/>
      <c r="XEA853"/>
      <c r="XEB853"/>
      <c r="XEC853"/>
      <c r="XED853"/>
      <c r="XEE853"/>
      <c r="XEF853"/>
      <c r="XEG853"/>
      <c r="XEH853"/>
      <c r="XEI853"/>
      <c r="XEJ853"/>
      <c r="XEK853"/>
      <c r="XEL853"/>
      <c r="XEM853"/>
      <c r="XEN853"/>
      <c r="XEO853"/>
      <c r="XEP853"/>
      <c r="XEQ853"/>
      <c r="XER853"/>
      <c r="XES853"/>
      <c r="XET853"/>
      <c r="XEU853"/>
      <c r="XEV853"/>
      <c r="XEW853"/>
      <c r="XEX853"/>
      <c r="XEY853"/>
      <c r="XEZ853"/>
      <c r="XFA853"/>
      <c r="XFB853"/>
      <c r="XFC853"/>
    </row>
    <row r="854" spans="1:20 16329:16383" s="38" customFormat="1" ht="29.1" customHeight="1" outlineLevel="5" x14ac:dyDescent="0.25">
      <c r="A854" s="49" t="s">
        <v>1686</v>
      </c>
      <c r="B854" s="50"/>
      <c r="C854" s="50"/>
      <c r="D854" s="3" t="s">
        <v>1646</v>
      </c>
      <c r="E854" s="3"/>
      <c r="F854" s="51"/>
      <c r="G854" s="50" t="s">
        <v>102</v>
      </c>
      <c r="H854" s="52">
        <f>1</f>
        <v>1</v>
      </c>
      <c r="I854" s="36"/>
      <c r="J854" s="52">
        <v>1</v>
      </c>
      <c r="K854" s="53">
        <f>0</f>
        <v>0</v>
      </c>
      <c r="L854" s="53">
        <f>0</f>
        <v>0</v>
      </c>
      <c r="M854" s="53">
        <f>0</f>
        <v>0</v>
      </c>
      <c r="N854" s="54">
        <f t="shared" ref="N854:N863" si="89">SUM(K854:M854)</f>
        <v>0</v>
      </c>
      <c r="O854" s="54">
        <f t="shared" ref="O854:O863" si="90">ROUND((H854*K854),2)</f>
        <v>0</v>
      </c>
      <c r="P854" s="54">
        <f t="shared" ref="P854:P863" si="91">ROUND((H854*L854),2)</f>
        <v>0</v>
      </c>
      <c r="Q854" s="54">
        <f t="shared" ref="Q854:Q863" si="92">ROUND((H854*M854),2)</f>
        <v>0</v>
      </c>
      <c r="R854" s="54">
        <f t="shared" ref="R854:R863" si="93">ROUND((H854*N854),2)</f>
        <v>0</v>
      </c>
      <c r="S854" s="54"/>
      <c r="T854" s="36"/>
      <c r="XDA854"/>
      <c r="XDB854"/>
      <c r="XDC854"/>
      <c r="XDD854"/>
      <c r="XDE854"/>
      <c r="XDF854"/>
      <c r="XDG854"/>
      <c r="XDH854"/>
      <c r="XDI854"/>
      <c r="XDJ854"/>
      <c r="XDK854"/>
      <c r="XDL854"/>
      <c r="XDM854"/>
      <c r="XDN854"/>
      <c r="XDO854"/>
      <c r="XDP854"/>
      <c r="XDQ854"/>
      <c r="XDR854"/>
      <c r="XDS854"/>
      <c r="XDT854"/>
      <c r="XDU854"/>
      <c r="XDV854"/>
      <c r="XDW854"/>
      <c r="XDX854"/>
      <c r="XDY854"/>
      <c r="XDZ854"/>
      <c r="XEA854"/>
      <c r="XEB854"/>
      <c r="XEC854"/>
      <c r="XED854"/>
      <c r="XEE854"/>
      <c r="XEF854"/>
      <c r="XEG854"/>
      <c r="XEH854"/>
      <c r="XEI854"/>
      <c r="XEJ854"/>
      <c r="XEK854"/>
      <c r="XEL854"/>
      <c r="XEM854"/>
      <c r="XEN854"/>
      <c r="XEO854"/>
      <c r="XEP854"/>
      <c r="XEQ854"/>
      <c r="XER854"/>
      <c r="XES854"/>
      <c r="XET854"/>
      <c r="XEU854"/>
      <c r="XEV854"/>
      <c r="XEW854"/>
      <c r="XEX854"/>
      <c r="XEY854"/>
      <c r="XEZ854"/>
      <c r="XFA854"/>
      <c r="XFB854"/>
      <c r="XFC854"/>
    </row>
    <row r="855" spans="1:20 16329:16383" s="38" customFormat="1" ht="29.1" customHeight="1" outlineLevel="5" x14ac:dyDescent="0.25">
      <c r="A855" s="49" t="s">
        <v>1687</v>
      </c>
      <c r="B855" s="50"/>
      <c r="C855" s="50"/>
      <c r="D855" s="3" t="s">
        <v>1648</v>
      </c>
      <c r="E855" s="3"/>
      <c r="F855" s="51"/>
      <c r="G855" s="50" t="s">
        <v>102</v>
      </c>
      <c r="H855" s="52">
        <f>1</f>
        <v>1</v>
      </c>
      <c r="I855" s="36"/>
      <c r="J855" s="52">
        <v>1</v>
      </c>
      <c r="K855" s="53">
        <f>0</f>
        <v>0</v>
      </c>
      <c r="L855" s="53">
        <f>0</f>
        <v>0</v>
      </c>
      <c r="M855" s="53">
        <f>0</f>
        <v>0</v>
      </c>
      <c r="N855" s="54">
        <f t="shared" si="89"/>
        <v>0</v>
      </c>
      <c r="O855" s="54">
        <f t="shared" si="90"/>
        <v>0</v>
      </c>
      <c r="P855" s="54">
        <f t="shared" si="91"/>
        <v>0</v>
      </c>
      <c r="Q855" s="54">
        <f t="shared" si="92"/>
        <v>0</v>
      </c>
      <c r="R855" s="54">
        <f t="shared" si="93"/>
        <v>0</v>
      </c>
      <c r="S855" s="54"/>
      <c r="T855" s="36"/>
      <c r="XDA855"/>
      <c r="XDB855"/>
      <c r="XDC855"/>
      <c r="XDD855"/>
      <c r="XDE855"/>
      <c r="XDF855"/>
      <c r="XDG855"/>
      <c r="XDH855"/>
      <c r="XDI855"/>
      <c r="XDJ855"/>
      <c r="XDK855"/>
      <c r="XDL855"/>
      <c r="XDM855"/>
      <c r="XDN855"/>
      <c r="XDO855"/>
      <c r="XDP855"/>
      <c r="XDQ855"/>
      <c r="XDR855"/>
      <c r="XDS855"/>
      <c r="XDT855"/>
      <c r="XDU855"/>
      <c r="XDV855"/>
      <c r="XDW855"/>
      <c r="XDX855"/>
      <c r="XDY855"/>
      <c r="XDZ855"/>
      <c r="XEA855"/>
      <c r="XEB855"/>
      <c r="XEC855"/>
      <c r="XED855"/>
      <c r="XEE855"/>
      <c r="XEF855"/>
      <c r="XEG855"/>
      <c r="XEH855"/>
      <c r="XEI855"/>
      <c r="XEJ855"/>
      <c r="XEK855"/>
      <c r="XEL855"/>
      <c r="XEM855"/>
      <c r="XEN855"/>
      <c r="XEO855"/>
      <c r="XEP855"/>
      <c r="XEQ855"/>
      <c r="XER855"/>
      <c r="XES855"/>
      <c r="XET855"/>
      <c r="XEU855"/>
      <c r="XEV855"/>
      <c r="XEW855"/>
      <c r="XEX855"/>
      <c r="XEY855"/>
      <c r="XEZ855"/>
      <c r="XFA855"/>
      <c r="XFB855"/>
      <c r="XFC855"/>
    </row>
    <row r="856" spans="1:20 16329:16383" s="38" customFormat="1" ht="29.1" customHeight="1" outlineLevel="5" x14ac:dyDescent="0.25">
      <c r="A856" s="49" t="s">
        <v>1688</v>
      </c>
      <c r="B856" s="50"/>
      <c r="C856" s="50"/>
      <c r="D856" s="3" t="s">
        <v>1650</v>
      </c>
      <c r="E856" s="3"/>
      <c r="F856" s="51"/>
      <c r="G856" s="50" t="s">
        <v>102</v>
      </c>
      <c r="H856" s="52">
        <f>1</f>
        <v>1</v>
      </c>
      <c r="I856" s="36"/>
      <c r="J856" s="52">
        <v>1</v>
      </c>
      <c r="K856" s="53">
        <f>0</f>
        <v>0</v>
      </c>
      <c r="L856" s="53">
        <f>0</f>
        <v>0</v>
      </c>
      <c r="M856" s="53">
        <f>0</f>
        <v>0</v>
      </c>
      <c r="N856" s="54">
        <f t="shared" si="89"/>
        <v>0</v>
      </c>
      <c r="O856" s="54">
        <f t="shared" si="90"/>
        <v>0</v>
      </c>
      <c r="P856" s="54">
        <f t="shared" si="91"/>
        <v>0</v>
      </c>
      <c r="Q856" s="54">
        <f t="shared" si="92"/>
        <v>0</v>
      </c>
      <c r="R856" s="54">
        <f t="shared" si="93"/>
        <v>0</v>
      </c>
      <c r="S856" s="54"/>
      <c r="T856" s="36"/>
      <c r="XDA856"/>
      <c r="XDB856"/>
      <c r="XDC856"/>
      <c r="XDD856"/>
      <c r="XDE856"/>
      <c r="XDF856"/>
      <c r="XDG856"/>
      <c r="XDH856"/>
      <c r="XDI856"/>
      <c r="XDJ856"/>
      <c r="XDK856"/>
      <c r="XDL856"/>
      <c r="XDM856"/>
      <c r="XDN856"/>
      <c r="XDO856"/>
      <c r="XDP856"/>
      <c r="XDQ856"/>
      <c r="XDR856"/>
      <c r="XDS856"/>
      <c r="XDT856"/>
      <c r="XDU856"/>
      <c r="XDV856"/>
      <c r="XDW856"/>
      <c r="XDX856"/>
      <c r="XDY856"/>
      <c r="XDZ856"/>
      <c r="XEA856"/>
      <c r="XEB856"/>
      <c r="XEC856"/>
      <c r="XED856"/>
      <c r="XEE856"/>
      <c r="XEF856"/>
      <c r="XEG856"/>
      <c r="XEH856"/>
      <c r="XEI856"/>
      <c r="XEJ856"/>
      <c r="XEK856"/>
      <c r="XEL856"/>
      <c r="XEM856"/>
      <c r="XEN856"/>
      <c r="XEO856"/>
      <c r="XEP856"/>
      <c r="XEQ856"/>
      <c r="XER856"/>
      <c r="XES856"/>
      <c r="XET856"/>
      <c r="XEU856"/>
      <c r="XEV856"/>
      <c r="XEW856"/>
      <c r="XEX856"/>
      <c r="XEY856"/>
      <c r="XEZ856"/>
      <c r="XFA856"/>
      <c r="XFB856"/>
      <c r="XFC856"/>
    </row>
    <row r="857" spans="1:20 16329:16383" s="38" customFormat="1" ht="29.1" customHeight="1" outlineLevel="5" x14ac:dyDescent="0.25">
      <c r="A857" s="49" t="s">
        <v>1689</v>
      </c>
      <c r="B857" s="50"/>
      <c r="C857" s="50"/>
      <c r="D857" s="3" t="s">
        <v>1544</v>
      </c>
      <c r="E857" s="3"/>
      <c r="F857" s="51"/>
      <c r="G857" s="50" t="s">
        <v>102</v>
      </c>
      <c r="H857" s="52">
        <f>1</f>
        <v>1</v>
      </c>
      <c r="I857" s="36"/>
      <c r="J857" s="52">
        <v>1</v>
      </c>
      <c r="K857" s="53">
        <f>0</f>
        <v>0</v>
      </c>
      <c r="L857" s="53">
        <f>0</f>
        <v>0</v>
      </c>
      <c r="M857" s="53">
        <f>0</f>
        <v>0</v>
      </c>
      <c r="N857" s="54">
        <f t="shared" si="89"/>
        <v>0</v>
      </c>
      <c r="O857" s="54">
        <f t="shared" si="90"/>
        <v>0</v>
      </c>
      <c r="P857" s="54">
        <f t="shared" si="91"/>
        <v>0</v>
      </c>
      <c r="Q857" s="54">
        <f t="shared" si="92"/>
        <v>0</v>
      </c>
      <c r="R857" s="54">
        <f t="shared" si="93"/>
        <v>0</v>
      </c>
      <c r="S857" s="54"/>
      <c r="T857" s="36"/>
      <c r="XDA857"/>
      <c r="XDB857"/>
      <c r="XDC857"/>
      <c r="XDD857"/>
      <c r="XDE857"/>
      <c r="XDF857"/>
      <c r="XDG857"/>
      <c r="XDH857"/>
      <c r="XDI857"/>
      <c r="XDJ857"/>
      <c r="XDK857"/>
      <c r="XDL857"/>
      <c r="XDM857"/>
      <c r="XDN857"/>
      <c r="XDO857"/>
      <c r="XDP857"/>
      <c r="XDQ857"/>
      <c r="XDR857"/>
      <c r="XDS857"/>
      <c r="XDT857"/>
      <c r="XDU857"/>
      <c r="XDV857"/>
      <c r="XDW857"/>
      <c r="XDX857"/>
      <c r="XDY857"/>
      <c r="XDZ857"/>
      <c r="XEA857"/>
      <c r="XEB857"/>
      <c r="XEC857"/>
      <c r="XED857"/>
      <c r="XEE857"/>
      <c r="XEF857"/>
      <c r="XEG857"/>
      <c r="XEH857"/>
      <c r="XEI857"/>
      <c r="XEJ857"/>
      <c r="XEK857"/>
      <c r="XEL857"/>
      <c r="XEM857"/>
      <c r="XEN857"/>
      <c r="XEO857"/>
      <c r="XEP857"/>
      <c r="XEQ857"/>
      <c r="XER857"/>
      <c r="XES857"/>
      <c r="XET857"/>
      <c r="XEU857"/>
      <c r="XEV857"/>
      <c r="XEW857"/>
      <c r="XEX857"/>
      <c r="XEY857"/>
      <c r="XEZ857"/>
      <c r="XFA857"/>
      <c r="XFB857"/>
      <c r="XFC857"/>
    </row>
    <row r="858" spans="1:20 16329:16383" s="38" customFormat="1" ht="29.1" customHeight="1" outlineLevel="5" x14ac:dyDescent="0.25">
      <c r="A858" s="49" t="s">
        <v>1690</v>
      </c>
      <c r="B858" s="50"/>
      <c r="C858" s="50"/>
      <c r="D858" s="3" t="s">
        <v>1546</v>
      </c>
      <c r="E858" s="3"/>
      <c r="F858" s="51"/>
      <c r="G858" s="50" t="s">
        <v>102</v>
      </c>
      <c r="H858" s="52">
        <f>1</f>
        <v>1</v>
      </c>
      <c r="I858" s="36"/>
      <c r="J858" s="52">
        <v>1</v>
      </c>
      <c r="K858" s="53">
        <f>0</f>
        <v>0</v>
      </c>
      <c r="L858" s="53">
        <f>0</f>
        <v>0</v>
      </c>
      <c r="M858" s="53">
        <f>0</f>
        <v>0</v>
      </c>
      <c r="N858" s="54">
        <f t="shared" si="89"/>
        <v>0</v>
      </c>
      <c r="O858" s="54">
        <f t="shared" si="90"/>
        <v>0</v>
      </c>
      <c r="P858" s="54">
        <f t="shared" si="91"/>
        <v>0</v>
      </c>
      <c r="Q858" s="54">
        <f t="shared" si="92"/>
        <v>0</v>
      </c>
      <c r="R858" s="54">
        <f t="shared" si="93"/>
        <v>0</v>
      </c>
      <c r="S858" s="54"/>
      <c r="T858" s="36"/>
      <c r="XDA858"/>
      <c r="XDB858"/>
      <c r="XDC858"/>
      <c r="XDD858"/>
      <c r="XDE858"/>
      <c r="XDF858"/>
      <c r="XDG858"/>
      <c r="XDH858"/>
      <c r="XDI858"/>
      <c r="XDJ858"/>
      <c r="XDK858"/>
      <c r="XDL858"/>
      <c r="XDM858"/>
      <c r="XDN858"/>
      <c r="XDO858"/>
      <c r="XDP858"/>
      <c r="XDQ858"/>
      <c r="XDR858"/>
      <c r="XDS858"/>
      <c r="XDT858"/>
      <c r="XDU858"/>
      <c r="XDV858"/>
      <c r="XDW858"/>
      <c r="XDX858"/>
      <c r="XDY858"/>
      <c r="XDZ858"/>
      <c r="XEA858"/>
      <c r="XEB858"/>
      <c r="XEC858"/>
      <c r="XED858"/>
      <c r="XEE858"/>
      <c r="XEF858"/>
      <c r="XEG858"/>
      <c r="XEH858"/>
      <c r="XEI858"/>
      <c r="XEJ858"/>
      <c r="XEK858"/>
      <c r="XEL858"/>
      <c r="XEM858"/>
      <c r="XEN858"/>
      <c r="XEO858"/>
      <c r="XEP858"/>
      <c r="XEQ858"/>
      <c r="XER858"/>
      <c r="XES858"/>
      <c r="XET858"/>
      <c r="XEU858"/>
      <c r="XEV858"/>
      <c r="XEW858"/>
      <c r="XEX858"/>
      <c r="XEY858"/>
      <c r="XEZ858"/>
      <c r="XFA858"/>
      <c r="XFB858"/>
      <c r="XFC858"/>
    </row>
    <row r="859" spans="1:20 16329:16383" s="38" customFormat="1" ht="29.1" customHeight="1" outlineLevel="5" x14ac:dyDescent="0.25">
      <c r="A859" s="49" t="s">
        <v>1691</v>
      </c>
      <c r="B859" s="50"/>
      <c r="C859" s="50"/>
      <c r="D859" s="3" t="s">
        <v>1550</v>
      </c>
      <c r="E859" s="3"/>
      <c r="F859" s="51"/>
      <c r="G859" s="50" t="s">
        <v>102</v>
      </c>
      <c r="H859" s="52">
        <f>1</f>
        <v>1</v>
      </c>
      <c r="I859" s="36"/>
      <c r="J859" s="52">
        <v>1</v>
      </c>
      <c r="K859" s="53">
        <f>0</f>
        <v>0</v>
      </c>
      <c r="L859" s="53">
        <f>0</f>
        <v>0</v>
      </c>
      <c r="M859" s="53">
        <f>0</f>
        <v>0</v>
      </c>
      <c r="N859" s="54">
        <f t="shared" si="89"/>
        <v>0</v>
      </c>
      <c r="O859" s="54">
        <f t="shared" si="90"/>
        <v>0</v>
      </c>
      <c r="P859" s="54">
        <f t="shared" si="91"/>
        <v>0</v>
      </c>
      <c r="Q859" s="54">
        <f t="shared" si="92"/>
        <v>0</v>
      </c>
      <c r="R859" s="54">
        <f t="shared" si="93"/>
        <v>0</v>
      </c>
      <c r="S859" s="54"/>
      <c r="T859" s="36"/>
      <c r="XDA859"/>
      <c r="XDB859"/>
      <c r="XDC859"/>
      <c r="XDD859"/>
      <c r="XDE859"/>
      <c r="XDF859"/>
      <c r="XDG859"/>
      <c r="XDH859"/>
      <c r="XDI859"/>
      <c r="XDJ859"/>
      <c r="XDK859"/>
      <c r="XDL859"/>
      <c r="XDM859"/>
      <c r="XDN859"/>
      <c r="XDO859"/>
      <c r="XDP859"/>
      <c r="XDQ859"/>
      <c r="XDR859"/>
      <c r="XDS859"/>
      <c r="XDT859"/>
      <c r="XDU859"/>
      <c r="XDV859"/>
      <c r="XDW859"/>
      <c r="XDX859"/>
      <c r="XDY859"/>
      <c r="XDZ859"/>
      <c r="XEA859"/>
      <c r="XEB859"/>
      <c r="XEC859"/>
      <c r="XED859"/>
      <c r="XEE859"/>
      <c r="XEF859"/>
      <c r="XEG859"/>
      <c r="XEH859"/>
      <c r="XEI859"/>
      <c r="XEJ859"/>
      <c r="XEK859"/>
      <c r="XEL859"/>
      <c r="XEM859"/>
      <c r="XEN859"/>
      <c r="XEO859"/>
      <c r="XEP859"/>
      <c r="XEQ859"/>
      <c r="XER859"/>
      <c r="XES859"/>
      <c r="XET859"/>
      <c r="XEU859"/>
      <c r="XEV859"/>
      <c r="XEW859"/>
      <c r="XEX859"/>
      <c r="XEY859"/>
      <c r="XEZ859"/>
      <c r="XFA859"/>
      <c r="XFB859"/>
      <c r="XFC859"/>
    </row>
    <row r="860" spans="1:20 16329:16383" s="38" customFormat="1" ht="29.1" customHeight="1" outlineLevel="5" x14ac:dyDescent="0.25">
      <c r="A860" s="49" t="s">
        <v>1692</v>
      </c>
      <c r="B860" s="50"/>
      <c r="C860" s="50"/>
      <c r="D860" s="3" t="s">
        <v>1550</v>
      </c>
      <c r="E860" s="3"/>
      <c r="F860" s="51"/>
      <c r="G860" s="50" t="s">
        <v>102</v>
      </c>
      <c r="H860" s="52">
        <f>1</f>
        <v>1</v>
      </c>
      <c r="I860" s="36"/>
      <c r="J860" s="52">
        <v>1</v>
      </c>
      <c r="K860" s="53">
        <f>0</f>
        <v>0</v>
      </c>
      <c r="L860" s="53">
        <f>0</f>
        <v>0</v>
      </c>
      <c r="M860" s="53">
        <f>0</f>
        <v>0</v>
      </c>
      <c r="N860" s="54">
        <f t="shared" si="89"/>
        <v>0</v>
      </c>
      <c r="O860" s="54">
        <f t="shared" si="90"/>
        <v>0</v>
      </c>
      <c r="P860" s="54">
        <f t="shared" si="91"/>
        <v>0</v>
      </c>
      <c r="Q860" s="54">
        <f t="shared" si="92"/>
        <v>0</v>
      </c>
      <c r="R860" s="54">
        <f t="shared" si="93"/>
        <v>0</v>
      </c>
      <c r="S860" s="54"/>
      <c r="T860" s="36"/>
      <c r="XDA860"/>
      <c r="XDB860"/>
      <c r="XDC860"/>
      <c r="XDD860"/>
      <c r="XDE860"/>
      <c r="XDF860"/>
      <c r="XDG860"/>
      <c r="XDH860"/>
      <c r="XDI860"/>
      <c r="XDJ860"/>
      <c r="XDK860"/>
      <c r="XDL860"/>
      <c r="XDM860"/>
      <c r="XDN860"/>
      <c r="XDO860"/>
      <c r="XDP860"/>
      <c r="XDQ860"/>
      <c r="XDR860"/>
      <c r="XDS860"/>
      <c r="XDT860"/>
      <c r="XDU860"/>
      <c r="XDV860"/>
      <c r="XDW860"/>
      <c r="XDX860"/>
      <c r="XDY860"/>
      <c r="XDZ860"/>
      <c r="XEA860"/>
      <c r="XEB860"/>
      <c r="XEC860"/>
      <c r="XED860"/>
      <c r="XEE860"/>
      <c r="XEF860"/>
      <c r="XEG860"/>
      <c r="XEH860"/>
      <c r="XEI860"/>
      <c r="XEJ860"/>
      <c r="XEK860"/>
      <c r="XEL860"/>
      <c r="XEM860"/>
      <c r="XEN860"/>
      <c r="XEO860"/>
      <c r="XEP860"/>
      <c r="XEQ860"/>
      <c r="XER860"/>
      <c r="XES860"/>
      <c r="XET860"/>
      <c r="XEU860"/>
      <c r="XEV860"/>
      <c r="XEW860"/>
      <c r="XEX860"/>
      <c r="XEY860"/>
      <c r="XEZ860"/>
      <c r="XFA860"/>
      <c r="XFB860"/>
      <c r="XFC860"/>
    </row>
    <row r="861" spans="1:20 16329:16383" s="38" customFormat="1" ht="29.1" customHeight="1" outlineLevel="5" x14ac:dyDescent="0.25">
      <c r="A861" s="49" t="s">
        <v>1693</v>
      </c>
      <c r="B861" s="50"/>
      <c r="C861" s="50"/>
      <c r="D861" s="3" t="s">
        <v>1552</v>
      </c>
      <c r="E861" s="3"/>
      <c r="F861" s="51"/>
      <c r="G861" s="50" t="s">
        <v>102</v>
      </c>
      <c r="H861" s="52">
        <f>1</f>
        <v>1</v>
      </c>
      <c r="I861" s="36"/>
      <c r="J861" s="52">
        <v>1</v>
      </c>
      <c r="K861" s="53">
        <f>0</f>
        <v>0</v>
      </c>
      <c r="L861" s="53">
        <f>0</f>
        <v>0</v>
      </c>
      <c r="M861" s="53">
        <f>0</f>
        <v>0</v>
      </c>
      <c r="N861" s="54">
        <f t="shared" si="89"/>
        <v>0</v>
      </c>
      <c r="O861" s="54">
        <f t="shared" si="90"/>
        <v>0</v>
      </c>
      <c r="P861" s="54">
        <f t="shared" si="91"/>
        <v>0</v>
      </c>
      <c r="Q861" s="54">
        <f t="shared" si="92"/>
        <v>0</v>
      </c>
      <c r="R861" s="54">
        <f t="shared" si="93"/>
        <v>0</v>
      </c>
      <c r="S861" s="54"/>
      <c r="T861" s="36"/>
      <c r="XDA861"/>
      <c r="XDB861"/>
      <c r="XDC861"/>
      <c r="XDD861"/>
      <c r="XDE861"/>
      <c r="XDF861"/>
      <c r="XDG861"/>
      <c r="XDH861"/>
      <c r="XDI861"/>
      <c r="XDJ861"/>
      <c r="XDK861"/>
      <c r="XDL861"/>
      <c r="XDM861"/>
      <c r="XDN861"/>
      <c r="XDO861"/>
      <c r="XDP861"/>
      <c r="XDQ861"/>
      <c r="XDR861"/>
      <c r="XDS861"/>
      <c r="XDT861"/>
      <c r="XDU861"/>
      <c r="XDV861"/>
      <c r="XDW861"/>
      <c r="XDX861"/>
      <c r="XDY861"/>
      <c r="XDZ861"/>
      <c r="XEA861"/>
      <c r="XEB861"/>
      <c r="XEC861"/>
      <c r="XED861"/>
      <c r="XEE861"/>
      <c r="XEF861"/>
      <c r="XEG861"/>
      <c r="XEH861"/>
      <c r="XEI861"/>
      <c r="XEJ861"/>
      <c r="XEK861"/>
      <c r="XEL861"/>
      <c r="XEM861"/>
      <c r="XEN861"/>
      <c r="XEO861"/>
      <c r="XEP861"/>
      <c r="XEQ861"/>
      <c r="XER861"/>
      <c r="XES861"/>
      <c r="XET861"/>
      <c r="XEU861"/>
      <c r="XEV861"/>
      <c r="XEW861"/>
      <c r="XEX861"/>
      <c r="XEY861"/>
      <c r="XEZ861"/>
      <c r="XFA861"/>
      <c r="XFB861"/>
      <c r="XFC861"/>
    </row>
    <row r="862" spans="1:20 16329:16383" s="38" customFormat="1" ht="29.1" customHeight="1" outlineLevel="5" x14ac:dyDescent="0.25">
      <c r="A862" s="49" t="s">
        <v>1694</v>
      </c>
      <c r="B862" s="50"/>
      <c r="C862" s="50"/>
      <c r="D862" s="3" t="s">
        <v>1567</v>
      </c>
      <c r="E862" s="3"/>
      <c r="F862" s="51"/>
      <c r="G862" s="50" t="s">
        <v>102</v>
      </c>
      <c r="H862" s="52">
        <f>1</f>
        <v>1</v>
      </c>
      <c r="I862" s="36"/>
      <c r="J862" s="52">
        <v>1</v>
      </c>
      <c r="K862" s="53">
        <f>0</f>
        <v>0</v>
      </c>
      <c r="L862" s="53">
        <f>0</f>
        <v>0</v>
      </c>
      <c r="M862" s="53">
        <f>0</f>
        <v>0</v>
      </c>
      <c r="N862" s="54">
        <f t="shared" si="89"/>
        <v>0</v>
      </c>
      <c r="O862" s="54">
        <f t="shared" si="90"/>
        <v>0</v>
      </c>
      <c r="P862" s="54">
        <f t="shared" si="91"/>
        <v>0</v>
      </c>
      <c r="Q862" s="54">
        <f t="shared" si="92"/>
        <v>0</v>
      </c>
      <c r="R862" s="54">
        <f t="shared" si="93"/>
        <v>0</v>
      </c>
      <c r="S862" s="54"/>
      <c r="T862" s="36"/>
      <c r="XDA862"/>
      <c r="XDB862"/>
      <c r="XDC862"/>
      <c r="XDD862"/>
      <c r="XDE862"/>
      <c r="XDF862"/>
      <c r="XDG862"/>
      <c r="XDH862"/>
      <c r="XDI862"/>
      <c r="XDJ862"/>
      <c r="XDK862"/>
      <c r="XDL862"/>
      <c r="XDM862"/>
      <c r="XDN862"/>
      <c r="XDO862"/>
      <c r="XDP862"/>
      <c r="XDQ862"/>
      <c r="XDR862"/>
      <c r="XDS862"/>
      <c r="XDT862"/>
      <c r="XDU862"/>
      <c r="XDV862"/>
      <c r="XDW862"/>
      <c r="XDX862"/>
      <c r="XDY862"/>
      <c r="XDZ862"/>
      <c r="XEA862"/>
      <c r="XEB862"/>
      <c r="XEC862"/>
      <c r="XED862"/>
      <c r="XEE862"/>
      <c r="XEF862"/>
      <c r="XEG862"/>
      <c r="XEH862"/>
      <c r="XEI862"/>
      <c r="XEJ862"/>
      <c r="XEK862"/>
      <c r="XEL862"/>
      <c r="XEM862"/>
      <c r="XEN862"/>
      <c r="XEO862"/>
      <c r="XEP862"/>
      <c r="XEQ862"/>
      <c r="XER862"/>
      <c r="XES862"/>
      <c r="XET862"/>
      <c r="XEU862"/>
      <c r="XEV862"/>
      <c r="XEW862"/>
      <c r="XEX862"/>
      <c r="XEY862"/>
      <c r="XEZ862"/>
      <c r="XFA862"/>
      <c r="XFB862"/>
      <c r="XFC862"/>
    </row>
    <row r="863" spans="1:20 16329:16383" s="38" customFormat="1" ht="29.1" customHeight="1" outlineLevel="5" x14ac:dyDescent="0.25">
      <c r="A863" s="49" t="s">
        <v>1695</v>
      </c>
      <c r="B863" s="50"/>
      <c r="C863" s="50"/>
      <c r="D863" s="3" t="s">
        <v>1569</v>
      </c>
      <c r="E863" s="3"/>
      <c r="F863" s="51"/>
      <c r="G863" s="50" t="s">
        <v>102</v>
      </c>
      <c r="H863" s="52">
        <f>1</f>
        <v>1</v>
      </c>
      <c r="I863" s="36"/>
      <c r="J863" s="52">
        <v>1</v>
      </c>
      <c r="K863" s="53">
        <f>0</f>
        <v>0</v>
      </c>
      <c r="L863" s="53">
        <f>0</f>
        <v>0</v>
      </c>
      <c r="M863" s="53">
        <f>0</f>
        <v>0</v>
      </c>
      <c r="N863" s="54">
        <f t="shared" si="89"/>
        <v>0</v>
      </c>
      <c r="O863" s="54">
        <f t="shared" si="90"/>
        <v>0</v>
      </c>
      <c r="P863" s="54">
        <f t="shared" si="91"/>
        <v>0</v>
      </c>
      <c r="Q863" s="54">
        <f t="shared" si="92"/>
        <v>0</v>
      </c>
      <c r="R863" s="54">
        <f t="shared" si="93"/>
        <v>0</v>
      </c>
      <c r="S863" s="54"/>
      <c r="T863" s="36"/>
      <c r="XDA863"/>
      <c r="XDB863"/>
      <c r="XDC863"/>
      <c r="XDD863"/>
      <c r="XDE863"/>
      <c r="XDF863"/>
      <c r="XDG863"/>
      <c r="XDH863"/>
      <c r="XDI863"/>
      <c r="XDJ863"/>
      <c r="XDK863"/>
      <c r="XDL863"/>
      <c r="XDM863"/>
      <c r="XDN863"/>
      <c r="XDO863"/>
      <c r="XDP863"/>
      <c r="XDQ863"/>
      <c r="XDR863"/>
      <c r="XDS863"/>
      <c r="XDT863"/>
      <c r="XDU863"/>
      <c r="XDV863"/>
      <c r="XDW863"/>
      <c r="XDX863"/>
      <c r="XDY863"/>
      <c r="XDZ863"/>
      <c r="XEA863"/>
      <c r="XEB863"/>
      <c r="XEC863"/>
      <c r="XED863"/>
      <c r="XEE863"/>
      <c r="XEF863"/>
      <c r="XEG863"/>
      <c r="XEH863"/>
      <c r="XEI863"/>
      <c r="XEJ863"/>
      <c r="XEK863"/>
      <c r="XEL863"/>
      <c r="XEM863"/>
      <c r="XEN863"/>
      <c r="XEO863"/>
      <c r="XEP863"/>
      <c r="XEQ863"/>
      <c r="XER863"/>
      <c r="XES863"/>
      <c r="XET863"/>
      <c r="XEU863"/>
      <c r="XEV863"/>
      <c r="XEW863"/>
      <c r="XEX863"/>
      <c r="XEY863"/>
      <c r="XEZ863"/>
      <c r="XFA863"/>
      <c r="XFB863"/>
      <c r="XFC863"/>
    </row>
    <row r="864" spans="1:20 16329:16383" s="38" customFormat="1" ht="29.1" customHeight="1" outlineLevel="4" x14ac:dyDescent="0.25">
      <c r="A864" s="60" t="s">
        <v>1696</v>
      </c>
      <c r="B864" s="61" t="s">
        <v>1697</v>
      </c>
      <c r="C864" s="61"/>
      <c r="D864" s="1" t="s">
        <v>1698</v>
      </c>
      <c r="E864" s="1"/>
      <c r="F864" s="62"/>
      <c r="G864" s="61"/>
      <c r="H864" s="63"/>
      <c r="I864" s="36"/>
      <c r="J864" s="63"/>
      <c r="K864" s="64"/>
      <c r="L864" s="64"/>
      <c r="M864" s="64"/>
      <c r="N864" s="64"/>
      <c r="O864" s="64">
        <f>SUM(O865:O873)</f>
        <v>0</v>
      </c>
      <c r="P864" s="64">
        <f>SUM(P865:P873)</f>
        <v>0</v>
      </c>
      <c r="Q864" s="64">
        <f>SUM(Q865:Q873)</f>
        <v>0</v>
      </c>
      <c r="R864" s="64">
        <f>SUM(R865:R873)</f>
        <v>0</v>
      </c>
      <c r="S864" s="64"/>
      <c r="T864" s="36"/>
      <c r="XDA864"/>
      <c r="XDB864"/>
      <c r="XDC864"/>
      <c r="XDD864"/>
      <c r="XDE864"/>
      <c r="XDF864"/>
      <c r="XDG864"/>
      <c r="XDH864"/>
      <c r="XDI864"/>
      <c r="XDJ864"/>
      <c r="XDK864"/>
      <c r="XDL864"/>
      <c r="XDM864"/>
      <c r="XDN864"/>
      <c r="XDO864"/>
      <c r="XDP864"/>
      <c r="XDQ864"/>
      <c r="XDR864"/>
      <c r="XDS864"/>
      <c r="XDT864"/>
      <c r="XDU864"/>
      <c r="XDV864"/>
      <c r="XDW864"/>
      <c r="XDX864"/>
      <c r="XDY864"/>
      <c r="XDZ864"/>
      <c r="XEA864"/>
      <c r="XEB864"/>
      <c r="XEC864"/>
      <c r="XED864"/>
      <c r="XEE864"/>
      <c r="XEF864"/>
      <c r="XEG864"/>
      <c r="XEH864"/>
      <c r="XEI864"/>
      <c r="XEJ864"/>
      <c r="XEK864"/>
      <c r="XEL864"/>
      <c r="XEM864"/>
      <c r="XEN864"/>
      <c r="XEO864"/>
      <c r="XEP864"/>
      <c r="XEQ864"/>
      <c r="XER864"/>
      <c r="XES864"/>
      <c r="XET864"/>
      <c r="XEU864"/>
      <c r="XEV864"/>
      <c r="XEW864"/>
      <c r="XEX864"/>
      <c r="XEY864"/>
      <c r="XEZ864"/>
      <c r="XFA864"/>
      <c r="XFB864"/>
      <c r="XFC864"/>
    </row>
    <row r="865" spans="1:20 16329:16383" s="38" customFormat="1" ht="29.1" customHeight="1" outlineLevel="5" x14ac:dyDescent="0.25">
      <c r="A865" s="49" t="s">
        <v>1699</v>
      </c>
      <c r="B865" s="50"/>
      <c r="C865" s="50"/>
      <c r="D865" s="3" t="s">
        <v>1700</v>
      </c>
      <c r="E865" s="3"/>
      <c r="F865" s="51"/>
      <c r="G865" s="50" t="s">
        <v>102</v>
      </c>
      <c r="H865" s="52">
        <f>1</f>
        <v>1</v>
      </c>
      <c r="I865" s="36"/>
      <c r="J865" s="52">
        <v>1</v>
      </c>
      <c r="K865" s="53">
        <f>0</f>
        <v>0</v>
      </c>
      <c r="L865" s="53">
        <f>0</f>
        <v>0</v>
      </c>
      <c r="M865" s="53">
        <f>0</f>
        <v>0</v>
      </c>
      <c r="N865" s="54">
        <f t="shared" ref="N865:N873" si="94">SUM(K865:M865)</f>
        <v>0</v>
      </c>
      <c r="O865" s="54">
        <f t="shared" ref="O865:O873" si="95">ROUND((H865*K865),2)</f>
        <v>0</v>
      </c>
      <c r="P865" s="54">
        <f t="shared" ref="P865:P873" si="96">ROUND((H865*L865),2)</f>
        <v>0</v>
      </c>
      <c r="Q865" s="54">
        <f t="shared" ref="Q865:Q873" si="97">ROUND((H865*M865),2)</f>
        <v>0</v>
      </c>
      <c r="R865" s="54">
        <f t="shared" ref="R865:R873" si="98">ROUND((H865*N865),2)</f>
        <v>0</v>
      </c>
      <c r="S865" s="54"/>
      <c r="T865" s="36"/>
      <c r="XDA865"/>
      <c r="XDB865"/>
      <c r="XDC865"/>
      <c r="XDD865"/>
      <c r="XDE865"/>
      <c r="XDF865"/>
      <c r="XDG865"/>
      <c r="XDH865"/>
      <c r="XDI865"/>
      <c r="XDJ865"/>
      <c r="XDK865"/>
      <c r="XDL865"/>
      <c r="XDM865"/>
      <c r="XDN865"/>
      <c r="XDO865"/>
      <c r="XDP865"/>
      <c r="XDQ865"/>
      <c r="XDR865"/>
      <c r="XDS865"/>
      <c r="XDT865"/>
      <c r="XDU865"/>
      <c r="XDV865"/>
      <c r="XDW865"/>
      <c r="XDX865"/>
      <c r="XDY865"/>
      <c r="XDZ865"/>
      <c r="XEA865"/>
      <c r="XEB865"/>
      <c r="XEC865"/>
      <c r="XED865"/>
      <c r="XEE865"/>
      <c r="XEF865"/>
      <c r="XEG865"/>
      <c r="XEH865"/>
      <c r="XEI865"/>
      <c r="XEJ865"/>
      <c r="XEK865"/>
      <c r="XEL865"/>
      <c r="XEM865"/>
      <c r="XEN865"/>
      <c r="XEO865"/>
      <c r="XEP865"/>
      <c r="XEQ865"/>
      <c r="XER865"/>
      <c r="XES865"/>
      <c r="XET865"/>
      <c r="XEU865"/>
      <c r="XEV865"/>
      <c r="XEW865"/>
      <c r="XEX865"/>
      <c r="XEY865"/>
      <c r="XEZ865"/>
      <c r="XFA865"/>
      <c r="XFB865"/>
      <c r="XFC865"/>
    </row>
    <row r="866" spans="1:20 16329:16383" s="38" customFormat="1" ht="29.1" customHeight="1" outlineLevel="5" x14ac:dyDescent="0.25">
      <c r="A866" s="49" t="s">
        <v>1701</v>
      </c>
      <c r="B866" s="50"/>
      <c r="C866" s="50"/>
      <c r="D866" s="3" t="s">
        <v>1702</v>
      </c>
      <c r="E866" s="3"/>
      <c r="F866" s="51"/>
      <c r="G866" s="50" t="s">
        <v>102</v>
      </c>
      <c r="H866" s="52">
        <f>1</f>
        <v>1</v>
      </c>
      <c r="I866" s="36"/>
      <c r="J866" s="52">
        <v>1</v>
      </c>
      <c r="K866" s="53">
        <f>0</f>
        <v>0</v>
      </c>
      <c r="L866" s="53">
        <f>0</f>
        <v>0</v>
      </c>
      <c r="M866" s="53">
        <f>0</f>
        <v>0</v>
      </c>
      <c r="N866" s="54">
        <f t="shared" si="94"/>
        <v>0</v>
      </c>
      <c r="O866" s="54">
        <f t="shared" si="95"/>
        <v>0</v>
      </c>
      <c r="P866" s="54">
        <f t="shared" si="96"/>
        <v>0</v>
      </c>
      <c r="Q866" s="54">
        <f t="shared" si="97"/>
        <v>0</v>
      </c>
      <c r="R866" s="54">
        <f t="shared" si="98"/>
        <v>0</v>
      </c>
      <c r="S866" s="54"/>
      <c r="T866" s="36"/>
      <c r="XDA866"/>
      <c r="XDB866"/>
      <c r="XDC866"/>
      <c r="XDD866"/>
      <c r="XDE866"/>
      <c r="XDF866"/>
      <c r="XDG866"/>
      <c r="XDH866"/>
      <c r="XDI866"/>
      <c r="XDJ866"/>
      <c r="XDK866"/>
      <c r="XDL866"/>
      <c r="XDM866"/>
      <c r="XDN866"/>
      <c r="XDO866"/>
      <c r="XDP866"/>
      <c r="XDQ866"/>
      <c r="XDR866"/>
      <c r="XDS866"/>
      <c r="XDT866"/>
      <c r="XDU866"/>
      <c r="XDV866"/>
      <c r="XDW866"/>
      <c r="XDX866"/>
      <c r="XDY866"/>
      <c r="XDZ866"/>
      <c r="XEA866"/>
      <c r="XEB866"/>
      <c r="XEC866"/>
      <c r="XED866"/>
      <c r="XEE866"/>
      <c r="XEF866"/>
      <c r="XEG866"/>
      <c r="XEH866"/>
      <c r="XEI866"/>
      <c r="XEJ866"/>
      <c r="XEK866"/>
      <c r="XEL866"/>
      <c r="XEM866"/>
      <c r="XEN866"/>
      <c r="XEO866"/>
      <c r="XEP866"/>
      <c r="XEQ866"/>
      <c r="XER866"/>
      <c r="XES866"/>
      <c r="XET866"/>
      <c r="XEU866"/>
      <c r="XEV866"/>
      <c r="XEW866"/>
      <c r="XEX866"/>
      <c r="XEY866"/>
      <c r="XEZ866"/>
      <c r="XFA866"/>
      <c r="XFB866"/>
      <c r="XFC866"/>
    </row>
    <row r="867" spans="1:20 16329:16383" s="38" customFormat="1" ht="29.1" customHeight="1" outlineLevel="5" x14ac:dyDescent="0.25">
      <c r="A867" s="49" t="s">
        <v>1703</v>
      </c>
      <c r="B867" s="50"/>
      <c r="C867" s="50"/>
      <c r="D867" s="3" t="s">
        <v>1704</v>
      </c>
      <c r="E867" s="3"/>
      <c r="F867" s="51"/>
      <c r="G867" s="50" t="s">
        <v>102</v>
      </c>
      <c r="H867" s="52">
        <f>1</f>
        <v>1</v>
      </c>
      <c r="I867" s="36"/>
      <c r="J867" s="52">
        <v>1</v>
      </c>
      <c r="K867" s="53">
        <f>0</f>
        <v>0</v>
      </c>
      <c r="L867" s="53">
        <f>0</f>
        <v>0</v>
      </c>
      <c r="M867" s="53">
        <f>0</f>
        <v>0</v>
      </c>
      <c r="N867" s="54">
        <f t="shared" si="94"/>
        <v>0</v>
      </c>
      <c r="O867" s="54">
        <f t="shared" si="95"/>
        <v>0</v>
      </c>
      <c r="P867" s="54">
        <f t="shared" si="96"/>
        <v>0</v>
      </c>
      <c r="Q867" s="54">
        <f t="shared" si="97"/>
        <v>0</v>
      </c>
      <c r="R867" s="54">
        <f t="shared" si="98"/>
        <v>0</v>
      </c>
      <c r="S867" s="54"/>
      <c r="T867" s="36"/>
      <c r="XDA867"/>
      <c r="XDB867"/>
      <c r="XDC867"/>
      <c r="XDD867"/>
      <c r="XDE867"/>
      <c r="XDF867"/>
      <c r="XDG867"/>
      <c r="XDH867"/>
      <c r="XDI867"/>
      <c r="XDJ867"/>
      <c r="XDK867"/>
      <c r="XDL867"/>
      <c r="XDM867"/>
      <c r="XDN867"/>
      <c r="XDO867"/>
      <c r="XDP867"/>
      <c r="XDQ867"/>
      <c r="XDR867"/>
      <c r="XDS867"/>
      <c r="XDT867"/>
      <c r="XDU867"/>
      <c r="XDV867"/>
      <c r="XDW867"/>
      <c r="XDX867"/>
      <c r="XDY867"/>
      <c r="XDZ867"/>
      <c r="XEA867"/>
      <c r="XEB867"/>
      <c r="XEC867"/>
      <c r="XED867"/>
      <c r="XEE867"/>
      <c r="XEF867"/>
      <c r="XEG867"/>
      <c r="XEH867"/>
      <c r="XEI867"/>
      <c r="XEJ867"/>
      <c r="XEK867"/>
      <c r="XEL867"/>
      <c r="XEM867"/>
      <c r="XEN867"/>
      <c r="XEO867"/>
      <c r="XEP867"/>
      <c r="XEQ867"/>
      <c r="XER867"/>
      <c r="XES867"/>
      <c r="XET867"/>
      <c r="XEU867"/>
      <c r="XEV867"/>
      <c r="XEW867"/>
      <c r="XEX867"/>
      <c r="XEY867"/>
      <c r="XEZ867"/>
      <c r="XFA867"/>
      <c r="XFB867"/>
      <c r="XFC867"/>
    </row>
    <row r="868" spans="1:20 16329:16383" s="38" customFormat="1" ht="29.1" customHeight="1" outlineLevel="5" x14ac:dyDescent="0.25">
      <c r="A868" s="49" t="s">
        <v>1705</v>
      </c>
      <c r="B868" s="50"/>
      <c r="C868" s="50"/>
      <c r="D868" s="3" t="s">
        <v>1546</v>
      </c>
      <c r="E868" s="3"/>
      <c r="F868" s="51"/>
      <c r="G868" s="50" t="s">
        <v>102</v>
      </c>
      <c r="H868" s="52">
        <f>1</f>
        <v>1</v>
      </c>
      <c r="I868" s="36"/>
      <c r="J868" s="52">
        <v>1</v>
      </c>
      <c r="K868" s="53">
        <f>0</f>
        <v>0</v>
      </c>
      <c r="L868" s="53">
        <f>0</f>
        <v>0</v>
      </c>
      <c r="M868" s="53">
        <f>0</f>
        <v>0</v>
      </c>
      <c r="N868" s="54">
        <f t="shared" si="94"/>
        <v>0</v>
      </c>
      <c r="O868" s="54">
        <f t="shared" si="95"/>
        <v>0</v>
      </c>
      <c r="P868" s="54">
        <f t="shared" si="96"/>
        <v>0</v>
      </c>
      <c r="Q868" s="54">
        <f t="shared" si="97"/>
        <v>0</v>
      </c>
      <c r="R868" s="54">
        <f t="shared" si="98"/>
        <v>0</v>
      </c>
      <c r="S868" s="54"/>
      <c r="T868" s="36"/>
      <c r="XDA868"/>
      <c r="XDB868"/>
      <c r="XDC868"/>
      <c r="XDD868"/>
      <c r="XDE868"/>
      <c r="XDF868"/>
      <c r="XDG868"/>
      <c r="XDH868"/>
      <c r="XDI868"/>
      <c r="XDJ868"/>
      <c r="XDK868"/>
      <c r="XDL868"/>
      <c r="XDM868"/>
      <c r="XDN868"/>
      <c r="XDO868"/>
      <c r="XDP868"/>
      <c r="XDQ868"/>
      <c r="XDR868"/>
      <c r="XDS868"/>
      <c r="XDT868"/>
      <c r="XDU868"/>
      <c r="XDV868"/>
      <c r="XDW868"/>
      <c r="XDX868"/>
      <c r="XDY868"/>
      <c r="XDZ868"/>
      <c r="XEA868"/>
      <c r="XEB868"/>
      <c r="XEC868"/>
      <c r="XED868"/>
      <c r="XEE868"/>
      <c r="XEF868"/>
      <c r="XEG868"/>
      <c r="XEH868"/>
      <c r="XEI868"/>
      <c r="XEJ868"/>
      <c r="XEK868"/>
      <c r="XEL868"/>
      <c r="XEM868"/>
      <c r="XEN868"/>
      <c r="XEO868"/>
      <c r="XEP868"/>
      <c r="XEQ868"/>
      <c r="XER868"/>
      <c r="XES868"/>
      <c r="XET868"/>
      <c r="XEU868"/>
      <c r="XEV868"/>
      <c r="XEW868"/>
      <c r="XEX868"/>
      <c r="XEY868"/>
      <c r="XEZ868"/>
      <c r="XFA868"/>
      <c r="XFB868"/>
      <c r="XFC868"/>
    </row>
    <row r="869" spans="1:20 16329:16383" s="38" customFormat="1" ht="29.1" customHeight="1" outlineLevel="5" x14ac:dyDescent="0.25">
      <c r="A869" s="49" t="s">
        <v>1706</v>
      </c>
      <c r="B869" s="50"/>
      <c r="C869" s="50"/>
      <c r="D869" s="3" t="s">
        <v>1550</v>
      </c>
      <c r="E869" s="3"/>
      <c r="F869" s="51"/>
      <c r="G869" s="50" t="s">
        <v>102</v>
      </c>
      <c r="H869" s="52">
        <f>1</f>
        <v>1</v>
      </c>
      <c r="I869" s="36"/>
      <c r="J869" s="52">
        <v>1</v>
      </c>
      <c r="K869" s="53">
        <f>0</f>
        <v>0</v>
      </c>
      <c r="L869" s="53">
        <f>0</f>
        <v>0</v>
      </c>
      <c r="M869" s="53">
        <f>0</f>
        <v>0</v>
      </c>
      <c r="N869" s="54">
        <f t="shared" si="94"/>
        <v>0</v>
      </c>
      <c r="O869" s="54">
        <f t="shared" si="95"/>
        <v>0</v>
      </c>
      <c r="P869" s="54">
        <f t="shared" si="96"/>
        <v>0</v>
      </c>
      <c r="Q869" s="54">
        <f t="shared" si="97"/>
        <v>0</v>
      </c>
      <c r="R869" s="54">
        <f t="shared" si="98"/>
        <v>0</v>
      </c>
      <c r="S869" s="54"/>
      <c r="T869" s="36"/>
      <c r="XDA869"/>
      <c r="XDB869"/>
      <c r="XDC869"/>
      <c r="XDD869"/>
      <c r="XDE869"/>
      <c r="XDF869"/>
      <c r="XDG869"/>
      <c r="XDH869"/>
      <c r="XDI869"/>
      <c r="XDJ869"/>
      <c r="XDK869"/>
      <c r="XDL869"/>
      <c r="XDM869"/>
      <c r="XDN869"/>
      <c r="XDO869"/>
      <c r="XDP869"/>
      <c r="XDQ869"/>
      <c r="XDR869"/>
      <c r="XDS869"/>
      <c r="XDT869"/>
      <c r="XDU869"/>
      <c r="XDV869"/>
      <c r="XDW869"/>
      <c r="XDX869"/>
      <c r="XDY869"/>
      <c r="XDZ869"/>
      <c r="XEA869"/>
      <c r="XEB869"/>
      <c r="XEC869"/>
      <c r="XED869"/>
      <c r="XEE869"/>
      <c r="XEF869"/>
      <c r="XEG869"/>
      <c r="XEH869"/>
      <c r="XEI869"/>
      <c r="XEJ869"/>
      <c r="XEK869"/>
      <c r="XEL869"/>
      <c r="XEM869"/>
      <c r="XEN869"/>
      <c r="XEO869"/>
      <c r="XEP869"/>
      <c r="XEQ869"/>
      <c r="XER869"/>
      <c r="XES869"/>
      <c r="XET869"/>
      <c r="XEU869"/>
      <c r="XEV869"/>
      <c r="XEW869"/>
      <c r="XEX869"/>
      <c r="XEY869"/>
      <c r="XEZ869"/>
      <c r="XFA869"/>
      <c r="XFB869"/>
      <c r="XFC869"/>
    </row>
    <row r="870" spans="1:20 16329:16383" s="38" customFormat="1" ht="29.1" customHeight="1" outlineLevel="5" x14ac:dyDescent="0.25">
      <c r="A870" s="49" t="s">
        <v>1707</v>
      </c>
      <c r="B870" s="50"/>
      <c r="C870" s="50"/>
      <c r="D870" s="3" t="s">
        <v>1550</v>
      </c>
      <c r="E870" s="3"/>
      <c r="F870" s="51"/>
      <c r="G870" s="50" t="s">
        <v>102</v>
      </c>
      <c r="H870" s="52">
        <f>1</f>
        <v>1</v>
      </c>
      <c r="I870" s="36"/>
      <c r="J870" s="52">
        <v>1</v>
      </c>
      <c r="K870" s="53">
        <f>0</f>
        <v>0</v>
      </c>
      <c r="L870" s="53">
        <f>0</f>
        <v>0</v>
      </c>
      <c r="M870" s="53">
        <f>0</f>
        <v>0</v>
      </c>
      <c r="N870" s="54">
        <f t="shared" si="94"/>
        <v>0</v>
      </c>
      <c r="O870" s="54">
        <f t="shared" si="95"/>
        <v>0</v>
      </c>
      <c r="P870" s="54">
        <f t="shared" si="96"/>
        <v>0</v>
      </c>
      <c r="Q870" s="54">
        <f t="shared" si="97"/>
        <v>0</v>
      </c>
      <c r="R870" s="54">
        <f t="shared" si="98"/>
        <v>0</v>
      </c>
      <c r="S870" s="54"/>
      <c r="T870" s="36"/>
      <c r="XDA870"/>
      <c r="XDB870"/>
      <c r="XDC870"/>
      <c r="XDD870"/>
      <c r="XDE870"/>
      <c r="XDF870"/>
      <c r="XDG870"/>
      <c r="XDH870"/>
      <c r="XDI870"/>
      <c r="XDJ870"/>
      <c r="XDK870"/>
      <c r="XDL870"/>
      <c r="XDM870"/>
      <c r="XDN870"/>
      <c r="XDO870"/>
      <c r="XDP870"/>
      <c r="XDQ870"/>
      <c r="XDR870"/>
      <c r="XDS870"/>
      <c r="XDT870"/>
      <c r="XDU870"/>
      <c r="XDV870"/>
      <c r="XDW870"/>
      <c r="XDX870"/>
      <c r="XDY870"/>
      <c r="XDZ870"/>
      <c r="XEA870"/>
      <c r="XEB870"/>
      <c r="XEC870"/>
      <c r="XED870"/>
      <c r="XEE870"/>
      <c r="XEF870"/>
      <c r="XEG870"/>
      <c r="XEH870"/>
      <c r="XEI870"/>
      <c r="XEJ870"/>
      <c r="XEK870"/>
      <c r="XEL870"/>
      <c r="XEM870"/>
      <c r="XEN870"/>
      <c r="XEO870"/>
      <c r="XEP870"/>
      <c r="XEQ870"/>
      <c r="XER870"/>
      <c r="XES870"/>
      <c r="XET870"/>
      <c r="XEU870"/>
      <c r="XEV870"/>
      <c r="XEW870"/>
      <c r="XEX870"/>
      <c r="XEY870"/>
      <c r="XEZ870"/>
      <c r="XFA870"/>
      <c r="XFB870"/>
      <c r="XFC870"/>
    </row>
    <row r="871" spans="1:20 16329:16383" s="38" customFormat="1" ht="29.1" customHeight="1" outlineLevel="5" x14ac:dyDescent="0.25">
      <c r="A871" s="49" t="s">
        <v>1708</v>
      </c>
      <c r="B871" s="50"/>
      <c r="C871" s="50"/>
      <c r="D871" s="3" t="s">
        <v>1552</v>
      </c>
      <c r="E871" s="3"/>
      <c r="F871" s="51"/>
      <c r="G871" s="50" t="s">
        <v>102</v>
      </c>
      <c r="H871" s="52">
        <f>1</f>
        <v>1</v>
      </c>
      <c r="I871" s="36"/>
      <c r="J871" s="52">
        <v>1</v>
      </c>
      <c r="K871" s="53">
        <f>0</f>
        <v>0</v>
      </c>
      <c r="L871" s="53">
        <f>0</f>
        <v>0</v>
      </c>
      <c r="M871" s="53">
        <f>0</f>
        <v>0</v>
      </c>
      <c r="N871" s="54">
        <f t="shared" si="94"/>
        <v>0</v>
      </c>
      <c r="O871" s="54">
        <f t="shared" si="95"/>
        <v>0</v>
      </c>
      <c r="P871" s="54">
        <f t="shared" si="96"/>
        <v>0</v>
      </c>
      <c r="Q871" s="54">
        <f t="shared" si="97"/>
        <v>0</v>
      </c>
      <c r="R871" s="54">
        <f t="shared" si="98"/>
        <v>0</v>
      </c>
      <c r="S871" s="54"/>
      <c r="T871" s="36"/>
      <c r="XDA871"/>
      <c r="XDB871"/>
      <c r="XDC871"/>
      <c r="XDD871"/>
      <c r="XDE871"/>
      <c r="XDF871"/>
      <c r="XDG871"/>
      <c r="XDH871"/>
      <c r="XDI871"/>
      <c r="XDJ871"/>
      <c r="XDK871"/>
      <c r="XDL871"/>
      <c r="XDM871"/>
      <c r="XDN871"/>
      <c r="XDO871"/>
      <c r="XDP871"/>
      <c r="XDQ871"/>
      <c r="XDR871"/>
      <c r="XDS871"/>
      <c r="XDT871"/>
      <c r="XDU871"/>
      <c r="XDV871"/>
      <c r="XDW871"/>
      <c r="XDX871"/>
      <c r="XDY871"/>
      <c r="XDZ871"/>
      <c r="XEA871"/>
      <c r="XEB871"/>
      <c r="XEC871"/>
      <c r="XED871"/>
      <c r="XEE871"/>
      <c r="XEF871"/>
      <c r="XEG871"/>
      <c r="XEH871"/>
      <c r="XEI871"/>
      <c r="XEJ871"/>
      <c r="XEK871"/>
      <c r="XEL871"/>
      <c r="XEM871"/>
      <c r="XEN871"/>
      <c r="XEO871"/>
      <c r="XEP871"/>
      <c r="XEQ871"/>
      <c r="XER871"/>
      <c r="XES871"/>
      <c r="XET871"/>
      <c r="XEU871"/>
      <c r="XEV871"/>
      <c r="XEW871"/>
      <c r="XEX871"/>
      <c r="XEY871"/>
      <c r="XEZ871"/>
      <c r="XFA871"/>
      <c r="XFB871"/>
      <c r="XFC871"/>
    </row>
    <row r="872" spans="1:20 16329:16383" s="38" customFormat="1" ht="29.1" customHeight="1" outlineLevel="5" x14ac:dyDescent="0.25">
      <c r="A872" s="49" t="s">
        <v>1709</v>
      </c>
      <c r="B872" s="50"/>
      <c r="C872" s="50"/>
      <c r="D872" s="3" t="s">
        <v>1567</v>
      </c>
      <c r="E872" s="3"/>
      <c r="F872" s="51"/>
      <c r="G872" s="50" t="s">
        <v>102</v>
      </c>
      <c r="H872" s="52">
        <f>1</f>
        <v>1</v>
      </c>
      <c r="I872" s="36"/>
      <c r="J872" s="52">
        <v>1</v>
      </c>
      <c r="K872" s="53">
        <f>0</f>
        <v>0</v>
      </c>
      <c r="L872" s="53">
        <f>0</f>
        <v>0</v>
      </c>
      <c r="M872" s="53">
        <f>0</f>
        <v>0</v>
      </c>
      <c r="N872" s="54">
        <f t="shared" si="94"/>
        <v>0</v>
      </c>
      <c r="O872" s="54">
        <f t="shared" si="95"/>
        <v>0</v>
      </c>
      <c r="P872" s="54">
        <f t="shared" si="96"/>
        <v>0</v>
      </c>
      <c r="Q872" s="54">
        <f t="shared" si="97"/>
        <v>0</v>
      </c>
      <c r="R872" s="54">
        <f t="shared" si="98"/>
        <v>0</v>
      </c>
      <c r="S872" s="54"/>
      <c r="T872" s="36"/>
      <c r="XDA872"/>
      <c r="XDB872"/>
      <c r="XDC872"/>
      <c r="XDD872"/>
      <c r="XDE872"/>
      <c r="XDF872"/>
      <c r="XDG872"/>
      <c r="XDH872"/>
      <c r="XDI872"/>
      <c r="XDJ872"/>
      <c r="XDK872"/>
      <c r="XDL872"/>
      <c r="XDM872"/>
      <c r="XDN872"/>
      <c r="XDO872"/>
      <c r="XDP872"/>
      <c r="XDQ872"/>
      <c r="XDR872"/>
      <c r="XDS872"/>
      <c r="XDT872"/>
      <c r="XDU872"/>
      <c r="XDV872"/>
      <c r="XDW872"/>
      <c r="XDX872"/>
      <c r="XDY872"/>
      <c r="XDZ872"/>
      <c r="XEA872"/>
      <c r="XEB872"/>
      <c r="XEC872"/>
      <c r="XED872"/>
      <c r="XEE872"/>
      <c r="XEF872"/>
      <c r="XEG872"/>
      <c r="XEH872"/>
      <c r="XEI872"/>
      <c r="XEJ872"/>
      <c r="XEK872"/>
      <c r="XEL872"/>
      <c r="XEM872"/>
      <c r="XEN872"/>
      <c r="XEO872"/>
      <c r="XEP872"/>
      <c r="XEQ872"/>
      <c r="XER872"/>
      <c r="XES872"/>
      <c r="XET872"/>
      <c r="XEU872"/>
      <c r="XEV872"/>
      <c r="XEW872"/>
      <c r="XEX872"/>
      <c r="XEY872"/>
      <c r="XEZ872"/>
      <c r="XFA872"/>
      <c r="XFB872"/>
      <c r="XFC872"/>
    </row>
    <row r="873" spans="1:20 16329:16383" s="38" customFormat="1" ht="29.1" customHeight="1" outlineLevel="5" x14ac:dyDescent="0.25">
      <c r="A873" s="49" t="s">
        <v>1710</v>
      </c>
      <c r="B873" s="50"/>
      <c r="C873" s="50"/>
      <c r="D873" s="3" t="s">
        <v>1569</v>
      </c>
      <c r="E873" s="3"/>
      <c r="F873" s="51"/>
      <c r="G873" s="50" t="s">
        <v>102</v>
      </c>
      <c r="H873" s="52">
        <f>1</f>
        <v>1</v>
      </c>
      <c r="I873" s="36"/>
      <c r="J873" s="52">
        <v>1</v>
      </c>
      <c r="K873" s="53">
        <f>0</f>
        <v>0</v>
      </c>
      <c r="L873" s="53">
        <f>0</f>
        <v>0</v>
      </c>
      <c r="M873" s="53">
        <f>0</f>
        <v>0</v>
      </c>
      <c r="N873" s="54">
        <f t="shared" si="94"/>
        <v>0</v>
      </c>
      <c r="O873" s="54">
        <f t="shared" si="95"/>
        <v>0</v>
      </c>
      <c r="P873" s="54">
        <f t="shared" si="96"/>
        <v>0</v>
      </c>
      <c r="Q873" s="54">
        <f t="shared" si="97"/>
        <v>0</v>
      </c>
      <c r="R873" s="54">
        <f t="shared" si="98"/>
        <v>0</v>
      </c>
      <c r="S873" s="54"/>
      <c r="T873" s="36"/>
      <c r="XDA873"/>
      <c r="XDB873"/>
      <c r="XDC873"/>
      <c r="XDD873"/>
      <c r="XDE873"/>
      <c r="XDF873"/>
      <c r="XDG873"/>
      <c r="XDH873"/>
      <c r="XDI873"/>
      <c r="XDJ873"/>
      <c r="XDK873"/>
      <c r="XDL873"/>
      <c r="XDM873"/>
      <c r="XDN873"/>
      <c r="XDO873"/>
      <c r="XDP873"/>
      <c r="XDQ873"/>
      <c r="XDR873"/>
      <c r="XDS873"/>
      <c r="XDT873"/>
      <c r="XDU873"/>
      <c r="XDV873"/>
      <c r="XDW873"/>
      <c r="XDX873"/>
      <c r="XDY873"/>
      <c r="XDZ873"/>
      <c r="XEA873"/>
      <c r="XEB873"/>
      <c r="XEC873"/>
      <c r="XED873"/>
      <c r="XEE873"/>
      <c r="XEF873"/>
      <c r="XEG873"/>
      <c r="XEH873"/>
      <c r="XEI873"/>
      <c r="XEJ873"/>
      <c r="XEK873"/>
      <c r="XEL873"/>
      <c r="XEM873"/>
      <c r="XEN873"/>
      <c r="XEO873"/>
      <c r="XEP873"/>
      <c r="XEQ873"/>
      <c r="XER873"/>
      <c r="XES873"/>
      <c r="XET873"/>
      <c r="XEU873"/>
      <c r="XEV873"/>
      <c r="XEW873"/>
      <c r="XEX873"/>
      <c r="XEY873"/>
      <c r="XEZ873"/>
      <c r="XFA873"/>
      <c r="XFB873"/>
      <c r="XFC873"/>
    </row>
    <row r="874" spans="1:20 16329:16383" s="38" customFormat="1" ht="29.1" customHeight="1" outlineLevel="4" x14ac:dyDescent="0.25">
      <c r="A874" s="60" t="s">
        <v>1711</v>
      </c>
      <c r="B874" s="61" t="s">
        <v>1712</v>
      </c>
      <c r="C874" s="61"/>
      <c r="D874" s="1" t="s">
        <v>1713</v>
      </c>
      <c r="E874" s="1"/>
      <c r="F874" s="62"/>
      <c r="G874" s="61"/>
      <c r="H874" s="63"/>
      <c r="I874" s="36"/>
      <c r="J874" s="63"/>
      <c r="K874" s="64"/>
      <c r="L874" s="64"/>
      <c r="M874" s="64"/>
      <c r="N874" s="64"/>
      <c r="O874" s="64">
        <f>SUM(O875:O884)</f>
        <v>0</v>
      </c>
      <c r="P874" s="64">
        <f>SUM(P875:P884)</f>
        <v>0</v>
      </c>
      <c r="Q874" s="64">
        <f>SUM(Q875:Q884)</f>
        <v>0</v>
      </c>
      <c r="R874" s="64">
        <f>SUM(R875:R884)</f>
        <v>0</v>
      </c>
      <c r="S874" s="64"/>
      <c r="T874" s="36"/>
      <c r="XDA874"/>
      <c r="XDB874"/>
      <c r="XDC874"/>
      <c r="XDD874"/>
      <c r="XDE874"/>
      <c r="XDF874"/>
      <c r="XDG874"/>
      <c r="XDH874"/>
      <c r="XDI874"/>
      <c r="XDJ874"/>
      <c r="XDK874"/>
      <c r="XDL874"/>
      <c r="XDM874"/>
      <c r="XDN874"/>
      <c r="XDO874"/>
      <c r="XDP874"/>
      <c r="XDQ874"/>
      <c r="XDR874"/>
      <c r="XDS874"/>
      <c r="XDT874"/>
      <c r="XDU874"/>
      <c r="XDV874"/>
      <c r="XDW874"/>
      <c r="XDX874"/>
      <c r="XDY874"/>
      <c r="XDZ874"/>
      <c r="XEA874"/>
      <c r="XEB874"/>
      <c r="XEC874"/>
      <c r="XED874"/>
      <c r="XEE874"/>
      <c r="XEF874"/>
      <c r="XEG874"/>
      <c r="XEH874"/>
      <c r="XEI874"/>
      <c r="XEJ874"/>
      <c r="XEK874"/>
      <c r="XEL874"/>
      <c r="XEM874"/>
      <c r="XEN874"/>
      <c r="XEO874"/>
      <c r="XEP874"/>
      <c r="XEQ874"/>
      <c r="XER874"/>
      <c r="XES874"/>
      <c r="XET874"/>
      <c r="XEU874"/>
      <c r="XEV874"/>
      <c r="XEW874"/>
      <c r="XEX874"/>
      <c r="XEY874"/>
      <c r="XEZ874"/>
      <c r="XFA874"/>
      <c r="XFB874"/>
      <c r="XFC874"/>
    </row>
    <row r="875" spans="1:20 16329:16383" s="38" customFormat="1" ht="29.1" customHeight="1" outlineLevel="5" x14ac:dyDescent="0.25">
      <c r="A875" s="49" t="s">
        <v>1714</v>
      </c>
      <c r="B875" s="50"/>
      <c r="C875" s="50"/>
      <c r="D875" s="3" t="s">
        <v>1646</v>
      </c>
      <c r="E875" s="3"/>
      <c r="F875" s="51"/>
      <c r="G875" s="50" t="s">
        <v>102</v>
      </c>
      <c r="H875" s="52">
        <f>1</f>
        <v>1</v>
      </c>
      <c r="I875" s="36"/>
      <c r="J875" s="52">
        <v>1</v>
      </c>
      <c r="K875" s="53">
        <f>0</f>
        <v>0</v>
      </c>
      <c r="L875" s="53">
        <f>0</f>
        <v>0</v>
      </c>
      <c r="M875" s="53">
        <f>0</f>
        <v>0</v>
      </c>
      <c r="N875" s="54">
        <f t="shared" ref="N875:N884" si="99">SUM(K875:M875)</f>
        <v>0</v>
      </c>
      <c r="O875" s="54">
        <f t="shared" ref="O875:O884" si="100">ROUND((H875*K875),2)</f>
        <v>0</v>
      </c>
      <c r="P875" s="54">
        <f t="shared" ref="P875:P884" si="101">ROUND((H875*L875),2)</f>
        <v>0</v>
      </c>
      <c r="Q875" s="54">
        <f t="shared" ref="Q875:Q884" si="102">ROUND((H875*M875),2)</f>
        <v>0</v>
      </c>
      <c r="R875" s="54">
        <f t="shared" ref="R875:R884" si="103">ROUND((H875*N875),2)</f>
        <v>0</v>
      </c>
      <c r="S875" s="54"/>
      <c r="T875" s="36"/>
      <c r="XDA875"/>
      <c r="XDB875"/>
      <c r="XDC875"/>
      <c r="XDD875"/>
      <c r="XDE875"/>
      <c r="XDF875"/>
      <c r="XDG875"/>
      <c r="XDH875"/>
      <c r="XDI875"/>
      <c r="XDJ875"/>
      <c r="XDK875"/>
      <c r="XDL875"/>
      <c r="XDM875"/>
      <c r="XDN875"/>
      <c r="XDO875"/>
      <c r="XDP875"/>
      <c r="XDQ875"/>
      <c r="XDR875"/>
      <c r="XDS875"/>
      <c r="XDT875"/>
      <c r="XDU875"/>
      <c r="XDV875"/>
      <c r="XDW875"/>
      <c r="XDX875"/>
      <c r="XDY875"/>
      <c r="XDZ875"/>
      <c r="XEA875"/>
      <c r="XEB875"/>
      <c r="XEC875"/>
      <c r="XED875"/>
      <c r="XEE875"/>
      <c r="XEF875"/>
      <c r="XEG875"/>
      <c r="XEH875"/>
      <c r="XEI875"/>
      <c r="XEJ875"/>
      <c r="XEK875"/>
      <c r="XEL875"/>
      <c r="XEM875"/>
      <c r="XEN875"/>
      <c r="XEO875"/>
      <c r="XEP875"/>
      <c r="XEQ875"/>
      <c r="XER875"/>
      <c r="XES875"/>
      <c r="XET875"/>
      <c r="XEU875"/>
      <c r="XEV875"/>
      <c r="XEW875"/>
      <c r="XEX875"/>
      <c r="XEY875"/>
      <c r="XEZ875"/>
      <c r="XFA875"/>
      <c r="XFB875"/>
      <c r="XFC875"/>
    </row>
    <row r="876" spans="1:20 16329:16383" s="38" customFormat="1" ht="29.1" customHeight="1" outlineLevel="5" x14ac:dyDescent="0.25">
      <c r="A876" s="49" t="s">
        <v>1715</v>
      </c>
      <c r="B876" s="50"/>
      <c r="C876" s="50"/>
      <c r="D876" s="3" t="s">
        <v>1648</v>
      </c>
      <c r="E876" s="3"/>
      <c r="F876" s="51"/>
      <c r="G876" s="50" t="s">
        <v>102</v>
      </c>
      <c r="H876" s="52">
        <f>1</f>
        <v>1</v>
      </c>
      <c r="I876" s="36"/>
      <c r="J876" s="52">
        <v>1</v>
      </c>
      <c r="K876" s="53">
        <f>0</f>
        <v>0</v>
      </c>
      <c r="L876" s="53">
        <f>0</f>
        <v>0</v>
      </c>
      <c r="M876" s="53">
        <f>0</f>
        <v>0</v>
      </c>
      <c r="N876" s="54">
        <f t="shared" si="99"/>
        <v>0</v>
      </c>
      <c r="O876" s="54">
        <f t="shared" si="100"/>
        <v>0</v>
      </c>
      <c r="P876" s="54">
        <f t="shared" si="101"/>
        <v>0</v>
      </c>
      <c r="Q876" s="54">
        <f t="shared" si="102"/>
        <v>0</v>
      </c>
      <c r="R876" s="54">
        <f t="shared" si="103"/>
        <v>0</v>
      </c>
      <c r="S876" s="54"/>
      <c r="T876" s="36"/>
      <c r="XDA876"/>
      <c r="XDB876"/>
      <c r="XDC876"/>
      <c r="XDD876"/>
      <c r="XDE876"/>
      <c r="XDF876"/>
      <c r="XDG876"/>
      <c r="XDH876"/>
      <c r="XDI876"/>
      <c r="XDJ876"/>
      <c r="XDK876"/>
      <c r="XDL876"/>
      <c r="XDM876"/>
      <c r="XDN876"/>
      <c r="XDO876"/>
      <c r="XDP876"/>
      <c r="XDQ876"/>
      <c r="XDR876"/>
      <c r="XDS876"/>
      <c r="XDT876"/>
      <c r="XDU876"/>
      <c r="XDV876"/>
      <c r="XDW876"/>
      <c r="XDX876"/>
      <c r="XDY876"/>
      <c r="XDZ876"/>
      <c r="XEA876"/>
      <c r="XEB876"/>
      <c r="XEC876"/>
      <c r="XED876"/>
      <c r="XEE876"/>
      <c r="XEF876"/>
      <c r="XEG876"/>
      <c r="XEH876"/>
      <c r="XEI876"/>
      <c r="XEJ876"/>
      <c r="XEK876"/>
      <c r="XEL876"/>
      <c r="XEM876"/>
      <c r="XEN876"/>
      <c r="XEO876"/>
      <c r="XEP876"/>
      <c r="XEQ876"/>
      <c r="XER876"/>
      <c r="XES876"/>
      <c r="XET876"/>
      <c r="XEU876"/>
      <c r="XEV876"/>
      <c r="XEW876"/>
      <c r="XEX876"/>
      <c r="XEY876"/>
      <c r="XEZ876"/>
      <c r="XFA876"/>
      <c r="XFB876"/>
      <c r="XFC876"/>
    </row>
    <row r="877" spans="1:20 16329:16383" s="38" customFormat="1" ht="29.1" customHeight="1" outlineLevel="5" x14ac:dyDescent="0.25">
      <c r="A877" s="49" t="s">
        <v>1716</v>
      </c>
      <c r="B877" s="50"/>
      <c r="C877" s="50"/>
      <c r="D877" s="3" t="s">
        <v>1650</v>
      </c>
      <c r="E877" s="3"/>
      <c r="F877" s="51"/>
      <c r="G877" s="50" t="s">
        <v>102</v>
      </c>
      <c r="H877" s="52">
        <f>1</f>
        <v>1</v>
      </c>
      <c r="I877" s="36"/>
      <c r="J877" s="52">
        <v>1</v>
      </c>
      <c r="K877" s="53">
        <f>0</f>
        <v>0</v>
      </c>
      <c r="L877" s="53">
        <f>0</f>
        <v>0</v>
      </c>
      <c r="M877" s="53">
        <f>0</f>
        <v>0</v>
      </c>
      <c r="N877" s="54">
        <f t="shared" si="99"/>
        <v>0</v>
      </c>
      <c r="O877" s="54">
        <f t="shared" si="100"/>
        <v>0</v>
      </c>
      <c r="P877" s="54">
        <f t="shared" si="101"/>
        <v>0</v>
      </c>
      <c r="Q877" s="54">
        <f t="shared" si="102"/>
        <v>0</v>
      </c>
      <c r="R877" s="54">
        <f t="shared" si="103"/>
        <v>0</v>
      </c>
      <c r="S877" s="54"/>
      <c r="T877" s="36"/>
      <c r="XDA877"/>
      <c r="XDB877"/>
      <c r="XDC877"/>
      <c r="XDD877"/>
      <c r="XDE877"/>
      <c r="XDF877"/>
      <c r="XDG877"/>
      <c r="XDH877"/>
      <c r="XDI877"/>
      <c r="XDJ877"/>
      <c r="XDK877"/>
      <c r="XDL877"/>
      <c r="XDM877"/>
      <c r="XDN877"/>
      <c r="XDO877"/>
      <c r="XDP877"/>
      <c r="XDQ877"/>
      <c r="XDR877"/>
      <c r="XDS877"/>
      <c r="XDT877"/>
      <c r="XDU877"/>
      <c r="XDV877"/>
      <c r="XDW877"/>
      <c r="XDX877"/>
      <c r="XDY877"/>
      <c r="XDZ877"/>
      <c r="XEA877"/>
      <c r="XEB877"/>
      <c r="XEC877"/>
      <c r="XED877"/>
      <c r="XEE877"/>
      <c r="XEF877"/>
      <c r="XEG877"/>
      <c r="XEH877"/>
      <c r="XEI877"/>
      <c r="XEJ877"/>
      <c r="XEK877"/>
      <c r="XEL877"/>
      <c r="XEM877"/>
      <c r="XEN877"/>
      <c r="XEO877"/>
      <c r="XEP877"/>
      <c r="XEQ877"/>
      <c r="XER877"/>
      <c r="XES877"/>
      <c r="XET877"/>
      <c r="XEU877"/>
      <c r="XEV877"/>
      <c r="XEW877"/>
      <c r="XEX877"/>
      <c r="XEY877"/>
      <c r="XEZ877"/>
      <c r="XFA877"/>
      <c r="XFB877"/>
      <c r="XFC877"/>
    </row>
    <row r="878" spans="1:20 16329:16383" s="38" customFormat="1" ht="29.1" customHeight="1" outlineLevel="5" x14ac:dyDescent="0.25">
      <c r="A878" s="49" t="s">
        <v>1717</v>
      </c>
      <c r="B878" s="50"/>
      <c r="C878" s="50"/>
      <c r="D878" s="3" t="s">
        <v>1544</v>
      </c>
      <c r="E878" s="3"/>
      <c r="F878" s="51"/>
      <c r="G878" s="50" t="s">
        <v>102</v>
      </c>
      <c r="H878" s="52">
        <f>1</f>
        <v>1</v>
      </c>
      <c r="I878" s="36"/>
      <c r="J878" s="52">
        <v>1</v>
      </c>
      <c r="K878" s="53">
        <f>0</f>
        <v>0</v>
      </c>
      <c r="L878" s="53">
        <f>0</f>
        <v>0</v>
      </c>
      <c r="M878" s="53">
        <f>0</f>
        <v>0</v>
      </c>
      <c r="N878" s="54">
        <f t="shared" si="99"/>
        <v>0</v>
      </c>
      <c r="O878" s="54">
        <f t="shared" si="100"/>
        <v>0</v>
      </c>
      <c r="P878" s="54">
        <f t="shared" si="101"/>
        <v>0</v>
      </c>
      <c r="Q878" s="54">
        <f t="shared" si="102"/>
        <v>0</v>
      </c>
      <c r="R878" s="54">
        <f t="shared" si="103"/>
        <v>0</v>
      </c>
      <c r="S878" s="54"/>
      <c r="T878" s="36"/>
      <c r="XDA878"/>
      <c r="XDB878"/>
      <c r="XDC878"/>
      <c r="XDD878"/>
      <c r="XDE878"/>
      <c r="XDF878"/>
      <c r="XDG878"/>
      <c r="XDH878"/>
      <c r="XDI878"/>
      <c r="XDJ878"/>
      <c r="XDK878"/>
      <c r="XDL878"/>
      <c r="XDM878"/>
      <c r="XDN878"/>
      <c r="XDO878"/>
      <c r="XDP878"/>
      <c r="XDQ878"/>
      <c r="XDR878"/>
      <c r="XDS878"/>
      <c r="XDT878"/>
      <c r="XDU878"/>
      <c r="XDV878"/>
      <c r="XDW878"/>
      <c r="XDX878"/>
      <c r="XDY878"/>
      <c r="XDZ878"/>
      <c r="XEA878"/>
      <c r="XEB878"/>
      <c r="XEC878"/>
      <c r="XED878"/>
      <c r="XEE878"/>
      <c r="XEF878"/>
      <c r="XEG878"/>
      <c r="XEH878"/>
      <c r="XEI878"/>
      <c r="XEJ878"/>
      <c r="XEK878"/>
      <c r="XEL878"/>
      <c r="XEM878"/>
      <c r="XEN878"/>
      <c r="XEO878"/>
      <c r="XEP878"/>
      <c r="XEQ878"/>
      <c r="XER878"/>
      <c r="XES878"/>
      <c r="XET878"/>
      <c r="XEU878"/>
      <c r="XEV878"/>
      <c r="XEW878"/>
      <c r="XEX878"/>
      <c r="XEY878"/>
      <c r="XEZ878"/>
      <c r="XFA878"/>
      <c r="XFB878"/>
      <c r="XFC878"/>
    </row>
    <row r="879" spans="1:20 16329:16383" s="38" customFormat="1" ht="29.1" customHeight="1" outlineLevel="5" x14ac:dyDescent="0.25">
      <c r="A879" s="49" t="s">
        <v>1718</v>
      </c>
      <c r="B879" s="50"/>
      <c r="C879" s="50"/>
      <c r="D879" s="3" t="s">
        <v>1546</v>
      </c>
      <c r="E879" s="3"/>
      <c r="F879" s="51"/>
      <c r="G879" s="50" t="s">
        <v>102</v>
      </c>
      <c r="H879" s="52">
        <f>1</f>
        <v>1</v>
      </c>
      <c r="I879" s="36"/>
      <c r="J879" s="52">
        <v>1</v>
      </c>
      <c r="K879" s="53">
        <f>0</f>
        <v>0</v>
      </c>
      <c r="L879" s="53">
        <f>0</f>
        <v>0</v>
      </c>
      <c r="M879" s="53">
        <f>0</f>
        <v>0</v>
      </c>
      <c r="N879" s="54">
        <f t="shared" si="99"/>
        <v>0</v>
      </c>
      <c r="O879" s="54">
        <f t="shared" si="100"/>
        <v>0</v>
      </c>
      <c r="P879" s="54">
        <f t="shared" si="101"/>
        <v>0</v>
      </c>
      <c r="Q879" s="54">
        <f t="shared" si="102"/>
        <v>0</v>
      </c>
      <c r="R879" s="54">
        <f t="shared" si="103"/>
        <v>0</v>
      </c>
      <c r="S879" s="54"/>
      <c r="T879" s="36"/>
      <c r="XDA879"/>
      <c r="XDB879"/>
      <c r="XDC879"/>
      <c r="XDD879"/>
      <c r="XDE879"/>
      <c r="XDF879"/>
      <c r="XDG879"/>
      <c r="XDH879"/>
      <c r="XDI879"/>
      <c r="XDJ879"/>
      <c r="XDK879"/>
      <c r="XDL879"/>
      <c r="XDM879"/>
      <c r="XDN879"/>
      <c r="XDO879"/>
      <c r="XDP879"/>
      <c r="XDQ879"/>
      <c r="XDR879"/>
      <c r="XDS879"/>
      <c r="XDT879"/>
      <c r="XDU879"/>
      <c r="XDV879"/>
      <c r="XDW879"/>
      <c r="XDX879"/>
      <c r="XDY879"/>
      <c r="XDZ879"/>
      <c r="XEA879"/>
      <c r="XEB879"/>
      <c r="XEC879"/>
      <c r="XED879"/>
      <c r="XEE879"/>
      <c r="XEF879"/>
      <c r="XEG879"/>
      <c r="XEH879"/>
      <c r="XEI879"/>
      <c r="XEJ879"/>
      <c r="XEK879"/>
      <c r="XEL879"/>
      <c r="XEM879"/>
      <c r="XEN879"/>
      <c r="XEO879"/>
      <c r="XEP879"/>
      <c r="XEQ879"/>
      <c r="XER879"/>
      <c r="XES879"/>
      <c r="XET879"/>
      <c r="XEU879"/>
      <c r="XEV879"/>
      <c r="XEW879"/>
      <c r="XEX879"/>
      <c r="XEY879"/>
      <c r="XEZ879"/>
      <c r="XFA879"/>
      <c r="XFB879"/>
      <c r="XFC879"/>
    </row>
    <row r="880" spans="1:20 16329:16383" s="38" customFormat="1" ht="29.1" customHeight="1" outlineLevel="5" x14ac:dyDescent="0.25">
      <c r="A880" s="49" t="s">
        <v>1719</v>
      </c>
      <c r="B880" s="50"/>
      <c r="C880" s="50"/>
      <c r="D880" s="3" t="s">
        <v>1550</v>
      </c>
      <c r="E880" s="3"/>
      <c r="F880" s="51"/>
      <c r="G880" s="50" t="s">
        <v>102</v>
      </c>
      <c r="H880" s="52">
        <f>1</f>
        <v>1</v>
      </c>
      <c r="I880" s="36"/>
      <c r="J880" s="52">
        <v>1</v>
      </c>
      <c r="K880" s="53">
        <f>0</f>
        <v>0</v>
      </c>
      <c r="L880" s="53">
        <f>0</f>
        <v>0</v>
      </c>
      <c r="M880" s="53">
        <f>0</f>
        <v>0</v>
      </c>
      <c r="N880" s="54">
        <f t="shared" si="99"/>
        <v>0</v>
      </c>
      <c r="O880" s="54">
        <f t="shared" si="100"/>
        <v>0</v>
      </c>
      <c r="P880" s="54">
        <f t="shared" si="101"/>
        <v>0</v>
      </c>
      <c r="Q880" s="54">
        <f t="shared" si="102"/>
        <v>0</v>
      </c>
      <c r="R880" s="54">
        <f t="shared" si="103"/>
        <v>0</v>
      </c>
      <c r="S880" s="54"/>
      <c r="T880" s="36"/>
      <c r="XDA880"/>
      <c r="XDB880"/>
      <c r="XDC880"/>
      <c r="XDD880"/>
      <c r="XDE880"/>
      <c r="XDF880"/>
      <c r="XDG880"/>
      <c r="XDH880"/>
      <c r="XDI880"/>
      <c r="XDJ880"/>
      <c r="XDK880"/>
      <c r="XDL880"/>
      <c r="XDM880"/>
      <c r="XDN880"/>
      <c r="XDO880"/>
      <c r="XDP880"/>
      <c r="XDQ880"/>
      <c r="XDR880"/>
      <c r="XDS880"/>
      <c r="XDT880"/>
      <c r="XDU880"/>
      <c r="XDV880"/>
      <c r="XDW880"/>
      <c r="XDX880"/>
      <c r="XDY880"/>
      <c r="XDZ880"/>
      <c r="XEA880"/>
      <c r="XEB880"/>
      <c r="XEC880"/>
      <c r="XED880"/>
      <c r="XEE880"/>
      <c r="XEF880"/>
      <c r="XEG880"/>
      <c r="XEH880"/>
      <c r="XEI880"/>
      <c r="XEJ880"/>
      <c r="XEK880"/>
      <c r="XEL880"/>
      <c r="XEM880"/>
      <c r="XEN880"/>
      <c r="XEO880"/>
      <c r="XEP880"/>
      <c r="XEQ880"/>
      <c r="XER880"/>
      <c r="XES880"/>
      <c r="XET880"/>
      <c r="XEU880"/>
      <c r="XEV880"/>
      <c r="XEW880"/>
      <c r="XEX880"/>
      <c r="XEY880"/>
      <c r="XEZ880"/>
      <c r="XFA880"/>
      <c r="XFB880"/>
      <c r="XFC880"/>
    </row>
    <row r="881" spans="1:20 16329:16383" s="38" customFormat="1" ht="29.1" customHeight="1" outlineLevel="5" x14ac:dyDescent="0.25">
      <c r="A881" s="49" t="s">
        <v>1720</v>
      </c>
      <c r="B881" s="50"/>
      <c r="C881" s="50"/>
      <c r="D881" s="3" t="s">
        <v>1550</v>
      </c>
      <c r="E881" s="3"/>
      <c r="F881" s="51"/>
      <c r="G881" s="50" t="s">
        <v>102</v>
      </c>
      <c r="H881" s="52">
        <f>1</f>
        <v>1</v>
      </c>
      <c r="I881" s="36"/>
      <c r="J881" s="52">
        <v>1</v>
      </c>
      <c r="K881" s="53">
        <f>0</f>
        <v>0</v>
      </c>
      <c r="L881" s="53">
        <f>0</f>
        <v>0</v>
      </c>
      <c r="M881" s="53">
        <f>0</f>
        <v>0</v>
      </c>
      <c r="N881" s="54">
        <f t="shared" si="99"/>
        <v>0</v>
      </c>
      <c r="O881" s="54">
        <f t="shared" si="100"/>
        <v>0</v>
      </c>
      <c r="P881" s="54">
        <f t="shared" si="101"/>
        <v>0</v>
      </c>
      <c r="Q881" s="54">
        <f t="shared" si="102"/>
        <v>0</v>
      </c>
      <c r="R881" s="54">
        <f t="shared" si="103"/>
        <v>0</v>
      </c>
      <c r="S881" s="54"/>
      <c r="T881" s="36"/>
      <c r="XDA881"/>
      <c r="XDB881"/>
      <c r="XDC881"/>
      <c r="XDD881"/>
      <c r="XDE881"/>
      <c r="XDF881"/>
      <c r="XDG881"/>
      <c r="XDH881"/>
      <c r="XDI881"/>
      <c r="XDJ881"/>
      <c r="XDK881"/>
      <c r="XDL881"/>
      <c r="XDM881"/>
      <c r="XDN881"/>
      <c r="XDO881"/>
      <c r="XDP881"/>
      <c r="XDQ881"/>
      <c r="XDR881"/>
      <c r="XDS881"/>
      <c r="XDT881"/>
      <c r="XDU881"/>
      <c r="XDV881"/>
      <c r="XDW881"/>
      <c r="XDX881"/>
      <c r="XDY881"/>
      <c r="XDZ881"/>
      <c r="XEA881"/>
      <c r="XEB881"/>
      <c r="XEC881"/>
      <c r="XED881"/>
      <c r="XEE881"/>
      <c r="XEF881"/>
      <c r="XEG881"/>
      <c r="XEH881"/>
      <c r="XEI881"/>
      <c r="XEJ881"/>
      <c r="XEK881"/>
      <c r="XEL881"/>
      <c r="XEM881"/>
      <c r="XEN881"/>
      <c r="XEO881"/>
      <c r="XEP881"/>
      <c r="XEQ881"/>
      <c r="XER881"/>
      <c r="XES881"/>
      <c r="XET881"/>
      <c r="XEU881"/>
      <c r="XEV881"/>
      <c r="XEW881"/>
      <c r="XEX881"/>
      <c r="XEY881"/>
      <c r="XEZ881"/>
      <c r="XFA881"/>
      <c r="XFB881"/>
      <c r="XFC881"/>
    </row>
    <row r="882" spans="1:20 16329:16383" s="38" customFormat="1" ht="29.1" customHeight="1" outlineLevel="5" x14ac:dyDescent="0.25">
      <c r="A882" s="49" t="s">
        <v>1721</v>
      </c>
      <c r="B882" s="50"/>
      <c r="C882" s="50"/>
      <c r="D882" s="3" t="s">
        <v>1552</v>
      </c>
      <c r="E882" s="3"/>
      <c r="F882" s="51"/>
      <c r="G882" s="50" t="s">
        <v>102</v>
      </c>
      <c r="H882" s="52">
        <f>1</f>
        <v>1</v>
      </c>
      <c r="I882" s="36"/>
      <c r="J882" s="52">
        <v>1</v>
      </c>
      <c r="K882" s="53">
        <f>0</f>
        <v>0</v>
      </c>
      <c r="L882" s="53">
        <f>0</f>
        <v>0</v>
      </c>
      <c r="M882" s="53">
        <f>0</f>
        <v>0</v>
      </c>
      <c r="N882" s="54">
        <f t="shared" si="99"/>
        <v>0</v>
      </c>
      <c r="O882" s="54">
        <f t="shared" si="100"/>
        <v>0</v>
      </c>
      <c r="P882" s="54">
        <f t="shared" si="101"/>
        <v>0</v>
      </c>
      <c r="Q882" s="54">
        <f t="shared" si="102"/>
        <v>0</v>
      </c>
      <c r="R882" s="54">
        <f t="shared" si="103"/>
        <v>0</v>
      </c>
      <c r="S882" s="54"/>
      <c r="T882" s="36"/>
      <c r="XDA882"/>
      <c r="XDB882"/>
      <c r="XDC882"/>
      <c r="XDD882"/>
      <c r="XDE882"/>
      <c r="XDF882"/>
      <c r="XDG882"/>
      <c r="XDH882"/>
      <c r="XDI882"/>
      <c r="XDJ882"/>
      <c r="XDK882"/>
      <c r="XDL882"/>
      <c r="XDM882"/>
      <c r="XDN882"/>
      <c r="XDO882"/>
      <c r="XDP882"/>
      <c r="XDQ882"/>
      <c r="XDR882"/>
      <c r="XDS882"/>
      <c r="XDT882"/>
      <c r="XDU882"/>
      <c r="XDV882"/>
      <c r="XDW882"/>
      <c r="XDX882"/>
      <c r="XDY882"/>
      <c r="XDZ882"/>
      <c r="XEA882"/>
      <c r="XEB882"/>
      <c r="XEC882"/>
      <c r="XED882"/>
      <c r="XEE882"/>
      <c r="XEF882"/>
      <c r="XEG882"/>
      <c r="XEH882"/>
      <c r="XEI882"/>
      <c r="XEJ882"/>
      <c r="XEK882"/>
      <c r="XEL882"/>
      <c r="XEM882"/>
      <c r="XEN882"/>
      <c r="XEO882"/>
      <c r="XEP882"/>
      <c r="XEQ882"/>
      <c r="XER882"/>
      <c r="XES882"/>
      <c r="XET882"/>
      <c r="XEU882"/>
      <c r="XEV882"/>
      <c r="XEW882"/>
      <c r="XEX882"/>
      <c r="XEY882"/>
      <c r="XEZ882"/>
      <c r="XFA882"/>
      <c r="XFB882"/>
      <c r="XFC882"/>
    </row>
    <row r="883" spans="1:20 16329:16383" s="38" customFormat="1" ht="29.1" customHeight="1" outlineLevel="5" x14ac:dyDescent="0.25">
      <c r="A883" s="49" t="s">
        <v>1722</v>
      </c>
      <c r="B883" s="50"/>
      <c r="C883" s="50"/>
      <c r="D883" s="3" t="s">
        <v>1567</v>
      </c>
      <c r="E883" s="3"/>
      <c r="F883" s="51"/>
      <c r="G883" s="50" t="s">
        <v>102</v>
      </c>
      <c r="H883" s="52">
        <f>1</f>
        <v>1</v>
      </c>
      <c r="I883" s="36"/>
      <c r="J883" s="52">
        <v>1</v>
      </c>
      <c r="K883" s="53">
        <f>0</f>
        <v>0</v>
      </c>
      <c r="L883" s="53">
        <f>0</f>
        <v>0</v>
      </c>
      <c r="M883" s="53">
        <f>0</f>
        <v>0</v>
      </c>
      <c r="N883" s="54">
        <f t="shared" si="99"/>
        <v>0</v>
      </c>
      <c r="O883" s="54">
        <f t="shared" si="100"/>
        <v>0</v>
      </c>
      <c r="P883" s="54">
        <f t="shared" si="101"/>
        <v>0</v>
      </c>
      <c r="Q883" s="54">
        <f t="shared" si="102"/>
        <v>0</v>
      </c>
      <c r="R883" s="54">
        <f t="shared" si="103"/>
        <v>0</v>
      </c>
      <c r="S883" s="54"/>
      <c r="T883" s="36"/>
      <c r="XDA883"/>
      <c r="XDB883"/>
      <c r="XDC883"/>
      <c r="XDD883"/>
      <c r="XDE883"/>
      <c r="XDF883"/>
      <c r="XDG883"/>
      <c r="XDH883"/>
      <c r="XDI883"/>
      <c r="XDJ883"/>
      <c r="XDK883"/>
      <c r="XDL883"/>
      <c r="XDM883"/>
      <c r="XDN883"/>
      <c r="XDO883"/>
      <c r="XDP883"/>
      <c r="XDQ883"/>
      <c r="XDR883"/>
      <c r="XDS883"/>
      <c r="XDT883"/>
      <c r="XDU883"/>
      <c r="XDV883"/>
      <c r="XDW883"/>
      <c r="XDX883"/>
      <c r="XDY883"/>
      <c r="XDZ883"/>
      <c r="XEA883"/>
      <c r="XEB883"/>
      <c r="XEC883"/>
      <c r="XED883"/>
      <c r="XEE883"/>
      <c r="XEF883"/>
      <c r="XEG883"/>
      <c r="XEH883"/>
      <c r="XEI883"/>
      <c r="XEJ883"/>
      <c r="XEK883"/>
      <c r="XEL883"/>
      <c r="XEM883"/>
      <c r="XEN883"/>
      <c r="XEO883"/>
      <c r="XEP883"/>
      <c r="XEQ883"/>
      <c r="XER883"/>
      <c r="XES883"/>
      <c r="XET883"/>
      <c r="XEU883"/>
      <c r="XEV883"/>
      <c r="XEW883"/>
      <c r="XEX883"/>
      <c r="XEY883"/>
      <c r="XEZ883"/>
      <c r="XFA883"/>
      <c r="XFB883"/>
      <c r="XFC883"/>
    </row>
    <row r="884" spans="1:20 16329:16383" s="38" customFormat="1" ht="29.1" customHeight="1" outlineLevel="5" x14ac:dyDescent="0.25">
      <c r="A884" s="49" t="s">
        <v>1723</v>
      </c>
      <c r="B884" s="50"/>
      <c r="C884" s="50"/>
      <c r="D884" s="3" t="s">
        <v>1569</v>
      </c>
      <c r="E884" s="3"/>
      <c r="F884" s="51"/>
      <c r="G884" s="50" t="s">
        <v>102</v>
      </c>
      <c r="H884" s="52">
        <f>1</f>
        <v>1</v>
      </c>
      <c r="I884" s="36"/>
      <c r="J884" s="52">
        <v>1</v>
      </c>
      <c r="K884" s="53">
        <f>0</f>
        <v>0</v>
      </c>
      <c r="L884" s="53">
        <f>0</f>
        <v>0</v>
      </c>
      <c r="M884" s="53">
        <f>0</f>
        <v>0</v>
      </c>
      <c r="N884" s="54">
        <f t="shared" si="99"/>
        <v>0</v>
      </c>
      <c r="O884" s="54">
        <f t="shared" si="100"/>
        <v>0</v>
      </c>
      <c r="P884" s="54">
        <f t="shared" si="101"/>
        <v>0</v>
      </c>
      <c r="Q884" s="54">
        <f t="shared" si="102"/>
        <v>0</v>
      </c>
      <c r="R884" s="54">
        <f t="shared" si="103"/>
        <v>0</v>
      </c>
      <c r="S884" s="54"/>
      <c r="T884" s="36"/>
      <c r="XDA884"/>
      <c r="XDB884"/>
      <c r="XDC884"/>
      <c r="XDD884"/>
      <c r="XDE884"/>
      <c r="XDF884"/>
      <c r="XDG884"/>
      <c r="XDH884"/>
      <c r="XDI884"/>
      <c r="XDJ884"/>
      <c r="XDK884"/>
      <c r="XDL884"/>
      <c r="XDM884"/>
      <c r="XDN884"/>
      <c r="XDO884"/>
      <c r="XDP884"/>
      <c r="XDQ884"/>
      <c r="XDR884"/>
      <c r="XDS884"/>
      <c r="XDT884"/>
      <c r="XDU884"/>
      <c r="XDV884"/>
      <c r="XDW884"/>
      <c r="XDX884"/>
      <c r="XDY884"/>
      <c r="XDZ884"/>
      <c r="XEA884"/>
      <c r="XEB884"/>
      <c r="XEC884"/>
      <c r="XED884"/>
      <c r="XEE884"/>
      <c r="XEF884"/>
      <c r="XEG884"/>
      <c r="XEH884"/>
      <c r="XEI884"/>
      <c r="XEJ884"/>
      <c r="XEK884"/>
      <c r="XEL884"/>
      <c r="XEM884"/>
      <c r="XEN884"/>
      <c r="XEO884"/>
      <c r="XEP884"/>
      <c r="XEQ884"/>
      <c r="XER884"/>
      <c r="XES884"/>
      <c r="XET884"/>
      <c r="XEU884"/>
      <c r="XEV884"/>
      <c r="XEW884"/>
      <c r="XEX884"/>
      <c r="XEY884"/>
      <c r="XEZ884"/>
      <c r="XFA884"/>
      <c r="XFB884"/>
      <c r="XFC884"/>
    </row>
    <row r="885" spans="1:20 16329:16383" s="38" customFormat="1" ht="29.1" customHeight="1" outlineLevel="3" x14ac:dyDescent="0.25">
      <c r="A885" s="55" t="s">
        <v>1724</v>
      </c>
      <c r="B885" s="56" t="s">
        <v>1725</v>
      </c>
      <c r="C885" s="56"/>
      <c r="D885" s="2" t="s">
        <v>1726</v>
      </c>
      <c r="E885" s="2"/>
      <c r="F885" s="57"/>
      <c r="G885" s="56"/>
      <c r="H885" s="58"/>
      <c r="I885" s="36"/>
      <c r="J885" s="58"/>
      <c r="K885" s="59"/>
      <c r="L885" s="59"/>
      <c r="M885" s="59"/>
      <c r="N885" s="59"/>
      <c r="O885" s="59">
        <f>O886+O897+O910+O921</f>
        <v>0</v>
      </c>
      <c r="P885" s="59">
        <f>P886+P897+P910+P921</f>
        <v>0</v>
      </c>
      <c r="Q885" s="59">
        <f>Q886+Q897+Q910+Q921</f>
        <v>0</v>
      </c>
      <c r="R885" s="59">
        <f>R886+R897+R910+R921</f>
        <v>0</v>
      </c>
      <c r="S885" s="59"/>
      <c r="T885" s="36"/>
      <c r="XDA885"/>
      <c r="XDB885"/>
      <c r="XDC885"/>
      <c r="XDD885"/>
      <c r="XDE885"/>
      <c r="XDF885"/>
      <c r="XDG885"/>
      <c r="XDH885"/>
      <c r="XDI885"/>
      <c r="XDJ885"/>
      <c r="XDK885"/>
      <c r="XDL885"/>
      <c r="XDM885"/>
      <c r="XDN885"/>
      <c r="XDO885"/>
      <c r="XDP885"/>
      <c r="XDQ885"/>
      <c r="XDR885"/>
      <c r="XDS885"/>
      <c r="XDT885"/>
      <c r="XDU885"/>
      <c r="XDV885"/>
      <c r="XDW885"/>
      <c r="XDX885"/>
      <c r="XDY885"/>
      <c r="XDZ885"/>
      <c r="XEA885"/>
      <c r="XEB885"/>
      <c r="XEC885"/>
      <c r="XED885"/>
      <c r="XEE885"/>
      <c r="XEF885"/>
      <c r="XEG885"/>
      <c r="XEH885"/>
      <c r="XEI885"/>
      <c r="XEJ885"/>
      <c r="XEK885"/>
      <c r="XEL885"/>
      <c r="XEM885"/>
      <c r="XEN885"/>
      <c r="XEO885"/>
      <c r="XEP885"/>
      <c r="XEQ885"/>
      <c r="XER885"/>
      <c r="XES885"/>
      <c r="XET885"/>
      <c r="XEU885"/>
      <c r="XEV885"/>
      <c r="XEW885"/>
      <c r="XEX885"/>
      <c r="XEY885"/>
      <c r="XEZ885"/>
      <c r="XFA885"/>
      <c r="XFB885"/>
      <c r="XFC885"/>
    </row>
    <row r="886" spans="1:20 16329:16383" s="38" customFormat="1" ht="29.1" customHeight="1" outlineLevel="4" x14ac:dyDescent="0.25">
      <c r="A886" s="60" t="s">
        <v>1727</v>
      </c>
      <c r="B886" s="61" t="s">
        <v>1728</v>
      </c>
      <c r="C886" s="61"/>
      <c r="D886" s="1" t="s">
        <v>1729</v>
      </c>
      <c r="E886" s="1"/>
      <c r="F886" s="62"/>
      <c r="G886" s="61"/>
      <c r="H886" s="63"/>
      <c r="I886" s="36"/>
      <c r="J886" s="63"/>
      <c r="K886" s="64"/>
      <c r="L886" s="64"/>
      <c r="M886" s="64"/>
      <c r="N886" s="64"/>
      <c r="O886" s="64">
        <f>SUM(O887:O896)</f>
        <v>0</v>
      </c>
      <c r="P886" s="64">
        <f>SUM(P887:P896)</f>
        <v>0</v>
      </c>
      <c r="Q886" s="64">
        <f>SUM(Q887:Q896)</f>
        <v>0</v>
      </c>
      <c r="R886" s="64">
        <f>SUM(R887:R896)</f>
        <v>0</v>
      </c>
      <c r="S886" s="64"/>
      <c r="T886" s="36"/>
      <c r="XDA886"/>
      <c r="XDB886"/>
      <c r="XDC886"/>
      <c r="XDD886"/>
      <c r="XDE886"/>
      <c r="XDF886"/>
      <c r="XDG886"/>
      <c r="XDH886"/>
      <c r="XDI886"/>
      <c r="XDJ886"/>
      <c r="XDK886"/>
      <c r="XDL886"/>
      <c r="XDM886"/>
      <c r="XDN886"/>
      <c r="XDO886"/>
      <c r="XDP886"/>
      <c r="XDQ886"/>
      <c r="XDR886"/>
      <c r="XDS886"/>
      <c r="XDT886"/>
      <c r="XDU886"/>
      <c r="XDV886"/>
      <c r="XDW886"/>
      <c r="XDX886"/>
      <c r="XDY886"/>
      <c r="XDZ886"/>
      <c r="XEA886"/>
      <c r="XEB886"/>
      <c r="XEC886"/>
      <c r="XED886"/>
      <c r="XEE886"/>
      <c r="XEF886"/>
      <c r="XEG886"/>
      <c r="XEH886"/>
      <c r="XEI886"/>
      <c r="XEJ886"/>
      <c r="XEK886"/>
      <c r="XEL886"/>
      <c r="XEM886"/>
      <c r="XEN886"/>
      <c r="XEO886"/>
      <c r="XEP886"/>
      <c r="XEQ886"/>
      <c r="XER886"/>
      <c r="XES886"/>
      <c r="XET886"/>
      <c r="XEU886"/>
      <c r="XEV886"/>
      <c r="XEW886"/>
      <c r="XEX886"/>
      <c r="XEY886"/>
      <c r="XEZ886"/>
      <c r="XFA886"/>
      <c r="XFB886"/>
      <c r="XFC886"/>
    </row>
    <row r="887" spans="1:20 16329:16383" s="38" customFormat="1" ht="29.1" customHeight="1" outlineLevel="5" x14ac:dyDescent="0.25">
      <c r="A887" s="49" t="s">
        <v>1730</v>
      </c>
      <c r="B887" s="50"/>
      <c r="C887" s="50"/>
      <c r="D887" s="3" t="s">
        <v>1646</v>
      </c>
      <c r="E887" s="3"/>
      <c r="F887" s="51"/>
      <c r="G887" s="50" t="s">
        <v>102</v>
      </c>
      <c r="H887" s="52">
        <f>1</f>
        <v>1</v>
      </c>
      <c r="I887" s="36"/>
      <c r="J887" s="52">
        <v>1</v>
      </c>
      <c r="K887" s="53">
        <f>0</f>
        <v>0</v>
      </c>
      <c r="L887" s="53">
        <f>0</f>
        <v>0</v>
      </c>
      <c r="M887" s="53">
        <f>0</f>
        <v>0</v>
      </c>
      <c r="N887" s="54">
        <f t="shared" ref="N887:N896" si="104">SUM(K887:M887)</f>
        <v>0</v>
      </c>
      <c r="O887" s="54">
        <f t="shared" ref="O887:O896" si="105">ROUND((H887*K887),2)</f>
        <v>0</v>
      </c>
      <c r="P887" s="54">
        <f t="shared" ref="P887:P896" si="106">ROUND((H887*L887),2)</f>
        <v>0</v>
      </c>
      <c r="Q887" s="54">
        <f t="shared" ref="Q887:Q896" si="107">ROUND((H887*M887),2)</f>
        <v>0</v>
      </c>
      <c r="R887" s="54">
        <f t="shared" ref="R887:R896" si="108">ROUND((H887*N887),2)</f>
        <v>0</v>
      </c>
      <c r="S887" s="54"/>
      <c r="T887" s="36"/>
      <c r="XDA887"/>
      <c r="XDB887"/>
      <c r="XDC887"/>
      <c r="XDD887"/>
      <c r="XDE887"/>
      <c r="XDF887"/>
      <c r="XDG887"/>
      <c r="XDH887"/>
      <c r="XDI887"/>
      <c r="XDJ887"/>
      <c r="XDK887"/>
      <c r="XDL887"/>
      <c r="XDM887"/>
      <c r="XDN887"/>
      <c r="XDO887"/>
      <c r="XDP887"/>
      <c r="XDQ887"/>
      <c r="XDR887"/>
      <c r="XDS887"/>
      <c r="XDT887"/>
      <c r="XDU887"/>
      <c r="XDV887"/>
      <c r="XDW887"/>
      <c r="XDX887"/>
      <c r="XDY887"/>
      <c r="XDZ887"/>
      <c r="XEA887"/>
      <c r="XEB887"/>
      <c r="XEC887"/>
      <c r="XED887"/>
      <c r="XEE887"/>
      <c r="XEF887"/>
      <c r="XEG887"/>
      <c r="XEH887"/>
      <c r="XEI887"/>
      <c r="XEJ887"/>
      <c r="XEK887"/>
      <c r="XEL887"/>
      <c r="XEM887"/>
      <c r="XEN887"/>
      <c r="XEO887"/>
      <c r="XEP887"/>
      <c r="XEQ887"/>
      <c r="XER887"/>
      <c r="XES887"/>
      <c r="XET887"/>
      <c r="XEU887"/>
      <c r="XEV887"/>
      <c r="XEW887"/>
      <c r="XEX887"/>
      <c r="XEY887"/>
      <c r="XEZ887"/>
      <c r="XFA887"/>
      <c r="XFB887"/>
      <c r="XFC887"/>
    </row>
    <row r="888" spans="1:20 16329:16383" s="38" customFormat="1" ht="29.1" customHeight="1" outlineLevel="5" x14ac:dyDescent="0.25">
      <c r="A888" s="49" t="s">
        <v>1731</v>
      </c>
      <c r="B888" s="50"/>
      <c r="C888" s="50"/>
      <c r="D888" s="3" t="s">
        <v>1648</v>
      </c>
      <c r="E888" s="3"/>
      <c r="F888" s="51"/>
      <c r="G888" s="50" t="s">
        <v>102</v>
      </c>
      <c r="H888" s="52">
        <f>1</f>
        <v>1</v>
      </c>
      <c r="I888" s="36"/>
      <c r="J888" s="52">
        <v>1</v>
      </c>
      <c r="K888" s="53">
        <f>0</f>
        <v>0</v>
      </c>
      <c r="L888" s="53">
        <f>0</f>
        <v>0</v>
      </c>
      <c r="M888" s="53">
        <f>0</f>
        <v>0</v>
      </c>
      <c r="N888" s="54">
        <f t="shared" si="104"/>
        <v>0</v>
      </c>
      <c r="O888" s="54">
        <f t="shared" si="105"/>
        <v>0</v>
      </c>
      <c r="P888" s="54">
        <f t="shared" si="106"/>
        <v>0</v>
      </c>
      <c r="Q888" s="54">
        <f t="shared" si="107"/>
        <v>0</v>
      </c>
      <c r="R888" s="54">
        <f t="shared" si="108"/>
        <v>0</v>
      </c>
      <c r="S888" s="54"/>
      <c r="T888" s="36"/>
      <c r="XDA888"/>
      <c r="XDB888"/>
      <c r="XDC888"/>
      <c r="XDD888"/>
      <c r="XDE888"/>
      <c r="XDF888"/>
      <c r="XDG888"/>
      <c r="XDH888"/>
      <c r="XDI888"/>
      <c r="XDJ888"/>
      <c r="XDK888"/>
      <c r="XDL888"/>
      <c r="XDM888"/>
      <c r="XDN888"/>
      <c r="XDO888"/>
      <c r="XDP888"/>
      <c r="XDQ888"/>
      <c r="XDR888"/>
      <c r="XDS888"/>
      <c r="XDT888"/>
      <c r="XDU888"/>
      <c r="XDV888"/>
      <c r="XDW888"/>
      <c r="XDX888"/>
      <c r="XDY888"/>
      <c r="XDZ888"/>
      <c r="XEA888"/>
      <c r="XEB888"/>
      <c r="XEC888"/>
      <c r="XED888"/>
      <c r="XEE888"/>
      <c r="XEF888"/>
      <c r="XEG888"/>
      <c r="XEH888"/>
      <c r="XEI888"/>
      <c r="XEJ888"/>
      <c r="XEK888"/>
      <c r="XEL888"/>
      <c r="XEM888"/>
      <c r="XEN888"/>
      <c r="XEO888"/>
      <c r="XEP888"/>
      <c r="XEQ888"/>
      <c r="XER888"/>
      <c r="XES888"/>
      <c r="XET888"/>
      <c r="XEU888"/>
      <c r="XEV888"/>
      <c r="XEW888"/>
      <c r="XEX888"/>
      <c r="XEY888"/>
      <c r="XEZ888"/>
      <c r="XFA888"/>
      <c r="XFB888"/>
      <c r="XFC888"/>
    </row>
    <row r="889" spans="1:20 16329:16383" s="38" customFormat="1" ht="29.1" customHeight="1" outlineLevel="5" x14ac:dyDescent="0.25">
      <c r="A889" s="49" t="s">
        <v>1732</v>
      </c>
      <c r="B889" s="50"/>
      <c r="C889" s="50"/>
      <c r="D889" s="3" t="s">
        <v>1650</v>
      </c>
      <c r="E889" s="3"/>
      <c r="F889" s="51"/>
      <c r="G889" s="50" t="s">
        <v>102</v>
      </c>
      <c r="H889" s="52">
        <f>1</f>
        <v>1</v>
      </c>
      <c r="I889" s="36"/>
      <c r="J889" s="52">
        <v>1</v>
      </c>
      <c r="K889" s="53">
        <f>0</f>
        <v>0</v>
      </c>
      <c r="L889" s="53">
        <f>0</f>
        <v>0</v>
      </c>
      <c r="M889" s="53">
        <f>0</f>
        <v>0</v>
      </c>
      <c r="N889" s="54">
        <f t="shared" si="104"/>
        <v>0</v>
      </c>
      <c r="O889" s="54">
        <f t="shared" si="105"/>
        <v>0</v>
      </c>
      <c r="P889" s="54">
        <f t="shared" si="106"/>
        <v>0</v>
      </c>
      <c r="Q889" s="54">
        <f t="shared" si="107"/>
        <v>0</v>
      </c>
      <c r="R889" s="54">
        <f t="shared" si="108"/>
        <v>0</v>
      </c>
      <c r="S889" s="54"/>
      <c r="T889" s="36"/>
      <c r="XDA889"/>
      <c r="XDB889"/>
      <c r="XDC889"/>
      <c r="XDD889"/>
      <c r="XDE889"/>
      <c r="XDF889"/>
      <c r="XDG889"/>
      <c r="XDH889"/>
      <c r="XDI889"/>
      <c r="XDJ889"/>
      <c r="XDK889"/>
      <c r="XDL889"/>
      <c r="XDM889"/>
      <c r="XDN889"/>
      <c r="XDO889"/>
      <c r="XDP889"/>
      <c r="XDQ889"/>
      <c r="XDR889"/>
      <c r="XDS889"/>
      <c r="XDT889"/>
      <c r="XDU889"/>
      <c r="XDV889"/>
      <c r="XDW889"/>
      <c r="XDX889"/>
      <c r="XDY889"/>
      <c r="XDZ889"/>
      <c r="XEA889"/>
      <c r="XEB889"/>
      <c r="XEC889"/>
      <c r="XED889"/>
      <c r="XEE889"/>
      <c r="XEF889"/>
      <c r="XEG889"/>
      <c r="XEH889"/>
      <c r="XEI889"/>
      <c r="XEJ889"/>
      <c r="XEK889"/>
      <c r="XEL889"/>
      <c r="XEM889"/>
      <c r="XEN889"/>
      <c r="XEO889"/>
      <c r="XEP889"/>
      <c r="XEQ889"/>
      <c r="XER889"/>
      <c r="XES889"/>
      <c r="XET889"/>
      <c r="XEU889"/>
      <c r="XEV889"/>
      <c r="XEW889"/>
      <c r="XEX889"/>
      <c r="XEY889"/>
      <c r="XEZ889"/>
      <c r="XFA889"/>
      <c r="XFB889"/>
      <c r="XFC889"/>
    </row>
    <row r="890" spans="1:20 16329:16383" s="38" customFormat="1" ht="29.1" customHeight="1" outlineLevel="5" x14ac:dyDescent="0.25">
      <c r="A890" s="49" t="s">
        <v>1733</v>
      </c>
      <c r="B890" s="50"/>
      <c r="C890" s="50"/>
      <c r="D890" s="3" t="s">
        <v>1544</v>
      </c>
      <c r="E890" s="3"/>
      <c r="F890" s="51"/>
      <c r="G890" s="50" t="s">
        <v>102</v>
      </c>
      <c r="H890" s="52">
        <f>1</f>
        <v>1</v>
      </c>
      <c r="I890" s="36"/>
      <c r="J890" s="52">
        <v>1</v>
      </c>
      <c r="K890" s="53">
        <f>0</f>
        <v>0</v>
      </c>
      <c r="L890" s="53">
        <f>0</f>
        <v>0</v>
      </c>
      <c r="M890" s="53">
        <f>0</f>
        <v>0</v>
      </c>
      <c r="N890" s="54">
        <f t="shared" si="104"/>
        <v>0</v>
      </c>
      <c r="O890" s="54">
        <f t="shared" si="105"/>
        <v>0</v>
      </c>
      <c r="P890" s="54">
        <f t="shared" si="106"/>
        <v>0</v>
      </c>
      <c r="Q890" s="54">
        <f t="shared" si="107"/>
        <v>0</v>
      </c>
      <c r="R890" s="54">
        <f t="shared" si="108"/>
        <v>0</v>
      </c>
      <c r="S890" s="54"/>
      <c r="T890" s="36"/>
      <c r="XDA890"/>
      <c r="XDB890"/>
      <c r="XDC890"/>
      <c r="XDD890"/>
      <c r="XDE890"/>
      <c r="XDF890"/>
      <c r="XDG890"/>
      <c r="XDH890"/>
      <c r="XDI890"/>
      <c r="XDJ890"/>
      <c r="XDK890"/>
      <c r="XDL890"/>
      <c r="XDM890"/>
      <c r="XDN890"/>
      <c r="XDO890"/>
      <c r="XDP890"/>
      <c r="XDQ890"/>
      <c r="XDR890"/>
      <c r="XDS890"/>
      <c r="XDT890"/>
      <c r="XDU890"/>
      <c r="XDV890"/>
      <c r="XDW890"/>
      <c r="XDX890"/>
      <c r="XDY890"/>
      <c r="XDZ890"/>
      <c r="XEA890"/>
      <c r="XEB890"/>
      <c r="XEC890"/>
      <c r="XED890"/>
      <c r="XEE890"/>
      <c r="XEF890"/>
      <c r="XEG890"/>
      <c r="XEH890"/>
      <c r="XEI890"/>
      <c r="XEJ890"/>
      <c r="XEK890"/>
      <c r="XEL890"/>
      <c r="XEM890"/>
      <c r="XEN890"/>
      <c r="XEO890"/>
      <c r="XEP890"/>
      <c r="XEQ890"/>
      <c r="XER890"/>
      <c r="XES890"/>
      <c r="XET890"/>
      <c r="XEU890"/>
      <c r="XEV890"/>
      <c r="XEW890"/>
      <c r="XEX890"/>
      <c r="XEY890"/>
      <c r="XEZ890"/>
      <c r="XFA890"/>
      <c r="XFB890"/>
      <c r="XFC890"/>
    </row>
    <row r="891" spans="1:20 16329:16383" s="38" customFormat="1" ht="29.1" customHeight="1" outlineLevel="5" x14ac:dyDescent="0.25">
      <c r="A891" s="49" t="s">
        <v>1734</v>
      </c>
      <c r="B891" s="50"/>
      <c r="C891" s="50"/>
      <c r="D891" s="3" t="s">
        <v>1546</v>
      </c>
      <c r="E891" s="3"/>
      <c r="F891" s="51"/>
      <c r="G891" s="50" t="s">
        <v>102</v>
      </c>
      <c r="H891" s="52">
        <f>1</f>
        <v>1</v>
      </c>
      <c r="I891" s="36"/>
      <c r="J891" s="52">
        <v>1</v>
      </c>
      <c r="K891" s="53">
        <f>0</f>
        <v>0</v>
      </c>
      <c r="L891" s="53">
        <f>0</f>
        <v>0</v>
      </c>
      <c r="M891" s="53">
        <f>0</f>
        <v>0</v>
      </c>
      <c r="N891" s="54">
        <f t="shared" si="104"/>
        <v>0</v>
      </c>
      <c r="O891" s="54">
        <f t="shared" si="105"/>
        <v>0</v>
      </c>
      <c r="P891" s="54">
        <f t="shared" si="106"/>
        <v>0</v>
      </c>
      <c r="Q891" s="54">
        <f t="shared" si="107"/>
        <v>0</v>
      </c>
      <c r="R891" s="54">
        <f t="shared" si="108"/>
        <v>0</v>
      </c>
      <c r="S891" s="54"/>
      <c r="T891" s="36"/>
      <c r="XDA891"/>
      <c r="XDB891"/>
      <c r="XDC891"/>
      <c r="XDD891"/>
      <c r="XDE891"/>
      <c r="XDF891"/>
      <c r="XDG891"/>
      <c r="XDH891"/>
      <c r="XDI891"/>
      <c r="XDJ891"/>
      <c r="XDK891"/>
      <c r="XDL891"/>
      <c r="XDM891"/>
      <c r="XDN891"/>
      <c r="XDO891"/>
      <c r="XDP891"/>
      <c r="XDQ891"/>
      <c r="XDR891"/>
      <c r="XDS891"/>
      <c r="XDT891"/>
      <c r="XDU891"/>
      <c r="XDV891"/>
      <c r="XDW891"/>
      <c r="XDX891"/>
      <c r="XDY891"/>
      <c r="XDZ891"/>
      <c r="XEA891"/>
      <c r="XEB891"/>
      <c r="XEC891"/>
      <c r="XED891"/>
      <c r="XEE891"/>
      <c r="XEF891"/>
      <c r="XEG891"/>
      <c r="XEH891"/>
      <c r="XEI891"/>
      <c r="XEJ891"/>
      <c r="XEK891"/>
      <c r="XEL891"/>
      <c r="XEM891"/>
      <c r="XEN891"/>
      <c r="XEO891"/>
      <c r="XEP891"/>
      <c r="XEQ891"/>
      <c r="XER891"/>
      <c r="XES891"/>
      <c r="XET891"/>
      <c r="XEU891"/>
      <c r="XEV891"/>
      <c r="XEW891"/>
      <c r="XEX891"/>
      <c r="XEY891"/>
      <c r="XEZ891"/>
      <c r="XFA891"/>
      <c r="XFB891"/>
      <c r="XFC891"/>
    </row>
    <row r="892" spans="1:20 16329:16383" s="38" customFormat="1" ht="29.1" customHeight="1" outlineLevel="5" x14ac:dyDescent="0.25">
      <c r="A892" s="49" t="s">
        <v>1735</v>
      </c>
      <c r="B892" s="50"/>
      <c r="C892" s="50"/>
      <c r="D892" s="3" t="s">
        <v>1550</v>
      </c>
      <c r="E892" s="3"/>
      <c r="F892" s="51"/>
      <c r="G892" s="50" t="s">
        <v>102</v>
      </c>
      <c r="H892" s="52">
        <f>1</f>
        <v>1</v>
      </c>
      <c r="I892" s="36"/>
      <c r="J892" s="52">
        <v>1</v>
      </c>
      <c r="K892" s="53">
        <f>0</f>
        <v>0</v>
      </c>
      <c r="L892" s="53">
        <f>0</f>
        <v>0</v>
      </c>
      <c r="M892" s="53">
        <f>0</f>
        <v>0</v>
      </c>
      <c r="N892" s="54">
        <f t="shared" si="104"/>
        <v>0</v>
      </c>
      <c r="O892" s="54">
        <f t="shared" si="105"/>
        <v>0</v>
      </c>
      <c r="P892" s="54">
        <f t="shared" si="106"/>
        <v>0</v>
      </c>
      <c r="Q892" s="54">
        <f t="shared" si="107"/>
        <v>0</v>
      </c>
      <c r="R892" s="54">
        <f t="shared" si="108"/>
        <v>0</v>
      </c>
      <c r="S892" s="54"/>
      <c r="T892" s="36"/>
      <c r="XDA892"/>
      <c r="XDB892"/>
      <c r="XDC892"/>
      <c r="XDD892"/>
      <c r="XDE892"/>
      <c r="XDF892"/>
      <c r="XDG892"/>
      <c r="XDH892"/>
      <c r="XDI892"/>
      <c r="XDJ892"/>
      <c r="XDK892"/>
      <c r="XDL892"/>
      <c r="XDM892"/>
      <c r="XDN892"/>
      <c r="XDO892"/>
      <c r="XDP892"/>
      <c r="XDQ892"/>
      <c r="XDR892"/>
      <c r="XDS892"/>
      <c r="XDT892"/>
      <c r="XDU892"/>
      <c r="XDV892"/>
      <c r="XDW892"/>
      <c r="XDX892"/>
      <c r="XDY892"/>
      <c r="XDZ892"/>
      <c r="XEA892"/>
      <c r="XEB892"/>
      <c r="XEC892"/>
      <c r="XED892"/>
      <c r="XEE892"/>
      <c r="XEF892"/>
      <c r="XEG892"/>
      <c r="XEH892"/>
      <c r="XEI892"/>
      <c r="XEJ892"/>
      <c r="XEK892"/>
      <c r="XEL892"/>
      <c r="XEM892"/>
      <c r="XEN892"/>
      <c r="XEO892"/>
      <c r="XEP892"/>
      <c r="XEQ892"/>
      <c r="XER892"/>
      <c r="XES892"/>
      <c r="XET892"/>
      <c r="XEU892"/>
      <c r="XEV892"/>
      <c r="XEW892"/>
      <c r="XEX892"/>
      <c r="XEY892"/>
      <c r="XEZ892"/>
      <c r="XFA892"/>
      <c r="XFB892"/>
      <c r="XFC892"/>
    </row>
    <row r="893" spans="1:20 16329:16383" s="38" customFormat="1" ht="29.1" customHeight="1" outlineLevel="5" x14ac:dyDescent="0.25">
      <c r="A893" s="49" t="s">
        <v>1736</v>
      </c>
      <c r="B893" s="50"/>
      <c r="C893" s="50"/>
      <c r="D893" s="3" t="s">
        <v>1550</v>
      </c>
      <c r="E893" s="3"/>
      <c r="F893" s="51"/>
      <c r="G893" s="50" t="s">
        <v>102</v>
      </c>
      <c r="H893" s="52">
        <f>1</f>
        <v>1</v>
      </c>
      <c r="I893" s="36"/>
      <c r="J893" s="52">
        <v>1</v>
      </c>
      <c r="K893" s="53">
        <f>0</f>
        <v>0</v>
      </c>
      <c r="L893" s="53">
        <f>0</f>
        <v>0</v>
      </c>
      <c r="M893" s="53">
        <f>0</f>
        <v>0</v>
      </c>
      <c r="N893" s="54">
        <f t="shared" si="104"/>
        <v>0</v>
      </c>
      <c r="O893" s="54">
        <f t="shared" si="105"/>
        <v>0</v>
      </c>
      <c r="P893" s="54">
        <f t="shared" si="106"/>
        <v>0</v>
      </c>
      <c r="Q893" s="54">
        <f t="shared" si="107"/>
        <v>0</v>
      </c>
      <c r="R893" s="54">
        <f t="shared" si="108"/>
        <v>0</v>
      </c>
      <c r="S893" s="54"/>
      <c r="T893" s="36"/>
      <c r="XDA893"/>
      <c r="XDB893"/>
      <c r="XDC893"/>
      <c r="XDD893"/>
      <c r="XDE893"/>
      <c r="XDF893"/>
      <c r="XDG893"/>
      <c r="XDH893"/>
      <c r="XDI893"/>
      <c r="XDJ893"/>
      <c r="XDK893"/>
      <c r="XDL893"/>
      <c r="XDM893"/>
      <c r="XDN893"/>
      <c r="XDO893"/>
      <c r="XDP893"/>
      <c r="XDQ893"/>
      <c r="XDR893"/>
      <c r="XDS893"/>
      <c r="XDT893"/>
      <c r="XDU893"/>
      <c r="XDV893"/>
      <c r="XDW893"/>
      <c r="XDX893"/>
      <c r="XDY893"/>
      <c r="XDZ893"/>
      <c r="XEA893"/>
      <c r="XEB893"/>
      <c r="XEC893"/>
      <c r="XED893"/>
      <c r="XEE893"/>
      <c r="XEF893"/>
      <c r="XEG893"/>
      <c r="XEH893"/>
      <c r="XEI893"/>
      <c r="XEJ893"/>
      <c r="XEK893"/>
      <c r="XEL893"/>
      <c r="XEM893"/>
      <c r="XEN893"/>
      <c r="XEO893"/>
      <c r="XEP893"/>
      <c r="XEQ893"/>
      <c r="XER893"/>
      <c r="XES893"/>
      <c r="XET893"/>
      <c r="XEU893"/>
      <c r="XEV893"/>
      <c r="XEW893"/>
      <c r="XEX893"/>
      <c r="XEY893"/>
      <c r="XEZ893"/>
      <c r="XFA893"/>
      <c r="XFB893"/>
      <c r="XFC893"/>
    </row>
    <row r="894" spans="1:20 16329:16383" s="38" customFormat="1" ht="29.1" customHeight="1" outlineLevel="5" x14ac:dyDescent="0.25">
      <c r="A894" s="49" t="s">
        <v>1737</v>
      </c>
      <c r="B894" s="50"/>
      <c r="C894" s="50"/>
      <c r="D894" s="3" t="s">
        <v>1552</v>
      </c>
      <c r="E894" s="3"/>
      <c r="F894" s="51"/>
      <c r="G894" s="50" t="s">
        <v>102</v>
      </c>
      <c r="H894" s="52">
        <f>1</f>
        <v>1</v>
      </c>
      <c r="I894" s="36"/>
      <c r="J894" s="52">
        <v>1</v>
      </c>
      <c r="K894" s="53">
        <f>0</f>
        <v>0</v>
      </c>
      <c r="L894" s="53">
        <f>0</f>
        <v>0</v>
      </c>
      <c r="M894" s="53">
        <f>0</f>
        <v>0</v>
      </c>
      <c r="N894" s="54">
        <f t="shared" si="104"/>
        <v>0</v>
      </c>
      <c r="O894" s="54">
        <f t="shared" si="105"/>
        <v>0</v>
      </c>
      <c r="P894" s="54">
        <f t="shared" si="106"/>
        <v>0</v>
      </c>
      <c r="Q894" s="54">
        <f t="shared" si="107"/>
        <v>0</v>
      </c>
      <c r="R894" s="54">
        <f t="shared" si="108"/>
        <v>0</v>
      </c>
      <c r="S894" s="54"/>
      <c r="T894" s="36"/>
      <c r="XDA894"/>
      <c r="XDB894"/>
      <c r="XDC894"/>
      <c r="XDD894"/>
      <c r="XDE894"/>
      <c r="XDF894"/>
      <c r="XDG894"/>
      <c r="XDH894"/>
      <c r="XDI894"/>
      <c r="XDJ894"/>
      <c r="XDK894"/>
      <c r="XDL894"/>
      <c r="XDM894"/>
      <c r="XDN894"/>
      <c r="XDO894"/>
      <c r="XDP894"/>
      <c r="XDQ894"/>
      <c r="XDR894"/>
      <c r="XDS894"/>
      <c r="XDT894"/>
      <c r="XDU894"/>
      <c r="XDV894"/>
      <c r="XDW894"/>
      <c r="XDX894"/>
      <c r="XDY894"/>
      <c r="XDZ894"/>
      <c r="XEA894"/>
      <c r="XEB894"/>
      <c r="XEC894"/>
      <c r="XED894"/>
      <c r="XEE894"/>
      <c r="XEF894"/>
      <c r="XEG894"/>
      <c r="XEH894"/>
      <c r="XEI894"/>
      <c r="XEJ894"/>
      <c r="XEK894"/>
      <c r="XEL894"/>
      <c r="XEM894"/>
      <c r="XEN894"/>
      <c r="XEO894"/>
      <c r="XEP894"/>
      <c r="XEQ894"/>
      <c r="XER894"/>
      <c r="XES894"/>
      <c r="XET894"/>
      <c r="XEU894"/>
      <c r="XEV894"/>
      <c r="XEW894"/>
      <c r="XEX894"/>
      <c r="XEY894"/>
      <c r="XEZ894"/>
      <c r="XFA894"/>
      <c r="XFB894"/>
      <c r="XFC894"/>
    </row>
    <row r="895" spans="1:20 16329:16383" s="38" customFormat="1" ht="29.1" customHeight="1" outlineLevel="5" x14ac:dyDescent="0.25">
      <c r="A895" s="49" t="s">
        <v>1738</v>
      </c>
      <c r="B895" s="50"/>
      <c r="C895" s="50"/>
      <c r="D895" s="3" t="s">
        <v>1567</v>
      </c>
      <c r="E895" s="3"/>
      <c r="F895" s="51"/>
      <c r="G895" s="50" t="s">
        <v>102</v>
      </c>
      <c r="H895" s="52">
        <f>1</f>
        <v>1</v>
      </c>
      <c r="I895" s="36"/>
      <c r="J895" s="52">
        <v>1</v>
      </c>
      <c r="K895" s="53">
        <f>0</f>
        <v>0</v>
      </c>
      <c r="L895" s="53">
        <f>0</f>
        <v>0</v>
      </c>
      <c r="M895" s="53">
        <f>0</f>
        <v>0</v>
      </c>
      <c r="N895" s="54">
        <f t="shared" si="104"/>
        <v>0</v>
      </c>
      <c r="O895" s="54">
        <f t="shared" si="105"/>
        <v>0</v>
      </c>
      <c r="P895" s="54">
        <f t="shared" si="106"/>
        <v>0</v>
      </c>
      <c r="Q895" s="54">
        <f t="shared" si="107"/>
        <v>0</v>
      </c>
      <c r="R895" s="54">
        <f t="shared" si="108"/>
        <v>0</v>
      </c>
      <c r="S895" s="54"/>
      <c r="T895" s="36"/>
      <c r="XDA895"/>
      <c r="XDB895"/>
      <c r="XDC895"/>
      <c r="XDD895"/>
      <c r="XDE895"/>
      <c r="XDF895"/>
      <c r="XDG895"/>
      <c r="XDH895"/>
      <c r="XDI895"/>
      <c r="XDJ895"/>
      <c r="XDK895"/>
      <c r="XDL895"/>
      <c r="XDM895"/>
      <c r="XDN895"/>
      <c r="XDO895"/>
      <c r="XDP895"/>
      <c r="XDQ895"/>
      <c r="XDR895"/>
      <c r="XDS895"/>
      <c r="XDT895"/>
      <c r="XDU895"/>
      <c r="XDV895"/>
      <c r="XDW895"/>
      <c r="XDX895"/>
      <c r="XDY895"/>
      <c r="XDZ895"/>
      <c r="XEA895"/>
      <c r="XEB895"/>
      <c r="XEC895"/>
      <c r="XED895"/>
      <c r="XEE895"/>
      <c r="XEF895"/>
      <c r="XEG895"/>
      <c r="XEH895"/>
      <c r="XEI895"/>
      <c r="XEJ895"/>
      <c r="XEK895"/>
      <c r="XEL895"/>
      <c r="XEM895"/>
      <c r="XEN895"/>
      <c r="XEO895"/>
      <c r="XEP895"/>
      <c r="XEQ895"/>
      <c r="XER895"/>
      <c r="XES895"/>
      <c r="XET895"/>
      <c r="XEU895"/>
      <c r="XEV895"/>
      <c r="XEW895"/>
      <c r="XEX895"/>
      <c r="XEY895"/>
      <c r="XEZ895"/>
      <c r="XFA895"/>
      <c r="XFB895"/>
      <c r="XFC895"/>
    </row>
    <row r="896" spans="1:20 16329:16383" s="38" customFormat="1" ht="29.1" customHeight="1" outlineLevel="5" x14ac:dyDescent="0.25">
      <c r="A896" s="49" t="s">
        <v>1739</v>
      </c>
      <c r="B896" s="50"/>
      <c r="C896" s="50"/>
      <c r="D896" s="3" t="s">
        <v>1569</v>
      </c>
      <c r="E896" s="3"/>
      <c r="F896" s="51"/>
      <c r="G896" s="50" t="s">
        <v>102</v>
      </c>
      <c r="H896" s="52">
        <f>1</f>
        <v>1</v>
      </c>
      <c r="I896" s="36"/>
      <c r="J896" s="52">
        <v>1</v>
      </c>
      <c r="K896" s="53">
        <f>0</f>
        <v>0</v>
      </c>
      <c r="L896" s="53">
        <f>0</f>
        <v>0</v>
      </c>
      <c r="M896" s="53">
        <f>0</f>
        <v>0</v>
      </c>
      <c r="N896" s="54">
        <f t="shared" si="104"/>
        <v>0</v>
      </c>
      <c r="O896" s="54">
        <f t="shared" si="105"/>
        <v>0</v>
      </c>
      <c r="P896" s="54">
        <f t="shared" si="106"/>
        <v>0</v>
      </c>
      <c r="Q896" s="54">
        <f t="shared" si="107"/>
        <v>0</v>
      </c>
      <c r="R896" s="54">
        <f t="shared" si="108"/>
        <v>0</v>
      </c>
      <c r="S896" s="54"/>
      <c r="T896" s="36"/>
      <c r="XDA896"/>
      <c r="XDB896"/>
      <c r="XDC896"/>
      <c r="XDD896"/>
      <c r="XDE896"/>
      <c r="XDF896"/>
      <c r="XDG896"/>
      <c r="XDH896"/>
      <c r="XDI896"/>
      <c r="XDJ896"/>
      <c r="XDK896"/>
      <c r="XDL896"/>
      <c r="XDM896"/>
      <c r="XDN896"/>
      <c r="XDO896"/>
      <c r="XDP896"/>
      <c r="XDQ896"/>
      <c r="XDR896"/>
      <c r="XDS896"/>
      <c r="XDT896"/>
      <c r="XDU896"/>
      <c r="XDV896"/>
      <c r="XDW896"/>
      <c r="XDX896"/>
      <c r="XDY896"/>
      <c r="XDZ896"/>
      <c r="XEA896"/>
      <c r="XEB896"/>
      <c r="XEC896"/>
      <c r="XED896"/>
      <c r="XEE896"/>
      <c r="XEF896"/>
      <c r="XEG896"/>
      <c r="XEH896"/>
      <c r="XEI896"/>
      <c r="XEJ896"/>
      <c r="XEK896"/>
      <c r="XEL896"/>
      <c r="XEM896"/>
      <c r="XEN896"/>
      <c r="XEO896"/>
      <c r="XEP896"/>
      <c r="XEQ896"/>
      <c r="XER896"/>
      <c r="XES896"/>
      <c r="XET896"/>
      <c r="XEU896"/>
      <c r="XEV896"/>
      <c r="XEW896"/>
      <c r="XEX896"/>
      <c r="XEY896"/>
      <c r="XEZ896"/>
      <c r="XFA896"/>
      <c r="XFB896"/>
      <c r="XFC896"/>
    </row>
    <row r="897" spans="1:20 16329:16383" s="38" customFormat="1" ht="29.1" customHeight="1" outlineLevel="4" x14ac:dyDescent="0.25">
      <c r="A897" s="60" t="s">
        <v>1740</v>
      </c>
      <c r="B897" s="61" t="s">
        <v>1741</v>
      </c>
      <c r="C897" s="61"/>
      <c r="D897" s="1" t="s">
        <v>1742</v>
      </c>
      <c r="E897" s="1"/>
      <c r="F897" s="62"/>
      <c r="G897" s="61"/>
      <c r="H897" s="63"/>
      <c r="I897" s="36"/>
      <c r="J897" s="63"/>
      <c r="K897" s="64"/>
      <c r="L897" s="64"/>
      <c r="M897" s="64"/>
      <c r="N897" s="64"/>
      <c r="O897" s="64">
        <f>SUM(O898:O909)</f>
        <v>0</v>
      </c>
      <c r="P897" s="64">
        <f>SUM(P898:P909)</f>
        <v>0</v>
      </c>
      <c r="Q897" s="64">
        <f>SUM(Q898:Q909)</f>
        <v>0</v>
      </c>
      <c r="R897" s="64">
        <f>SUM(R898:R909)</f>
        <v>0</v>
      </c>
      <c r="S897" s="64"/>
      <c r="T897" s="36"/>
      <c r="XDA897"/>
      <c r="XDB897"/>
      <c r="XDC897"/>
      <c r="XDD897"/>
      <c r="XDE897"/>
      <c r="XDF897"/>
      <c r="XDG897"/>
      <c r="XDH897"/>
      <c r="XDI897"/>
      <c r="XDJ897"/>
      <c r="XDK897"/>
      <c r="XDL897"/>
      <c r="XDM897"/>
      <c r="XDN897"/>
      <c r="XDO897"/>
      <c r="XDP897"/>
      <c r="XDQ897"/>
      <c r="XDR897"/>
      <c r="XDS897"/>
      <c r="XDT897"/>
      <c r="XDU897"/>
      <c r="XDV897"/>
      <c r="XDW897"/>
      <c r="XDX897"/>
      <c r="XDY897"/>
      <c r="XDZ897"/>
      <c r="XEA897"/>
      <c r="XEB897"/>
      <c r="XEC897"/>
      <c r="XED897"/>
      <c r="XEE897"/>
      <c r="XEF897"/>
      <c r="XEG897"/>
      <c r="XEH897"/>
      <c r="XEI897"/>
      <c r="XEJ897"/>
      <c r="XEK897"/>
      <c r="XEL897"/>
      <c r="XEM897"/>
      <c r="XEN897"/>
      <c r="XEO897"/>
      <c r="XEP897"/>
      <c r="XEQ897"/>
      <c r="XER897"/>
      <c r="XES897"/>
      <c r="XET897"/>
      <c r="XEU897"/>
      <c r="XEV897"/>
      <c r="XEW897"/>
      <c r="XEX897"/>
      <c r="XEY897"/>
      <c r="XEZ897"/>
      <c r="XFA897"/>
      <c r="XFB897"/>
      <c r="XFC897"/>
    </row>
    <row r="898" spans="1:20 16329:16383" s="38" customFormat="1" ht="29.1" customHeight="1" outlineLevel="5" x14ac:dyDescent="0.25">
      <c r="A898" s="49" t="s">
        <v>1743</v>
      </c>
      <c r="B898" s="50"/>
      <c r="C898" s="50"/>
      <c r="D898" s="3" t="s">
        <v>1620</v>
      </c>
      <c r="E898" s="3"/>
      <c r="F898" s="51"/>
      <c r="G898" s="50" t="s">
        <v>102</v>
      </c>
      <c r="H898" s="52">
        <f>1</f>
        <v>1</v>
      </c>
      <c r="I898" s="36"/>
      <c r="J898" s="52">
        <v>1</v>
      </c>
      <c r="K898" s="53">
        <f>0</f>
        <v>0</v>
      </c>
      <c r="L898" s="53">
        <f>0</f>
        <v>0</v>
      </c>
      <c r="M898" s="53">
        <f>0</f>
        <v>0</v>
      </c>
      <c r="N898" s="54">
        <f t="shared" ref="N898:N909" si="109">SUM(K898:M898)</f>
        <v>0</v>
      </c>
      <c r="O898" s="54">
        <f t="shared" ref="O898:O909" si="110">ROUND((H898*K898),2)</f>
        <v>0</v>
      </c>
      <c r="P898" s="54">
        <f t="shared" ref="P898:P909" si="111">ROUND((H898*L898),2)</f>
        <v>0</v>
      </c>
      <c r="Q898" s="54">
        <f t="shared" ref="Q898:Q909" si="112">ROUND((H898*M898),2)</f>
        <v>0</v>
      </c>
      <c r="R898" s="54">
        <f t="shared" ref="R898:R909" si="113">ROUND((H898*N898),2)</f>
        <v>0</v>
      </c>
      <c r="S898" s="54"/>
      <c r="T898" s="36"/>
      <c r="XDA898"/>
      <c r="XDB898"/>
      <c r="XDC898"/>
      <c r="XDD898"/>
      <c r="XDE898"/>
      <c r="XDF898"/>
      <c r="XDG898"/>
      <c r="XDH898"/>
      <c r="XDI898"/>
      <c r="XDJ898"/>
      <c r="XDK898"/>
      <c r="XDL898"/>
      <c r="XDM898"/>
      <c r="XDN898"/>
      <c r="XDO898"/>
      <c r="XDP898"/>
      <c r="XDQ898"/>
      <c r="XDR898"/>
      <c r="XDS898"/>
      <c r="XDT898"/>
      <c r="XDU898"/>
      <c r="XDV898"/>
      <c r="XDW898"/>
      <c r="XDX898"/>
      <c r="XDY898"/>
      <c r="XDZ898"/>
      <c r="XEA898"/>
      <c r="XEB898"/>
      <c r="XEC898"/>
      <c r="XED898"/>
      <c r="XEE898"/>
      <c r="XEF898"/>
      <c r="XEG898"/>
      <c r="XEH898"/>
      <c r="XEI898"/>
      <c r="XEJ898"/>
      <c r="XEK898"/>
      <c r="XEL898"/>
      <c r="XEM898"/>
      <c r="XEN898"/>
      <c r="XEO898"/>
      <c r="XEP898"/>
      <c r="XEQ898"/>
      <c r="XER898"/>
      <c r="XES898"/>
      <c r="XET898"/>
      <c r="XEU898"/>
      <c r="XEV898"/>
      <c r="XEW898"/>
      <c r="XEX898"/>
      <c r="XEY898"/>
      <c r="XEZ898"/>
      <c r="XFA898"/>
      <c r="XFB898"/>
      <c r="XFC898"/>
    </row>
    <row r="899" spans="1:20 16329:16383" s="38" customFormat="1" ht="29.1" customHeight="1" outlineLevel="5" x14ac:dyDescent="0.25">
      <c r="A899" s="49" t="s">
        <v>1744</v>
      </c>
      <c r="B899" s="50"/>
      <c r="C899" s="50"/>
      <c r="D899" s="3" t="s">
        <v>1622</v>
      </c>
      <c r="E899" s="3"/>
      <c r="F899" s="51"/>
      <c r="G899" s="50" t="s">
        <v>102</v>
      </c>
      <c r="H899" s="52">
        <f>1</f>
        <v>1</v>
      </c>
      <c r="I899" s="36"/>
      <c r="J899" s="52">
        <v>1</v>
      </c>
      <c r="K899" s="53">
        <f>0</f>
        <v>0</v>
      </c>
      <c r="L899" s="53">
        <f>0</f>
        <v>0</v>
      </c>
      <c r="M899" s="53">
        <f>0</f>
        <v>0</v>
      </c>
      <c r="N899" s="54">
        <f t="shared" si="109"/>
        <v>0</v>
      </c>
      <c r="O899" s="54">
        <f t="shared" si="110"/>
        <v>0</v>
      </c>
      <c r="P899" s="54">
        <f t="shared" si="111"/>
        <v>0</v>
      </c>
      <c r="Q899" s="54">
        <f t="shared" si="112"/>
        <v>0</v>
      </c>
      <c r="R899" s="54">
        <f t="shared" si="113"/>
        <v>0</v>
      </c>
      <c r="S899" s="54"/>
      <c r="T899" s="36"/>
      <c r="XDA899"/>
      <c r="XDB899"/>
      <c r="XDC899"/>
      <c r="XDD899"/>
      <c r="XDE899"/>
      <c r="XDF899"/>
      <c r="XDG899"/>
      <c r="XDH899"/>
      <c r="XDI899"/>
      <c r="XDJ899"/>
      <c r="XDK899"/>
      <c r="XDL899"/>
      <c r="XDM899"/>
      <c r="XDN899"/>
      <c r="XDO899"/>
      <c r="XDP899"/>
      <c r="XDQ899"/>
      <c r="XDR899"/>
      <c r="XDS899"/>
      <c r="XDT899"/>
      <c r="XDU899"/>
      <c r="XDV899"/>
      <c r="XDW899"/>
      <c r="XDX899"/>
      <c r="XDY899"/>
      <c r="XDZ899"/>
      <c r="XEA899"/>
      <c r="XEB899"/>
      <c r="XEC899"/>
      <c r="XED899"/>
      <c r="XEE899"/>
      <c r="XEF899"/>
      <c r="XEG899"/>
      <c r="XEH899"/>
      <c r="XEI899"/>
      <c r="XEJ899"/>
      <c r="XEK899"/>
      <c r="XEL899"/>
      <c r="XEM899"/>
      <c r="XEN899"/>
      <c r="XEO899"/>
      <c r="XEP899"/>
      <c r="XEQ899"/>
      <c r="XER899"/>
      <c r="XES899"/>
      <c r="XET899"/>
      <c r="XEU899"/>
      <c r="XEV899"/>
      <c r="XEW899"/>
      <c r="XEX899"/>
      <c r="XEY899"/>
      <c r="XEZ899"/>
      <c r="XFA899"/>
      <c r="XFB899"/>
      <c r="XFC899"/>
    </row>
    <row r="900" spans="1:20 16329:16383" s="38" customFormat="1" ht="29.1" customHeight="1" outlineLevel="5" x14ac:dyDescent="0.25">
      <c r="A900" s="49" t="s">
        <v>1745</v>
      </c>
      <c r="B900" s="50"/>
      <c r="C900" s="50"/>
      <c r="D900" s="3" t="s">
        <v>1624</v>
      </c>
      <c r="E900" s="3"/>
      <c r="F900" s="51"/>
      <c r="G900" s="50" t="s">
        <v>102</v>
      </c>
      <c r="H900" s="52">
        <f>1</f>
        <v>1</v>
      </c>
      <c r="I900" s="36"/>
      <c r="J900" s="52">
        <v>1</v>
      </c>
      <c r="K900" s="53">
        <f>0</f>
        <v>0</v>
      </c>
      <c r="L900" s="53">
        <f>0</f>
        <v>0</v>
      </c>
      <c r="M900" s="53">
        <f>0</f>
        <v>0</v>
      </c>
      <c r="N900" s="54">
        <f t="shared" si="109"/>
        <v>0</v>
      </c>
      <c r="O900" s="54">
        <f t="shared" si="110"/>
        <v>0</v>
      </c>
      <c r="P900" s="54">
        <f t="shared" si="111"/>
        <v>0</v>
      </c>
      <c r="Q900" s="54">
        <f t="shared" si="112"/>
        <v>0</v>
      </c>
      <c r="R900" s="54">
        <f t="shared" si="113"/>
        <v>0</v>
      </c>
      <c r="S900" s="54"/>
      <c r="T900" s="36"/>
      <c r="XDA900"/>
      <c r="XDB900"/>
      <c r="XDC900"/>
      <c r="XDD900"/>
      <c r="XDE900"/>
      <c r="XDF900"/>
      <c r="XDG900"/>
      <c r="XDH900"/>
      <c r="XDI900"/>
      <c r="XDJ900"/>
      <c r="XDK900"/>
      <c r="XDL900"/>
      <c r="XDM900"/>
      <c r="XDN900"/>
      <c r="XDO900"/>
      <c r="XDP900"/>
      <c r="XDQ900"/>
      <c r="XDR900"/>
      <c r="XDS900"/>
      <c r="XDT900"/>
      <c r="XDU900"/>
      <c r="XDV900"/>
      <c r="XDW900"/>
      <c r="XDX900"/>
      <c r="XDY900"/>
      <c r="XDZ900"/>
      <c r="XEA900"/>
      <c r="XEB900"/>
      <c r="XEC900"/>
      <c r="XED900"/>
      <c r="XEE900"/>
      <c r="XEF900"/>
      <c r="XEG900"/>
      <c r="XEH900"/>
      <c r="XEI900"/>
      <c r="XEJ900"/>
      <c r="XEK900"/>
      <c r="XEL900"/>
      <c r="XEM900"/>
      <c r="XEN900"/>
      <c r="XEO900"/>
      <c r="XEP900"/>
      <c r="XEQ900"/>
      <c r="XER900"/>
      <c r="XES900"/>
      <c r="XET900"/>
      <c r="XEU900"/>
      <c r="XEV900"/>
      <c r="XEW900"/>
      <c r="XEX900"/>
      <c r="XEY900"/>
      <c r="XEZ900"/>
      <c r="XFA900"/>
      <c r="XFB900"/>
      <c r="XFC900"/>
    </row>
    <row r="901" spans="1:20 16329:16383" s="38" customFormat="1" ht="29.1" customHeight="1" outlineLevel="5" x14ac:dyDescent="0.25">
      <c r="A901" s="49" t="s">
        <v>1746</v>
      </c>
      <c r="B901" s="50"/>
      <c r="C901" s="50"/>
      <c r="D901" s="3" t="s">
        <v>1626</v>
      </c>
      <c r="E901" s="3"/>
      <c r="F901" s="51"/>
      <c r="G901" s="50" t="s">
        <v>102</v>
      </c>
      <c r="H901" s="52">
        <f>1</f>
        <v>1</v>
      </c>
      <c r="I901" s="36"/>
      <c r="J901" s="52">
        <v>1</v>
      </c>
      <c r="K901" s="53">
        <f>0</f>
        <v>0</v>
      </c>
      <c r="L901" s="53">
        <f>0</f>
        <v>0</v>
      </c>
      <c r="M901" s="53">
        <f>0</f>
        <v>0</v>
      </c>
      <c r="N901" s="54">
        <f t="shared" si="109"/>
        <v>0</v>
      </c>
      <c r="O901" s="54">
        <f t="shared" si="110"/>
        <v>0</v>
      </c>
      <c r="P901" s="54">
        <f t="shared" si="111"/>
        <v>0</v>
      </c>
      <c r="Q901" s="54">
        <f t="shared" si="112"/>
        <v>0</v>
      </c>
      <c r="R901" s="54">
        <f t="shared" si="113"/>
        <v>0</v>
      </c>
      <c r="S901" s="54"/>
      <c r="T901" s="36"/>
      <c r="XDA901"/>
      <c r="XDB901"/>
      <c r="XDC901"/>
      <c r="XDD901"/>
      <c r="XDE901"/>
      <c r="XDF901"/>
      <c r="XDG901"/>
      <c r="XDH901"/>
      <c r="XDI901"/>
      <c r="XDJ901"/>
      <c r="XDK901"/>
      <c r="XDL901"/>
      <c r="XDM901"/>
      <c r="XDN901"/>
      <c r="XDO901"/>
      <c r="XDP901"/>
      <c r="XDQ901"/>
      <c r="XDR901"/>
      <c r="XDS901"/>
      <c r="XDT901"/>
      <c r="XDU901"/>
      <c r="XDV901"/>
      <c r="XDW901"/>
      <c r="XDX901"/>
      <c r="XDY901"/>
      <c r="XDZ901"/>
      <c r="XEA901"/>
      <c r="XEB901"/>
      <c r="XEC901"/>
      <c r="XED901"/>
      <c r="XEE901"/>
      <c r="XEF901"/>
      <c r="XEG901"/>
      <c r="XEH901"/>
      <c r="XEI901"/>
      <c r="XEJ901"/>
      <c r="XEK901"/>
      <c r="XEL901"/>
      <c r="XEM901"/>
      <c r="XEN901"/>
      <c r="XEO901"/>
      <c r="XEP901"/>
      <c r="XEQ901"/>
      <c r="XER901"/>
      <c r="XES901"/>
      <c r="XET901"/>
      <c r="XEU901"/>
      <c r="XEV901"/>
      <c r="XEW901"/>
      <c r="XEX901"/>
      <c r="XEY901"/>
      <c r="XEZ901"/>
      <c r="XFA901"/>
      <c r="XFB901"/>
      <c r="XFC901"/>
    </row>
    <row r="902" spans="1:20 16329:16383" s="38" customFormat="1" ht="29.1" customHeight="1" outlineLevel="5" x14ac:dyDescent="0.25">
      <c r="A902" s="49" t="s">
        <v>1747</v>
      </c>
      <c r="B902" s="50"/>
      <c r="C902" s="50"/>
      <c r="D902" s="3" t="s">
        <v>1628</v>
      </c>
      <c r="E902" s="3"/>
      <c r="F902" s="51"/>
      <c r="G902" s="50" t="s">
        <v>102</v>
      </c>
      <c r="H902" s="52">
        <f>1</f>
        <v>1</v>
      </c>
      <c r="I902" s="36"/>
      <c r="J902" s="52">
        <v>1</v>
      </c>
      <c r="K902" s="53">
        <f>0</f>
        <v>0</v>
      </c>
      <c r="L902" s="53">
        <f>0</f>
        <v>0</v>
      </c>
      <c r="M902" s="53">
        <f>0</f>
        <v>0</v>
      </c>
      <c r="N902" s="54">
        <f t="shared" si="109"/>
        <v>0</v>
      </c>
      <c r="O902" s="54">
        <f t="shared" si="110"/>
        <v>0</v>
      </c>
      <c r="P902" s="54">
        <f t="shared" si="111"/>
        <v>0</v>
      </c>
      <c r="Q902" s="54">
        <f t="shared" si="112"/>
        <v>0</v>
      </c>
      <c r="R902" s="54">
        <f t="shared" si="113"/>
        <v>0</v>
      </c>
      <c r="S902" s="54"/>
      <c r="T902" s="36"/>
      <c r="XDA902"/>
      <c r="XDB902"/>
      <c r="XDC902"/>
      <c r="XDD902"/>
      <c r="XDE902"/>
      <c r="XDF902"/>
      <c r="XDG902"/>
      <c r="XDH902"/>
      <c r="XDI902"/>
      <c r="XDJ902"/>
      <c r="XDK902"/>
      <c r="XDL902"/>
      <c r="XDM902"/>
      <c r="XDN902"/>
      <c r="XDO902"/>
      <c r="XDP902"/>
      <c r="XDQ902"/>
      <c r="XDR902"/>
      <c r="XDS902"/>
      <c r="XDT902"/>
      <c r="XDU902"/>
      <c r="XDV902"/>
      <c r="XDW902"/>
      <c r="XDX902"/>
      <c r="XDY902"/>
      <c r="XDZ902"/>
      <c r="XEA902"/>
      <c r="XEB902"/>
      <c r="XEC902"/>
      <c r="XED902"/>
      <c r="XEE902"/>
      <c r="XEF902"/>
      <c r="XEG902"/>
      <c r="XEH902"/>
      <c r="XEI902"/>
      <c r="XEJ902"/>
      <c r="XEK902"/>
      <c r="XEL902"/>
      <c r="XEM902"/>
      <c r="XEN902"/>
      <c r="XEO902"/>
      <c r="XEP902"/>
      <c r="XEQ902"/>
      <c r="XER902"/>
      <c r="XES902"/>
      <c r="XET902"/>
      <c r="XEU902"/>
      <c r="XEV902"/>
      <c r="XEW902"/>
      <c r="XEX902"/>
      <c r="XEY902"/>
      <c r="XEZ902"/>
      <c r="XFA902"/>
      <c r="XFB902"/>
      <c r="XFC902"/>
    </row>
    <row r="903" spans="1:20 16329:16383" s="38" customFormat="1" ht="29.1" customHeight="1" outlineLevel="5" x14ac:dyDescent="0.25">
      <c r="A903" s="49" t="s">
        <v>1748</v>
      </c>
      <c r="B903" s="50"/>
      <c r="C903" s="50"/>
      <c r="D903" s="3" t="s">
        <v>1630</v>
      </c>
      <c r="E903" s="3"/>
      <c r="F903" s="51"/>
      <c r="G903" s="50" t="s">
        <v>102</v>
      </c>
      <c r="H903" s="52">
        <f>1</f>
        <v>1</v>
      </c>
      <c r="I903" s="36"/>
      <c r="J903" s="52">
        <v>1</v>
      </c>
      <c r="K903" s="53">
        <f>0</f>
        <v>0</v>
      </c>
      <c r="L903" s="53">
        <f>0</f>
        <v>0</v>
      </c>
      <c r="M903" s="53">
        <f>0</f>
        <v>0</v>
      </c>
      <c r="N903" s="54">
        <f t="shared" si="109"/>
        <v>0</v>
      </c>
      <c r="O903" s="54">
        <f t="shared" si="110"/>
        <v>0</v>
      </c>
      <c r="P903" s="54">
        <f t="shared" si="111"/>
        <v>0</v>
      </c>
      <c r="Q903" s="54">
        <f t="shared" si="112"/>
        <v>0</v>
      </c>
      <c r="R903" s="54">
        <f t="shared" si="113"/>
        <v>0</v>
      </c>
      <c r="S903" s="54"/>
      <c r="T903" s="36"/>
      <c r="XDA903"/>
      <c r="XDB903"/>
      <c r="XDC903"/>
      <c r="XDD903"/>
      <c r="XDE903"/>
      <c r="XDF903"/>
      <c r="XDG903"/>
      <c r="XDH903"/>
      <c r="XDI903"/>
      <c r="XDJ903"/>
      <c r="XDK903"/>
      <c r="XDL903"/>
      <c r="XDM903"/>
      <c r="XDN903"/>
      <c r="XDO903"/>
      <c r="XDP903"/>
      <c r="XDQ903"/>
      <c r="XDR903"/>
      <c r="XDS903"/>
      <c r="XDT903"/>
      <c r="XDU903"/>
      <c r="XDV903"/>
      <c r="XDW903"/>
      <c r="XDX903"/>
      <c r="XDY903"/>
      <c r="XDZ903"/>
      <c r="XEA903"/>
      <c r="XEB903"/>
      <c r="XEC903"/>
      <c r="XED903"/>
      <c r="XEE903"/>
      <c r="XEF903"/>
      <c r="XEG903"/>
      <c r="XEH903"/>
      <c r="XEI903"/>
      <c r="XEJ903"/>
      <c r="XEK903"/>
      <c r="XEL903"/>
      <c r="XEM903"/>
      <c r="XEN903"/>
      <c r="XEO903"/>
      <c r="XEP903"/>
      <c r="XEQ903"/>
      <c r="XER903"/>
      <c r="XES903"/>
      <c r="XET903"/>
      <c r="XEU903"/>
      <c r="XEV903"/>
      <c r="XEW903"/>
      <c r="XEX903"/>
      <c r="XEY903"/>
      <c r="XEZ903"/>
      <c r="XFA903"/>
      <c r="XFB903"/>
      <c r="XFC903"/>
    </row>
    <row r="904" spans="1:20 16329:16383" s="38" customFormat="1" ht="29.1" customHeight="1" outlineLevel="5" x14ac:dyDescent="0.25">
      <c r="A904" s="49" t="s">
        <v>1749</v>
      </c>
      <c r="B904" s="50"/>
      <c r="C904" s="50"/>
      <c r="D904" s="3" t="s">
        <v>1632</v>
      </c>
      <c r="E904" s="3"/>
      <c r="F904" s="51"/>
      <c r="G904" s="50" t="s">
        <v>102</v>
      </c>
      <c r="H904" s="52">
        <f>1</f>
        <v>1</v>
      </c>
      <c r="I904" s="36"/>
      <c r="J904" s="52">
        <v>1</v>
      </c>
      <c r="K904" s="53">
        <f>0</f>
        <v>0</v>
      </c>
      <c r="L904" s="53">
        <f>0</f>
        <v>0</v>
      </c>
      <c r="M904" s="53">
        <f>0</f>
        <v>0</v>
      </c>
      <c r="N904" s="54">
        <f t="shared" si="109"/>
        <v>0</v>
      </c>
      <c r="O904" s="54">
        <f t="shared" si="110"/>
        <v>0</v>
      </c>
      <c r="P904" s="54">
        <f t="shared" si="111"/>
        <v>0</v>
      </c>
      <c r="Q904" s="54">
        <f t="shared" si="112"/>
        <v>0</v>
      </c>
      <c r="R904" s="54">
        <f t="shared" si="113"/>
        <v>0</v>
      </c>
      <c r="S904" s="54"/>
      <c r="T904" s="36"/>
      <c r="XDA904"/>
      <c r="XDB904"/>
      <c r="XDC904"/>
      <c r="XDD904"/>
      <c r="XDE904"/>
      <c r="XDF904"/>
      <c r="XDG904"/>
      <c r="XDH904"/>
      <c r="XDI904"/>
      <c r="XDJ904"/>
      <c r="XDK904"/>
      <c r="XDL904"/>
      <c r="XDM904"/>
      <c r="XDN904"/>
      <c r="XDO904"/>
      <c r="XDP904"/>
      <c r="XDQ904"/>
      <c r="XDR904"/>
      <c r="XDS904"/>
      <c r="XDT904"/>
      <c r="XDU904"/>
      <c r="XDV904"/>
      <c r="XDW904"/>
      <c r="XDX904"/>
      <c r="XDY904"/>
      <c r="XDZ904"/>
      <c r="XEA904"/>
      <c r="XEB904"/>
      <c r="XEC904"/>
      <c r="XED904"/>
      <c r="XEE904"/>
      <c r="XEF904"/>
      <c r="XEG904"/>
      <c r="XEH904"/>
      <c r="XEI904"/>
      <c r="XEJ904"/>
      <c r="XEK904"/>
      <c r="XEL904"/>
      <c r="XEM904"/>
      <c r="XEN904"/>
      <c r="XEO904"/>
      <c r="XEP904"/>
      <c r="XEQ904"/>
      <c r="XER904"/>
      <c r="XES904"/>
      <c r="XET904"/>
      <c r="XEU904"/>
      <c r="XEV904"/>
      <c r="XEW904"/>
      <c r="XEX904"/>
      <c r="XEY904"/>
      <c r="XEZ904"/>
      <c r="XFA904"/>
      <c r="XFB904"/>
      <c r="XFC904"/>
    </row>
    <row r="905" spans="1:20 16329:16383" s="38" customFormat="1" ht="29.1" customHeight="1" outlineLevel="5" x14ac:dyDescent="0.25">
      <c r="A905" s="49" t="s">
        <v>1750</v>
      </c>
      <c r="B905" s="50"/>
      <c r="C905" s="50"/>
      <c r="D905" s="3" t="s">
        <v>1634</v>
      </c>
      <c r="E905" s="3"/>
      <c r="F905" s="51"/>
      <c r="G905" s="50" t="s">
        <v>102</v>
      </c>
      <c r="H905" s="52">
        <f>1</f>
        <v>1</v>
      </c>
      <c r="I905" s="36"/>
      <c r="J905" s="52">
        <v>1</v>
      </c>
      <c r="K905" s="53">
        <f>0</f>
        <v>0</v>
      </c>
      <c r="L905" s="53">
        <f>0</f>
        <v>0</v>
      </c>
      <c r="M905" s="53">
        <f>0</f>
        <v>0</v>
      </c>
      <c r="N905" s="54">
        <f t="shared" si="109"/>
        <v>0</v>
      </c>
      <c r="O905" s="54">
        <f t="shared" si="110"/>
        <v>0</v>
      </c>
      <c r="P905" s="54">
        <f t="shared" si="111"/>
        <v>0</v>
      </c>
      <c r="Q905" s="54">
        <f t="shared" si="112"/>
        <v>0</v>
      </c>
      <c r="R905" s="54">
        <f t="shared" si="113"/>
        <v>0</v>
      </c>
      <c r="S905" s="54"/>
      <c r="T905" s="36"/>
      <c r="XDA905"/>
      <c r="XDB905"/>
      <c r="XDC905"/>
      <c r="XDD905"/>
      <c r="XDE905"/>
      <c r="XDF905"/>
      <c r="XDG905"/>
      <c r="XDH905"/>
      <c r="XDI905"/>
      <c r="XDJ905"/>
      <c r="XDK905"/>
      <c r="XDL905"/>
      <c r="XDM905"/>
      <c r="XDN905"/>
      <c r="XDO905"/>
      <c r="XDP905"/>
      <c r="XDQ905"/>
      <c r="XDR905"/>
      <c r="XDS905"/>
      <c r="XDT905"/>
      <c r="XDU905"/>
      <c r="XDV905"/>
      <c r="XDW905"/>
      <c r="XDX905"/>
      <c r="XDY905"/>
      <c r="XDZ905"/>
      <c r="XEA905"/>
      <c r="XEB905"/>
      <c r="XEC905"/>
      <c r="XED905"/>
      <c r="XEE905"/>
      <c r="XEF905"/>
      <c r="XEG905"/>
      <c r="XEH905"/>
      <c r="XEI905"/>
      <c r="XEJ905"/>
      <c r="XEK905"/>
      <c r="XEL905"/>
      <c r="XEM905"/>
      <c r="XEN905"/>
      <c r="XEO905"/>
      <c r="XEP905"/>
      <c r="XEQ905"/>
      <c r="XER905"/>
      <c r="XES905"/>
      <c r="XET905"/>
      <c r="XEU905"/>
      <c r="XEV905"/>
      <c r="XEW905"/>
      <c r="XEX905"/>
      <c r="XEY905"/>
      <c r="XEZ905"/>
      <c r="XFA905"/>
      <c r="XFB905"/>
      <c r="XFC905"/>
    </row>
    <row r="906" spans="1:20 16329:16383" s="38" customFormat="1" ht="29.1" customHeight="1" outlineLevel="5" x14ac:dyDescent="0.25">
      <c r="A906" s="49" t="s">
        <v>1751</v>
      </c>
      <c r="B906" s="50"/>
      <c r="C906" s="50"/>
      <c r="D906" s="3" t="s">
        <v>1636</v>
      </c>
      <c r="E906" s="3"/>
      <c r="F906" s="51"/>
      <c r="G906" s="50" t="s">
        <v>102</v>
      </c>
      <c r="H906" s="52">
        <f>1</f>
        <v>1</v>
      </c>
      <c r="I906" s="36"/>
      <c r="J906" s="52">
        <v>1</v>
      </c>
      <c r="K906" s="53">
        <f>0</f>
        <v>0</v>
      </c>
      <c r="L906" s="53">
        <f>0</f>
        <v>0</v>
      </c>
      <c r="M906" s="53">
        <f>0</f>
        <v>0</v>
      </c>
      <c r="N906" s="54">
        <f t="shared" si="109"/>
        <v>0</v>
      </c>
      <c r="O906" s="54">
        <f t="shared" si="110"/>
        <v>0</v>
      </c>
      <c r="P906" s="54">
        <f t="shared" si="111"/>
        <v>0</v>
      </c>
      <c r="Q906" s="54">
        <f t="shared" si="112"/>
        <v>0</v>
      </c>
      <c r="R906" s="54">
        <f t="shared" si="113"/>
        <v>0</v>
      </c>
      <c r="S906" s="54"/>
      <c r="T906" s="36"/>
      <c r="XDA906"/>
      <c r="XDB906"/>
      <c r="XDC906"/>
      <c r="XDD906"/>
      <c r="XDE906"/>
      <c r="XDF906"/>
      <c r="XDG906"/>
      <c r="XDH906"/>
      <c r="XDI906"/>
      <c r="XDJ906"/>
      <c r="XDK906"/>
      <c r="XDL906"/>
      <c r="XDM906"/>
      <c r="XDN906"/>
      <c r="XDO906"/>
      <c r="XDP906"/>
      <c r="XDQ906"/>
      <c r="XDR906"/>
      <c r="XDS906"/>
      <c r="XDT906"/>
      <c r="XDU906"/>
      <c r="XDV906"/>
      <c r="XDW906"/>
      <c r="XDX906"/>
      <c r="XDY906"/>
      <c r="XDZ906"/>
      <c r="XEA906"/>
      <c r="XEB906"/>
      <c r="XEC906"/>
      <c r="XED906"/>
      <c r="XEE906"/>
      <c r="XEF906"/>
      <c r="XEG906"/>
      <c r="XEH906"/>
      <c r="XEI906"/>
      <c r="XEJ906"/>
      <c r="XEK906"/>
      <c r="XEL906"/>
      <c r="XEM906"/>
      <c r="XEN906"/>
      <c r="XEO906"/>
      <c r="XEP906"/>
      <c r="XEQ906"/>
      <c r="XER906"/>
      <c r="XES906"/>
      <c r="XET906"/>
      <c r="XEU906"/>
      <c r="XEV906"/>
      <c r="XEW906"/>
      <c r="XEX906"/>
      <c r="XEY906"/>
      <c r="XEZ906"/>
      <c r="XFA906"/>
      <c r="XFB906"/>
      <c r="XFC906"/>
    </row>
    <row r="907" spans="1:20 16329:16383" s="38" customFormat="1" ht="29.1" customHeight="1" outlineLevel="5" x14ac:dyDescent="0.25">
      <c r="A907" s="49" t="s">
        <v>1752</v>
      </c>
      <c r="B907" s="50"/>
      <c r="C907" s="50"/>
      <c r="D907" s="3" t="s">
        <v>1638</v>
      </c>
      <c r="E907" s="3"/>
      <c r="F907" s="51"/>
      <c r="G907" s="50" t="s">
        <v>102</v>
      </c>
      <c r="H907" s="52">
        <f>1</f>
        <v>1</v>
      </c>
      <c r="I907" s="36"/>
      <c r="J907" s="52">
        <v>1</v>
      </c>
      <c r="K907" s="53">
        <f>0</f>
        <v>0</v>
      </c>
      <c r="L907" s="53">
        <f>0</f>
        <v>0</v>
      </c>
      <c r="M907" s="53">
        <f>0</f>
        <v>0</v>
      </c>
      <c r="N907" s="54">
        <f t="shared" si="109"/>
        <v>0</v>
      </c>
      <c r="O907" s="54">
        <f t="shared" si="110"/>
        <v>0</v>
      </c>
      <c r="P907" s="54">
        <f t="shared" si="111"/>
        <v>0</v>
      </c>
      <c r="Q907" s="54">
        <f t="shared" si="112"/>
        <v>0</v>
      </c>
      <c r="R907" s="54">
        <f t="shared" si="113"/>
        <v>0</v>
      </c>
      <c r="S907" s="54"/>
      <c r="T907" s="36"/>
      <c r="XDA907"/>
      <c r="XDB907"/>
      <c r="XDC907"/>
      <c r="XDD907"/>
      <c r="XDE907"/>
      <c r="XDF907"/>
      <c r="XDG907"/>
      <c r="XDH907"/>
      <c r="XDI907"/>
      <c r="XDJ907"/>
      <c r="XDK907"/>
      <c r="XDL907"/>
      <c r="XDM907"/>
      <c r="XDN907"/>
      <c r="XDO907"/>
      <c r="XDP907"/>
      <c r="XDQ907"/>
      <c r="XDR907"/>
      <c r="XDS907"/>
      <c r="XDT907"/>
      <c r="XDU907"/>
      <c r="XDV907"/>
      <c r="XDW907"/>
      <c r="XDX907"/>
      <c r="XDY907"/>
      <c r="XDZ907"/>
      <c r="XEA907"/>
      <c r="XEB907"/>
      <c r="XEC907"/>
      <c r="XED907"/>
      <c r="XEE907"/>
      <c r="XEF907"/>
      <c r="XEG907"/>
      <c r="XEH907"/>
      <c r="XEI907"/>
      <c r="XEJ907"/>
      <c r="XEK907"/>
      <c r="XEL907"/>
      <c r="XEM907"/>
      <c r="XEN907"/>
      <c r="XEO907"/>
      <c r="XEP907"/>
      <c r="XEQ907"/>
      <c r="XER907"/>
      <c r="XES907"/>
      <c r="XET907"/>
      <c r="XEU907"/>
      <c r="XEV907"/>
      <c r="XEW907"/>
      <c r="XEX907"/>
      <c r="XEY907"/>
      <c r="XEZ907"/>
      <c r="XFA907"/>
      <c r="XFB907"/>
      <c r="XFC907"/>
    </row>
    <row r="908" spans="1:20 16329:16383" s="38" customFormat="1" ht="29.1" customHeight="1" outlineLevel="5" x14ac:dyDescent="0.25">
      <c r="A908" s="49" t="s">
        <v>1753</v>
      </c>
      <c r="B908" s="50"/>
      <c r="C908" s="50"/>
      <c r="D908" s="3" t="s">
        <v>1632</v>
      </c>
      <c r="E908" s="3"/>
      <c r="F908" s="51"/>
      <c r="G908" s="50" t="s">
        <v>102</v>
      </c>
      <c r="H908" s="52">
        <f>1</f>
        <v>1</v>
      </c>
      <c r="I908" s="36"/>
      <c r="J908" s="52">
        <v>1</v>
      </c>
      <c r="K908" s="53">
        <f>0</f>
        <v>0</v>
      </c>
      <c r="L908" s="53">
        <f>0</f>
        <v>0</v>
      </c>
      <c r="M908" s="53">
        <f>0</f>
        <v>0</v>
      </c>
      <c r="N908" s="54">
        <f t="shared" si="109"/>
        <v>0</v>
      </c>
      <c r="O908" s="54">
        <f t="shared" si="110"/>
        <v>0</v>
      </c>
      <c r="P908" s="54">
        <f t="shared" si="111"/>
        <v>0</v>
      </c>
      <c r="Q908" s="54">
        <f t="shared" si="112"/>
        <v>0</v>
      </c>
      <c r="R908" s="54">
        <f t="shared" si="113"/>
        <v>0</v>
      </c>
      <c r="S908" s="54"/>
      <c r="T908" s="36"/>
      <c r="XDA908"/>
      <c r="XDB908"/>
      <c r="XDC908"/>
      <c r="XDD908"/>
      <c r="XDE908"/>
      <c r="XDF908"/>
      <c r="XDG908"/>
      <c r="XDH908"/>
      <c r="XDI908"/>
      <c r="XDJ908"/>
      <c r="XDK908"/>
      <c r="XDL908"/>
      <c r="XDM908"/>
      <c r="XDN908"/>
      <c r="XDO908"/>
      <c r="XDP908"/>
      <c r="XDQ908"/>
      <c r="XDR908"/>
      <c r="XDS908"/>
      <c r="XDT908"/>
      <c r="XDU908"/>
      <c r="XDV908"/>
      <c r="XDW908"/>
      <c r="XDX908"/>
      <c r="XDY908"/>
      <c r="XDZ908"/>
      <c r="XEA908"/>
      <c r="XEB908"/>
      <c r="XEC908"/>
      <c r="XED908"/>
      <c r="XEE908"/>
      <c r="XEF908"/>
      <c r="XEG908"/>
      <c r="XEH908"/>
      <c r="XEI908"/>
      <c r="XEJ908"/>
      <c r="XEK908"/>
      <c r="XEL908"/>
      <c r="XEM908"/>
      <c r="XEN908"/>
      <c r="XEO908"/>
      <c r="XEP908"/>
      <c r="XEQ908"/>
      <c r="XER908"/>
      <c r="XES908"/>
      <c r="XET908"/>
      <c r="XEU908"/>
      <c r="XEV908"/>
      <c r="XEW908"/>
      <c r="XEX908"/>
      <c r="XEY908"/>
      <c r="XEZ908"/>
      <c r="XFA908"/>
      <c r="XFB908"/>
      <c r="XFC908"/>
    </row>
    <row r="909" spans="1:20 16329:16383" s="38" customFormat="1" ht="29.1" customHeight="1" outlineLevel="5" x14ac:dyDescent="0.25">
      <c r="A909" s="49" t="s">
        <v>1754</v>
      </c>
      <c r="B909" s="50"/>
      <c r="C909" s="50"/>
      <c r="D909" s="3" t="s">
        <v>1641</v>
      </c>
      <c r="E909" s="3"/>
      <c r="F909" s="51"/>
      <c r="G909" s="50" t="s">
        <v>102</v>
      </c>
      <c r="H909" s="52">
        <f>1</f>
        <v>1</v>
      </c>
      <c r="I909" s="36"/>
      <c r="J909" s="52">
        <v>1</v>
      </c>
      <c r="K909" s="53">
        <f>0</f>
        <v>0</v>
      </c>
      <c r="L909" s="53">
        <f>0</f>
        <v>0</v>
      </c>
      <c r="M909" s="53">
        <f>0</f>
        <v>0</v>
      </c>
      <c r="N909" s="54">
        <f t="shared" si="109"/>
        <v>0</v>
      </c>
      <c r="O909" s="54">
        <f t="shared" si="110"/>
        <v>0</v>
      </c>
      <c r="P909" s="54">
        <f t="shared" si="111"/>
        <v>0</v>
      </c>
      <c r="Q909" s="54">
        <f t="shared" si="112"/>
        <v>0</v>
      </c>
      <c r="R909" s="54">
        <f t="shared" si="113"/>
        <v>0</v>
      </c>
      <c r="S909" s="54"/>
      <c r="T909" s="36"/>
      <c r="XDA909"/>
      <c r="XDB909"/>
      <c r="XDC909"/>
      <c r="XDD909"/>
      <c r="XDE909"/>
      <c r="XDF909"/>
      <c r="XDG909"/>
      <c r="XDH909"/>
      <c r="XDI909"/>
      <c r="XDJ909"/>
      <c r="XDK909"/>
      <c r="XDL909"/>
      <c r="XDM909"/>
      <c r="XDN909"/>
      <c r="XDO909"/>
      <c r="XDP909"/>
      <c r="XDQ909"/>
      <c r="XDR909"/>
      <c r="XDS909"/>
      <c r="XDT909"/>
      <c r="XDU909"/>
      <c r="XDV909"/>
      <c r="XDW909"/>
      <c r="XDX909"/>
      <c r="XDY909"/>
      <c r="XDZ909"/>
      <c r="XEA909"/>
      <c r="XEB909"/>
      <c r="XEC909"/>
      <c r="XED909"/>
      <c r="XEE909"/>
      <c r="XEF909"/>
      <c r="XEG909"/>
      <c r="XEH909"/>
      <c r="XEI909"/>
      <c r="XEJ909"/>
      <c r="XEK909"/>
      <c r="XEL909"/>
      <c r="XEM909"/>
      <c r="XEN909"/>
      <c r="XEO909"/>
      <c r="XEP909"/>
      <c r="XEQ909"/>
      <c r="XER909"/>
      <c r="XES909"/>
      <c r="XET909"/>
      <c r="XEU909"/>
      <c r="XEV909"/>
      <c r="XEW909"/>
      <c r="XEX909"/>
      <c r="XEY909"/>
      <c r="XEZ909"/>
      <c r="XFA909"/>
      <c r="XFB909"/>
      <c r="XFC909"/>
    </row>
    <row r="910" spans="1:20 16329:16383" s="38" customFormat="1" ht="29.1" customHeight="1" outlineLevel="4" x14ac:dyDescent="0.25">
      <c r="A910" s="60" t="s">
        <v>1755</v>
      </c>
      <c r="B910" s="61" t="s">
        <v>1756</v>
      </c>
      <c r="C910" s="61"/>
      <c r="D910" s="1" t="s">
        <v>1757</v>
      </c>
      <c r="E910" s="1"/>
      <c r="F910" s="62"/>
      <c r="G910" s="61"/>
      <c r="H910" s="63"/>
      <c r="I910" s="36"/>
      <c r="J910" s="63"/>
      <c r="K910" s="64"/>
      <c r="L910" s="64"/>
      <c r="M910" s="64"/>
      <c r="N910" s="64"/>
      <c r="O910" s="64">
        <f>SUM(O911:O920)</f>
        <v>0</v>
      </c>
      <c r="P910" s="64">
        <f>SUM(P911:P920)</f>
        <v>0</v>
      </c>
      <c r="Q910" s="64">
        <f>SUM(Q911:Q920)</f>
        <v>0</v>
      </c>
      <c r="R910" s="64">
        <f>SUM(R911:R920)</f>
        <v>0</v>
      </c>
      <c r="S910" s="64"/>
      <c r="T910" s="36"/>
      <c r="XDA910"/>
      <c r="XDB910"/>
      <c r="XDC910"/>
      <c r="XDD910"/>
      <c r="XDE910"/>
      <c r="XDF910"/>
      <c r="XDG910"/>
      <c r="XDH910"/>
      <c r="XDI910"/>
      <c r="XDJ910"/>
      <c r="XDK910"/>
      <c r="XDL910"/>
      <c r="XDM910"/>
      <c r="XDN910"/>
      <c r="XDO910"/>
      <c r="XDP910"/>
      <c r="XDQ910"/>
      <c r="XDR910"/>
      <c r="XDS910"/>
      <c r="XDT910"/>
      <c r="XDU910"/>
      <c r="XDV910"/>
      <c r="XDW910"/>
      <c r="XDX910"/>
      <c r="XDY910"/>
      <c r="XDZ910"/>
      <c r="XEA910"/>
      <c r="XEB910"/>
      <c r="XEC910"/>
      <c r="XED910"/>
      <c r="XEE910"/>
      <c r="XEF910"/>
      <c r="XEG910"/>
      <c r="XEH910"/>
      <c r="XEI910"/>
      <c r="XEJ910"/>
      <c r="XEK910"/>
      <c r="XEL910"/>
      <c r="XEM910"/>
      <c r="XEN910"/>
      <c r="XEO910"/>
      <c r="XEP910"/>
      <c r="XEQ910"/>
      <c r="XER910"/>
      <c r="XES910"/>
      <c r="XET910"/>
      <c r="XEU910"/>
      <c r="XEV910"/>
      <c r="XEW910"/>
      <c r="XEX910"/>
      <c r="XEY910"/>
      <c r="XEZ910"/>
      <c r="XFA910"/>
      <c r="XFB910"/>
      <c r="XFC910"/>
    </row>
    <row r="911" spans="1:20 16329:16383" s="38" customFormat="1" ht="29.1" customHeight="1" outlineLevel="5" x14ac:dyDescent="0.25">
      <c r="A911" s="49" t="s">
        <v>1758</v>
      </c>
      <c r="B911" s="50"/>
      <c r="C911" s="50"/>
      <c r="D911" s="3" t="s">
        <v>1646</v>
      </c>
      <c r="E911" s="3"/>
      <c r="F911" s="51"/>
      <c r="G911" s="50" t="s">
        <v>102</v>
      </c>
      <c r="H911" s="52">
        <f>1</f>
        <v>1</v>
      </c>
      <c r="I911" s="36"/>
      <c r="J911" s="52">
        <v>1</v>
      </c>
      <c r="K911" s="53">
        <f>0</f>
        <v>0</v>
      </c>
      <c r="L911" s="53">
        <f>0</f>
        <v>0</v>
      </c>
      <c r="M911" s="53">
        <f>0</f>
        <v>0</v>
      </c>
      <c r="N911" s="54">
        <f t="shared" ref="N911:N920" si="114">SUM(K911:M911)</f>
        <v>0</v>
      </c>
      <c r="O911" s="54">
        <f t="shared" ref="O911:O920" si="115">ROUND((H911*K911),2)</f>
        <v>0</v>
      </c>
      <c r="P911" s="54">
        <f t="shared" ref="P911:P920" si="116">ROUND((H911*L911),2)</f>
        <v>0</v>
      </c>
      <c r="Q911" s="54">
        <f t="shared" ref="Q911:Q920" si="117">ROUND((H911*M911),2)</f>
        <v>0</v>
      </c>
      <c r="R911" s="54">
        <f t="shared" ref="R911:R920" si="118">ROUND((H911*N911),2)</f>
        <v>0</v>
      </c>
      <c r="S911" s="54"/>
      <c r="T911" s="36"/>
      <c r="XDA911"/>
      <c r="XDB911"/>
      <c r="XDC911"/>
      <c r="XDD911"/>
      <c r="XDE911"/>
      <c r="XDF911"/>
      <c r="XDG911"/>
      <c r="XDH911"/>
      <c r="XDI911"/>
      <c r="XDJ911"/>
      <c r="XDK911"/>
      <c r="XDL911"/>
      <c r="XDM911"/>
      <c r="XDN911"/>
      <c r="XDO911"/>
      <c r="XDP911"/>
      <c r="XDQ911"/>
      <c r="XDR911"/>
      <c r="XDS911"/>
      <c r="XDT911"/>
      <c r="XDU911"/>
      <c r="XDV911"/>
      <c r="XDW911"/>
      <c r="XDX911"/>
      <c r="XDY911"/>
      <c r="XDZ911"/>
      <c r="XEA911"/>
      <c r="XEB911"/>
      <c r="XEC911"/>
      <c r="XED911"/>
      <c r="XEE911"/>
      <c r="XEF911"/>
      <c r="XEG911"/>
      <c r="XEH911"/>
      <c r="XEI911"/>
      <c r="XEJ911"/>
      <c r="XEK911"/>
      <c r="XEL911"/>
      <c r="XEM911"/>
      <c r="XEN911"/>
      <c r="XEO911"/>
      <c r="XEP911"/>
      <c r="XEQ911"/>
      <c r="XER911"/>
      <c r="XES911"/>
      <c r="XET911"/>
      <c r="XEU911"/>
      <c r="XEV911"/>
      <c r="XEW911"/>
      <c r="XEX911"/>
      <c r="XEY911"/>
      <c r="XEZ911"/>
      <c r="XFA911"/>
      <c r="XFB911"/>
      <c r="XFC911"/>
    </row>
    <row r="912" spans="1:20 16329:16383" s="38" customFormat="1" ht="29.1" customHeight="1" outlineLevel="5" x14ac:dyDescent="0.25">
      <c r="A912" s="49" t="s">
        <v>1759</v>
      </c>
      <c r="B912" s="50"/>
      <c r="C912" s="50"/>
      <c r="D912" s="3" t="s">
        <v>1648</v>
      </c>
      <c r="E912" s="3"/>
      <c r="F912" s="51"/>
      <c r="G912" s="50" t="s">
        <v>102</v>
      </c>
      <c r="H912" s="52">
        <f>1</f>
        <v>1</v>
      </c>
      <c r="I912" s="36"/>
      <c r="J912" s="52">
        <v>1</v>
      </c>
      <c r="K912" s="53">
        <f>0</f>
        <v>0</v>
      </c>
      <c r="L912" s="53">
        <f>0</f>
        <v>0</v>
      </c>
      <c r="M912" s="53">
        <f>0</f>
        <v>0</v>
      </c>
      <c r="N912" s="54">
        <f t="shared" si="114"/>
        <v>0</v>
      </c>
      <c r="O912" s="54">
        <f t="shared" si="115"/>
        <v>0</v>
      </c>
      <c r="P912" s="54">
        <f t="shared" si="116"/>
        <v>0</v>
      </c>
      <c r="Q912" s="54">
        <f t="shared" si="117"/>
        <v>0</v>
      </c>
      <c r="R912" s="54">
        <f t="shared" si="118"/>
        <v>0</v>
      </c>
      <c r="S912" s="54"/>
      <c r="T912" s="36"/>
      <c r="XDA912"/>
      <c r="XDB912"/>
      <c r="XDC912"/>
      <c r="XDD912"/>
      <c r="XDE912"/>
      <c r="XDF912"/>
      <c r="XDG912"/>
      <c r="XDH912"/>
      <c r="XDI912"/>
      <c r="XDJ912"/>
      <c r="XDK912"/>
      <c r="XDL912"/>
      <c r="XDM912"/>
      <c r="XDN912"/>
      <c r="XDO912"/>
      <c r="XDP912"/>
      <c r="XDQ912"/>
      <c r="XDR912"/>
      <c r="XDS912"/>
      <c r="XDT912"/>
      <c r="XDU912"/>
      <c r="XDV912"/>
      <c r="XDW912"/>
      <c r="XDX912"/>
      <c r="XDY912"/>
      <c r="XDZ912"/>
      <c r="XEA912"/>
      <c r="XEB912"/>
      <c r="XEC912"/>
      <c r="XED912"/>
      <c r="XEE912"/>
      <c r="XEF912"/>
      <c r="XEG912"/>
      <c r="XEH912"/>
      <c r="XEI912"/>
      <c r="XEJ912"/>
      <c r="XEK912"/>
      <c r="XEL912"/>
      <c r="XEM912"/>
      <c r="XEN912"/>
      <c r="XEO912"/>
      <c r="XEP912"/>
      <c r="XEQ912"/>
      <c r="XER912"/>
      <c r="XES912"/>
      <c r="XET912"/>
      <c r="XEU912"/>
      <c r="XEV912"/>
      <c r="XEW912"/>
      <c r="XEX912"/>
      <c r="XEY912"/>
      <c r="XEZ912"/>
      <c r="XFA912"/>
      <c r="XFB912"/>
      <c r="XFC912"/>
    </row>
    <row r="913" spans="1:20 16329:16383" s="38" customFormat="1" ht="29.1" customHeight="1" outlineLevel="5" x14ac:dyDescent="0.25">
      <c r="A913" s="49" t="s">
        <v>1760</v>
      </c>
      <c r="B913" s="50"/>
      <c r="C913" s="50"/>
      <c r="D913" s="3" t="s">
        <v>1650</v>
      </c>
      <c r="E913" s="3"/>
      <c r="F913" s="51"/>
      <c r="G913" s="50" t="s">
        <v>102</v>
      </c>
      <c r="H913" s="52">
        <f>1</f>
        <v>1</v>
      </c>
      <c r="I913" s="36"/>
      <c r="J913" s="52">
        <v>1</v>
      </c>
      <c r="K913" s="53">
        <f>0</f>
        <v>0</v>
      </c>
      <c r="L913" s="53">
        <f>0</f>
        <v>0</v>
      </c>
      <c r="M913" s="53">
        <f>0</f>
        <v>0</v>
      </c>
      <c r="N913" s="54">
        <f t="shared" si="114"/>
        <v>0</v>
      </c>
      <c r="O913" s="54">
        <f t="shared" si="115"/>
        <v>0</v>
      </c>
      <c r="P913" s="54">
        <f t="shared" si="116"/>
        <v>0</v>
      </c>
      <c r="Q913" s="54">
        <f t="shared" si="117"/>
        <v>0</v>
      </c>
      <c r="R913" s="54">
        <f t="shared" si="118"/>
        <v>0</v>
      </c>
      <c r="S913" s="54"/>
      <c r="T913" s="36"/>
      <c r="XDA913"/>
      <c r="XDB913"/>
      <c r="XDC913"/>
      <c r="XDD913"/>
      <c r="XDE913"/>
      <c r="XDF913"/>
      <c r="XDG913"/>
      <c r="XDH913"/>
      <c r="XDI913"/>
      <c r="XDJ913"/>
      <c r="XDK913"/>
      <c r="XDL913"/>
      <c r="XDM913"/>
      <c r="XDN913"/>
      <c r="XDO913"/>
      <c r="XDP913"/>
      <c r="XDQ913"/>
      <c r="XDR913"/>
      <c r="XDS913"/>
      <c r="XDT913"/>
      <c r="XDU913"/>
      <c r="XDV913"/>
      <c r="XDW913"/>
      <c r="XDX913"/>
      <c r="XDY913"/>
      <c r="XDZ913"/>
      <c r="XEA913"/>
      <c r="XEB913"/>
      <c r="XEC913"/>
      <c r="XED913"/>
      <c r="XEE913"/>
      <c r="XEF913"/>
      <c r="XEG913"/>
      <c r="XEH913"/>
      <c r="XEI913"/>
      <c r="XEJ913"/>
      <c r="XEK913"/>
      <c r="XEL913"/>
      <c r="XEM913"/>
      <c r="XEN913"/>
      <c r="XEO913"/>
      <c r="XEP913"/>
      <c r="XEQ913"/>
      <c r="XER913"/>
      <c r="XES913"/>
      <c r="XET913"/>
      <c r="XEU913"/>
      <c r="XEV913"/>
      <c r="XEW913"/>
      <c r="XEX913"/>
      <c r="XEY913"/>
      <c r="XEZ913"/>
      <c r="XFA913"/>
      <c r="XFB913"/>
      <c r="XFC913"/>
    </row>
    <row r="914" spans="1:20 16329:16383" s="38" customFormat="1" ht="29.1" customHeight="1" outlineLevel="5" x14ac:dyDescent="0.25">
      <c r="A914" s="49" t="s">
        <v>1761</v>
      </c>
      <c r="B914" s="50"/>
      <c r="C914" s="50"/>
      <c r="D914" s="3" t="s">
        <v>1544</v>
      </c>
      <c r="E914" s="3"/>
      <c r="F914" s="51"/>
      <c r="G914" s="50" t="s">
        <v>102</v>
      </c>
      <c r="H914" s="52">
        <f>1</f>
        <v>1</v>
      </c>
      <c r="I914" s="36"/>
      <c r="J914" s="52">
        <v>1</v>
      </c>
      <c r="K914" s="53">
        <f>0</f>
        <v>0</v>
      </c>
      <c r="L914" s="53">
        <f>0</f>
        <v>0</v>
      </c>
      <c r="M914" s="53">
        <f>0</f>
        <v>0</v>
      </c>
      <c r="N914" s="54">
        <f t="shared" si="114"/>
        <v>0</v>
      </c>
      <c r="O914" s="54">
        <f t="shared" si="115"/>
        <v>0</v>
      </c>
      <c r="P914" s="54">
        <f t="shared" si="116"/>
        <v>0</v>
      </c>
      <c r="Q914" s="54">
        <f t="shared" si="117"/>
        <v>0</v>
      </c>
      <c r="R914" s="54">
        <f t="shared" si="118"/>
        <v>0</v>
      </c>
      <c r="S914" s="54"/>
      <c r="T914" s="36"/>
      <c r="XDA914"/>
      <c r="XDB914"/>
      <c r="XDC914"/>
      <c r="XDD914"/>
      <c r="XDE914"/>
      <c r="XDF914"/>
      <c r="XDG914"/>
      <c r="XDH914"/>
      <c r="XDI914"/>
      <c r="XDJ914"/>
      <c r="XDK914"/>
      <c r="XDL914"/>
      <c r="XDM914"/>
      <c r="XDN914"/>
      <c r="XDO914"/>
      <c r="XDP914"/>
      <c r="XDQ914"/>
      <c r="XDR914"/>
      <c r="XDS914"/>
      <c r="XDT914"/>
      <c r="XDU914"/>
      <c r="XDV914"/>
      <c r="XDW914"/>
      <c r="XDX914"/>
      <c r="XDY914"/>
      <c r="XDZ914"/>
      <c r="XEA914"/>
      <c r="XEB914"/>
      <c r="XEC914"/>
      <c r="XED914"/>
      <c r="XEE914"/>
      <c r="XEF914"/>
      <c r="XEG914"/>
      <c r="XEH914"/>
      <c r="XEI914"/>
      <c r="XEJ914"/>
      <c r="XEK914"/>
      <c r="XEL914"/>
      <c r="XEM914"/>
      <c r="XEN914"/>
      <c r="XEO914"/>
      <c r="XEP914"/>
      <c r="XEQ914"/>
      <c r="XER914"/>
      <c r="XES914"/>
      <c r="XET914"/>
      <c r="XEU914"/>
      <c r="XEV914"/>
      <c r="XEW914"/>
      <c r="XEX914"/>
      <c r="XEY914"/>
      <c r="XEZ914"/>
      <c r="XFA914"/>
      <c r="XFB914"/>
      <c r="XFC914"/>
    </row>
    <row r="915" spans="1:20 16329:16383" s="38" customFormat="1" ht="29.1" customHeight="1" outlineLevel="5" x14ac:dyDescent="0.25">
      <c r="A915" s="49" t="s">
        <v>1762</v>
      </c>
      <c r="B915" s="50"/>
      <c r="C915" s="50"/>
      <c r="D915" s="3" t="s">
        <v>1546</v>
      </c>
      <c r="E915" s="3"/>
      <c r="F915" s="51"/>
      <c r="G915" s="50" t="s">
        <v>102</v>
      </c>
      <c r="H915" s="52">
        <f>1</f>
        <v>1</v>
      </c>
      <c r="I915" s="36"/>
      <c r="J915" s="52">
        <v>1</v>
      </c>
      <c r="K915" s="53">
        <f>0</f>
        <v>0</v>
      </c>
      <c r="L915" s="53">
        <f>0</f>
        <v>0</v>
      </c>
      <c r="M915" s="53">
        <f>0</f>
        <v>0</v>
      </c>
      <c r="N915" s="54">
        <f t="shared" si="114"/>
        <v>0</v>
      </c>
      <c r="O915" s="54">
        <f t="shared" si="115"/>
        <v>0</v>
      </c>
      <c r="P915" s="54">
        <f t="shared" si="116"/>
        <v>0</v>
      </c>
      <c r="Q915" s="54">
        <f t="shared" si="117"/>
        <v>0</v>
      </c>
      <c r="R915" s="54">
        <f t="shared" si="118"/>
        <v>0</v>
      </c>
      <c r="S915" s="54"/>
      <c r="T915" s="36"/>
      <c r="XDA915"/>
      <c r="XDB915"/>
      <c r="XDC915"/>
      <c r="XDD915"/>
      <c r="XDE915"/>
      <c r="XDF915"/>
      <c r="XDG915"/>
      <c r="XDH915"/>
      <c r="XDI915"/>
      <c r="XDJ915"/>
      <c r="XDK915"/>
      <c r="XDL915"/>
      <c r="XDM915"/>
      <c r="XDN915"/>
      <c r="XDO915"/>
      <c r="XDP915"/>
      <c r="XDQ915"/>
      <c r="XDR915"/>
      <c r="XDS915"/>
      <c r="XDT915"/>
      <c r="XDU915"/>
      <c r="XDV915"/>
      <c r="XDW915"/>
      <c r="XDX915"/>
      <c r="XDY915"/>
      <c r="XDZ915"/>
      <c r="XEA915"/>
      <c r="XEB915"/>
      <c r="XEC915"/>
      <c r="XED915"/>
      <c r="XEE915"/>
      <c r="XEF915"/>
      <c r="XEG915"/>
      <c r="XEH915"/>
      <c r="XEI915"/>
      <c r="XEJ915"/>
      <c r="XEK915"/>
      <c r="XEL915"/>
      <c r="XEM915"/>
      <c r="XEN915"/>
      <c r="XEO915"/>
      <c r="XEP915"/>
      <c r="XEQ915"/>
      <c r="XER915"/>
      <c r="XES915"/>
      <c r="XET915"/>
      <c r="XEU915"/>
      <c r="XEV915"/>
      <c r="XEW915"/>
      <c r="XEX915"/>
      <c r="XEY915"/>
      <c r="XEZ915"/>
      <c r="XFA915"/>
      <c r="XFB915"/>
      <c r="XFC915"/>
    </row>
    <row r="916" spans="1:20 16329:16383" s="38" customFormat="1" ht="29.1" customHeight="1" outlineLevel="5" x14ac:dyDescent="0.25">
      <c r="A916" s="49" t="s">
        <v>1763</v>
      </c>
      <c r="B916" s="50"/>
      <c r="C916" s="50"/>
      <c r="D916" s="3" t="s">
        <v>1550</v>
      </c>
      <c r="E916" s="3"/>
      <c r="F916" s="51"/>
      <c r="G916" s="50" t="s">
        <v>102</v>
      </c>
      <c r="H916" s="52">
        <f>1</f>
        <v>1</v>
      </c>
      <c r="I916" s="36"/>
      <c r="J916" s="52">
        <v>1</v>
      </c>
      <c r="K916" s="53">
        <f>0</f>
        <v>0</v>
      </c>
      <c r="L916" s="53">
        <f>0</f>
        <v>0</v>
      </c>
      <c r="M916" s="53">
        <f>0</f>
        <v>0</v>
      </c>
      <c r="N916" s="54">
        <f t="shared" si="114"/>
        <v>0</v>
      </c>
      <c r="O916" s="54">
        <f t="shared" si="115"/>
        <v>0</v>
      </c>
      <c r="P916" s="54">
        <f t="shared" si="116"/>
        <v>0</v>
      </c>
      <c r="Q916" s="54">
        <f t="shared" si="117"/>
        <v>0</v>
      </c>
      <c r="R916" s="54">
        <f t="shared" si="118"/>
        <v>0</v>
      </c>
      <c r="S916" s="54"/>
      <c r="T916" s="36"/>
      <c r="XDA916"/>
      <c r="XDB916"/>
      <c r="XDC916"/>
      <c r="XDD916"/>
      <c r="XDE916"/>
      <c r="XDF916"/>
      <c r="XDG916"/>
      <c r="XDH916"/>
      <c r="XDI916"/>
      <c r="XDJ916"/>
      <c r="XDK916"/>
      <c r="XDL916"/>
      <c r="XDM916"/>
      <c r="XDN916"/>
      <c r="XDO916"/>
      <c r="XDP916"/>
      <c r="XDQ916"/>
      <c r="XDR916"/>
      <c r="XDS916"/>
      <c r="XDT916"/>
      <c r="XDU916"/>
      <c r="XDV916"/>
      <c r="XDW916"/>
      <c r="XDX916"/>
      <c r="XDY916"/>
      <c r="XDZ916"/>
      <c r="XEA916"/>
      <c r="XEB916"/>
      <c r="XEC916"/>
      <c r="XED916"/>
      <c r="XEE916"/>
      <c r="XEF916"/>
      <c r="XEG916"/>
      <c r="XEH916"/>
      <c r="XEI916"/>
      <c r="XEJ916"/>
      <c r="XEK916"/>
      <c r="XEL916"/>
      <c r="XEM916"/>
      <c r="XEN916"/>
      <c r="XEO916"/>
      <c r="XEP916"/>
      <c r="XEQ916"/>
      <c r="XER916"/>
      <c r="XES916"/>
      <c r="XET916"/>
      <c r="XEU916"/>
      <c r="XEV916"/>
      <c r="XEW916"/>
      <c r="XEX916"/>
      <c r="XEY916"/>
      <c r="XEZ916"/>
      <c r="XFA916"/>
      <c r="XFB916"/>
      <c r="XFC916"/>
    </row>
    <row r="917" spans="1:20 16329:16383" s="38" customFormat="1" ht="29.1" customHeight="1" outlineLevel="5" x14ac:dyDescent="0.25">
      <c r="A917" s="49" t="s">
        <v>1764</v>
      </c>
      <c r="B917" s="50"/>
      <c r="C917" s="50"/>
      <c r="D917" s="3" t="s">
        <v>1550</v>
      </c>
      <c r="E917" s="3"/>
      <c r="F917" s="51"/>
      <c r="G917" s="50" t="s">
        <v>102</v>
      </c>
      <c r="H917" s="52">
        <f>1</f>
        <v>1</v>
      </c>
      <c r="I917" s="36"/>
      <c r="J917" s="52">
        <v>1</v>
      </c>
      <c r="K917" s="53">
        <f>0</f>
        <v>0</v>
      </c>
      <c r="L917" s="53">
        <f>0</f>
        <v>0</v>
      </c>
      <c r="M917" s="53">
        <f>0</f>
        <v>0</v>
      </c>
      <c r="N917" s="54">
        <f t="shared" si="114"/>
        <v>0</v>
      </c>
      <c r="O917" s="54">
        <f t="shared" si="115"/>
        <v>0</v>
      </c>
      <c r="P917" s="54">
        <f t="shared" si="116"/>
        <v>0</v>
      </c>
      <c r="Q917" s="54">
        <f t="shared" si="117"/>
        <v>0</v>
      </c>
      <c r="R917" s="54">
        <f t="shared" si="118"/>
        <v>0</v>
      </c>
      <c r="S917" s="54"/>
      <c r="T917" s="36"/>
      <c r="XDA917"/>
      <c r="XDB917"/>
      <c r="XDC917"/>
      <c r="XDD917"/>
      <c r="XDE917"/>
      <c r="XDF917"/>
      <c r="XDG917"/>
      <c r="XDH917"/>
      <c r="XDI917"/>
      <c r="XDJ917"/>
      <c r="XDK917"/>
      <c r="XDL917"/>
      <c r="XDM917"/>
      <c r="XDN917"/>
      <c r="XDO917"/>
      <c r="XDP917"/>
      <c r="XDQ917"/>
      <c r="XDR917"/>
      <c r="XDS917"/>
      <c r="XDT917"/>
      <c r="XDU917"/>
      <c r="XDV917"/>
      <c r="XDW917"/>
      <c r="XDX917"/>
      <c r="XDY917"/>
      <c r="XDZ917"/>
      <c r="XEA917"/>
      <c r="XEB917"/>
      <c r="XEC917"/>
      <c r="XED917"/>
      <c r="XEE917"/>
      <c r="XEF917"/>
      <c r="XEG917"/>
      <c r="XEH917"/>
      <c r="XEI917"/>
      <c r="XEJ917"/>
      <c r="XEK917"/>
      <c r="XEL917"/>
      <c r="XEM917"/>
      <c r="XEN917"/>
      <c r="XEO917"/>
      <c r="XEP917"/>
      <c r="XEQ917"/>
      <c r="XER917"/>
      <c r="XES917"/>
      <c r="XET917"/>
      <c r="XEU917"/>
      <c r="XEV917"/>
      <c r="XEW917"/>
      <c r="XEX917"/>
      <c r="XEY917"/>
      <c r="XEZ917"/>
      <c r="XFA917"/>
      <c r="XFB917"/>
      <c r="XFC917"/>
    </row>
    <row r="918" spans="1:20 16329:16383" s="38" customFormat="1" ht="29.1" customHeight="1" outlineLevel="5" x14ac:dyDescent="0.25">
      <c r="A918" s="49" t="s">
        <v>1765</v>
      </c>
      <c r="B918" s="50"/>
      <c r="C918" s="50"/>
      <c r="D918" s="3" t="s">
        <v>1552</v>
      </c>
      <c r="E918" s="3"/>
      <c r="F918" s="51"/>
      <c r="G918" s="50" t="s">
        <v>102</v>
      </c>
      <c r="H918" s="52">
        <f>1</f>
        <v>1</v>
      </c>
      <c r="I918" s="36"/>
      <c r="J918" s="52">
        <v>1</v>
      </c>
      <c r="K918" s="53">
        <f>0</f>
        <v>0</v>
      </c>
      <c r="L918" s="53">
        <f>0</f>
        <v>0</v>
      </c>
      <c r="M918" s="53">
        <f>0</f>
        <v>0</v>
      </c>
      <c r="N918" s="54">
        <f t="shared" si="114"/>
        <v>0</v>
      </c>
      <c r="O918" s="54">
        <f t="shared" si="115"/>
        <v>0</v>
      </c>
      <c r="P918" s="54">
        <f t="shared" si="116"/>
        <v>0</v>
      </c>
      <c r="Q918" s="54">
        <f t="shared" si="117"/>
        <v>0</v>
      </c>
      <c r="R918" s="54">
        <f t="shared" si="118"/>
        <v>0</v>
      </c>
      <c r="S918" s="54"/>
      <c r="T918" s="36"/>
      <c r="XDA918"/>
      <c r="XDB918"/>
      <c r="XDC918"/>
      <c r="XDD918"/>
      <c r="XDE918"/>
      <c r="XDF918"/>
      <c r="XDG918"/>
      <c r="XDH918"/>
      <c r="XDI918"/>
      <c r="XDJ918"/>
      <c r="XDK918"/>
      <c r="XDL918"/>
      <c r="XDM918"/>
      <c r="XDN918"/>
      <c r="XDO918"/>
      <c r="XDP918"/>
      <c r="XDQ918"/>
      <c r="XDR918"/>
      <c r="XDS918"/>
      <c r="XDT918"/>
      <c r="XDU918"/>
      <c r="XDV918"/>
      <c r="XDW918"/>
      <c r="XDX918"/>
      <c r="XDY918"/>
      <c r="XDZ918"/>
      <c r="XEA918"/>
      <c r="XEB918"/>
      <c r="XEC918"/>
      <c r="XED918"/>
      <c r="XEE918"/>
      <c r="XEF918"/>
      <c r="XEG918"/>
      <c r="XEH918"/>
      <c r="XEI918"/>
      <c r="XEJ918"/>
      <c r="XEK918"/>
      <c r="XEL918"/>
      <c r="XEM918"/>
      <c r="XEN918"/>
      <c r="XEO918"/>
      <c r="XEP918"/>
      <c r="XEQ918"/>
      <c r="XER918"/>
      <c r="XES918"/>
      <c r="XET918"/>
      <c r="XEU918"/>
      <c r="XEV918"/>
      <c r="XEW918"/>
      <c r="XEX918"/>
      <c r="XEY918"/>
      <c r="XEZ918"/>
      <c r="XFA918"/>
      <c r="XFB918"/>
      <c r="XFC918"/>
    </row>
    <row r="919" spans="1:20 16329:16383" s="38" customFormat="1" ht="29.1" customHeight="1" outlineLevel="5" x14ac:dyDescent="0.25">
      <c r="A919" s="49" t="s">
        <v>1766</v>
      </c>
      <c r="B919" s="50"/>
      <c r="C919" s="50"/>
      <c r="D919" s="3" t="s">
        <v>1567</v>
      </c>
      <c r="E919" s="3"/>
      <c r="F919" s="51"/>
      <c r="G919" s="50" t="s">
        <v>102</v>
      </c>
      <c r="H919" s="52">
        <f>1</f>
        <v>1</v>
      </c>
      <c r="I919" s="36"/>
      <c r="J919" s="52">
        <v>1</v>
      </c>
      <c r="K919" s="53">
        <f>0</f>
        <v>0</v>
      </c>
      <c r="L919" s="53">
        <f>0</f>
        <v>0</v>
      </c>
      <c r="M919" s="53">
        <f>0</f>
        <v>0</v>
      </c>
      <c r="N919" s="54">
        <f t="shared" si="114"/>
        <v>0</v>
      </c>
      <c r="O919" s="54">
        <f t="shared" si="115"/>
        <v>0</v>
      </c>
      <c r="P919" s="54">
        <f t="shared" si="116"/>
        <v>0</v>
      </c>
      <c r="Q919" s="54">
        <f t="shared" si="117"/>
        <v>0</v>
      </c>
      <c r="R919" s="54">
        <f t="shared" si="118"/>
        <v>0</v>
      </c>
      <c r="S919" s="54"/>
      <c r="T919" s="36"/>
      <c r="XDA919"/>
      <c r="XDB919"/>
      <c r="XDC919"/>
      <c r="XDD919"/>
      <c r="XDE919"/>
      <c r="XDF919"/>
      <c r="XDG919"/>
      <c r="XDH919"/>
      <c r="XDI919"/>
      <c r="XDJ919"/>
      <c r="XDK919"/>
      <c r="XDL919"/>
      <c r="XDM919"/>
      <c r="XDN919"/>
      <c r="XDO919"/>
      <c r="XDP919"/>
      <c r="XDQ919"/>
      <c r="XDR919"/>
      <c r="XDS919"/>
      <c r="XDT919"/>
      <c r="XDU919"/>
      <c r="XDV919"/>
      <c r="XDW919"/>
      <c r="XDX919"/>
      <c r="XDY919"/>
      <c r="XDZ919"/>
      <c r="XEA919"/>
      <c r="XEB919"/>
      <c r="XEC919"/>
      <c r="XED919"/>
      <c r="XEE919"/>
      <c r="XEF919"/>
      <c r="XEG919"/>
      <c r="XEH919"/>
      <c r="XEI919"/>
      <c r="XEJ919"/>
      <c r="XEK919"/>
      <c r="XEL919"/>
      <c r="XEM919"/>
      <c r="XEN919"/>
      <c r="XEO919"/>
      <c r="XEP919"/>
      <c r="XEQ919"/>
      <c r="XER919"/>
      <c r="XES919"/>
      <c r="XET919"/>
      <c r="XEU919"/>
      <c r="XEV919"/>
      <c r="XEW919"/>
      <c r="XEX919"/>
      <c r="XEY919"/>
      <c r="XEZ919"/>
      <c r="XFA919"/>
      <c r="XFB919"/>
      <c r="XFC919"/>
    </row>
    <row r="920" spans="1:20 16329:16383" s="38" customFormat="1" ht="29.1" customHeight="1" outlineLevel="5" x14ac:dyDescent="0.25">
      <c r="A920" s="49" t="s">
        <v>1767</v>
      </c>
      <c r="B920" s="50"/>
      <c r="C920" s="50"/>
      <c r="D920" s="3" t="s">
        <v>1569</v>
      </c>
      <c r="E920" s="3"/>
      <c r="F920" s="51"/>
      <c r="G920" s="50" t="s">
        <v>102</v>
      </c>
      <c r="H920" s="52">
        <f>1</f>
        <v>1</v>
      </c>
      <c r="I920" s="36"/>
      <c r="J920" s="52">
        <v>1</v>
      </c>
      <c r="K920" s="53">
        <f>0</f>
        <v>0</v>
      </c>
      <c r="L920" s="53">
        <f>0</f>
        <v>0</v>
      </c>
      <c r="M920" s="53">
        <f>0</f>
        <v>0</v>
      </c>
      <c r="N920" s="54">
        <f t="shared" si="114"/>
        <v>0</v>
      </c>
      <c r="O920" s="54">
        <f t="shared" si="115"/>
        <v>0</v>
      </c>
      <c r="P920" s="54">
        <f t="shared" si="116"/>
        <v>0</v>
      </c>
      <c r="Q920" s="54">
        <f t="shared" si="117"/>
        <v>0</v>
      </c>
      <c r="R920" s="54">
        <f t="shared" si="118"/>
        <v>0</v>
      </c>
      <c r="S920" s="54"/>
      <c r="T920" s="36"/>
      <c r="XDA920"/>
      <c r="XDB920"/>
      <c r="XDC920"/>
      <c r="XDD920"/>
      <c r="XDE920"/>
      <c r="XDF920"/>
      <c r="XDG920"/>
      <c r="XDH920"/>
      <c r="XDI920"/>
      <c r="XDJ920"/>
      <c r="XDK920"/>
      <c r="XDL920"/>
      <c r="XDM920"/>
      <c r="XDN920"/>
      <c r="XDO920"/>
      <c r="XDP920"/>
      <c r="XDQ920"/>
      <c r="XDR920"/>
      <c r="XDS920"/>
      <c r="XDT920"/>
      <c r="XDU920"/>
      <c r="XDV920"/>
      <c r="XDW920"/>
      <c r="XDX920"/>
      <c r="XDY920"/>
      <c r="XDZ920"/>
      <c r="XEA920"/>
      <c r="XEB920"/>
      <c r="XEC920"/>
      <c r="XED920"/>
      <c r="XEE920"/>
      <c r="XEF920"/>
      <c r="XEG920"/>
      <c r="XEH920"/>
      <c r="XEI920"/>
      <c r="XEJ920"/>
      <c r="XEK920"/>
      <c r="XEL920"/>
      <c r="XEM920"/>
      <c r="XEN920"/>
      <c r="XEO920"/>
      <c r="XEP920"/>
      <c r="XEQ920"/>
      <c r="XER920"/>
      <c r="XES920"/>
      <c r="XET920"/>
      <c r="XEU920"/>
      <c r="XEV920"/>
      <c r="XEW920"/>
      <c r="XEX920"/>
      <c r="XEY920"/>
      <c r="XEZ920"/>
      <c r="XFA920"/>
      <c r="XFB920"/>
      <c r="XFC920"/>
    </row>
    <row r="921" spans="1:20 16329:16383" s="38" customFormat="1" ht="29.1" customHeight="1" outlineLevel="4" x14ac:dyDescent="0.25">
      <c r="A921" s="60" t="s">
        <v>1768</v>
      </c>
      <c r="B921" s="61" t="s">
        <v>1769</v>
      </c>
      <c r="C921" s="61"/>
      <c r="D921" s="1" t="s">
        <v>1770</v>
      </c>
      <c r="E921" s="1"/>
      <c r="F921" s="62"/>
      <c r="G921" s="61"/>
      <c r="H921" s="63"/>
      <c r="I921" s="36"/>
      <c r="J921" s="63"/>
      <c r="K921" s="64"/>
      <c r="L921" s="64"/>
      <c r="M921" s="64"/>
      <c r="N921" s="64"/>
      <c r="O921" s="64">
        <f>SUM(O922:O924)</f>
        <v>0</v>
      </c>
      <c r="P921" s="64">
        <f>SUM(P922:P924)</f>
        <v>0</v>
      </c>
      <c r="Q921" s="64">
        <f>SUM(Q922:Q924)</f>
        <v>0</v>
      </c>
      <c r="R921" s="64">
        <f>SUM(R922:R924)</f>
        <v>0</v>
      </c>
      <c r="S921" s="64"/>
      <c r="T921" s="36"/>
      <c r="XDA921"/>
      <c r="XDB921"/>
      <c r="XDC921"/>
      <c r="XDD921"/>
      <c r="XDE921"/>
      <c r="XDF921"/>
      <c r="XDG921"/>
      <c r="XDH921"/>
      <c r="XDI921"/>
      <c r="XDJ921"/>
      <c r="XDK921"/>
      <c r="XDL921"/>
      <c r="XDM921"/>
      <c r="XDN921"/>
      <c r="XDO921"/>
      <c r="XDP921"/>
      <c r="XDQ921"/>
      <c r="XDR921"/>
      <c r="XDS921"/>
      <c r="XDT921"/>
      <c r="XDU921"/>
      <c r="XDV921"/>
      <c r="XDW921"/>
      <c r="XDX921"/>
      <c r="XDY921"/>
      <c r="XDZ921"/>
      <c r="XEA921"/>
      <c r="XEB921"/>
      <c r="XEC921"/>
      <c r="XED921"/>
      <c r="XEE921"/>
      <c r="XEF921"/>
      <c r="XEG921"/>
      <c r="XEH921"/>
      <c r="XEI921"/>
      <c r="XEJ921"/>
      <c r="XEK921"/>
      <c r="XEL921"/>
      <c r="XEM921"/>
      <c r="XEN921"/>
      <c r="XEO921"/>
      <c r="XEP921"/>
      <c r="XEQ921"/>
      <c r="XER921"/>
      <c r="XES921"/>
      <c r="XET921"/>
      <c r="XEU921"/>
      <c r="XEV921"/>
      <c r="XEW921"/>
      <c r="XEX921"/>
      <c r="XEY921"/>
      <c r="XEZ921"/>
      <c r="XFA921"/>
      <c r="XFB921"/>
      <c r="XFC921"/>
    </row>
    <row r="922" spans="1:20 16329:16383" s="38" customFormat="1" ht="29.1" customHeight="1" outlineLevel="5" x14ac:dyDescent="0.25">
      <c r="A922" s="49" t="s">
        <v>1771</v>
      </c>
      <c r="B922" s="50"/>
      <c r="C922" s="50"/>
      <c r="D922" s="3" t="s">
        <v>1675</v>
      </c>
      <c r="E922" s="3"/>
      <c r="F922" s="51"/>
      <c r="G922" s="50" t="s">
        <v>102</v>
      </c>
      <c r="H922" s="52">
        <f>1</f>
        <v>1</v>
      </c>
      <c r="I922" s="36"/>
      <c r="J922" s="52">
        <v>1</v>
      </c>
      <c r="K922" s="53">
        <f>0</f>
        <v>0</v>
      </c>
      <c r="L922" s="53">
        <f>0</f>
        <v>0</v>
      </c>
      <c r="M922" s="53">
        <f>0</f>
        <v>0</v>
      </c>
      <c r="N922" s="54">
        <f>SUM(K922:M922)</f>
        <v>0</v>
      </c>
      <c r="O922" s="54">
        <f>ROUND((H922*K922),2)</f>
        <v>0</v>
      </c>
      <c r="P922" s="54">
        <f>ROUND((H922*L922),2)</f>
        <v>0</v>
      </c>
      <c r="Q922" s="54">
        <f>ROUND((H922*M922),2)</f>
        <v>0</v>
      </c>
      <c r="R922" s="54">
        <f>ROUND((H922*N922),2)</f>
        <v>0</v>
      </c>
      <c r="S922" s="54"/>
      <c r="T922" s="36"/>
      <c r="XDA922"/>
      <c r="XDB922"/>
      <c r="XDC922"/>
      <c r="XDD922"/>
      <c r="XDE922"/>
      <c r="XDF922"/>
      <c r="XDG922"/>
      <c r="XDH922"/>
      <c r="XDI922"/>
      <c r="XDJ922"/>
      <c r="XDK922"/>
      <c r="XDL922"/>
      <c r="XDM922"/>
      <c r="XDN922"/>
      <c r="XDO922"/>
      <c r="XDP922"/>
      <c r="XDQ922"/>
      <c r="XDR922"/>
      <c r="XDS922"/>
      <c r="XDT922"/>
      <c r="XDU922"/>
      <c r="XDV922"/>
      <c r="XDW922"/>
      <c r="XDX922"/>
      <c r="XDY922"/>
      <c r="XDZ922"/>
      <c r="XEA922"/>
      <c r="XEB922"/>
      <c r="XEC922"/>
      <c r="XED922"/>
      <c r="XEE922"/>
      <c r="XEF922"/>
      <c r="XEG922"/>
      <c r="XEH922"/>
      <c r="XEI922"/>
      <c r="XEJ922"/>
      <c r="XEK922"/>
      <c r="XEL922"/>
      <c r="XEM922"/>
      <c r="XEN922"/>
      <c r="XEO922"/>
      <c r="XEP922"/>
      <c r="XEQ922"/>
      <c r="XER922"/>
      <c r="XES922"/>
      <c r="XET922"/>
      <c r="XEU922"/>
      <c r="XEV922"/>
      <c r="XEW922"/>
      <c r="XEX922"/>
      <c r="XEY922"/>
      <c r="XEZ922"/>
      <c r="XFA922"/>
      <c r="XFB922"/>
      <c r="XFC922"/>
    </row>
    <row r="923" spans="1:20 16329:16383" s="38" customFormat="1" ht="29.1" customHeight="1" outlineLevel="5" x14ac:dyDescent="0.25">
      <c r="A923" s="49" t="s">
        <v>1772</v>
      </c>
      <c r="B923" s="50"/>
      <c r="C923" s="50"/>
      <c r="D923" s="3" t="s">
        <v>1677</v>
      </c>
      <c r="E923" s="3"/>
      <c r="F923" s="51"/>
      <c r="G923" s="50" t="s">
        <v>102</v>
      </c>
      <c r="H923" s="52">
        <f>1</f>
        <v>1</v>
      </c>
      <c r="I923" s="36"/>
      <c r="J923" s="52">
        <v>1</v>
      </c>
      <c r="K923" s="53">
        <f>0</f>
        <v>0</v>
      </c>
      <c r="L923" s="53">
        <f>0</f>
        <v>0</v>
      </c>
      <c r="M923" s="53">
        <f>0</f>
        <v>0</v>
      </c>
      <c r="N923" s="54">
        <f>SUM(K923:M923)</f>
        <v>0</v>
      </c>
      <c r="O923" s="54">
        <f>ROUND((H923*K923),2)</f>
        <v>0</v>
      </c>
      <c r="P923" s="54">
        <f>ROUND((H923*L923),2)</f>
        <v>0</v>
      </c>
      <c r="Q923" s="54">
        <f>ROUND((H923*M923),2)</f>
        <v>0</v>
      </c>
      <c r="R923" s="54">
        <f>ROUND((H923*N923),2)</f>
        <v>0</v>
      </c>
      <c r="S923" s="54"/>
      <c r="T923" s="36"/>
      <c r="XDA923"/>
      <c r="XDB923"/>
      <c r="XDC923"/>
      <c r="XDD923"/>
      <c r="XDE923"/>
      <c r="XDF923"/>
      <c r="XDG923"/>
      <c r="XDH923"/>
      <c r="XDI923"/>
      <c r="XDJ923"/>
      <c r="XDK923"/>
      <c r="XDL923"/>
      <c r="XDM923"/>
      <c r="XDN923"/>
      <c r="XDO923"/>
      <c r="XDP923"/>
      <c r="XDQ923"/>
      <c r="XDR923"/>
      <c r="XDS923"/>
      <c r="XDT923"/>
      <c r="XDU923"/>
      <c r="XDV923"/>
      <c r="XDW923"/>
      <c r="XDX923"/>
      <c r="XDY923"/>
      <c r="XDZ923"/>
      <c r="XEA923"/>
      <c r="XEB923"/>
      <c r="XEC923"/>
      <c r="XED923"/>
      <c r="XEE923"/>
      <c r="XEF923"/>
      <c r="XEG923"/>
      <c r="XEH923"/>
      <c r="XEI923"/>
      <c r="XEJ923"/>
      <c r="XEK923"/>
      <c r="XEL923"/>
      <c r="XEM923"/>
      <c r="XEN923"/>
      <c r="XEO923"/>
      <c r="XEP923"/>
      <c r="XEQ923"/>
      <c r="XER923"/>
      <c r="XES923"/>
      <c r="XET923"/>
      <c r="XEU923"/>
      <c r="XEV923"/>
      <c r="XEW923"/>
      <c r="XEX923"/>
      <c r="XEY923"/>
      <c r="XEZ923"/>
      <c r="XFA923"/>
      <c r="XFB923"/>
      <c r="XFC923"/>
    </row>
    <row r="924" spans="1:20 16329:16383" s="38" customFormat="1" ht="29.1" customHeight="1" outlineLevel="5" x14ac:dyDescent="0.25">
      <c r="A924" s="49" t="s">
        <v>1773</v>
      </c>
      <c r="B924" s="50"/>
      <c r="C924" s="50"/>
      <c r="D924" s="3" t="s">
        <v>1679</v>
      </c>
      <c r="E924" s="3"/>
      <c r="F924" s="51"/>
      <c r="G924" s="50" t="s">
        <v>102</v>
      </c>
      <c r="H924" s="52">
        <f>1</f>
        <v>1</v>
      </c>
      <c r="I924" s="36"/>
      <c r="J924" s="52">
        <v>1</v>
      </c>
      <c r="K924" s="53">
        <f>0</f>
        <v>0</v>
      </c>
      <c r="L924" s="53">
        <f>0</f>
        <v>0</v>
      </c>
      <c r="M924" s="53">
        <f>0</f>
        <v>0</v>
      </c>
      <c r="N924" s="54">
        <f>SUM(K924:M924)</f>
        <v>0</v>
      </c>
      <c r="O924" s="54">
        <f>ROUND((H924*K924),2)</f>
        <v>0</v>
      </c>
      <c r="P924" s="54">
        <f>ROUND((H924*L924),2)</f>
        <v>0</v>
      </c>
      <c r="Q924" s="54">
        <f>ROUND((H924*M924),2)</f>
        <v>0</v>
      </c>
      <c r="R924" s="54">
        <f>ROUND((H924*N924),2)</f>
        <v>0</v>
      </c>
      <c r="S924" s="54"/>
      <c r="T924" s="36"/>
      <c r="XDA924"/>
      <c r="XDB924"/>
      <c r="XDC924"/>
      <c r="XDD924"/>
      <c r="XDE924"/>
      <c r="XDF924"/>
      <c r="XDG924"/>
      <c r="XDH924"/>
      <c r="XDI924"/>
      <c r="XDJ924"/>
      <c r="XDK924"/>
      <c r="XDL924"/>
      <c r="XDM924"/>
      <c r="XDN924"/>
      <c r="XDO924"/>
      <c r="XDP924"/>
      <c r="XDQ924"/>
      <c r="XDR924"/>
      <c r="XDS924"/>
      <c r="XDT924"/>
      <c r="XDU924"/>
      <c r="XDV924"/>
      <c r="XDW924"/>
      <c r="XDX924"/>
      <c r="XDY924"/>
      <c r="XDZ924"/>
      <c r="XEA924"/>
      <c r="XEB924"/>
      <c r="XEC924"/>
      <c r="XED924"/>
      <c r="XEE924"/>
      <c r="XEF924"/>
      <c r="XEG924"/>
      <c r="XEH924"/>
      <c r="XEI924"/>
      <c r="XEJ924"/>
      <c r="XEK924"/>
      <c r="XEL924"/>
      <c r="XEM924"/>
      <c r="XEN924"/>
      <c r="XEO924"/>
      <c r="XEP924"/>
      <c r="XEQ924"/>
      <c r="XER924"/>
      <c r="XES924"/>
      <c r="XET924"/>
      <c r="XEU924"/>
      <c r="XEV924"/>
      <c r="XEW924"/>
      <c r="XEX924"/>
      <c r="XEY924"/>
      <c r="XEZ924"/>
      <c r="XFA924"/>
      <c r="XFB924"/>
      <c r="XFC924"/>
    </row>
    <row r="925" spans="1:20 16329:16383" s="38" customFormat="1" ht="29.1" customHeight="1" outlineLevel="3" x14ac:dyDescent="0.25">
      <c r="A925" s="55" t="s">
        <v>1774</v>
      </c>
      <c r="B925" s="56" t="s">
        <v>1775</v>
      </c>
      <c r="C925" s="56"/>
      <c r="D925" s="2" t="s">
        <v>1776</v>
      </c>
      <c r="E925" s="2"/>
      <c r="F925" s="57"/>
      <c r="G925" s="56"/>
      <c r="H925" s="58"/>
      <c r="I925" s="36"/>
      <c r="J925" s="58"/>
      <c r="K925" s="59"/>
      <c r="L925" s="59"/>
      <c r="M925" s="59"/>
      <c r="N925" s="59"/>
      <c r="O925" s="59">
        <f>O926+O939+O950</f>
        <v>0</v>
      </c>
      <c r="P925" s="59">
        <f>P926+P939+P950</f>
        <v>0</v>
      </c>
      <c r="Q925" s="59">
        <f>Q926+Q939+Q950</f>
        <v>0</v>
      </c>
      <c r="R925" s="59">
        <f>R926+R939+R950</f>
        <v>0</v>
      </c>
      <c r="S925" s="59"/>
      <c r="T925" s="36"/>
      <c r="XDA925"/>
      <c r="XDB925"/>
      <c r="XDC925"/>
      <c r="XDD925"/>
      <c r="XDE925"/>
      <c r="XDF925"/>
      <c r="XDG925"/>
      <c r="XDH925"/>
      <c r="XDI925"/>
      <c r="XDJ925"/>
      <c r="XDK925"/>
      <c r="XDL925"/>
      <c r="XDM925"/>
      <c r="XDN925"/>
      <c r="XDO925"/>
      <c r="XDP925"/>
      <c r="XDQ925"/>
      <c r="XDR925"/>
      <c r="XDS925"/>
      <c r="XDT925"/>
      <c r="XDU925"/>
      <c r="XDV925"/>
      <c r="XDW925"/>
      <c r="XDX925"/>
      <c r="XDY925"/>
      <c r="XDZ925"/>
      <c r="XEA925"/>
      <c r="XEB925"/>
      <c r="XEC925"/>
      <c r="XED925"/>
      <c r="XEE925"/>
      <c r="XEF925"/>
      <c r="XEG925"/>
      <c r="XEH925"/>
      <c r="XEI925"/>
      <c r="XEJ925"/>
      <c r="XEK925"/>
      <c r="XEL925"/>
      <c r="XEM925"/>
      <c r="XEN925"/>
      <c r="XEO925"/>
      <c r="XEP925"/>
      <c r="XEQ925"/>
      <c r="XER925"/>
      <c r="XES925"/>
      <c r="XET925"/>
      <c r="XEU925"/>
      <c r="XEV925"/>
      <c r="XEW925"/>
      <c r="XEX925"/>
      <c r="XEY925"/>
      <c r="XEZ925"/>
      <c r="XFA925"/>
      <c r="XFB925"/>
      <c r="XFC925"/>
    </row>
    <row r="926" spans="1:20 16329:16383" s="38" customFormat="1" ht="29.1" customHeight="1" outlineLevel="4" x14ac:dyDescent="0.25">
      <c r="A926" s="60" t="s">
        <v>1777</v>
      </c>
      <c r="B926" s="61" t="s">
        <v>1778</v>
      </c>
      <c r="C926" s="61"/>
      <c r="D926" s="1" t="s">
        <v>1779</v>
      </c>
      <c r="E926" s="1"/>
      <c r="F926" s="62"/>
      <c r="G926" s="61"/>
      <c r="H926" s="63"/>
      <c r="I926" s="36"/>
      <c r="J926" s="63"/>
      <c r="K926" s="64"/>
      <c r="L926" s="64"/>
      <c r="M926" s="64"/>
      <c r="N926" s="64"/>
      <c r="O926" s="64">
        <f>SUM(O927:O938)</f>
        <v>0</v>
      </c>
      <c r="P926" s="64">
        <f>SUM(P927:P938)</f>
        <v>0</v>
      </c>
      <c r="Q926" s="64">
        <f>SUM(Q927:Q938)</f>
        <v>0</v>
      </c>
      <c r="R926" s="64">
        <f>SUM(R927:R938)</f>
        <v>0</v>
      </c>
      <c r="S926" s="64"/>
      <c r="T926" s="36"/>
      <c r="XDA926"/>
      <c r="XDB926"/>
      <c r="XDC926"/>
      <c r="XDD926"/>
      <c r="XDE926"/>
      <c r="XDF926"/>
      <c r="XDG926"/>
      <c r="XDH926"/>
      <c r="XDI926"/>
      <c r="XDJ926"/>
      <c r="XDK926"/>
      <c r="XDL926"/>
      <c r="XDM926"/>
      <c r="XDN926"/>
      <c r="XDO926"/>
      <c r="XDP926"/>
      <c r="XDQ926"/>
      <c r="XDR926"/>
      <c r="XDS926"/>
      <c r="XDT926"/>
      <c r="XDU926"/>
      <c r="XDV926"/>
      <c r="XDW926"/>
      <c r="XDX926"/>
      <c r="XDY926"/>
      <c r="XDZ926"/>
      <c r="XEA926"/>
      <c r="XEB926"/>
      <c r="XEC926"/>
      <c r="XED926"/>
      <c r="XEE926"/>
      <c r="XEF926"/>
      <c r="XEG926"/>
      <c r="XEH926"/>
      <c r="XEI926"/>
      <c r="XEJ926"/>
      <c r="XEK926"/>
      <c r="XEL926"/>
      <c r="XEM926"/>
      <c r="XEN926"/>
      <c r="XEO926"/>
      <c r="XEP926"/>
      <c r="XEQ926"/>
      <c r="XER926"/>
      <c r="XES926"/>
      <c r="XET926"/>
      <c r="XEU926"/>
      <c r="XEV926"/>
      <c r="XEW926"/>
      <c r="XEX926"/>
      <c r="XEY926"/>
      <c r="XEZ926"/>
      <c r="XFA926"/>
      <c r="XFB926"/>
      <c r="XFC926"/>
    </row>
    <row r="927" spans="1:20 16329:16383" s="38" customFormat="1" ht="29.1" customHeight="1" outlineLevel="5" x14ac:dyDescent="0.25">
      <c r="A927" s="49" t="s">
        <v>1780</v>
      </c>
      <c r="B927" s="50"/>
      <c r="C927" s="50"/>
      <c r="D927" s="3" t="s">
        <v>1620</v>
      </c>
      <c r="E927" s="3"/>
      <c r="F927" s="51"/>
      <c r="G927" s="50" t="s">
        <v>102</v>
      </c>
      <c r="H927" s="52">
        <f>1</f>
        <v>1</v>
      </c>
      <c r="I927" s="36"/>
      <c r="J927" s="52">
        <v>1</v>
      </c>
      <c r="K927" s="53">
        <f>0</f>
        <v>0</v>
      </c>
      <c r="L927" s="53">
        <f>0</f>
        <v>0</v>
      </c>
      <c r="M927" s="53">
        <f>0</f>
        <v>0</v>
      </c>
      <c r="N927" s="54">
        <f t="shared" ref="N927:N938" si="119">SUM(K927:M927)</f>
        <v>0</v>
      </c>
      <c r="O927" s="54">
        <f t="shared" ref="O927:O938" si="120">ROUND((H927*K927),2)</f>
        <v>0</v>
      </c>
      <c r="P927" s="54">
        <f t="shared" ref="P927:P938" si="121">ROUND((H927*L927),2)</f>
        <v>0</v>
      </c>
      <c r="Q927" s="54">
        <f t="shared" ref="Q927:Q938" si="122">ROUND((H927*M927),2)</f>
        <v>0</v>
      </c>
      <c r="R927" s="54">
        <f t="shared" ref="R927:R938" si="123">ROUND((H927*N927),2)</f>
        <v>0</v>
      </c>
      <c r="S927" s="54"/>
      <c r="T927" s="36"/>
      <c r="XDA927"/>
      <c r="XDB927"/>
      <c r="XDC927"/>
      <c r="XDD927"/>
      <c r="XDE927"/>
      <c r="XDF927"/>
      <c r="XDG927"/>
      <c r="XDH927"/>
      <c r="XDI927"/>
      <c r="XDJ927"/>
      <c r="XDK927"/>
      <c r="XDL927"/>
      <c r="XDM927"/>
      <c r="XDN927"/>
      <c r="XDO927"/>
      <c r="XDP927"/>
      <c r="XDQ927"/>
      <c r="XDR927"/>
      <c r="XDS927"/>
      <c r="XDT927"/>
      <c r="XDU927"/>
      <c r="XDV927"/>
      <c r="XDW927"/>
      <c r="XDX927"/>
      <c r="XDY927"/>
      <c r="XDZ927"/>
      <c r="XEA927"/>
      <c r="XEB927"/>
      <c r="XEC927"/>
      <c r="XED927"/>
      <c r="XEE927"/>
      <c r="XEF927"/>
      <c r="XEG927"/>
      <c r="XEH927"/>
      <c r="XEI927"/>
      <c r="XEJ927"/>
      <c r="XEK927"/>
      <c r="XEL927"/>
      <c r="XEM927"/>
      <c r="XEN927"/>
      <c r="XEO927"/>
      <c r="XEP927"/>
      <c r="XEQ927"/>
      <c r="XER927"/>
      <c r="XES927"/>
      <c r="XET927"/>
      <c r="XEU927"/>
      <c r="XEV927"/>
      <c r="XEW927"/>
      <c r="XEX927"/>
      <c r="XEY927"/>
      <c r="XEZ927"/>
      <c r="XFA927"/>
      <c r="XFB927"/>
      <c r="XFC927"/>
    </row>
    <row r="928" spans="1:20 16329:16383" s="38" customFormat="1" ht="29.1" customHeight="1" outlineLevel="5" x14ac:dyDescent="0.25">
      <c r="A928" s="49" t="s">
        <v>1781</v>
      </c>
      <c r="B928" s="50"/>
      <c r="C928" s="50"/>
      <c r="D928" s="3" t="s">
        <v>1622</v>
      </c>
      <c r="E928" s="3"/>
      <c r="F928" s="51"/>
      <c r="G928" s="50" t="s">
        <v>102</v>
      </c>
      <c r="H928" s="52">
        <f>1</f>
        <v>1</v>
      </c>
      <c r="I928" s="36"/>
      <c r="J928" s="52">
        <v>1</v>
      </c>
      <c r="K928" s="53">
        <f>0</f>
        <v>0</v>
      </c>
      <c r="L928" s="53">
        <f>0</f>
        <v>0</v>
      </c>
      <c r="M928" s="53">
        <f>0</f>
        <v>0</v>
      </c>
      <c r="N928" s="54">
        <f t="shared" si="119"/>
        <v>0</v>
      </c>
      <c r="O928" s="54">
        <f t="shared" si="120"/>
        <v>0</v>
      </c>
      <c r="P928" s="54">
        <f t="shared" si="121"/>
        <v>0</v>
      </c>
      <c r="Q928" s="54">
        <f t="shared" si="122"/>
        <v>0</v>
      </c>
      <c r="R928" s="54">
        <f t="shared" si="123"/>
        <v>0</v>
      </c>
      <c r="S928" s="54"/>
      <c r="T928" s="36"/>
      <c r="XDA928"/>
      <c r="XDB928"/>
      <c r="XDC928"/>
      <c r="XDD928"/>
      <c r="XDE928"/>
      <c r="XDF928"/>
      <c r="XDG928"/>
      <c r="XDH928"/>
      <c r="XDI928"/>
      <c r="XDJ928"/>
      <c r="XDK928"/>
      <c r="XDL928"/>
      <c r="XDM928"/>
      <c r="XDN928"/>
      <c r="XDO928"/>
      <c r="XDP928"/>
      <c r="XDQ928"/>
      <c r="XDR928"/>
      <c r="XDS928"/>
      <c r="XDT928"/>
      <c r="XDU928"/>
      <c r="XDV928"/>
      <c r="XDW928"/>
      <c r="XDX928"/>
      <c r="XDY928"/>
      <c r="XDZ928"/>
      <c r="XEA928"/>
      <c r="XEB928"/>
      <c r="XEC928"/>
      <c r="XED928"/>
      <c r="XEE928"/>
      <c r="XEF928"/>
      <c r="XEG928"/>
      <c r="XEH928"/>
      <c r="XEI928"/>
      <c r="XEJ928"/>
      <c r="XEK928"/>
      <c r="XEL928"/>
      <c r="XEM928"/>
      <c r="XEN928"/>
      <c r="XEO928"/>
      <c r="XEP928"/>
      <c r="XEQ928"/>
      <c r="XER928"/>
      <c r="XES928"/>
      <c r="XET928"/>
      <c r="XEU928"/>
      <c r="XEV928"/>
      <c r="XEW928"/>
      <c r="XEX928"/>
      <c r="XEY928"/>
      <c r="XEZ928"/>
      <c r="XFA928"/>
      <c r="XFB928"/>
      <c r="XFC928"/>
    </row>
    <row r="929" spans="1:20 16329:16383" s="38" customFormat="1" ht="29.1" customHeight="1" outlineLevel="5" x14ac:dyDescent="0.25">
      <c r="A929" s="49" t="s">
        <v>1782</v>
      </c>
      <c r="B929" s="50"/>
      <c r="C929" s="50"/>
      <c r="D929" s="3" t="s">
        <v>1624</v>
      </c>
      <c r="E929" s="3"/>
      <c r="F929" s="51"/>
      <c r="G929" s="50" t="s">
        <v>102</v>
      </c>
      <c r="H929" s="52">
        <f>1</f>
        <v>1</v>
      </c>
      <c r="I929" s="36"/>
      <c r="J929" s="52">
        <v>1</v>
      </c>
      <c r="K929" s="53">
        <f>0</f>
        <v>0</v>
      </c>
      <c r="L929" s="53">
        <f>0</f>
        <v>0</v>
      </c>
      <c r="M929" s="53">
        <f>0</f>
        <v>0</v>
      </c>
      <c r="N929" s="54">
        <f t="shared" si="119"/>
        <v>0</v>
      </c>
      <c r="O929" s="54">
        <f t="shared" si="120"/>
        <v>0</v>
      </c>
      <c r="P929" s="54">
        <f t="shared" si="121"/>
        <v>0</v>
      </c>
      <c r="Q929" s="54">
        <f t="shared" si="122"/>
        <v>0</v>
      </c>
      <c r="R929" s="54">
        <f t="shared" si="123"/>
        <v>0</v>
      </c>
      <c r="S929" s="54"/>
      <c r="T929" s="36"/>
      <c r="XDA929"/>
      <c r="XDB929"/>
      <c r="XDC929"/>
      <c r="XDD929"/>
      <c r="XDE929"/>
      <c r="XDF929"/>
      <c r="XDG929"/>
      <c r="XDH929"/>
      <c r="XDI929"/>
      <c r="XDJ929"/>
      <c r="XDK929"/>
      <c r="XDL929"/>
      <c r="XDM929"/>
      <c r="XDN929"/>
      <c r="XDO929"/>
      <c r="XDP929"/>
      <c r="XDQ929"/>
      <c r="XDR929"/>
      <c r="XDS929"/>
      <c r="XDT929"/>
      <c r="XDU929"/>
      <c r="XDV929"/>
      <c r="XDW929"/>
      <c r="XDX929"/>
      <c r="XDY929"/>
      <c r="XDZ929"/>
      <c r="XEA929"/>
      <c r="XEB929"/>
      <c r="XEC929"/>
      <c r="XED929"/>
      <c r="XEE929"/>
      <c r="XEF929"/>
      <c r="XEG929"/>
      <c r="XEH929"/>
      <c r="XEI929"/>
      <c r="XEJ929"/>
      <c r="XEK929"/>
      <c r="XEL929"/>
      <c r="XEM929"/>
      <c r="XEN929"/>
      <c r="XEO929"/>
      <c r="XEP929"/>
      <c r="XEQ929"/>
      <c r="XER929"/>
      <c r="XES929"/>
      <c r="XET929"/>
      <c r="XEU929"/>
      <c r="XEV929"/>
      <c r="XEW929"/>
      <c r="XEX929"/>
      <c r="XEY929"/>
      <c r="XEZ929"/>
      <c r="XFA929"/>
      <c r="XFB929"/>
      <c r="XFC929"/>
    </row>
    <row r="930" spans="1:20 16329:16383" s="38" customFormat="1" ht="29.1" customHeight="1" outlineLevel="5" x14ac:dyDescent="0.25">
      <c r="A930" s="49" t="s">
        <v>1783</v>
      </c>
      <c r="B930" s="50"/>
      <c r="C930" s="50"/>
      <c r="D930" s="3" t="s">
        <v>1626</v>
      </c>
      <c r="E930" s="3"/>
      <c r="F930" s="51"/>
      <c r="G930" s="50" t="s">
        <v>102</v>
      </c>
      <c r="H930" s="52">
        <f>1</f>
        <v>1</v>
      </c>
      <c r="I930" s="36"/>
      <c r="J930" s="52">
        <v>1</v>
      </c>
      <c r="K930" s="53">
        <f>0</f>
        <v>0</v>
      </c>
      <c r="L930" s="53">
        <f>0</f>
        <v>0</v>
      </c>
      <c r="M930" s="53">
        <f>0</f>
        <v>0</v>
      </c>
      <c r="N930" s="54">
        <f t="shared" si="119"/>
        <v>0</v>
      </c>
      <c r="O930" s="54">
        <f t="shared" si="120"/>
        <v>0</v>
      </c>
      <c r="P930" s="54">
        <f t="shared" si="121"/>
        <v>0</v>
      </c>
      <c r="Q930" s="54">
        <f t="shared" si="122"/>
        <v>0</v>
      </c>
      <c r="R930" s="54">
        <f t="shared" si="123"/>
        <v>0</v>
      </c>
      <c r="S930" s="54"/>
      <c r="T930" s="36"/>
      <c r="XDA930"/>
      <c r="XDB930"/>
      <c r="XDC930"/>
      <c r="XDD930"/>
      <c r="XDE930"/>
      <c r="XDF930"/>
      <c r="XDG930"/>
      <c r="XDH930"/>
      <c r="XDI930"/>
      <c r="XDJ930"/>
      <c r="XDK930"/>
      <c r="XDL930"/>
      <c r="XDM930"/>
      <c r="XDN930"/>
      <c r="XDO930"/>
      <c r="XDP930"/>
      <c r="XDQ930"/>
      <c r="XDR930"/>
      <c r="XDS930"/>
      <c r="XDT930"/>
      <c r="XDU930"/>
      <c r="XDV930"/>
      <c r="XDW930"/>
      <c r="XDX930"/>
      <c r="XDY930"/>
      <c r="XDZ930"/>
      <c r="XEA930"/>
      <c r="XEB930"/>
      <c r="XEC930"/>
      <c r="XED930"/>
      <c r="XEE930"/>
      <c r="XEF930"/>
      <c r="XEG930"/>
      <c r="XEH930"/>
      <c r="XEI930"/>
      <c r="XEJ930"/>
      <c r="XEK930"/>
      <c r="XEL930"/>
      <c r="XEM930"/>
      <c r="XEN930"/>
      <c r="XEO930"/>
      <c r="XEP930"/>
      <c r="XEQ930"/>
      <c r="XER930"/>
      <c r="XES930"/>
      <c r="XET930"/>
      <c r="XEU930"/>
      <c r="XEV930"/>
      <c r="XEW930"/>
      <c r="XEX930"/>
      <c r="XEY930"/>
      <c r="XEZ930"/>
      <c r="XFA930"/>
      <c r="XFB930"/>
      <c r="XFC930"/>
    </row>
    <row r="931" spans="1:20 16329:16383" s="38" customFormat="1" ht="29.1" customHeight="1" outlineLevel="5" x14ac:dyDescent="0.25">
      <c r="A931" s="49" t="s">
        <v>1784</v>
      </c>
      <c r="B931" s="50"/>
      <c r="C931" s="50"/>
      <c r="D931" s="3" t="s">
        <v>1628</v>
      </c>
      <c r="E931" s="3"/>
      <c r="F931" s="51"/>
      <c r="G931" s="50" t="s">
        <v>102</v>
      </c>
      <c r="H931" s="52">
        <f>1</f>
        <v>1</v>
      </c>
      <c r="I931" s="36"/>
      <c r="J931" s="52">
        <v>1</v>
      </c>
      <c r="K931" s="53">
        <f>0</f>
        <v>0</v>
      </c>
      <c r="L931" s="53">
        <f>0</f>
        <v>0</v>
      </c>
      <c r="M931" s="53">
        <f>0</f>
        <v>0</v>
      </c>
      <c r="N931" s="54">
        <f t="shared" si="119"/>
        <v>0</v>
      </c>
      <c r="O931" s="54">
        <f t="shared" si="120"/>
        <v>0</v>
      </c>
      <c r="P931" s="54">
        <f t="shared" si="121"/>
        <v>0</v>
      </c>
      <c r="Q931" s="54">
        <f t="shared" si="122"/>
        <v>0</v>
      </c>
      <c r="R931" s="54">
        <f t="shared" si="123"/>
        <v>0</v>
      </c>
      <c r="S931" s="54"/>
      <c r="T931" s="36"/>
      <c r="XDA931"/>
      <c r="XDB931"/>
      <c r="XDC931"/>
      <c r="XDD931"/>
      <c r="XDE931"/>
      <c r="XDF931"/>
      <c r="XDG931"/>
      <c r="XDH931"/>
      <c r="XDI931"/>
      <c r="XDJ931"/>
      <c r="XDK931"/>
      <c r="XDL931"/>
      <c r="XDM931"/>
      <c r="XDN931"/>
      <c r="XDO931"/>
      <c r="XDP931"/>
      <c r="XDQ931"/>
      <c r="XDR931"/>
      <c r="XDS931"/>
      <c r="XDT931"/>
      <c r="XDU931"/>
      <c r="XDV931"/>
      <c r="XDW931"/>
      <c r="XDX931"/>
      <c r="XDY931"/>
      <c r="XDZ931"/>
      <c r="XEA931"/>
      <c r="XEB931"/>
      <c r="XEC931"/>
      <c r="XED931"/>
      <c r="XEE931"/>
      <c r="XEF931"/>
      <c r="XEG931"/>
      <c r="XEH931"/>
      <c r="XEI931"/>
      <c r="XEJ931"/>
      <c r="XEK931"/>
      <c r="XEL931"/>
      <c r="XEM931"/>
      <c r="XEN931"/>
      <c r="XEO931"/>
      <c r="XEP931"/>
      <c r="XEQ931"/>
      <c r="XER931"/>
      <c r="XES931"/>
      <c r="XET931"/>
      <c r="XEU931"/>
      <c r="XEV931"/>
      <c r="XEW931"/>
      <c r="XEX931"/>
      <c r="XEY931"/>
      <c r="XEZ931"/>
      <c r="XFA931"/>
      <c r="XFB931"/>
      <c r="XFC931"/>
    </row>
    <row r="932" spans="1:20 16329:16383" s="38" customFormat="1" ht="29.1" customHeight="1" outlineLevel="5" x14ac:dyDescent="0.25">
      <c r="A932" s="49" t="s">
        <v>1785</v>
      </c>
      <c r="B932" s="50"/>
      <c r="C932" s="50"/>
      <c r="D932" s="3" t="s">
        <v>1630</v>
      </c>
      <c r="E932" s="3"/>
      <c r="F932" s="51"/>
      <c r="G932" s="50" t="s">
        <v>102</v>
      </c>
      <c r="H932" s="52">
        <f>1</f>
        <v>1</v>
      </c>
      <c r="I932" s="36"/>
      <c r="J932" s="52">
        <v>1</v>
      </c>
      <c r="K932" s="53">
        <f>0</f>
        <v>0</v>
      </c>
      <c r="L932" s="53">
        <f>0</f>
        <v>0</v>
      </c>
      <c r="M932" s="53">
        <f>0</f>
        <v>0</v>
      </c>
      <c r="N932" s="54">
        <f t="shared" si="119"/>
        <v>0</v>
      </c>
      <c r="O932" s="54">
        <f t="shared" si="120"/>
        <v>0</v>
      </c>
      <c r="P932" s="54">
        <f t="shared" si="121"/>
        <v>0</v>
      </c>
      <c r="Q932" s="54">
        <f t="shared" si="122"/>
        <v>0</v>
      </c>
      <c r="R932" s="54">
        <f t="shared" si="123"/>
        <v>0</v>
      </c>
      <c r="S932" s="54"/>
      <c r="T932" s="36"/>
      <c r="XDA932"/>
      <c r="XDB932"/>
      <c r="XDC932"/>
      <c r="XDD932"/>
      <c r="XDE932"/>
      <c r="XDF932"/>
      <c r="XDG932"/>
      <c r="XDH932"/>
      <c r="XDI932"/>
      <c r="XDJ932"/>
      <c r="XDK932"/>
      <c r="XDL932"/>
      <c r="XDM932"/>
      <c r="XDN932"/>
      <c r="XDO932"/>
      <c r="XDP932"/>
      <c r="XDQ932"/>
      <c r="XDR932"/>
      <c r="XDS932"/>
      <c r="XDT932"/>
      <c r="XDU932"/>
      <c r="XDV932"/>
      <c r="XDW932"/>
      <c r="XDX932"/>
      <c r="XDY932"/>
      <c r="XDZ932"/>
      <c r="XEA932"/>
      <c r="XEB932"/>
      <c r="XEC932"/>
      <c r="XED932"/>
      <c r="XEE932"/>
      <c r="XEF932"/>
      <c r="XEG932"/>
      <c r="XEH932"/>
      <c r="XEI932"/>
      <c r="XEJ932"/>
      <c r="XEK932"/>
      <c r="XEL932"/>
      <c r="XEM932"/>
      <c r="XEN932"/>
      <c r="XEO932"/>
      <c r="XEP932"/>
      <c r="XEQ932"/>
      <c r="XER932"/>
      <c r="XES932"/>
      <c r="XET932"/>
      <c r="XEU932"/>
      <c r="XEV932"/>
      <c r="XEW932"/>
      <c r="XEX932"/>
      <c r="XEY932"/>
      <c r="XEZ932"/>
      <c r="XFA932"/>
      <c r="XFB932"/>
      <c r="XFC932"/>
    </row>
    <row r="933" spans="1:20 16329:16383" s="38" customFormat="1" ht="29.1" customHeight="1" outlineLevel="5" x14ac:dyDescent="0.25">
      <c r="A933" s="49" t="s">
        <v>1786</v>
      </c>
      <c r="B933" s="50"/>
      <c r="C933" s="50"/>
      <c r="D933" s="3" t="s">
        <v>1632</v>
      </c>
      <c r="E933" s="3"/>
      <c r="F933" s="51"/>
      <c r="G933" s="50" t="s">
        <v>102</v>
      </c>
      <c r="H933" s="52">
        <f>1</f>
        <v>1</v>
      </c>
      <c r="I933" s="36"/>
      <c r="J933" s="52">
        <v>1</v>
      </c>
      <c r="K933" s="53">
        <f>0</f>
        <v>0</v>
      </c>
      <c r="L933" s="53">
        <f>0</f>
        <v>0</v>
      </c>
      <c r="M933" s="53">
        <f>0</f>
        <v>0</v>
      </c>
      <c r="N933" s="54">
        <f t="shared" si="119"/>
        <v>0</v>
      </c>
      <c r="O933" s="54">
        <f t="shared" si="120"/>
        <v>0</v>
      </c>
      <c r="P933" s="54">
        <f t="shared" si="121"/>
        <v>0</v>
      </c>
      <c r="Q933" s="54">
        <f t="shared" si="122"/>
        <v>0</v>
      </c>
      <c r="R933" s="54">
        <f t="shared" si="123"/>
        <v>0</v>
      </c>
      <c r="S933" s="54"/>
      <c r="T933" s="36"/>
      <c r="XDA933"/>
      <c r="XDB933"/>
      <c r="XDC933"/>
      <c r="XDD933"/>
      <c r="XDE933"/>
      <c r="XDF933"/>
      <c r="XDG933"/>
      <c r="XDH933"/>
      <c r="XDI933"/>
      <c r="XDJ933"/>
      <c r="XDK933"/>
      <c r="XDL933"/>
      <c r="XDM933"/>
      <c r="XDN933"/>
      <c r="XDO933"/>
      <c r="XDP933"/>
      <c r="XDQ933"/>
      <c r="XDR933"/>
      <c r="XDS933"/>
      <c r="XDT933"/>
      <c r="XDU933"/>
      <c r="XDV933"/>
      <c r="XDW933"/>
      <c r="XDX933"/>
      <c r="XDY933"/>
      <c r="XDZ933"/>
      <c r="XEA933"/>
      <c r="XEB933"/>
      <c r="XEC933"/>
      <c r="XED933"/>
      <c r="XEE933"/>
      <c r="XEF933"/>
      <c r="XEG933"/>
      <c r="XEH933"/>
      <c r="XEI933"/>
      <c r="XEJ933"/>
      <c r="XEK933"/>
      <c r="XEL933"/>
      <c r="XEM933"/>
      <c r="XEN933"/>
      <c r="XEO933"/>
      <c r="XEP933"/>
      <c r="XEQ933"/>
      <c r="XER933"/>
      <c r="XES933"/>
      <c r="XET933"/>
      <c r="XEU933"/>
      <c r="XEV933"/>
      <c r="XEW933"/>
      <c r="XEX933"/>
      <c r="XEY933"/>
      <c r="XEZ933"/>
      <c r="XFA933"/>
      <c r="XFB933"/>
      <c r="XFC933"/>
    </row>
    <row r="934" spans="1:20 16329:16383" s="38" customFormat="1" ht="29.1" customHeight="1" outlineLevel="5" x14ac:dyDescent="0.25">
      <c r="A934" s="49" t="s">
        <v>1787</v>
      </c>
      <c r="B934" s="50"/>
      <c r="C934" s="50"/>
      <c r="D934" s="3" t="s">
        <v>1634</v>
      </c>
      <c r="E934" s="3"/>
      <c r="F934" s="51"/>
      <c r="G934" s="50" t="s">
        <v>102</v>
      </c>
      <c r="H934" s="52">
        <f>1</f>
        <v>1</v>
      </c>
      <c r="I934" s="36"/>
      <c r="J934" s="52">
        <v>1</v>
      </c>
      <c r="K934" s="53">
        <f>0</f>
        <v>0</v>
      </c>
      <c r="L934" s="53">
        <f>0</f>
        <v>0</v>
      </c>
      <c r="M934" s="53">
        <f>0</f>
        <v>0</v>
      </c>
      <c r="N934" s="54">
        <f t="shared" si="119"/>
        <v>0</v>
      </c>
      <c r="O934" s="54">
        <f t="shared" si="120"/>
        <v>0</v>
      </c>
      <c r="P934" s="54">
        <f t="shared" si="121"/>
        <v>0</v>
      </c>
      <c r="Q934" s="54">
        <f t="shared" si="122"/>
        <v>0</v>
      </c>
      <c r="R934" s="54">
        <f t="shared" si="123"/>
        <v>0</v>
      </c>
      <c r="S934" s="54"/>
      <c r="T934" s="36"/>
      <c r="XDA934"/>
      <c r="XDB934"/>
      <c r="XDC934"/>
      <c r="XDD934"/>
      <c r="XDE934"/>
      <c r="XDF934"/>
      <c r="XDG934"/>
      <c r="XDH934"/>
      <c r="XDI934"/>
      <c r="XDJ934"/>
      <c r="XDK934"/>
      <c r="XDL934"/>
      <c r="XDM934"/>
      <c r="XDN934"/>
      <c r="XDO934"/>
      <c r="XDP934"/>
      <c r="XDQ934"/>
      <c r="XDR934"/>
      <c r="XDS934"/>
      <c r="XDT934"/>
      <c r="XDU934"/>
      <c r="XDV934"/>
      <c r="XDW934"/>
      <c r="XDX934"/>
      <c r="XDY934"/>
      <c r="XDZ934"/>
      <c r="XEA934"/>
      <c r="XEB934"/>
      <c r="XEC934"/>
      <c r="XED934"/>
      <c r="XEE934"/>
      <c r="XEF934"/>
      <c r="XEG934"/>
      <c r="XEH934"/>
      <c r="XEI934"/>
      <c r="XEJ934"/>
      <c r="XEK934"/>
      <c r="XEL934"/>
      <c r="XEM934"/>
      <c r="XEN934"/>
      <c r="XEO934"/>
      <c r="XEP934"/>
      <c r="XEQ934"/>
      <c r="XER934"/>
      <c r="XES934"/>
      <c r="XET934"/>
      <c r="XEU934"/>
      <c r="XEV934"/>
      <c r="XEW934"/>
      <c r="XEX934"/>
      <c r="XEY934"/>
      <c r="XEZ934"/>
      <c r="XFA934"/>
      <c r="XFB934"/>
      <c r="XFC934"/>
    </row>
    <row r="935" spans="1:20 16329:16383" s="38" customFormat="1" ht="29.1" customHeight="1" outlineLevel="5" x14ac:dyDescent="0.25">
      <c r="A935" s="49" t="s">
        <v>1788</v>
      </c>
      <c r="B935" s="50"/>
      <c r="C935" s="50"/>
      <c r="D935" s="3" t="s">
        <v>1636</v>
      </c>
      <c r="E935" s="3"/>
      <c r="F935" s="51"/>
      <c r="G935" s="50" t="s">
        <v>102</v>
      </c>
      <c r="H935" s="52">
        <f>1</f>
        <v>1</v>
      </c>
      <c r="I935" s="36"/>
      <c r="J935" s="52">
        <v>1</v>
      </c>
      <c r="K935" s="53">
        <f>0</f>
        <v>0</v>
      </c>
      <c r="L935" s="53">
        <f>0</f>
        <v>0</v>
      </c>
      <c r="M935" s="53">
        <f>0</f>
        <v>0</v>
      </c>
      <c r="N935" s="54">
        <f t="shared" si="119"/>
        <v>0</v>
      </c>
      <c r="O935" s="54">
        <f t="shared" si="120"/>
        <v>0</v>
      </c>
      <c r="P935" s="54">
        <f t="shared" si="121"/>
        <v>0</v>
      </c>
      <c r="Q935" s="54">
        <f t="shared" si="122"/>
        <v>0</v>
      </c>
      <c r="R935" s="54">
        <f t="shared" si="123"/>
        <v>0</v>
      </c>
      <c r="S935" s="54"/>
      <c r="T935" s="36"/>
      <c r="XDA935"/>
      <c r="XDB935"/>
      <c r="XDC935"/>
      <c r="XDD935"/>
      <c r="XDE935"/>
      <c r="XDF935"/>
      <c r="XDG935"/>
      <c r="XDH935"/>
      <c r="XDI935"/>
      <c r="XDJ935"/>
      <c r="XDK935"/>
      <c r="XDL935"/>
      <c r="XDM935"/>
      <c r="XDN935"/>
      <c r="XDO935"/>
      <c r="XDP935"/>
      <c r="XDQ935"/>
      <c r="XDR935"/>
      <c r="XDS935"/>
      <c r="XDT935"/>
      <c r="XDU935"/>
      <c r="XDV935"/>
      <c r="XDW935"/>
      <c r="XDX935"/>
      <c r="XDY935"/>
      <c r="XDZ935"/>
      <c r="XEA935"/>
      <c r="XEB935"/>
      <c r="XEC935"/>
      <c r="XED935"/>
      <c r="XEE935"/>
      <c r="XEF935"/>
      <c r="XEG935"/>
      <c r="XEH935"/>
      <c r="XEI935"/>
      <c r="XEJ935"/>
      <c r="XEK935"/>
      <c r="XEL935"/>
      <c r="XEM935"/>
      <c r="XEN935"/>
      <c r="XEO935"/>
      <c r="XEP935"/>
      <c r="XEQ935"/>
      <c r="XER935"/>
      <c r="XES935"/>
      <c r="XET935"/>
      <c r="XEU935"/>
      <c r="XEV935"/>
      <c r="XEW935"/>
      <c r="XEX935"/>
      <c r="XEY935"/>
      <c r="XEZ935"/>
      <c r="XFA935"/>
      <c r="XFB935"/>
      <c r="XFC935"/>
    </row>
    <row r="936" spans="1:20 16329:16383" s="38" customFormat="1" ht="29.1" customHeight="1" outlineLevel="5" x14ac:dyDescent="0.25">
      <c r="A936" s="49" t="s">
        <v>1789</v>
      </c>
      <c r="B936" s="50"/>
      <c r="C936" s="50"/>
      <c r="D936" s="3" t="s">
        <v>1638</v>
      </c>
      <c r="E936" s="3"/>
      <c r="F936" s="51"/>
      <c r="G936" s="50" t="s">
        <v>102</v>
      </c>
      <c r="H936" s="52">
        <f>1</f>
        <v>1</v>
      </c>
      <c r="I936" s="36"/>
      <c r="J936" s="52">
        <v>1</v>
      </c>
      <c r="K936" s="53">
        <f>0</f>
        <v>0</v>
      </c>
      <c r="L936" s="53">
        <f>0</f>
        <v>0</v>
      </c>
      <c r="M936" s="53">
        <f>0</f>
        <v>0</v>
      </c>
      <c r="N936" s="54">
        <f t="shared" si="119"/>
        <v>0</v>
      </c>
      <c r="O936" s="54">
        <f t="shared" si="120"/>
        <v>0</v>
      </c>
      <c r="P936" s="54">
        <f t="shared" si="121"/>
        <v>0</v>
      </c>
      <c r="Q936" s="54">
        <f t="shared" si="122"/>
        <v>0</v>
      </c>
      <c r="R936" s="54">
        <f t="shared" si="123"/>
        <v>0</v>
      </c>
      <c r="S936" s="54"/>
      <c r="T936" s="36"/>
      <c r="XDA936"/>
      <c r="XDB936"/>
      <c r="XDC936"/>
      <c r="XDD936"/>
      <c r="XDE936"/>
      <c r="XDF936"/>
      <c r="XDG936"/>
      <c r="XDH936"/>
      <c r="XDI936"/>
      <c r="XDJ936"/>
      <c r="XDK936"/>
      <c r="XDL936"/>
      <c r="XDM936"/>
      <c r="XDN936"/>
      <c r="XDO936"/>
      <c r="XDP936"/>
      <c r="XDQ936"/>
      <c r="XDR936"/>
      <c r="XDS936"/>
      <c r="XDT936"/>
      <c r="XDU936"/>
      <c r="XDV936"/>
      <c r="XDW936"/>
      <c r="XDX936"/>
      <c r="XDY936"/>
      <c r="XDZ936"/>
      <c r="XEA936"/>
      <c r="XEB936"/>
      <c r="XEC936"/>
      <c r="XED936"/>
      <c r="XEE936"/>
      <c r="XEF936"/>
      <c r="XEG936"/>
      <c r="XEH936"/>
      <c r="XEI936"/>
      <c r="XEJ936"/>
      <c r="XEK936"/>
      <c r="XEL936"/>
      <c r="XEM936"/>
      <c r="XEN936"/>
      <c r="XEO936"/>
      <c r="XEP936"/>
      <c r="XEQ936"/>
      <c r="XER936"/>
      <c r="XES936"/>
      <c r="XET936"/>
      <c r="XEU936"/>
      <c r="XEV936"/>
      <c r="XEW936"/>
      <c r="XEX936"/>
      <c r="XEY936"/>
      <c r="XEZ936"/>
      <c r="XFA936"/>
      <c r="XFB936"/>
      <c r="XFC936"/>
    </row>
    <row r="937" spans="1:20 16329:16383" s="38" customFormat="1" ht="29.1" customHeight="1" outlineLevel="5" x14ac:dyDescent="0.25">
      <c r="A937" s="49" t="s">
        <v>1790</v>
      </c>
      <c r="B937" s="50"/>
      <c r="C937" s="50"/>
      <c r="D937" s="3" t="s">
        <v>1632</v>
      </c>
      <c r="E937" s="3"/>
      <c r="F937" s="51"/>
      <c r="G937" s="50" t="s">
        <v>102</v>
      </c>
      <c r="H937" s="52">
        <f>1</f>
        <v>1</v>
      </c>
      <c r="I937" s="36"/>
      <c r="J937" s="52">
        <v>1</v>
      </c>
      <c r="K937" s="53">
        <f>0</f>
        <v>0</v>
      </c>
      <c r="L937" s="53">
        <f>0</f>
        <v>0</v>
      </c>
      <c r="M937" s="53">
        <f>0</f>
        <v>0</v>
      </c>
      <c r="N937" s="54">
        <f t="shared" si="119"/>
        <v>0</v>
      </c>
      <c r="O937" s="54">
        <f t="shared" si="120"/>
        <v>0</v>
      </c>
      <c r="P937" s="54">
        <f t="shared" si="121"/>
        <v>0</v>
      </c>
      <c r="Q937" s="54">
        <f t="shared" si="122"/>
        <v>0</v>
      </c>
      <c r="R937" s="54">
        <f t="shared" si="123"/>
        <v>0</v>
      </c>
      <c r="S937" s="54"/>
      <c r="T937" s="36"/>
      <c r="XDA937"/>
      <c r="XDB937"/>
      <c r="XDC937"/>
      <c r="XDD937"/>
      <c r="XDE937"/>
      <c r="XDF937"/>
      <c r="XDG937"/>
      <c r="XDH937"/>
      <c r="XDI937"/>
      <c r="XDJ937"/>
      <c r="XDK937"/>
      <c r="XDL937"/>
      <c r="XDM937"/>
      <c r="XDN937"/>
      <c r="XDO937"/>
      <c r="XDP937"/>
      <c r="XDQ937"/>
      <c r="XDR937"/>
      <c r="XDS937"/>
      <c r="XDT937"/>
      <c r="XDU937"/>
      <c r="XDV937"/>
      <c r="XDW937"/>
      <c r="XDX937"/>
      <c r="XDY937"/>
      <c r="XDZ937"/>
      <c r="XEA937"/>
      <c r="XEB937"/>
      <c r="XEC937"/>
      <c r="XED937"/>
      <c r="XEE937"/>
      <c r="XEF937"/>
      <c r="XEG937"/>
      <c r="XEH937"/>
      <c r="XEI937"/>
      <c r="XEJ937"/>
      <c r="XEK937"/>
      <c r="XEL937"/>
      <c r="XEM937"/>
      <c r="XEN937"/>
      <c r="XEO937"/>
      <c r="XEP937"/>
      <c r="XEQ937"/>
      <c r="XER937"/>
      <c r="XES937"/>
      <c r="XET937"/>
      <c r="XEU937"/>
      <c r="XEV937"/>
      <c r="XEW937"/>
      <c r="XEX937"/>
      <c r="XEY937"/>
      <c r="XEZ937"/>
      <c r="XFA937"/>
      <c r="XFB937"/>
      <c r="XFC937"/>
    </row>
    <row r="938" spans="1:20 16329:16383" s="38" customFormat="1" ht="29.1" customHeight="1" outlineLevel="5" x14ac:dyDescent="0.25">
      <c r="A938" s="49" t="s">
        <v>1791</v>
      </c>
      <c r="B938" s="50"/>
      <c r="C938" s="50"/>
      <c r="D938" s="3" t="s">
        <v>1641</v>
      </c>
      <c r="E938" s="3"/>
      <c r="F938" s="51"/>
      <c r="G938" s="50" t="s">
        <v>102</v>
      </c>
      <c r="H938" s="52">
        <f>1</f>
        <v>1</v>
      </c>
      <c r="I938" s="36"/>
      <c r="J938" s="52">
        <v>1</v>
      </c>
      <c r="K938" s="53">
        <f>0</f>
        <v>0</v>
      </c>
      <c r="L938" s="53">
        <f>0</f>
        <v>0</v>
      </c>
      <c r="M938" s="53">
        <f>0</f>
        <v>0</v>
      </c>
      <c r="N938" s="54">
        <f t="shared" si="119"/>
        <v>0</v>
      </c>
      <c r="O938" s="54">
        <f t="shared" si="120"/>
        <v>0</v>
      </c>
      <c r="P938" s="54">
        <f t="shared" si="121"/>
        <v>0</v>
      </c>
      <c r="Q938" s="54">
        <f t="shared" si="122"/>
        <v>0</v>
      </c>
      <c r="R938" s="54">
        <f t="shared" si="123"/>
        <v>0</v>
      </c>
      <c r="S938" s="54"/>
      <c r="T938" s="36"/>
      <c r="XDA938"/>
      <c r="XDB938"/>
      <c r="XDC938"/>
      <c r="XDD938"/>
      <c r="XDE938"/>
      <c r="XDF938"/>
      <c r="XDG938"/>
      <c r="XDH938"/>
      <c r="XDI938"/>
      <c r="XDJ938"/>
      <c r="XDK938"/>
      <c r="XDL938"/>
      <c r="XDM938"/>
      <c r="XDN938"/>
      <c r="XDO938"/>
      <c r="XDP938"/>
      <c r="XDQ938"/>
      <c r="XDR938"/>
      <c r="XDS938"/>
      <c r="XDT938"/>
      <c r="XDU938"/>
      <c r="XDV938"/>
      <c r="XDW938"/>
      <c r="XDX938"/>
      <c r="XDY938"/>
      <c r="XDZ938"/>
      <c r="XEA938"/>
      <c r="XEB938"/>
      <c r="XEC938"/>
      <c r="XED938"/>
      <c r="XEE938"/>
      <c r="XEF938"/>
      <c r="XEG938"/>
      <c r="XEH938"/>
      <c r="XEI938"/>
      <c r="XEJ938"/>
      <c r="XEK938"/>
      <c r="XEL938"/>
      <c r="XEM938"/>
      <c r="XEN938"/>
      <c r="XEO938"/>
      <c r="XEP938"/>
      <c r="XEQ938"/>
      <c r="XER938"/>
      <c r="XES938"/>
      <c r="XET938"/>
      <c r="XEU938"/>
      <c r="XEV938"/>
      <c r="XEW938"/>
      <c r="XEX938"/>
      <c r="XEY938"/>
      <c r="XEZ938"/>
      <c r="XFA938"/>
      <c r="XFB938"/>
      <c r="XFC938"/>
    </row>
    <row r="939" spans="1:20 16329:16383" s="38" customFormat="1" ht="29.1" customHeight="1" outlineLevel="4" x14ac:dyDescent="0.25">
      <c r="A939" s="60" t="s">
        <v>1792</v>
      </c>
      <c r="B939" s="61" t="s">
        <v>1793</v>
      </c>
      <c r="C939" s="61"/>
      <c r="D939" s="1" t="s">
        <v>1794</v>
      </c>
      <c r="E939" s="1"/>
      <c r="F939" s="62"/>
      <c r="G939" s="61"/>
      <c r="H939" s="63"/>
      <c r="I939" s="36"/>
      <c r="J939" s="63"/>
      <c r="K939" s="64"/>
      <c r="L939" s="64"/>
      <c r="M939" s="64"/>
      <c r="N939" s="64"/>
      <c r="O939" s="64">
        <f>SUM(O940:O949)</f>
        <v>0</v>
      </c>
      <c r="P939" s="64">
        <f>SUM(P940:P949)</f>
        <v>0</v>
      </c>
      <c r="Q939" s="64">
        <f>SUM(Q940:Q949)</f>
        <v>0</v>
      </c>
      <c r="R939" s="64">
        <f>SUM(R940:R949)</f>
        <v>0</v>
      </c>
      <c r="S939" s="64"/>
      <c r="T939" s="36"/>
      <c r="XDA939"/>
      <c r="XDB939"/>
      <c r="XDC939"/>
      <c r="XDD939"/>
      <c r="XDE939"/>
      <c r="XDF939"/>
      <c r="XDG939"/>
      <c r="XDH939"/>
      <c r="XDI939"/>
      <c r="XDJ939"/>
      <c r="XDK939"/>
      <c r="XDL939"/>
      <c r="XDM939"/>
      <c r="XDN939"/>
      <c r="XDO939"/>
      <c r="XDP939"/>
      <c r="XDQ939"/>
      <c r="XDR939"/>
      <c r="XDS939"/>
      <c r="XDT939"/>
      <c r="XDU939"/>
      <c r="XDV939"/>
      <c r="XDW939"/>
      <c r="XDX939"/>
      <c r="XDY939"/>
      <c r="XDZ939"/>
      <c r="XEA939"/>
      <c r="XEB939"/>
      <c r="XEC939"/>
      <c r="XED939"/>
      <c r="XEE939"/>
      <c r="XEF939"/>
      <c r="XEG939"/>
      <c r="XEH939"/>
      <c r="XEI939"/>
      <c r="XEJ939"/>
      <c r="XEK939"/>
      <c r="XEL939"/>
      <c r="XEM939"/>
      <c r="XEN939"/>
      <c r="XEO939"/>
      <c r="XEP939"/>
      <c r="XEQ939"/>
      <c r="XER939"/>
      <c r="XES939"/>
      <c r="XET939"/>
      <c r="XEU939"/>
      <c r="XEV939"/>
      <c r="XEW939"/>
      <c r="XEX939"/>
      <c r="XEY939"/>
      <c r="XEZ939"/>
      <c r="XFA939"/>
      <c r="XFB939"/>
      <c r="XFC939"/>
    </row>
    <row r="940" spans="1:20 16329:16383" s="38" customFormat="1" ht="29.1" customHeight="1" outlineLevel="5" x14ac:dyDescent="0.25">
      <c r="A940" s="49" t="s">
        <v>1795</v>
      </c>
      <c r="B940" s="50"/>
      <c r="C940" s="50"/>
      <c r="D940" s="3" t="s">
        <v>1646</v>
      </c>
      <c r="E940" s="3"/>
      <c r="F940" s="51"/>
      <c r="G940" s="50" t="s">
        <v>102</v>
      </c>
      <c r="H940" s="52">
        <f>1</f>
        <v>1</v>
      </c>
      <c r="I940" s="36"/>
      <c r="J940" s="52">
        <v>1</v>
      </c>
      <c r="K940" s="53">
        <f>0</f>
        <v>0</v>
      </c>
      <c r="L940" s="53">
        <f>0</f>
        <v>0</v>
      </c>
      <c r="M940" s="53">
        <f>0</f>
        <v>0</v>
      </c>
      <c r="N940" s="54">
        <f t="shared" ref="N940:N949" si="124">SUM(K940:M940)</f>
        <v>0</v>
      </c>
      <c r="O940" s="54">
        <f t="shared" ref="O940:O949" si="125">ROUND((H940*K940),2)</f>
        <v>0</v>
      </c>
      <c r="P940" s="54">
        <f t="shared" ref="P940:P949" si="126">ROUND((H940*L940),2)</f>
        <v>0</v>
      </c>
      <c r="Q940" s="54">
        <f t="shared" ref="Q940:Q949" si="127">ROUND((H940*M940),2)</f>
        <v>0</v>
      </c>
      <c r="R940" s="54">
        <f t="shared" ref="R940:R949" si="128">ROUND((H940*N940),2)</f>
        <v>0</v>
      </c>
      <c r="S940" s="54"/>
      <c r="T940" s="36"/>
      <c r="XDA940"/>
      <c r="XDB940"/>
      <c r="XDC940"/>
      <c r="XDD940"/>
      <c r="XDE940"/>
      <c r="XDF940"/>
      <c r="XDG940"/>
      <c r="XDH940"/>
      <c r="XDI940"/>
      <c r="XDJ940"/>
      <c r="XDK940"/>
      <c r="XDL940"/>
      <c r="XDM940"/>
      <c r="XDN940"/>
      <c r="XDO940"/>
      <c r="XDP940"/>
      <c r="XDQ940"/>
      <c r="XDR940"/>
      <c r="XDS940"/>
      <c r="XDT940"/>
      <c r="XDU940"/>
      <c r="XDV940"/>
      <c r="XDW940"/>
      <c r="XDX940"/>
      <c r="XDY940"/>
      <c r="XDZ940"/>
      <c r="XEA940"/>
      <c r="XEB940"/>
      <c r="XEC940"/>
      <c r="XED940"/>
      <c r="XEE940"/>
      <c r="XEF940"/>
      <c r="XEG940"/>
      <c r="XEH940"/>
      <c r="XEI940"/>
      <c r="XEJ940"/>
      <c r="XEK940"/>
      <c r="XEL940"/>
      <c r="XEM940"/>
      <c r="XEN940"/>
      <c r="XEO940"/>
      <c r="XEP940"/>
      <c r="XEQ940"/>
      <c r="XER940"/>
      <c r="XES940"/>
      <c r="XET940"/>
      <c r="XEU940"/>
      <c r="XEV940"/>
      <c r="XEW940"/>
      <c r="XEX940"/>
      <c r="XEY940"/>
      <c r="XEZ940"/>
      <c r="XFA940"/>
      <c r="XFB940"/>
      <c r="XFC940"/>
    </row>
    <row r="941" spans="1:20 16329:16383" s="38" customFormat="1" ht="29.1" customHeight="1" outlineLevel="5" x14ac:dyDescent="0.25">
      <c r="A941" s="49" t="s">
        <v>1796</v>
      </c>
      <c r="B941" s="50"/>
      <c r="C941" s="50"/>
      <c r="D941" s="3" t="s">
        <v>1648</v>
      </c>
      <c r="E941" s="3"/>
      <c r="F941" s="51"/>
      <c r="G941" s="50" t="s">
        <v>102</v>
      </c>
      <c r="H941" s="52">
        <f>1</f>
        <v>1</v>
      </c>
      <c r="I941" s="36"/>
      <c r="J941" s="52">
        <v>1</v>
      </c>
      <c r="K941" s="53">
        <f>0</f>
        <v>0</v>
      </c>
      <c r="L941" s="53">
        <f>0</f>
        <v>0</v>
      </c>
      <c r="M941" s="53">
        <f>0</f>
        <v>0</v>
      </c>
      <c r="N941" s="54">
        <f t="shared" si="124"/>
        <v>0</v>
      </c>
      <c r="O941" s="54">
        <f t="shared" si="125"/>
        <v>0</v>
      </c>
      <c r="P941" s="54">
        <f t="shared" si="126"/>
        <v>0</v>
      </c>
      <c r="Q941" s="54">
        <f t="shared" si="127"/>
        <v>0</v>
      </c>
      <c r="R941" s="54">
        <f t="shared" si="128"/>
        <v>0</v>
      </c>
      <c r="S941" s="54"/>
      <c r="T941" s="36"/>
      <c r="XDA941"/>
      <c r="XDB941"/>
      <c r="XDC941"/>
      <c r="XDD941"/>
      <c r="XDE941"/>
      <c r="XDF941"/>
      <c r="XDG941"/>
      <c r="XDH941"/>
      <c r="XDI941"/>
      <c r="XDJ941"/>
      <c r="XDK941"/>
      <c r="XDL941"/>
      <c r="XDM941"/>
      <c r="XDN941"/>
      <c r="XDO941"/>
      <c r="XDP941"/>
      <c r="XDQ941"/>
      <c r="XDR941"/>
      <c r="XDS941"/>
      <c r="XDT941"/>
      <c r="XDU941"/>
      <c r="XDV941"/>
      <c r="XDW941"/>
      <c r="XDX941"/>
      <c r="XDY941"/>
      <c r="XDZ941"/>
      <c r="XEA941"/>
      <c r="XEB941"/>
      <c r="XEC941"/>
      <c r="XED941"/>
      <c r="XEE941"/>
      <c r="XEF941"/>
      <c r="XEG941"/>
      <c r="XEH941"/>
      <c r="XEI941"/>
      <c r="XEJ941"/>
      <c r="XEK941"/>
      <c r="XEL941"/>
      <c r="XEM941"/>
      <c r="XEN941"/>
      <c r="XEO941"/>
      <c r="XEP941"/>
      <c r="XEQ941"/>
      <c r="XER941"/>
      <c r="XES941"/>
      <c r="XET941"/>
      <c r="XEU941"/>
      <c r="XEV941"/>
      <c r="XEW941"/>
      <c r="XEX941"/>
      <c r="XEY941"/>
      <c r="XEZ941"/>
      <c r="XFA941"/>
      <c r="XFB941"/>
      <c r="XFC941"/>
    </row>
    <row r="942" spans="1:20 16329:16383" s="38" customFormat="1" ht="29.1" customHeight="1" outlineLevel="5" x14ac:dyDescent="0.25">
      <c r="A942" s="49" t="s">
        <v>1797</v>
      </c>
      <c r="B942" s="50"/>
      <c r="C942" s="50"/>
      <c r="D942" s="3" t="s">
        <v>1650</v>
      </c>
      <c r="E942" s="3"/>
      <c r="F942" s="51"/>
      <c r="G942" s="50" t="s">
        <v>102</v>
      </c>
      <c r="H942" s="52">
        <f>1</f>
        <v>1</v>
      </c>
      <c r="I942" s="36"/>
      <c r="J942" s="52">
        <v>1</v>
      </c>
      <c r="K942" s="53">
        <f>0</f>
        <v>0</v>
      </c>
      <c r="L942" s="53">
        <f>0</f>
        <v>0</v>
      </c>
      <c r="M942" s="53">
        <f>0</f>
        <v>0</v>
      </c>
      <c r="N942" s="54">
        <f t="shared" si="124"/>
        <v>0</v>
      </c>
      <c r="O942" s="54">
        <f t="shared" si="125"/>
        <v>0</v>
      </c>
      <c r="P942" s="54">
        <f t="shared" si="126"/>
        <v>0</v>
      </c>
      <c r="Q942" s="54">
        <f t="shared" si="127"/>
        <v>0</v>
      </c>
      <c r="R942" s="54">
        <f t="shared" si="128"/>
        <v>0</v>
      </c>
      <c r="S942" s="54"/>
      <c r="T942" s="36"/>
      <c r="XDA942"/>
      <c r="XDB942"/>
      <c r="XDC942"/>
      <c r="XDD942"/>
      <c r="XDE942"/>
      <c r="XDF942"/>
      <c r="XDG942"/>
      <c r="XDH942"/>
      <c r="XDI942"/>
      <c r="XDJ942"/>
      <c r="XDK942"/>
      <c r="XDL942"/>
      <c r="XDM942"/>
      <c r="XDN942"/>
      <c r="XDO942"/>
      <c r="XDP942"/>
      <c r="XDQ942"/>
      <c r="XDR942"/>
      <c r="XDS942"/>
      <c r="XDT942"/>
      <c r="XDU942"/>
      <c r="XDV942"/>
      <c r="XDW942"/>
      <c r="XDX942"/>
      <c r="XDY942"/>
      <c r="XDZ942"/>
      <c r="XEA942"/>
      <c r="XEB942"/>
      <c r="XEC942"/>
      <c r="XED942"/>
      <c r="XEE942"/>
      <c r="XEF942"/>
      <c r="XEG942"/>
      <c r="XEH942"/>
      <c r="XEI942"/>
      <c r="XEJ942"/>
      <c r="XEK942"/>
      <c r="XEL942"/>
      <c r="XEM942"/>
      <c r="XEN942"/>
      <c r="XEO942"/>
      <c r="XEP942"/>
      <c r="XEQ942"/>
      <c r="XER942"/>
      <c r="XES942"/>
      <c r="XET942"/>
      <c r="XEU942"/>
      <c r="XEV942"/>
      <c r="XEW942"/>
      <c r="XEX942"/>
      <c r="XEY942"/>
      <c r="XEZ942"/>
      <c r="XFA942"/>
      <c r="XFB942"/>
      <c r="XFC942"/>
    </row>
    <row r="943" spans="1:20 16329:16383" s="38" customFormat="1" ht="29.1" customHeight="1" outlineLevel="5" x14ac:dyDescent="0.25">
      <c r="A943" s="49" t="s">
        <v>1798</v>
      </c>
      <c r="B943" s="50"/>
      <c r="C943" s="50"/>
      <c r="D943" s="3" t="s">
        <v>1544</v>
      </c>
      <c r="E943" s="3"/>
      <c r="F943" s="51"/>
      <c r="G943" s="50" t="s">
        <v>102</v>
      </c>
      <c r="H943" s="52">
        <f>1</f>
        <v>1</v>
      </c>
      <c r="I943" s="36"/>
      <c r="J943" s="52">
        <v>1</v>
      </c>
      <c r="K943" s="53">
        <f>0</f>
        <v>0</v>
      </c>
      <c r="L943" s="53">
        <f>0</f>
        <v>0</v>
      </c>
      <c r="M943" s="53">
        <f>0</f>
        <v>0</v>
      </c>
      <c r="N943" s="54">
        <f t="shared" si="124"/>
        <v>0</v>
      </c>
      <c r="O943" s="54">
        <f t="shared" si="125"/>
        <v>0</v>
      </c>
      <c r="P943" s="54">
        <f t="shared" si="126"/>
        <v>0</v>
      </c>
      <c r="Q943" s="54">
        <f t="shared" si="127"/>
        <v>0</v>
      </c>
      <c r="R943" s="54">
        <f t="shared" si="128"/>
        <v>0</v>
      </c>
      <c r="S943" s="54"/>
      <c r="T943" s="36"/>
      <c r="XDA943"/>
      <c r="XDB943"/>
      <c r="XDC943"/>
      <c r="XDD943"/>
      <c r="XDE943"/>
      <c r="XDF943"/>
      <c r="XDG943"/>
      <c r="XDH943"/>
      <c r="XDI943"/>
      <c r="XDJ943"/>
      <c r="XDK943"/>
      <c r="XDL943"/>
      <c r="XDM943"/>
      <c r="XDN943"/>
      <c r="XDO943"/>
      <c r="XDP943"/>
      <c r="XDQ943"/>
      <c r="XDR943"/>
      <c r="XDS943"/>
      <c r="XDT943"/>
      <c r="XDU943"/>
      <c r="XDV943"/>
      <c r="XDW943"/>
      <c r="XDX943"/>
      <c r="XDY943"/>
      <c r="XDZ943"/>
      <c r="XEA943"/>
      <c r="XEB943"/>
      <c r="XEC943"/>
      <c r="XED943"/>
      <c r="XEE943"/>
      <c r="XEF943"/>
      <c r="XEG943"/>
      <c r="XEH943"/>
      <c r="XEI943"/>
      <c r="XEJ943"/>
      <c r="XEK943"/>
      <c r="XEL943"/>
      <c r="XEM943"/>
      <c r="XEN943"/>
      <c r="XEO943"/>
      <c r="XEP943"/>
      <c r="XEQ943"/>
      <c r="XER943"/>
      <c r="XES943"/>
      <c r="XET943"/>
      <c r="XEU943"/>
      <c r="XEV943"/>
      <c r="XEW943"/>
      <c r="XEX943"/>
      <c r="XEY943"/>
      <c r="XEZ943"/>
      <c r="XFA943"/>
      <c r="XFB943"/>
      <c r="XFC943"/>
    </row>
    <row r="944" spans="1:20 16329:16383" s="38" customFormat="1" ht="29.1" customHeight="1" outlineLevel="5" x14ac:dyDescent="0.25">
      <c r="A944" s="49" t="s">
        <v>1799</v>
      </c>
      <c r="B944" s="50"/>
      <c r="C944" s="50"/>
      <c r="D944" s="3" t="s">
        <v>1546</v>
      </c>
      <c r="E944" s="3"/>
      <c r="F944" s="51"/>
      <c r="G944" s="50" t="s">
        <v>102</v>
      </c>
      <c r="H944" s="52">
        <f>1</f>
        <v>1</v>
      </c>
      <c r="I944" s="36"/>
      <c r="J944" s="52">
        <v>1</v>
      </c>
      <c r="K944" s="53">
        <f>0</f>
        <v>0</v>
      </c>
      <c r="L944" s="53">
        <f>0</f>
        <v>0</v>
      </c>
      <c r="M944" s="53">
        <f>0</f>
        <v>0</v>
      </c>
      <c r="N944" s="54">
        <f t="shared" si="124"/>
        <v>0</v>
      </c>
      <c r="O944" s="54">
        <f t="shared" si="125"/>
        <v>0</v>
      </c>
      <c r="P944" s="54">
        <f t="shared" si="126"/>
        <v>0</v>
      </c>
      <c r="Q944" s="54">
        <f t="shared" si="127"/>
        <v>0</v>
      </c>
      <c r="R944" s="54">
        <f t="shared" si="128"/>
        <v>0</v>
      </c>
      <c r="S944" s="54"/>
      <c r="T944" s="36"/>
      <c r="XDA944"/>
      <c r="XDB944"/>
      <c r="XDC944"/>
      <c r="XDD944"/>
      <c r="XDE944"/>
      <c r="XDF944"/>
      <c r="XDG944"/>
      <c r="XDH944"/>
      <c r="XDI944"/>
      <c r="XDJ944"/>
      <c r="XDK944"/>
      <c r="XDL944"/>
      <c r="XDM944"/>
      <c r="XDN944"/>
      <c r="XDO944"/>
      <c r="XDP944"/>
      <c r="XDQ944"/>
      <c r="XDR944"/>
      <c r="XDS944"/>
      <c r="XDT944"/>
      <c r="XDU944"/>
      <c r="XDV944"/>
      <c r="XDW944"/>
      <c r="XDX944"/>
      <c r="XDY944"/>
      <c r="XDZ944"/>
      <c r="XEA944"/>
      <c r="XEB944"/>
      <c r="XEC944"/>
      <c r="XED944"/>
      <c r="XEE944"/>
      <c r="XEF944"/>
      <c r="XEG944"/>
      <c r="XEH944"/>
      <c r="XEI944"/>
      <c r="XEJ944"/>
      <c r="XEK944"/>
      <c r="XEL944"/>
      <c r="XEM944"/>
      <c r="XEN944"/>
      <c r="XEO944"/>
      <c r="XEP944"/>
      <c r="XEQ944"/>
      <c r="XER944"/>
      <c r="XES944"/>
      <c r="XET944"/>
      <c r="XEU944"/>
      <c r="XEV944"/>
      <c r="XEW944"/>
      <c r="XEX944"/>
      <c r="XEY944"/>
      <c r="XEZ944"/>
      <c r="XFA944"/>
      <c r="XFB944"/>
      <c r="XFC944"/>
    </row>
    <row r="945" spans="1:20 16329:16383" s="38" customFormat="1" ht="29.1" customHeight="1" outlineLevel="5" x14ac:dyDescent="0.25">
      <c r="A945" s="49" t="s">
        <v>1800</v>
      </c>
      <c r="B945" s="50"/>
      <c r="C945" s="50"/>
      <c r="D945" s="3" t="s">
        <v>1550</v>
      </c>
      <c r="E945" s="3"/>
      <c r="F945" s="51"/>
      <c r="G945" s="50" t="s">
        <v>102</v>
      </c>
      <c r="H945" s="52">
        <f>1</f>
        <v>1</v>
      </c>
      <c r="I945" s="36"/>
      <c r="J945" s="52">
        <v>1</v>
      </c>
      <c r="K945" s="53">
        <f>0</f>
        <v>0</v>
      </c>
      <c r="L945" s="53">
        <f>0</f>
        <v>0</v>
      </c>
      <c r="M945" s="53">
        <f>0</f>
        <v>0</v>
      </c>
      <c r="N945" s="54">
        <f t="shared" si="124"/>
        <v>0</v>
      </c>
      <c r="O945" s="54">
        <f t="shared" si="125"/>
        <v>0</v>
      </c>
      <c r="P945" s="54">
        <f t="shared" si="126"/>
        <v>0</v>
      </c>
      <c r="Q945" s="54">
        <f t="shared" si="127"/>
        <v>0</v>
      </c>
      <c r="R945" s="54">
        <f t="shared" si="128"/>
        <v>0</v>
      </c>
      <c r="S945" s="54"/>
      <c r="T945" s="36"/>
      <c r="XDA945"/>
      <c r="XDB945"/>
      <c r="XDC945"/>
      <c r="XDD945"/>
      <c r="XDE945"/>
      <c r="XDF945"/>
      <c r="XDG945"/>
      <c r="XDH945"/>
      <c r="XDI945"/>
      <c r="XDJ945"/>
      <c r="XDK945"/>
      <c r="XDL945"/>
      <c r="XDM945"/>
      <c r="XDN945"/>
      <c r="XDO945"/>
      <c r="XDP945"/>
      <c r="XDQ945"/>
      <c r="XDR945"/>
      <c r="XDS945"/>
      <c r="XDT945"/>
      <c r="XDU945"/>
      <c r="XDV945"/>
      <c r="XDW945"/>
      <c r="XDX945"/>
      <c r="XDY945"/>
      <c r="XDZ945"/>
      <c r="XEA945"/>
      <c r="XEB945"/>
      <c r="XEC945"/>
      <c r="XED945"/>
      <c r="XEE945"/>
      <c r="XEF945"/>
      <c r="XEG945"/>
      <c r="XEH945"/>
      <c r="XEI945"/>
      <c r="XEJ945"/>
      <c r="XEK945"/>
      <c r="XEL945"/>
      <c r="XEM945"/>
      <c r="XEN945"/>
      <c r="XEO945"/>
      <c r="XEP945"/>
      <c r="XEQ945"/>
      <c r="XER945"/>
      <c r="XES945"/>
      <c r="XET945"/>
      <c r="XEU945"/>
      <c r="XEV945"/>
      <c r="XEW945"/>
      <c r="XEX945"/>
      <c r="XEY945"/>
      <c r="XEZ945"/>
      <c r="XFA945"/>
      <c r="XFB945"/>
      <c r="XFC945"/>
    </row>
    <row r="946" spans="1:20 16329:16383" s="38" customFormat="1" ht="29.1" customHeight="1" outlineLevel="5" x14ac:dyDescent="0.25">
      <c r="A946" s="49" t="s">
        <v>1801</v>
      </c>
      <c r="B946" s="50"/>
      <c r="C946" s="50"/>
      <c r="D946" s="3" t="s">
        <v>1550</v>
      </c>
      <c r="E946" s="3"/>
      <c r="F946" s="51"/>
      <c r="G946" s="50" t="s">
        <v>102</v>
      </c>
      <c r="H946" s="52">
        <f>1</f>
        <v>1</v>
      </c>
      <c r="I946" s="36"/>
      <c r="J946" s="52">
        <v>1</v>
      </c>
      <c r="K946" s="53">
        <f>0</f>
        <v>0</v>
      </c>
      <c r="L946" s="53">
        <f>0</f>
        <v>0</v>
      </c>
      <c r="M946" s="53">
        <f>0</f>
        <v>0</v>
      </c>
      <c r="N946" s="54">
        <f t="shared" si="124"/>
        <v>0</v>
      </c>
      <c r="O946" s="54">
        <f t="shared" si="125"/>
        <v>0</v>
      </c>
      <c r="P946" s="54">
        <f t="shared" si="126"/>
        <v>0</v>
      </c>
      <c r="Q946" s="54">
        <f t="shared" si="127"/>
        <v>0</v>
      </c>
      <c r="R946" s="54">
        <f t="shared" si="128"/>
        <v>0</v>
      </c>
      <c r="S946" s="54"/>
      <c r="T946" s="36"/>
      <c r="XDA946"/>
      <c r="XDB946"/>
      <c r="XDC946"/>
      <c r="XDD946"/>
      <c r="XDE946"/>
      <c r="XDF946"/>
      <c r="XDG946"/>
      <c r="XDH946"/>
      <c r="XDI946"/>
      <c r="XDJ946"/>
      <c r="XDK946"/>
      <c r="XDL946"/>
      <c r="XDM946"/>
      <c r="XDN946"/>
      <c r="XDO946"/>
      <c r="XDP946"/>
      <c r="XDQ946"/>
      <c r="XDR946"/>
      <c r="XDS946"/>
      <c r="XDT946"/>
      <c r="XDU946"/>
      <c r="XDV946"/>
      <c r="XDW946"/>
      <c r="XDX946"/>
      <c r="XDY946"/>
      <c r="XDZ946"/>
      <c r="XEA946"/>
      <c r="XEB946"/>
      <c r="XEC946"/>
      <c r="XED946"/>
      <c r="XEE946"/>
      <c r="XEF946"/>
      <c r="XEG946"/>
      <c r="XEH946"/>
      <c r="XEI946"/>
      <c r="XEJ946"/>
      <c r="XEK946"/>
      <c r="XEL946"/>
      <c r="XEM946"/>
      <c r="XEN946"/>
      <c r="XEO946"/>
      <c r="XEP946"/>
      <c r="XEQ946"/>
      <c r="XER946"/>
      <c r="XES946"/>
      <c r="XET946"/>
      <c r="XEU946"/>
      <c r="XEV946"/>
      <c r="XEW946"/>
      <c r="XEX946"/>
      <c r="XEY946"/>
      <c r="XEZ946"/>
      <c r="XFA946"/>
      <c r="XFB946"/>
      <c r="XFC946"/>
    </row>
    <row r="947" spans="1:20 16329:16383" s="38" customFormat="1" ht="29.1" customHeight="1" outlineLevel="5" x14ac:dyDescent="0.25">
      <c r="A947" s="49" t="s">
        <v>1802</v>
      </c>
      <c r="B947" s="50"/>
      <c r="C947" s="50"/>
      <c r="D947" s="3" t="s">
        <v>1552</v>
      </c>
      <c r="E947" s="3"/>
      <c r="F947" s="51"/>
      <c r="G947" s="50" t="s">
        <v>102</v>
      </c>
      <c r="H947" s="52">
        <f>1</f>
        <v>1</v>
      </c>
      <c r="I947" s="36"/>
      <c r="J947" s="52">
        <v>1</v>
      </c>
      <c r="K947" s="53">
        <f>0</f>
        <v>0</v>
      </c>
      <c r="L947" s="53">
        <f>0</f>
        <v>0</v>
      </c>
      <c r="M947" s="53">
        <f>0</f>
        <v>0</v>
      </c>
      <c r="N947" s="54">
        <f t="shared" si="124"/>
        <v>0</v>
      </c>
      <c r="O947" s="54">
        <f t="shared" si="125"/>
        <v>0</v>
      </c>
      <c r="P947" s="54">
        <f t="shared" si="126"/>
        <v>0</v>
      </c>
      <c r="Q947" s="54">
        <f t="shared" si="127"/>
        <v>0</v>
      </c>
      <c r="R947" s="54">
        <f t="shared" si="128"/>
        <v>0</v>
      </c>
      <c r="S947" s="54"/>
      <c r="T947" s="36"/>
      <c r="XDA947"/>
      <c r="XDB947"/>
      <c r="XDC947"/>
      <c r="XDD947"/>
      <c r="XDE947"/>
      <c r="XDF947"/>
      <c r="XDG947"/>
      <c r="XDH947"/>
      <c r="XDI947"/>
      <c r="XDJ947"/>
      <c r="XDK947"/>
      <c r="XDL947"/>
      <c r="XDM947"/>
      <c r="XDN947"/>
      <c r="XDO947"/>
      <c r="XDP947"/>
      <c r="XDQ947"/>
      <c r="XDR947"/>
      <c r="XDS947"/>
      <c r="XDT947"/>
      <c r="XDU947"/>
      <c r="XDV947"/>
      <c r="XDW947"/>
      <c r="XDX947"/>
      <c r="XDY947"/>
      <c r="XDZ947"/>
      <c r="XEA947"/>
      <c r="XEB947"/>
      <c r="XEC947"/>
      <c r="XED947"/>
      <c r="XEE947"/>
      <c r="XEF947"/>
      <c r="XEG947"/>
      <c r="XEH947"/>
      <c r="XEI947"/>
      <c r="XEJ947"/>
      <c r="XEK947"/>
      <c r="XEL947"/>
      <c r="XEM947"/>
      <c r="XEN947"/>
      <c r="XEO947"/>
      <c r="XEP947"/>
      <c r="XEQ947"/>
      <c r="XER947"/>
      <c r="XES947"/>
      <c r="XET947"/>
      <c r="XEU947"/>
      <c r="XEV947"/>
      <c r="XEW947"/>
      <c r="XEX947"/>
      <c r="XEY947"/>
      <c r="XEZ947"/>
      <c r="XFA947"/>
      <c r="XFB947"/>
      <c r="XFC947"/>
    </row>
    <row r="948" spans="1:20 16329:16383" s="38" customFormat="1" ht="29.1" customHeight="1" outlineLevel="5" x14ac:dyDescent="0.25">
      <c r="A948" s="49" t="s">
        <v>1803</v>
      </c>
      <c r="B948" s="50"/>
      <c r="C948" s="50"/>
      <c r="D948" s="3" t="s">
        <v>1567</v>
      </c>
      <c r="E948" s="3"/>
      <c r="F948" s="51"/>
      <c r="G948" s="50" t="s">
        <v>102</v>
      </c>
      <c r="H948" s="52">
        <f>1</f>
        <v>1</v>
      </c>
      <c r="I948" s="36"/>
      <c r="J948" s="52">
        <v>1</v>
      </c>
      <c r="K948" s="53">
        <f>0</f>
        <v>0</v>
      </c>
      <c r="L948" s="53">
        <f>0</f>
        <v>0</v>
      </c>
      <c r="M948" s="53">
        <f>0</f>
        <v>0</v>
      </c>
      <c r="N948" s="54">
        <f t="shared" si="124"/>
        <v>0</v>
      </c>
      <c r="O948" s="54">
        <f t="shared" si="125"/>
        <v>0</v>
      </c>
      <c r="P948" s="54">
        <f t="shared" si="126"/>
        <v>0</v>
      </c>
      <c r="Q948" s="54">
        <f t="shared" si="127"/>
        <v>0</v>
      </c>
      <c r="R948" s="54">
        <f t="shared" si="128"/>
        <v>0</v>
      </c>
      <c r="S948" s="54"/>
      <c r="T948" s="36"/>
      <c r="XDA948"/>
      <c r="XDB948"/>
      <c r="XDC948"/>
      <c r="XDD948"/>
      <c r="XDE948"/>
      <c r="XDF948"/>
      <c r="XDG948"/>
      <c r="XDH948"/>
      <c r="XDI948"/>
      <c r="XDJ948"/>
      <c r="XDK948"/>
      <c r="XDL948"/>
      <c r="XDM948"/>
      <c r="XDN948"/>
      <c r="XDO948"/>
      <c r="XDP948"/>
      <c r="XDQ948"/>
      <c r="XDR948"/>
      <c r="XDS948"/>
      <c r="XDT948"/>
      <c r="XDU948"/>
      <c r="XDV948"/>
      <c r="XDW948"/>
      <c r="XDX948"/>
      <c r="XDY948"/>
      <c r="XDZ948"/>
      <c r="XEA948"/>
      <c r="XEB948"/>
      <c r="XEC948"/>
      <c r="XED948"/>
      <c r="XEE948"/>
      <c r="XEF948"/>
      <c r="XEG948"/>
      <c r="XEH948"/>
      <c r="XEI948"/>
      <c r="XEJ948"/>
      <c r="XEK948"/>
      <c r="XEL948"/>
      <c r="XEM948"/>
      <c r="XEN948"/>
      <c r="XEO948"/>
      <c r="XEP948"/>
      <c r="XEQ948"/>
      <c r="XER948"/>
      <c r="XES948"/>
      <c r="XET948"/>
      <c r="XEU948"/>
      <c r="XEV948"/>
      <c r="XEW948"/>
      <c r="XEX948"/>
      <c r="XEY948"/>
      <c r="XEZ948"/>
      <c r="XFA948"/>
      <c r="XFB948"/>
      <c r="XFC948"/>
    </row>
    <row r="949" spans="1:20 16329:16383" s="38" customFormat="1" ht="29.1" customHeight="1" outlineLevel="5" x14ac:dyDescent="0.25">
      <c r="A949" s="49" t="s">
        <v>1804</v>
      </c>
      <c r="B949" s="50"/>
      <c r="C949" s="50"/>
      <c r="D949" s="3" t="s">
        <v>1569</v>
      </c>
      <c r="E949" s="3"/>
      <c r="F949" s="51"/>
      <c r="G949" s="50" t="s">
        <v>102</v>
      </c>
      <c r="H949" s="52">
        <f>1</f>
        <v>1</v>
      </c>
      <c r="I949" s="36"/>
      <c r="J949" s="52">
        <v>1</v>
      </c>
      <c r="K949" s="53">
        <f>0</f>
        <v>0</v>
      </c>
      <c r="L949" s="53">
        <f>0</f>
        <v>0</v>
      </c>
      <c r="M949" s="53">
        <f>0</f>
        <v>0</v>
      </c>
      <c r="N949" s="54">
        <f t="shared" si="124"/>
        <v>0</v>
      </c>
      <c r="O949" s="54">
        <f t="shared" si="125"/>
        <v>0</v>
      </c>
      <c r="P949" s="54">
        <f t="shared" si="126"/>
        <v>0</v>
      </c>
      <c r="Q949" s="54">
        <f t="shared" si="127"/>
        <v>0</v>
      </c>
      <c r="R949" s="54">
        <f t="shared" si="128"/>
        <v>0</v>
      </c>
      <c r="S949" s="54"/>
      <c r="T949" s="36"/>
      <c r="XDA949"/>
      <c r="XDB949"/>
      <c r="XDC949"/>
      <c r="XDD949"/>
      <c r="XDE949"/>
      <c r="XDF949"/>
      <c r="XDG949"/>
      <c r="XDH949"/>
      <c r="XDI949"/>
      <c r="XDJ949"/>
      <c r="XDK949"/>
      <c r="XDL949"/>
      <c r="XDM949"/>
      <c r="XDN949"/>
      <c r="XDO949"/>
      <c r="XDP949"/>
      <c r="XDQ949"/>
      <c r="XDR949"/>
      <c r="XDS949"/>
      <c r="XDT949"/>
      <c r="XDU949"/>
      <c r="XDV949"/>
      <c r="XDW949"/>
      <c r="XDX949"/>
      <c r="XDY949"/>
      <c r="XDZ949"/>
      <c r="XEA949"/>
      <c r="XEB949"/>
      <c r="XEC949"/>
      <c r="XED949"/>
      <c r="XEE949"/>
      <c r="XEF949"/>
      <c r="XEG949"/>
      <c r="XEH949"/>
      <c r="XEI949"/>
      <c r="XEJ949"/>
      <c r="XEK949"/>
      <c r="XEL949"/>
      <c r="XEM949"/>
      <c r="XEN949"/>
      <c r="XEO949"/>
      <c r="XEP949"/>
      <c r="XEQ949"/>
      <c r="XER949"/>
      <c r="XES949"/>
      <c r="XET949"/>
      <c r="XEU949"/>
      <c r="XEV949"/>
      <c r="XEW949"/>
      <c r="XEX949"/>
      <c r="XEY949"/>
      <c r="XEZ949"/>
      <c r="XFA949"/>
      <c r="XFB949"/>
      <c r="XFC949"/>
    </row>
    <row r="950" spans="1:20 16329:16383" s="38" customFormat="1" ht="29.1" customHeight="1" outlineLevel="4" x14ac:dyDescent="0.25">
      <c r="A950" s="60" t="s">
        <v>1805</v>
      </c>
      <c r="B950" s="61" t="s">
        <v>1806</v>
      </c>
      <c r="C950" s="61"/>
      <c r="D950" s="1" t="s">
        <v>1807</v>
      </c>
      <c r="E950" s="1"/>
      <c r="F950" s="62"/>
      <c r="G950" s="61"/>
      <c r="H950" s="63"/>
      <c r="I950" s="36"/>
      <c r="J950" s="63"/>
      <c r="K950" s="64"/>
      <c r="L950" s="64"/>
      <c r="M950" s="64"/>
      <c r="N950" s="64"/>
      <c r="O950" s="64">
        <f>SUM(O951:O960)</f>
        <v>0</v>
      </c>
      <c r="P950" s="64">
        <f>SUM(P951:P960)</f>
        <v>0</v>
      </c>
      <c r="Q950" s="64">
        <f>SUM(Q951:Q960)</f>
        <v>0</v>
      </c>
      <c r="R950" s="64">
        <f>SUM(R951:R960)</f>
        <v>0</v>
      </c>
      <c r="S950" s="64"/>
      <c r="T950" s="36"/>
      <c r="XDA950"/>
      <c r="XDB950"/>
      <c r="XDC950"/>
      <c r="XDD950"/>
      <c r="XDE950"/>
      <c r="XDF950"/>
      <c r="XDG950"/>
      <c r="XDH950"/>
      <c r="XDI950"/>
      <c r="XDJ950"/>
      <c r="XDK950"/>
      <c r="XDL950"/>
      <c r="XDM950"/>
      <c r="XDN950"/>
      <c r="XDO950"/>
      <c r="XDP950"/>
      <c r="XDQ950"/>
      <c r="XDR950"/>
      <c r="XDS950"/>
      <c r="XDT950"/>
      <c r="XDU950"/>
      <c r="XDV950"/>
      <c r="XDW950"/>
      <c r="XDX950"/>
      <c r="XDY950"/>
      <c r="XDZ950"/>
      <c r="XEA950"/>
      <c r="XEB950"/>
      <c r="XEC950"/>
      <c r="XED950"/>
      <c r="XEE950"/>
      <c r="XEF950"/>
      <c r="XEG950"/>
      <c r="XEH950"/>
      <c r="XEI950"/>
      <c r="XEJ950"/>
      <c r="XEK950"/>
      <c r="XEL950"/>
      <c r="XEM950"/>
      <c r="XEN950"/>
      <c r="XEO950"/>
      <c r="XEP950"/>
      <c r="XEQ950"/>
      <c r="XER950"/>
      <c r="XES950"/>
      <c r="XET950"/>
      <c r="XEU950"/>
      <c r="XEV950"/>
      <c r="XEW950"/>
      <c r="XEX950"/>
      <c r="XEY950"/>
      <c r="XEZ950"/>
      <c r="XFA950"/>
      <c r="XFB950"/>
      <c r="XFC950"/>
    </row>
    <row r="951" spans="1:20 16329:16383" s="38" customFormat="1" ht="29.1" customHeight="1" outlineLevel="5" x14ac:dyDescent="0.25">
      <c r="A951" s="49" t="s">
        <v>1808</v>
      </c>
      <c r="B951" s="50"/>
      <c r="C951" s="50"/>
      <c r="D951" s="3" t="s">
        <v>1646</v>
      </c>
      <c r="E951" s="3"/>
      <c r="F951" s="51"/>
      <c r="G951" s="50" t="s">
        <v>102</v>
      </c>
      <c r="H951" s="52">
        <f>1</f>
        <v>1</v>
      </c>
      <c r="I951" s="36"/>
      <c r="J951" s="52">
        <v>1</v>
      </c>
      <c r="K951" s="53">
        <f>0</f>
        <v>0</v>
      </c>
      <c r="L951" s="53">
        <f>0</f>
        <v>0</v>
      </c>
      <c r="M951" s="53">
        <f>0</f>
        <v>0</v>
      </c>
      <c r="N951" s="54">
        <f t="shared" ref="N951:N960" si="129">SUM(K951:M951)</f>
        <v>0</v>
      </c>
      <c r="O951" s="54">
        <f t="shared" ref="O951:O960" si="130">ROUND((H951*K951),2)</f>
        <v>0</v>
      </c>
      <c r="P951" s="54">
        <f t="shared" ref="P951:P960" si="131">ROUND((H951*L951),2)</f>
        <v>0</v>
      </c>
      <c r="Q951" s="54">
        <f t="shared" ref="Q951:Q960" si="132">ROUND((H951*M951),2)</f>
        <v>0</v>
      </c>
      <c r="R951" s="54">
        <f t="shared" ref="R951:R960" si="133">ROUND((H951*N951),2)</f>
        <v>0</v>
      </c>
      <c r="S951" s="54"/>
      <c r="T951" s="36"/>
      <c r="XDA951"/>
      <c r="XDB951"/>
      <c r="XDC951"/>
      <c r="XDD951"/>
      <c r="XDE951"/>
      <c r="XDF951"/>
      <c r="XDG951"/>
      <c r="XDH951"/>
      <c r="XDI951"/>
      <c r="XDJ951"/>
      <c r="XDK951"/>
      <c r="XDL951"/>
      <c r="XDM951"/>
      <c r="XDN951"/>
      <c r="XDO951"/>
      <c r="XDP951"/>
      <c r="XDQ951"/>
      <c r="XDR951"/>
      <c r="XDS951"/>
      <c r="XDT951"/>
      <c r="XDU951"/>
      <c r="XDV951"/>
      <c r="XDW951"/>
      <c r="XDX951"/>
      <c r="XDY951"/>
      <c r="XDZ951"/>
      <c r="XEA951"/>
      <c r="XEB951"/>
      <c r="XEC951"/>
      <c r="XED951"/>
      <c r="XEE951"/>
      <c r="XEF951"/>
      <c r="XEG951"/>
      <c r="XEH951"/>
      <c r="XEI951"/>
      <c r="XEJ951"/>
      <c r="XEK951"/>
      <c r="XEL951"/>
      <c r="XEM951"/>
      <c r="XEN951"/>
      <c r="XEO951"/>
      <c r="XEP951"/>
      <c r="XEQ951"/>
      <c r="XER951"/>
      <c r="XES951"/>
      <c r="XET951"/>
      <c r="XEU951"/>
      <c r="XEV951"/>
      <c r="XEW951"/>
      <c r="XEX951"/>
      <c r="XEY951"/>
      <c r="XEZ951"/>
      <c r="XFA951"/>
      <c r="XFB951"/>
      <c r="XFC951"/>
    </row>
    <row r="952" spans="1:20 16329:16383" s="38" customFormat="1" ht="29.1" customHeight="1" outlineLevel="5" x14ac:dyDescent="0.25">
      <c r="A952" s="49" t="s">
        <v>1809</v>
      </c>
      <c r="B952" s="50"/>
      <c r="C952" s="50"/>
      <c r="D952" s="3" t="s">
        <v>1648</v>
      </c>
      <c r="E952" s="3"/>
      <c r="F952" s="51"/>
      <c r="G952" s="50" t="s">
        <v>102</v>
      </c>
      <c r="H952" s="52">
        <f>1</f>
        <v>1</v>
      </c>
      <c r="I952" s="36"/>
      <c r="J952" s="52">
        <v>1</v>
      </c>
      <c r="K952" s="53">
        <f>0</f>
        <v>0</v>
      </c>
      <c r="L952" s="53">
        <f>0</f>
        <v>0</v>
      </c>
      <c r="M952" s="53">
        <f>0</f>
        <v>0</v>
      </c>
      <c r="N952" s="54">
        <f t="shared" si="129"/>
        <v>0</v>
      </c>
      <c r="O952" s="54">
        <f t="shared" si="130"/>
        <v>0</v>
      </c>
      <c r="P952" s="54">
        <f t="shared" si="131"/>
        <v>0</v>
      </c>
      <c r="Q952" s="54">
        <f t="shared" si="132"/>
        <v>0</v>
      </c>
      <c r="R952" s="54">
        <f t="shared" si="133"/>
        <v>0</v>
      </c>
      <c r="S952" s="54"/>
      <c r="T952" s="36"/>
      <c r="XDA952"/>
      <c r="XDB952"/>
      <c r="XDC952"/>
      <c r="XDD952"/>
      <c r="XDE952"/>
      <c r="XDF952"/>
      <c r="XDG952"/>
      <c r="XDH952"/>
      <c r="XDI952"/>
      <c r="XDJ952"/>
      <c r="XDK952"/>
      <c r="XDL952"/>
      <c r="XDM952"/>
      <c r="XDN952"/>
      <c r="XDO952"/>
      <c r="XDP952"/>
      <c r="XDQ952"/>
      <c r="XDR952"/>
      <c r="XDS952"/>
      <c r="XDT952"/>
      <c r="XDU952"/>
      <c r="XDV952"/>
      <c r="XDW952"/>
      <c r="XDX952"/>
      <c r="XDY952"/>
      <c r="XDZ952"/>
      <c r="XEA952"/>
      <c r="XEB952"/>
      <c r="XEC952"/>
      <c r="XED952"/>
      <c r="XEE952"/>
      <c r="XEF952"/>
      <c r="XEG952"/>
      <c r="XEH952"/>
      <c r="XEI952"/>
      <c r="XEJ952"/>
      <c r="XEK952"/>
      <c r="XEL952"/>
      <c r="XEM952"/>
      <c r="XEN952"/>
      <c r="XEO952"/>
      <c r="XEP952"/>
      <c r="XEQ952"/>
      <c r="XER952"/>
      <c r="XES952"/>
      <c r="XET952"/>
      <c r="XEU952"/>
      <c r="XEV952"/>
      <c r="XEW952"/>
      <c r="XEX952"/>
      <c r="XEY952"/>
      <c r="XEZ952"/>
      <c r="XFA952"/>
      <c r="XFB952"/>
      <c r="XFC952"/>
    </row>
    <row r="953" spans="1:20 16329:16383" s="38" customFormat="1" ht="29.1" customHeight="1" outlineLevel="5" x14ac:dyDescent="0.25">
      <c r="A953" s="49" t="s">
        <v>1810</v>
      </c>
      <c r="B953" s="50"/>
      <c r="C953" s="50"/>
      <c r="D953" s="3" t="s">
        <v>1650</v>
      </c>
      <c r="E953" s="3"/>
      <c r="F953" s="51"/>
      <c r="G953" s="50" t="s">
        <v>102</v>
      </c>
      <c r="H953" s="52">
        <f>1</f>
        <v>1</v>
      </c>
      <c r="I953" s="36"/>
      <c r="J953" s="52">
        <v>1</v>
      </c>
      <c r="K953" s="53">
        <f>0</f>
        <v>0</v>
      </c>
      <c r="L953" s="53">
        <f>0</f>
        <v>0</v>
      </c>
      <c r="M953" s="53">
        <f>0</f>
        <v>0</v>
      </c>
      <c r="N953" s="54">
        <f t="shared" si="129"/>
        <v>0</v>
      </c>
      <c r="O953" s="54">
        <f t="shared" si="130"/>
        <v>0</v>
      </c>
      <c r="P953" s="54">
        <f t="shared" si="131"/>
        <v>0</v>
      </c>
      <c r="Q953" s="54">
        <f t="shared" si="132"/>
        <v>0</v>
      </c>
      <c r="R953" s="54">
        <f t="shared" si="133"/>
        <v>0</v>
      </c>
      <c r="S953" s="54"/>
      <c r="T953" s="36"/>
      <c r="XDA953"/>
      <c r="XDB953"/>
      <c r="XDC953"/>
      <c r="XDD953"/>
      <c r="XDE953"/>
      <c r="XDF953"/>
      <c r="XDG953"/>
      <c r="XDH953"/>
      <c r="XDI953"/>
      <c r="XDJ953"/>
      <c r="XDK953"/>
      <c r="XDL953"/>
      <c r="XDM953"/>
      <c r="XDN953"/>
      <c r="XDO953"/>
      <c r="XDP953"/>
      <c r="XDQ953"/>
      <c r="XDR953"/>
      <c r="XDS953"/>
      <c r="XDT953"/>
      <c r="XDU953"/>
      <c r="XDV953"/>
      <c r="XDW953"/>
      <c r="XDX953"/>
      <c r="XDY953"/>
      <c r="XDZ953"/>
      <c r="XEA953"/>
      <c r="XEB953"/>
      <c r="XEC953"/>
      <c r="XED953"/>
      <c r="XEE953"/>
      <c r="XEF953"/>
      <c r="XEG953"/>
      <c r="XEH953"/>
      <c r="XEI953"/>
      <c r="XEJ953"/>
      <c r="XEK953"/>
      <c r="XEL953"/>
      <c r="XEM953"/>
      <c r="XEN953"/>
      <c r="XEO953"/>
      <c r="XEP953"/>
      <c r="XEQ953"/>
      <c r="XER953"/>
      <c r="XES953"/>
      <c r="XET953"/>
      <c r="XEU953"/>
      <c r="XEV953"/>
      <c r="XEW953"/>
      <c r="XEX953"/>
      <c r="XEY953"/>
      <c r="XEZ953"/>
      <c r="XFA953"/>
      <c r="XFB953"/>
      <c r="XFC953"/>
    </row>
    <row r="954" spans="1:20 16329:16383" s="38" customFormat="1" ht="29.1" customHeight="1" outlineLevel="5" x14ac:dyDescent="0.25">
      <c r="A954" s="49" t="s">
        <v>1811</v>
      </c>
      <c r="B954" s="50"/>
      <c r="C954" s="50"/>
      <c r="D954" s="3" t="s">
        <v>1544</v>
      </c>
      <c r="E954" s="3"/>
      <c r="F954" s="51"/>
      <c r="G954" s="50" t="s">
        <v>102</v>
      </c>
      <c r="H954" s="52">
        <f>1</f>
        <v>1</v>
      </c>
      <c r="I954" s="36"/>
      <c r="J954" s="52">
        <v>1</v>
      </c>
      <c r="K954" s="53">
        <f>0</f>
        <v>0</v>
      </c>
      <c r="L954" s="53">
        <f>0</f>
        <v>0</v>
      </c>
      <c r="M954" s="53">
        <f>0</f>
        <v>0</v>
      </c>
      <c r="N954" s="54">
        <f t="shared" si="129"/>
        <v>0</v>
      </c>
      <c r="O954" s="54">
        <f t="shared" si="130"/>
        <v>0</v>
      </c>
      <c r="P954" s="54">
        <f t="shared" si="131"/>
        <v>0</v>
      </c>
      <c r="Q954" s="54">
        <f t="shared" si="132"/>
        <v>0</v>
      </c>
      <c r="R954" s="54">
        <f t="shared" si="133"/>
        <v>0</v>
      </c>
      <c r="S954" s="54"/>
      <c r="T954" s="36"/>
      <c r="XDA954"/>
      <c r="XDB954"/>
      <c r="XDC954"/>
      <c r="XDD954"/>
      <c r="XDE954"/>
      <c r="XDF954"/>
      <c r="XDG954"/>
      <c r="XDH954"/>
      <c r="XDI954"/>
      <c r="XDJ954"/>
      <c r="XDK954"/>
      <c r="XDL954"/>
      <c r="XDM954"/>
      <c r="XDN954"/>
      <c r="XDO954"/>
      <c r="XDP954"/>
      <c r="XDQ954"/>
      <c r="XDR954"/>
      <c r="XDS954"/>
      <c r="XDT954"/>
      <c r="XDU954"/>
      <c r="XDV954"/>
      <c r="XDW954"/>
      <c r="XDX954"/>
      <c r="XDY954"/>
      <c r="XDZ954"/>
      <c r="XEA954"/>
      <c r="XEB954"/>
      <c r="XEC954"/>
      <c r="XED954"/>
      <c r="XEE954"/>
      <c r="XEF954"/>
      <c r="XEG954"/>
      <c r="XEH954"/>
      <c r="XEI954"/>
      <c r="XEJ954"/>
      <c r="XEK954"/>
      <c r="XEL954"/>
      <c r="XEM954"/>
      <c r="XEN954"/>
      <c r="XEO954"/>
      <c r="XEP954"/>
      <c r="XEQ954"/>
      <c r="XER954"/>
      <c r="XES954"/>
      <c r="XET954"/>
      <c r="XEU954"/>
      <c r="XEV954"/>
      <c r="XEW954"/>
      <c r="XEX954"/>
      <c r="XEY954"/>
      <c r="XEZ954"/>
      <c r="XFA954"/>
      <c r="XFB954"/>
      <c r="XFC954"/>
    </row>
    <row r="955" spans="1:20 16329:16383" s="38" customFormat="1" ht="29.1" customHeight="1" outlineLevel="5" x14ac:dyDescent="0.25">
      <c r="A955" s="49" t="s">
        <v>1812</v>
      </c>
      <c r="B955" s="50"/>
      <c r="C955" s="50"/>
      <c r="D955" s="3" t="s">
        <v>1546</v>
      </c>
      <c r="E955" s="3"/>
      <c r="F955" s="51"/>
      <c r="G955" s="50" t="s">
        <v>102</v>
      </c>
      <c r="H955" s="52">
        <f>1</f>
        <v>1</v>
      </c>
      <c r="I955" s="36"/>
      <c r="J955" s="52">
        <v>1</v>
      </c>
      <c r="K955" s="53">
        <f>0</f>
        <v>0</v>
      </c>
      <c r="L955" s="53">
        <f>0</f>
        <v>0</v>
      </c>
      <c r="M955" s="53">
        <f>0</f>
        <v>0</v>
      </c>
      <c r="N955" s="54">
        <f t="shared" si="129"/>
        <v>0</v>
      </c>
      <c r="O955" s="54">
        <f t="shared" si="130"/>
        <v>0</v>
      </c>
      <c r="P955" s="54">
        <f t="shared" si="131"/>
        <v>0</v>
      </c>
      <c r="Q955" s="54">
        <f t="shared" si="132"/>
        <v>0</v>
      </c>
      <c r="R955" s="54">
        <f t="shared" si="133"/>
        <v>0</v>
      </c>
      <c r="S955" s="54"/>
      <c r="T955" s="36"/>
      <c r="XDA955"/>
      <c r="XDB955"/>
      <c r="XDC955"/>
      <c r="XDD955"/>
      <c r="XDE955"/>
      <c r="XDF955"/>
      <c r="XDG955"/>
      <c r="XDH955"/>
      <c r="XDI955"/>
      <c r="XDJ955"/>
      <c r="XDK955"/>
      <c r="XDL955"/>
      <c r="XDM955"/>
      <c r="XDN955"/>
      <c r="XDO955"/>
      <c r="XDP955"/>
      <c r="XDQ955"/>
      <c r="XDR955"/>
      <c r="XDS955"/>
      <c r="XDT955"/>
      <c r="XDU955"/>
      <c r="XDV955"/>
      <c r="XDW955"/>
      <c r="XDX955"/>
      <c r="XDY955"/>
      <c r="XDZ955"/>
      <c r="XEA955"/>
      <c r="XEB955"/>
      <c r="XEC955"/>
      <c r="XED955"/>
      <c r="XEE955"/>
      <c r="XEF955"/>
      <c r="XEG955"/>
      <c r="XEH955"/>
      <c r="XEI955"/>
      <c r="XEJ955"/>
      <c r="XEK955"/>
      <c r="XEL955"/>
      <c r="XEM955"/>
      <c r="XEN955"/>
      <c r="XEO955"/>
      <c r="XEP955"/>
      <c r="XEQ955"/>
      <c r="XER955"/>
      <c r="XES955"/>
      <c r="XET955"/>
      <c r="XEU955"/>
      <c r="XEV955"/>
      <c r="XEW955"/>
      <c r="XEX955"/>
      <c r="XEY955"/>
      <c r="XEZ955"/>
      <c r="XFA955"/>
      <c r="XFB955"/>
      <c r="XFC955"/>
    </row>
    <row r="956" spans="1:20 16329:16383" s="38" customFormat="1" ht="29.1" customHeight="1" outlineLevel="5" x14ac:dyDescent="0.25">
      <c r="A956" s="49" t="s">
        <v>1813</v>
      </c>
      <c r="B956" s="50"/>
      <c r="C956" s="50"/>
      <c r="D956" s="3" t="s">
        <v>1550</v>
      </c>
      <c r="E956" s="3"/>
      <c r="F956" s="51"/>
      <c r="G956" s="50" t="s">
        <v>102</v>
      </c>
      <c r="H956" s="52">
        <f>1</f>
        <v>1</v>
      </c>
      <c r="I956" s="36"/>
      <c r="J956" s="52">
        <v>1</v>
      </c>
      <c r="K956" s="53">
        <f>0</f>
        <v>0</v>
      </c>
      <c r="L956" s="53">
        <f>0</f>
        <v>0</v>
      </c>
      <c r="M956" s="53">
        <f>0</f>
        <v>0</v>
      </c>
      <c r="N956" s="54">
        <f t="shared" si="129"/>
        <v>0</v>
      </c>
      <c r="O956" s="54">
        <f t="shared" si="130"/>
        <v>0</v>
      </c>
      <c r="P956" s="54">
        <f t="shared" si="131"/>
        <v>0</v>
      </c>
      <c r="Q956" s="54">
        <f t="shared" si="132"/>
        <v>0</v>
      </c>
      <c r="R956" s="54">
        <f t="shared" si="133"/>
        <v>0</v>
      </c>
      <c r="S956" s="54"/>
      <c r="T956" s="36"/>
      <c r="XDA956"/>
      <c r="XDB956"/>
      <c r="XDC956"/>
      <c r="XDD956"/>
      <c r="XDE956"/>
      <c r="XDF956"/>
      <c r="XDG956"/>
      <c r="XDH956"/>
      <c r="XDI956"/>
      <c r="XDJ956"/>
      <c r="XDK956"/>
      <c r="XDL956"/>
      <c r="XDM956"/>
      <c r="XDN956"/>
      <c r="XDO956"/>
      <c r="XDP956"/>
      <c r="XDQ956"/>
      <c r="XDR956"/>
      <c r="XDS956"/>
      <c r="XDT956"/>
      <c r="XDU956"/>
      <c r="XDV956"/>
      <c r="XDW956"/>
      <c r="XDX956"/>
      <c r="XDY956"/>
      <c r="XDZ956"/>
      <c r="XEA956"/>
      <c r="XEB956"/>
      <c r="XEC956"/>
      <c r="XED956"/>
      <c r="XEE956"/>
      <c r="XEF956"/>
      <c r="XEG956"/>
      <c r="XEH956"/>
      <c r="XEI956"/>
      <c r="XEJ956"/>
      <c r="XEK956"/>
      <c r="XEL956"/>
      <c r="XEM956"/>
      <c r="XEN956"/>
      <c r="XEO956"/>
      <c r="XEP956"/>
      <c r="XEQ956"/>
      <c r="XER956"/>
      <c r="XES956"/>
      <c r="XET956"/>
      <c r="XEU956"/>
      <c r="XEV956"/>
      <c r="XEW956"/>
      <c r="XEX956"/>
      <c r="XEY956"/>
      <c r="XEZ956"/>
      <c r="XFA956"/>
      <c r="XFB956"/>
      <c r="XFC956"/>
    </row>
    <row r="957" spans="1:20 16329:16383" s="38" customFormat="1" ht="29.1" customHeight="1" outlineLevel="5" x14ac:dyDescent="0.25">
      <c r="A957" s="49" t="s">
        <v>1814</v>
      </c>
      <c r="B957" s="50"/>
      <c r="C957" s="50"/>
      <c r="D957" s="3" t="s">
        <v>1550</v>
      </c>
      <c r="E957" s="3"/>
      <c r="F957" s="51"/>
      <c r="G957" s="50" t="s">
        <v>102</v>
      </c>
      <c r="H957" s="52">
        <f>1</f>
        <v>1</v>
      </c>
      <c r="I957" s="36"/>
      <c r="J957" s="52">
        <v>1</v>
      </c>
      <c r="K957" s="53">
        <f>0</f>
        <v>0</v>
      </c>
      <c r="L957" s="53">
        <f>0</f>
        <v>0</v>
      </c>
      <c r="M957" s="53">
        <f>0</f>
        <v>0</v>
      </c>
      <c r="N957" s="54">
        <f t="shared" si="129"/>
        <v>0</v>
      </c>
      <c r="O957" s="54">
        <f t="shared" si="130"/>
        <v>0</v>
      </c>
      <c r="P957" s="54">
        <f t="shared" si="131"/>
        <v>0</v>
      </c>
      <c r="Q957" s="54">
        <f t="shared" si="132"/>
        <v>0</v>
      </c>
      <c r="R957" s="54">
        <f t="shared" si="133"/>
        <v>0</v>
      </c>
      <c r="S957" s="54"/>
      <c r="T957" s="36"/>
      <c r="XDA957"/>
      <c r="XDB957"/>
      <c r="XDC957"/>
      <c r="XDD957"/>
      <c r="XDE957"/>
      <c r="XDF957"/>
      <c r="XDG957"/>
      <c r="XDH957"/>
      <c r="XDI957"/>
      <c r="XDJ957"/>
      <c r="XDK957"/>
      <c r="XDL957"/>
      <c r="XDM957"/>
      <c r="XDN957"/>
      <c r="XDO957"/>
      <c r="XDP957"/>
      <c r="XDQ957"/>
      <c r="XDR957"/>
      <c r="XDS957"/>
      <c r="XDT957"/>
      <c r="XDU957"/>
      <c r="XDV957"/>
      <c r="XDW957"/>
      <c r="XDX957"/>
      <c r="XDY957"/>
      <c r="XDZ957"/>
      <c r="XEA957"/>
      <c r="XEB957"/>
      <c r="XEC957"/>
      <c r="XED957"/>
      <c r="XEE957"/>
      <c r="XEF957"/>
      <c r="XEG957"/>
      <c r="XEH957"/>
      <c r="XEI957"/>
      <c r="XEJ957"/>
      <c r="XEK957"/>
      <c r="XEL957"/>
      <c r="XEM957"/>
      <c r="XEN957"/>
      <c r="XEO957"/>
      <c r="XEP957"/>
      <c r="XEQ957"/>
      <c r="XER957"/>
      <c r="XES957"/>
      <c r="XET957"/>
      <c r="XEU957"/>
      <c r="XEV957"/>
      <c r="XEW957"/>
      <c r="XEX957"/>
      <c r="XEY957"/>
      <c r="XEZ957"/>
      <c r="XFA957"/>
      <c r="XFB957"/>
      <c r="XFC957"/>
    </row>
    <row r="958" spans="1:20 16329:16383" s="38" customFormat="1" ht="29.1" customHeight="1" outlineLevel="5" x14ac:dyDescent="0.25">
      <c r="A958" s="49" t="s">
        <v>1815</v>
      </c>
      <c r="B958" s="50"/>
      <c r="C958" s="50"/>
      <c r="D958" s="3" t="s">
        <v>1552</v>
      </c>
      <c r="E958" s="3"/>
      <c r="F958" s="51"/>
      <c r="G958" s="50" t="s">
        <v>102</v>
      </c>
      <c r="H958" s="52">
        <f>1</f>
        <v>1</v>
      </c>
      <c r="I958" s="36"/>
      <c r="J958" s="52">
        <v>1</v>
      </c>
      <c r="K958" s="53">
        <f>0</f>
        <v>0</v>
      </c>
      <c r="L958" s="53">
        <f>0</f>
        <v>0</v>
      </c>
      <c r="M958" s="53">
        <f>0</f>
        <v>0</v>
      </c>
      <c r="N958" s="54">
        <f t="shared" si="129"/>
        <v>0</v>
      </c>
      <c r="O958" s="54">
        <f t="shared" si="130"/>
        <v>0</v>
      </c>
      <c r="P958" s="54">
        <f t="shared" si="131"/>
        <v>0</v>
      </c>
      <c r="Q958" s="54">
        <f t="shared" si="132"/>
        <v>0</v>
      </c>
      <c r="R958" s="54">
        <f t="shared" si="133"/>
        <v>0</v>
      </c>
      <c r="S958" s="54"/>
      <c r="T958" s="36"/>
      <c r="XDA958"/>
      <c r="XDB958"/>
      <c r="XDC958"/>
      <c r="XDD958"/>
      <c r="XDE958"/>
      <c r="XDF958"/>
      <c r="XDG958"/>
      <c r="XDH958"/>
      <c r="XDI958"/>
      <c r="XDJ958"/>
      <c r="XDK958"/>
      <c r="XDL958"/>
      <c r="XDM958"/>
      <c r="XDN958"/>
      <c r="XDO958"/>
      <c r="XDP958"/>
      <c r="XDQ958"/>
      <c r="XDR958"/>
      <c r="XDS958"/>
      <c r="XDT958"/>
      <c r="XDU958"/>
      <c r="XDV958"/>
      <c r="XDW958"/>
      <c r="XDX958"/>
      <c r="XDY958"/>
      <c r="XDZ958"/>
      <c r="XEA958"/>
      <c r="XEB958"/>
      <c r="XEC958"/>
      <c r="XED958"/>
      <c r="XEE958"/>
      <c r="XEF958"/>
      <c r="XEG958"/>
      <c r="XEH958"/>
      <c r="XEI958"/>
      <c r="XEJ958"/>
      <c r="XEK958"/>
      <c r="XEL958"/>
      <c r="XEM958"/>
      <c r="XEN958"/>
      <c r="XEO958"/>
      <c r="XEP958"/>
      <c r="XEQ958"/>
      <c r="XER958"/>
      <c r="XES958"/>
      <c r="XET958"/>
      <c r="XEU958"/>
      <c r="XEV958"/>
      <c r="XEW958"/>
      <c r="XEX958"/>
      <c r="XEY958"/>
      <c r="XEZ958"/>
      <c r="XFA958"/>
      <c r="XFB958"/>
      <c r="XFC958"/>
    </row>
    <row r="959" spans="1:20 16329:16383" s="38" customFormat="1" ht="29.1" customHeight="1" outlineLevel="5" x14ac:dyDescent="0.25">
      <c r="A959" s="49" t="s">
        <v>1816</v>
      </c>
      <c r="B959" s="50"/>
      <c r="C959" s="50"/>
      <c r="D959" s="3" t="s">
        <v>1567</v>
      </c>
      <c r="E959" s="3"/>
      <c r="F959" s="51"/>
      <c r="G959" s="50" t="s">
        <v>102</v>
      </c>
      <c r="H959" s="52">
        <f>1</f>
        <v>1</v>
      </c>
      <c r="I959" s="36"/>
      <c r="J959" s="52">
        <v>1</v>
      </c>
      <c r="K959" s="53">
        <f>0</f>
        <v>0</v>
      </c>
      <c r="L959" s="53">
        <f>0</f>
        <v>0</v>
      </c>
      <c r="M959" s="53">
        <f>0</f>
        <v>0</v>
      </c>
      <c r="N959" s="54">
        <f t="shared" si="129"/>
        <v>0</v>
      </c>
      <c r="O959" s="54">
        <f t="shared" si="130"/>
        <v>0</v>
      </c>
      <c r="P959" s="54">
        <f t="shared" si="131"/>
        <v>0</v>
      </c>
      <c r="Q959" s="54">
        <f t="shared" si="132"/>
        <v>0</v>
      </c>
      <c r="R959" s="54">
        <f t="shared" si="133"/>
        <v>0</v>
      </c>
      <c r="S959" s="54"/>
      <c r="T959" s="36"/>
      <c r="XDA959"/>
      <c r="XDB959"/>
      <c r="XDC959"/>
      <c r="XDD959"/>
      <c r="XDE959"/>
      <c r="XDF959"/>
      <c r="XDG959"/>
      <c r="XDH959"/>
      <c r="XDI959"/>
      <c r="XDJ959"/>
      <c r="XDK959"/>
      <c r="XDL959"/>
      <c r="XDM959"/>
      <c r="XDN959"/>
      <c r="XDO959"/>
      <c r="XDP959"/>
      <c r="XDQ959"/>
      <c r="XDR959"/>
      <c r="XDS959"/>
      <c r="XDT959"/>
      <c r="XDU959"/>
      <c r="XDV959"/>
      <c r="XDW959"/>
      <c r="XDX959"/>
      <c r="XDY959"/>
      <c r="XDZ959"/>
      <c r="XEA959"/>
      <c r="XEB959"/>
      <c r="XEC959"/>
      <c r="XED959"/>
      <c r="XEE959"/>
      <c r="XEF959"/>
      <c r="XEG959"/>
      <c r="XEH959"/>
      <c r="XEI959"/>
      <c r="XEJ959"/>
      <c r="XEK959"/>
      <c r="XEL959"/>
      <c r="XEM959"/>
      <c r="XEN959"/>
      <c r="XEO959"/>
      <c r="XEP959"/>
      <c r="XEQ959"/>
      <c r="XER959"/>
      <c r="XES959"/>
      <c r="XET959"/>
      <c r="XEU959"/>
      <c r="XEV959"/>
      <c r="XEW959"/>
      <c r="XEX959"/>
      <c r="XEY959"/>
      <c r="XEZ959"/>
      <c r="XFA959"/>
      <c r="XFB959"/>
      <c r="XFC959"/>
    </row>
    <row r="960" spans="1:20 16329:16383" s="38" customFormat="1" ht="29.1" customHeight="1" outlineLevel="5" x14ac:dyDescent="0.25">
      <c r="A960" s="49" t="s">
        <v>1817</v>
      </c>
      <c r="B960" s="50"/>
      <c r="C960" s="50"/>
      <c r="D960" s="3" t="s">
        <v>1569</v>
      </c>
      <c r="E960" s="3"/>
      <c r="F960" s="51"/>
      <c r="G960" s="50" t="s">
        <v>102</v>
      </c>
      <c r="H960" s="52">
        <f>1</f>
        <v>1</v>
      </c>
      <c r="I960" s="36"/>
      <c r="J960" s="52">
        <v>1</v>
      </c>
      <c r="K960" s="53">
        <f>0</f>
        <v>0</v>
      </c>
      <c r="L960" s="53">
        <f>0</f>
        <v>0</v>
      </c>
      <c r="M960" s="53">
        <f>0</f>
        <v>0</v>
      </c>
      <c r="N960" s="54">
        <f t="shared" si="129"/>
        <v>0</v>
      </c>
      <c r="O960" s="54">
        <f t="shared" si="130"/>
        <v>0</v>
      </c>
      <c r="P960" s="54">
        <f t="shared" si="131"/>
        <v>0</v>
      </c>
      <c r="Q960" s="54">
        <f t="shared" si="132"/>
        <v>0</v>
      </c>
      <c r="R960" s="54">
        <f t="shared" si="133"/>
        <v>0</v>
      </c>
      <c r="S960" s="54"/>
      <c r="T960" s="36"/>
      <c r="XDA960"/>
      <c r="XDB960"/>
      <c r="XDC960"/>
      <c r="XDD960"/>
      <c r="XDE960"/>
      <c r="XDF960"/>
      <c r="XDG960"/>
      <c r="XDH960"/>
      <c r="XDI960"/>
      <c r="XDJ960"/>
      <c r="XDK960"/>
      <c r="XDL960"/>
      <c r="XDM960"/>
      <c r="XDN960"/>
      <c r="XDO960"/>
      <c r="XDP960"/>
      <c r="XDQ960"/>
      <c r="XDR960"/>
      <c r="XDS960"/>
      <c r="XDT960"/>
      <c r="XDU960"/>
      <c r="XDV960"/>
      <c r="XDW960"/>
      <c r="XDX960"/>
      <c r="XDY960"/>
      <c r="XDZ960"/>
      <c r="XEA960"/>
      <c r="XEB960"/>
      <c r="XEC960"/>
      <c r="XED960"/>
      <c r="XEE960"/>
      <c r="XEF960"/>
      <c r="XEG960"/>
      <c r="XEH960"/>
      <c r="XEI960"/>
      <c r="XEJ960"/>
      <c r="XEK960"/>
      <c r="XEL960"/>
      <c r="XEM960"/>
      <c r="XEN960"/>
      <c r="XEO960"/>
      <c r="XEP960"/>
      <c r="XEQ960"/>
      <c r="XER960"/>
      <c r="XES960"/>
      <c r="XET960"/>
      <c r="XEU960"/>
      <c r="XEV960"/>
      <c r="XEW960"/>
      <c r="XEX960"/>
      <c r="XEY960"/>
      <c r="XEZ960"/>
      <c r="XFA960"/>
      <c r="XFB960"/>
      <c r="XFC960"/>
    </row>
    <row r="961" spans="1:20 16329:16383" s="38" customFormat="1" ht="29.1" customHeight="1" outlineLevel="2" x14ac:dyDescent="0.25">
      <c r="A961" s="44" t="s">
        <v>1818</v>
      </c>
      <c r="B961" s="45" t="s">
        <v>1819</v>
      </c>
      <c r="C961" s="45" t="s">
        <v>1820</v>
      </c>
      <c r="D961" s="4" t="s">
        <v>1821</v>
      </c>
      <c r="E961" s="4"/>
      <c r="F961" s="46"/>
      <c r="G961" s="45" t="s">
        <v>29</v>
      </c>
      <c r="H961" s="47"/>
      <c r="I961" s="36"/>
      <c r="J961" s="47"/>
      <c r="K961" s="48"/>
      <c r="L961" s="48"/>
      <c r="M961" s="48"/>
      <c r="N961" s="48"/>
      <c r="O961" s="48">
        <f>O962+O964</f>
        <v>0</v>
      </c>
      <c r="P961" s="48">
        <f>P962+P964</f>
        <v>0</v>
      </c>
      <c r="Q961" s="48">
        <f>Q962+Q964</f>
        <v>0</v>
      </c>
      <c r="R961" s="48">
        <f>R962+R964</f>
        <v>0</v>
      </c>
      <c r="S961" s="48"/>
      <c r="T961" s="36"/>
      <c r="XDA961"/>
      <c r="XDB961"/>
      <c r="XDC961"/>
      <c r="XDD961"/>
      <c r="XDE961"/>
      <c r="XDF961"/>
      <c r="XDG961"/>
      <c r="XDH961"/>
      <c r="XDI961"/>
      <c r="XDJ961"/>
      <c r="XDK961"/>
      <c r="XDL961"/>
      <c r="XDM961"/>
      <c r="XDN961"/>
      <c r="XDO961"/>
      <c r="XDP961"/>
      <c r="XDQ961"/>
      <c r="XDR961"/>
      <c r="XDS961"/>
      <c r="XDT961"/>
      <c r="XDU961"/>
      <c r="XDV961"/>
      <c r="XDW961"/>
      <c r="XDX961"/>
      <c r="XDY961"/>
      <c r="XDZ961"/>
      <c r="XEA961"/>
      <c r="XEB961"/>
      <c r="XEC961"/>
      <c r="XED961"/>
      <c r="XEE961"/>
      <c r="XEF961"/>
      <c r="XEG961"/>
      <c r="XEH961"/>
      <c r="XEI961"/>
      <c r="XEJ961"/>
      <c r="XEK961"/>
      <c r="XEL961"/>
      <c r="XEM961"/>
      <c r="XEN961"/>
      <c r="XEO961"/>
      <c r="XEP961"/>
      <c r="XEQ961"/>
      <c r="XER961"/>
      <c r="XES961"/>
      <c r="XET961"/>
      <c r="XEU961"/>
      <c r="XEV961"/>
      <c r="XEW961"/>
      <c r="XEX961"/>
      <c r="XEY961"/>
      <c r="XEZ961"/>
      <c r="XFA961"/>
      <c r="XFB961"/>
      <c r="XFC961"/>
    </row>
    <row r="962" spans="1:20 16329:16383" s="38" customFormat="1" ht="29.1" customHeight="1" outlineLevel="3" x14ac:dyDescent="0.25">
      <c r="A962" s="55" t="s">
        <v>1822</v>
      </c>
      <c r="B962" s="56" t="s">
        <v>1823</v>
      </c>
      <c r="C962" s="56"/>
      <c r="D962" s="2" t="s">
        <v>1824</v>
      </c>
      <c r="E962" s="2"/>
      <c r="F962" s="57"/>
      <c r="G962" s="56"/>
      <c r="H962" s="58"/>
      <c r="I962" s="36"/>
      <c r="J962" s="58"/>
      <c r="K962" s="59"/>
      <c r="L962" s="59"/>
      <c r="M962" s="59"/>
      <c r="N962" s="59"/>
      <c r="O962" s="59">
        <f>O963</f>
        <v>0</v>
      </c>
      <c r="P962" s="59">
        <f>P963</f>
        <v>0</v>
      </c>
      <c r="Q962" s="59">
        <f>Q963</f>
        <v>0</v>
      </c>
      <c r="R962" s="59">
        <f>R963</f>
        <v>0</v>
      </c>
      <c r="S962" s="59"/>
      <c r="T962" s="36"/>
      <c r="XDA962"/>
      <c r="XDB962"/>
      <c r="XDC962"/>
      <c r="XDD962"/>
      <c r="XDE962"/>
      <c r="XDF962"/>
      <c r="XDG962"/>
      <c r="XDH962"/>
      <c r="XDI962"/>
      <c r="XDJ962"/>
      <c r="XDK962"/>
      <c r="XDL962"/>
      <c r="XDM962"/>
      <c r="XDN962"/>
      <c r="XDO962"/>
      <c r="XDP962"/>
      <c r="XDQ962"/>
      <c r="XDR962"/>
      <c r="XDS962"/>
      <c r="XDT962"/>
      <c r="XDU962"/>
      <c r="XDV962"/>
      <c r="XDW962"/>
      <c r="XDX962"/>
      <c r="XDY962"/>
      <c r="XDZ962"/>
      <c r="XEA962"/>
      <c r="XEB962"/>
      <c r="XEC962"/>
      <c r="XED962"/>
      <c r="XEE962"/>
      <c r="XEF962"/>
      <c r="XEG962"/>
      <c r="XEH962"/>
      <c r="XEI962"/>
      <c r="XEJ962"/>
      <c r="XEK962"/>
      <c r="XEL962"/>
      <c r="XEM962"/>
      <c r="XEN962"/>
      <c r="XEO962"/>
      <c r="XEP962"/>
      <c r="XEQ962"/>
      <c r="XER962"/>
      <c r="XES962"/>
      <c r="XET962"/>
      <c r="XEU962"/>
      <c r="XEV962"/>
      <c r="XEW962"/>
      <c r="XEX962"/>
      <c r="XEY962"/>
      <c r="XEZ962"/>
      <c r="XFA962"/>
      <c r="XFB962"/>
      <c r="XFC962"/>
    </row>
    <row r="963" spans="1:20 16329:16383" s="38" customFormat="1" ht="29.1" customHeight="1" outlineLevel="4" x14ac:dyDescent="0.25">
      <c r="A963" s="49" t="s">
        <v>1825</v>
      </c>
      <c r="B963" s="50"/>
      <c r="C963" s="50"/>
      <c r="D963" s="3" t="s">
        <v>1824</v>
      </c>
      <c r="E963" s="3"/>
      <c r="F963" s="51"/>
      <c r="G963" s="50" t="s">
        <v>134</v>
      </c>
      <c r="H963" s="52">
        <f>1</f>
        <v>1</v>
      </c>
      <c r="I963" s="36"/>
      <c r="J963" s="52">
        <v>1</v>
      </c>
      <c r="K963" s="53">
        <f>0</f>
        <v>0</v>
      </c>
      <c r="L963" s="53">
        <f>0</f>
        <v>0</v>
      </c>
      <c r="M963" s="53">
        <f>0</f>
        <v>0</v>
      </c>
      <c r="N963" s="54">
        <f>SUM(K963:M963)</f>
        <v>0</v>
      </c>
      <c r="O963" s="54">
        <f>ROUND((H963*K963),2)</f>
        <v>0</v>
      </c>
      <c r="P963" s="54">
        <f>ROUND((H963*L963),2)</f>
        <v>0</v>
      </c>
      <c r="Q963" s="54">
        <f>ROUND((H963*M963),2)</f>
        <v>0</v>
      </c>
      <c r="R963" s="54">
        <f>ROUND((H963*N963),2)</f>
        <v>0</v>
      </c>
      <c r="S963" s="54"/>
      <c r="T963" s="36"/>
      <c r="XDA963"/>
      <c r="XDB963"/>
      <c r="XDC963"/>
      <c r="XDD963"/>
      <c r="XDE963"/>
      <c r="XDF963"/>
      <c r="XDG963"/>
      <c r="XDH963"/>
      <c r="XDI963"/>
      <c r="XDJ963"/>
      <c r="XDK963"/>
      <c r="XDL963"/>
      <c r="XDM963"/>
      <c r="XDN963"/>
      <c r="XDO963"/>
      <c r="XDP963"/>
      <c r="XDQ963"/>
      <c r="XDR963"/>
      <c r="XDS963"/>
      <c r="XDT963"/>
      <c r="XDU963"/>
      <c r="XDV963"/>
      <c r="XDW963"/>
      <c r="XDX963"/>
      <c r="XDY963"/>
      <c r="XDZ963"/>
      <c r="XEA963"/>
      <c r="XEB963"/>
      <c r="XEC963"/>
      <c r="XED963"/>
      <c r="XEE963"/>
      <c r="XEF963"/>
      <c r="XEG963"/>
      <c r="XEH963"/>
      <c r="XEI963"/>
      <c r="XEJ963"/>
      <c r="XEK963"/>
      <c r="XEL963"/>
      <c r="XEM963"/>
      <c r="XEN963"/>
      <c r="XEO963"/>
      <c r="XEP963"/>
      <c r="XEQ963"/>
      <c r="XER963"/>
      <c r="XES963"/>
      <c r="XET963"/>
      <c r="XEU963"/>
      <c r="XEV963"/>
      <c r="XEW963"/>
      <c r="XEX963"/>
      <c r="XEY963"/>
      <c r="XEZ963"/>
      <c r="XFA963"/>
      <c r="XFB963"/>
      <c r="XFC963"/>
    </row>
    <row r="964" spans="1:20 16329:16383" s="38" customFormat="1" ht="29.1" customHeight="1" outlineLevel="3" x14ac:dyDescent="0.25">
      <c r="A964" s="55" t="s">
        <v>1826</v>
      </c>
      <c r="B964" s="56" t="s">
        <v>1827</v>
      </c>
      <c r="C964" s="56"/>
      <c r="D964" s="2" t="s">
        <v>1828</v>
      </c>
      <c r="E964" s="2"/>
      <c r="F964" s="57"/>
      <c r="G964" s="56"/>
      <c r="H964" s="58"/>
      <c r="I964" s="36"/>
      <c r="J964" s="58"/>
      <c r="K964" s="59"/>
      <c r="L964" s="59"/>
      <c r="M964" s="59"/>
      <c r="N964" s="59"/>
      <c r="O964" s="59">
        <f>O965</f>
        <v>0</v>
      </c>
      <c r="P964" s="59">
        <f>P965</f>
        <v>0</v>
      </c>
      <c r="Q964" s="59">
        <f>Q965</f>
        <v>0</v>
      </c>
      <c r="R964" s="59">
        <f>R965</f>
        <v>0</v>
      </c>
      <c r="S964" s="59"/>
      <c r="T964" s="36"/>
      <c r="XDA964"/>
      <c r="XDB964"/>
      <c r="XDC964"/>
      <c r="XDD964"/>
      <c r="XDE964"/>
      <c r="XDF964"/>
      <c r="XDG964"/>
      <c r="XDH964"/>
      <c r="XDI964"/>
      <c r="XDJ964"/>
      <c r="XDK964"/>
      <c r="XDL964"/>
      <c r="XDM964"/>
      <c r="XDN964"/>
      <c r="XDO964"/>
      <c r="XDP964"/>
      <c r="XDQ964"/>
      <c r="XDR964"/>
      <c r="XDS964"/>
      <c r="XDT964"/>
      <c r="XDU964"/>
      <c r="XDV964"/>
      <c r="XDW964"/>
      <c r="XDX964"/>
      <c r="XDY964"/>
      <c r="XDZ964"/>
      <c r="XEA964"/>
      <c r="XEB964"/>
      <c r="XEC964"/>
      <c r="XED964"/>
      <c r="XEE964"/>
      <c r="XEF964"/>
      <c r="XEG964"/>
      <c r="XEH964"/>
      <c r="XEI964"/>
      <c r="XEJ964"/>
      <c r="XEK964"/>
      <c r="XEL964"/>
      <c r="XEM964"/>
      <c r="XEN964"/>
      <c r="XEO964"/>
      <c r="XEP964"/>
      <c r="XEQ964"/>
      <c r="XER964"/>
      <c r="XES964"/>
      <c r="XET964"/>
      <c r="XEU964"/>
      <c r="XEV964"/>
      <c r="XEW964"/>
      <c r="XEX964"/>
      <c r="XEY964"/>
      <c r="XEZ964"/>
      <c r="XFA964"/>
      <c r="XFB964"/>
      <c r="XFC964"/>
    </row>
    <row r="965" spans="1:20 16329:16383" s="38" customFormat="1" ht="29.1" customHeight="1" outlineLevel="4" x14ac:dyDescent="0.25">
      <c r="A965" s="49" t="s">
        <v>1829</v>
      </c>
      <c r="B965" s="50"/>
      <c r="C965" s="50"/>
      <c r="D965" s="3" t="s">
        <v>1828</v>
      </c>
      <c r="E965" s="3"/>
      <c r="F965" s="51"/>
      <c r="G965" s="50" t="s">
        <v>194</v>
      </c>
      <c r="H965" s="52">
        <f>1</f>
        <v>1</v>
      </c>
      <c r="I965" s="36"/>
      <c r="J965" s="52">
        <v>1</v>
      </c>
      <c r="K965" s="53">
        <f>0</f>
        <v>0</v>
      </c>
      <c r="L965" s="53">
        <f>0</f>
        <v>0</v>
      </c>
      <c r="M965" s="53">
        <f>0</f>
        <v>0</v>
      </c>
      <c r="N965" s="54">
        <f>SUM(K965:M965)</f>
        <v>0</v>
      </c>
      <c r="O965" s="54">
        <f>ROUND((H965*K965),2)</f>
        <v>0</v>
      </c>
      <c r="P965" s="54">
        <f>ROUND((H965*L965),2)</f>
        <v>0</v>
      </c>
      <c r="Q965" s="54">
        <f>ROUND((H965*M965),2)</f>
        <v>0</v>
      </c>
      <c r="R965" s="54">
        <f>ROUND((H965*N965),2)</f>
        <v>0</v>
      </c>
      <c r="S965" s="54"/>
      <c r="T965" s="36"/>
      <c r="XDA965"/>
      <c r="XDB965"/>
      <c r="XDC965"/>
      <c r="XDD965"/>
      <c r="XDE965"/>
      <c r="XDF965"/>
      <c r="XDG965"/>
      <c r="XDH965"/>
      <c r="XDI965"/>
      <c r="XDJ965"/>
      <c r="XDK965"/>
      <c r="XDL965"/>
      <c r="XDM965"/>
      <c r="XDN965"/>
      <c r="XDO965"/>
      <c r="XDP965"/>
      <c r="XDQ965"/>
      <c r="XDR965"/>
      <c r="XDS965"/>
      <c r="XDT965"/>
      <c r="XDU965"/>
      <c r="XDV965"/>
      <c r="XDW965"/>
      <c r="XDX965"/>
      <c r="XDY965"/>
      <c r="XDZ965"/>
      <c r="XEA965"/>
      <c r="XEB965"/>
      <c r="XEC965"/>
      <c r="XED965"/>
      <c r="XEE965"/>
      <c r="XEF965"/>
      <c r="XEG965"/>
      <c r="XEH965"/>
      <c r="XEI965"/>
      <c r="XEJ965"/>
      <c r="XEK965"/>
      <c r="XEL965"/>
      <c r="XEM965"/>
      <c r="XEN965"/>
      <c r="XEO965"/>
      <c r="XEP965"/>
      <c r="XEQ965"/>
      <c r="XER965"/>
      <c r="XES965"/>
      <c r="XET965"/>
      <c r="XEU965"/>
      <c r="XEV965"/>
      <c r="XEW965"/>
      <c r="XEX965"/>
      <c r="XEY965"/>
      <c r="XEZ965"/>
      <c r="XFA965"/>
      <c r="XFB965"/>
      <c r="XFC965"/>
    </row>
    <row r="966" spans="1:20 16329:16383" s="38" customFormat="1" ht="29.1" customHeight="1" outlineLevel="2" x14ac:dyDescent="0.25">
      <c r="A966" s="44" t="s">
        <v>1830</v>
      </c>
      <c r="B966" s="45" t="s">
        <v>1831</v>
      </c>
      <c r="C966" s="45" t="s">
        <v>1832</v>
      </c>
      <c r="D966" s="4" t="s">
        <v>1498</v>
      </c>
      <c r="E966" s="4"/>
      <c r="F966" s="46"/>
      <c r="G966" s="45" t="s">
        <v>29</v>
      </c>
      <c r="H966" s="47"/>
      <c r="I966" s="36"/>
      <c r="J966" s="47"/>
      <c r="K966" s="48"/>
      <c r="L966" s="48"/>
      <c r="M966" s="48"/>
      <c r="N966" s="48"/>
      <c r="O966" s="48">
        <f>O967</f>
        <v>0</v>
      </c>
      <c r="P966" s="48">
        <f>P967</f>
        <v>0</v>
      </c>
      <c r="Q966" s="48">
        <f>Q967</f>
        <v>0</v>
      </c>
      <c r="R966" s="48">
        <f>R967</f>
        <v>0</v>
      </c>
      <c r="S966" s="48"/>
      <c r="T966" s="36"/>
      <c r="XDA966"/>
      <c r="XDB966"/>
      <c r="XDC966"/>
      <c r="XDD966"/>
      <c r="XDE966"/>
      <c r="XDF966"/>
      <c r="XDG966"/>
      <c r="XDH966"/>
      <c r="XDI966"/>
      <c r="XDJ966"/>
      <c r="XDK966"/>
      <c r="XDL966"/>
      <c r="XDM966"/>
      <c r="XDN966"/>
      <c r="XDO966"/>
      <c r="XDP966"/>
      <c r="XDQ966"/>
      <c r="XDR966"/>
      <c r="XDS966"/>
      <c r="XDT966"/>
      <c r="XDU966"/>
      <c r="XDV966"/>
      <c r="XDW966"/>
      <c r="XDX966"/>
      <c r="XDY966"/>
      <c r="XDZ966"/>
      <c r="XEA966"/>
      <c r="XEB966"/>
      <c r="XEC966"/>
      <c r="XED966"/>
      <c r="XEE966"/>
      <c r="XEF966"/>
      <c r="XEG966"/>
      <c r="XEH966"/>
      <c r="XEI966"/>
      <c r="XEJ966"/>
      <c r="XEK966"/>
      <c r="XEL966"/>
      <c r="XEM966"/>
      <c r="XEN966"/>
      <c r="XEO966"/>
      <c r="XEP966"/>
      <c r="XEQ966"/>
      <c r="XER966"/>
      <c r="XES966"/>
      <c r="XET966"/>
      <c r="XEU966"/>
      <c r="XEV966"/>
      <c r="XEW966"/>
      <c r="XEX966"/>
      <c r="XEY966"/>
      <c r="XEZ966"/>
      <c r="XFA966"/>
      <c r="XFB966"/>
      <c r="XFC966"/>
    </row>
    <row r="967" spans="1:20 16329:16383" s="38" customFormat="1" ht="29.1" customHeight="1" outlineLevel="3" x14ac:dyDescent="0.25">
      <c r="A967" s="55" t="s">
        <v>1833</v>
      </c>
      <c r="B967" s="56" t="s">
        <v>1834</v>
      </c>
      <c r="C967" s="56"/>
      <c r="D967" s="2" t="s">
        <v>1835</v>
      </c>
      <c r="E967" s="2"/>
      <c r="F967" s="57"/>
      <c r="G967" s="56"/>
      <c r="H967" s="58"/>
      <c r="I967" s="36"/>
      <c r="J967" s="58"/>
      <c r="K967" s="59"/>
      <c r="L967" s="59"/>
      <c r="M967" s="59"/>
      <c r="N967" s="59"/>
      <c r="O967" s="59">
        <f>SUM(O968:O978)</f>
        <v>0</v>
      </c>
      <c r="P967" s="59">
        <f>SUM(P968:P978)</f>
        <v>0</v>
      </c>
      <c r="Q967" s="59">
        <f>SUM(Q968:Q978)</f>
        <v>0</v>
      </c>
      <c r="R967" s="59">
        <f>SUM(R968:R978)</f>
        <v>0</v>
      </c>
      <c r="S967" s="59"/>
      <c r="T967" s="36"/>
      <c r="XDA967"/>
      <c r="XDB967"/>
      <c r="XDC967"/>
      <c r="XDD967"/>
      <c r="XDE967"/>
      <c r="XDF967"/>
      <c r="XDG967"/>
      <c r="XDH967"/>
      <c r="XDI967"/>
      <c r="XDJ967"/>
      <c r="XDK967"/>
      <c r="XDL967"/>
      <c r="XDM967"/>
      <c r="XDN967"/>
      <c r="XDO967"/>
      <c r="XDP967"/>
      <c r="XDQ967"/>
      <c r="XDR967"/>
      <c r="XDS967"/>
      <c r="XDT967"/>
      <c r="XDU967"/>
      <c r="XDV967"/>
      <c r="XDW967"/>
      <c r="XDX967"/>
      <c r="XDY967"/>
      <c r="XDZ967"/>
      <c r="XEA967"/>
      <c r="XEB967"/>
      <c r="XEC967"/>
      <c r="XED967"/>
      <c r="XEE967"/>
      <c r="XEF967"/>
      <c r="XEG967"/>
      <c r="XEH967"/>
      <c r="XEI967"/>
      <c r="XEJ967"/>
      <c r="XEK967"/>
      <c r="XEL967"/>
      <c r="XEM967"/>
      <c r="XEN967"/>
      <c r="XEO967"/>
      <c r="XEP967"/>
      <c r="XEQ967"/>
      <c r="XER967"/>
      <c r="XES967"/>
      <c r="XET967"/>
      <c r="XEU967"/>
      <c r="XEV967"/>
      <c r="XEW967"/>
      <c r="XEX967"/>
      <c r="XEY967"/>
      <c r="XEZ967"/>
      <c r="XFA967"/>
      <c r="XFB967"/>
      <c r="XFC967"/>
    </row>
    <row r="968" spans="1:20 16329:16383" s="38" customFormat="1" ht="29.1" customHeight="1" outlineLevel="4" x14ac:dyDescent="0.25">
      <c r="A968" s="49" t="s">
        <v>1836</v>
      </c>
      <c r="B968" s="50"/>
      <c r="C968" s="50"/>
      <c r="D968" s="3" t="s">
        <v>1837</v>
      </c>
      <c r="E968" s="3"/>
      <c r="F968" s="51"/>
      <c r="G968" s="50" t="s">
        <v>134</v>
      </c>
      <c r="H968" s="52">
        <f>1</f>
        <v>1</v>
      </c>
      <c r="I968" s="36"/>
      <c r="J968" s="52">
        <v>1</v>
      </c>
      <c r="K968" s="53">
        <f>0</f>
        <v>0</v>
      </c>
      <c r="L968" s="53">
        <f>0</f>
        <v>0</v>
      </c>
      <c r="M968" s="53">
        <f>0</f>
        <v>0</v>
      </c>
      <c r="N968" s="54">
        <f t="shared" ref="N968:N978" si="134">SUM(K968:M968)</f>
        <v>0</v>
      </c>
      <c r="O968" s="54">
        <f t="shared" ref="O968:O978" si="135">ROUND((H968*K968),2)</f>
        <v>0</v>
      </c>
      <c r="P968" s="54">
        <f t="shared" ref="P968:P978" si="136">ROUND((H968*L968),2)</f>
        <v>0</v>
      </c>
      <c r="Q968" s="54">
        <f t="shared" ref="Q968:Q978" si="137">ROUND((H968*M968),2)</f>
        <v>0</v>
      </c>
      <c r="R968" s="54">
        <f t="shared" ref="R968:R978" si="138">ROUND((H968*N968),2)</f>
        <v>0</v>
      </c>
      <c r="S968" s="54"/>
      <c r="T968" s="36"/>
      <c r="XDA968"/>
      <c r="XDB968"/>
      <c r="XDC968"/>
      <c r="XDD968"/>
      <c r="XDE968"/>
      <c r="XDF968"/>
      <c r="XDG968"/>
      <c r="XDH968"/>
      <c r="XDI968"/>
      <c r="XDJ968"/>
      <c r="XDK968"/>
      <c r="XDL968"/>
      <c r="XDM968"/>
      <c r="XDN968"/>
      <c r="XDO968"/>
      <c r="XDP968"/>
      <c r="XDQ968"/>
      <c r="XDR968"/>
      <c r="XDS968"/>
      <c r="XDT968"/>
      <c r="XDU968"/>
      <c r="XDV968"/>
      <c r="XDW968"/>
      <c r="XDX968"/>
      <c r="XDY968"/>
      <c r="XDZ968"/>
      <c r="XEA968"/>
      <c r="XEB968"/>
      <c r="XEC968"/>
      <c r="XED968"/>
      <c r="XEE968"/>
      <c r="XEF968"/>
      <c r="XEG968"/>
      <c r="XEH968"/>
      <c r="XEI968"/>
      <c r="XEJ968"/>
      <c r="XEK968"/>
      <c r="XEL968"/>
      <c r="XEM968"/>
      <c r="XEN968"/>
      <c r="XEO968"/>
      <c r="XEP968"/>
      <c r="XEQ968"/>
      <c r="XER968"/>
      <c r="XES968"/>
      <c r="XET968"/>
      <c r="XEU968"/>
      <c r="XEV968"/>
      <c r="XEW968"/>
      <c r="XEX968"/>
      <c r="XEY968"/>
      <c r="XEZ968"/>
      <c r="XFA968"/>
      <c r="XFB968"/>
      <c r="XFC968"/>
    </row>
    <row r="969" spans="1:20 16329:16383" s="38" customFormat="1" ht="29.1" customHeight="1" outlineLevel="4" x14ac:dyDescent="0.25">
      <c r="A969" s="49" t="s">
        <v>1838</v>
      </c>
      <c r="B969" s="50"/>
      <c r="C969" s="50"/>
      <c r="D969" s="3" t="s">
        <v>1839</v>
      </c>
      <c r="E969" s="3"/>
      <c r="F969" s="51"/>
      <c r="G969" s="50" t="s">
        <v>134</v>
      </c>
      <c r="H969" s="52">
        <f>1</f>
        <v>1</v>
      </c>
      <c r="I969" s="36"/>
      <c r="J969" s="52">
        <v>1</v>
      </c>
      <c r="K969" s="53">
        <f>0</f>
        <v>0</v>
      </c>
      <c r="L969" s="53">
        <f>0</f>
        <v>0</v>
      </c>
      <c r="M969" s="53">
        <f>0</f>
        <v>0</v>
      </c>
      <c r="N969" s="54">
        <f t="shared" si="134"/>
        <v>0</v>
      </c>
      <c r="O969" s="54">
        <f t="shared" si="135"/>
        <v>0</v>
      </c>
      <c r="P969" s="54">
        <f t="shared" si="136"/>
        <v>0</v>
      </c>
      <c r="Q969" s="54">
        <f t="shared" si="137"/>
        <v>0</v>
      </c>
      <c r="R969" s="54">
        <f t="shared" si="138"/>
        <v>0</v>
      </c>
      <c r="S969" s="54"/>
      <c r="T969" s="36"/>
      <c r="XDA969"/>
      <c r="XDB969"/>
      <c r="XDC969"/>
      <c r="XDD969"/>
      <c r="XDE969"/>
      <c r="XDF969"/>
      <c r="XDG969"/>
      <c r="XDH969"/>
      <c r="XDI969"/>
      <c r="XDJ969"/>
      <c r="XDK969"/>
      <c r="XDL969"/>
      <c r="XDM969"/>
      <c r="XDN969"/>
      <c r="XDO969"/>
      <c r="XDP969"/>
      <c r="XDQ969"/>
      <c r="XDR969"/>
      <c r="XDS969"/>
      <c r="XDT969"/>
      <c r="XDU969"/>
      <c r="XDV969"/>
      <c r="XDW969"/>
      <c r="XDX969"/>
      <c r="XDY969"/>
      <c r="XDZ969"/>
      <c r="XEA969"/>
      <c r="XEB969"/>
      <c r="XEC969"/>
      <c r="XED969"/>
      <c r="XEE969"/>
      <c r="XEF969"/>
      <c r="XEG969"/>
      <c r="XEH969"/>
      <c r="XEI969"/>
      <c r="XEJ969"/>
      <c r="XEK969"/>
      <c r="XEL969"/>
      <c r="XEM969"/>
      <c r="XEN969"/>
      <c r="XEO969"/>
      <c r="XEP969"/>
      <c r="XEQ969"/>
      <c r="XER969"/>
      <c r="XES969"/>
      <c r="XET969"/>
      <c r="XEU969"/>
      <c r="XEV969"/>
      <c r="XEW969"/>
      <c r="XEX969"/>
      <c r="XEY969"/>
      <c r="XEZ969"/>
      <c r="XFA969"/>
      <c r="XFB969"/>
      <c r="XFC969"/>
    </row>
    <row r="970" spans="1:20 16329:16383" s="38" customFormat="1" ht="29.1" customHeight="1" outlineLevel="4" x14ac:dyDescent="0.25">
      <c r="A970" s="49" t="s">
        <v>1840</v>
      </c>
      <c r="B970" s="50"/>
      <c r="C970" s="50"/>
      <c r="D970" s="3" t="s">
        <v>1841</v>
      </c>
      <c r="E970" s="3"/>
      <c r="F970" s="51"/>
      <c r="G970" s="50" t="s">
        <v>134</v>
      </c>
      <c r="H970" s="52">
        <f>1</f>
        <v>1</v>
      </c>
      <c r="I970" s="36"/>
      <c r="J970" s="52">
        <v>1</v>
      </c>
      <c r="K970" s="53">
        <f>0</f>
        <v>0</v>
      </c>
      <c r="L970" s="53">
        <f>0</f>
        <v>0</v>
      </c>
      <c r="M970" s="53">
        <f>0</f>
        <v>0</v>
      </c>
      <c r="N970" s="54">
        <f t="shared" si="134"/>
        <v>0</v>
      </c>
      <c r="O970" s="54">
        <f t="shared" si="135"/>
        <v>0</v>
      </c>
      <c r="P970" s="54">
        <f t="shared" si="136"/>
        <v>0</v>
      </c>
      <c r="Q970" s="54">
        <f t="shared" si="137"/>
        <v>0</v>
      </c>
      <c r="R970" s="54">
        <f t="shared" si="138"/>
        <v>0</v>
      </c>
      <c r="S970" s="54"/>
      <c r="T970" s="36"/>
      <c r="XDA970"/>
      <c r="XDB970"/>
      <c r="XDC970"/>
      <c r="XDD970"/>
      <c r="XDE970"/>
      <c r="XDF970"/>
      <c r="XDG970"/>
      <c r="XDH970"/>
      <c r="XDI970"/>
      <c r="XDJ970"/>
      <c r="XDK970"/>
      <c r="XDL970"/>
      <c r="XDM970"/>
      <c r="XDN970"/>
      <c r="XDO970"/>
      <c r="XDP970"/>
      <c r="XDQ970"/>
      <c r="XDR970"/>
      <c r="XDS970"/>
      <c r="XDT970"/>
      <c r="XDU970"/>
      <c r="XDV970"/>
      <c r="XDW970"/>
      <c r="XDX970"/>
      <c r="XDY970"/>
      <c r="XDZ970"/>
      <c r="XEA970"/>
      <c r="XEB970"/>
      <c r="XEC970"/>
      <c r="XED970"/>
      <c r="XEE970"/>
      <c r="XEF970"/>
      <c r="XEG970"/>
      <c r="XEH970"/>
      <c r="XEI970"/>
      <c r="XEJ970"/>
      <c r="XEK970"/>
      <c r="XEL970"/>
      <c r="XEM970"/>
      <c r="XEN970"/>
      <c r="XEO970"/>
      <c r="XEP970"/>
      <c r="XEQ970"/>
      <c r="XER970"/>
      <c r="XES970"/>
      <c r="XET970"/>
      <c r="XEU970"/>
      <c r="XEV970"/>
      <c r="XEW970"/>
      <c r="XEX970"/>
      <c r="XEY970"/>
      <c r="XEZ970"/>
      <c r="XFA970"/>
      <c r="XFB970"/>
      <c r="XFC970"/>
    </row>
    <row r="971" spans="1:20 16329:16383" s="38" customFormat="1" ht="29.1" customHeight="1" outlineLevel="4" x14ac:dyDescent="0.25">
      <c r="A971" s="49" t="s">
        <v>1842</v>
      </c>
      <c r="B971" s="50"/>
      <c r="C971" s="50"/>
      <c r="D971" s="3" t="s">
        <v>1843</v>
      </c>
      <c r="E971" s="3"/>
      <c r="F971" s="51"/>
      <c r="G971" s="50" t="s">
        <v>134</v>
      </c>
      <c r="H971" s="52">
        <f>1</f>
        <v>1</v>
      </c>
      <c r="I971" s="36"/>
      <c r="J971" s="52">
        <v>1</v>
      </c>
      <c r="K971" s="53">
        <f>0</f>
        <v>0</v>
      </c>
      <c r="L971" s="53">
        <f>0</f>
        <v>0</v>
      </c>
      <c r="M971" s="53">
        <f>0</f>
        <v>0</v>
      </c>
      <c r="N971" s="54">
        <f t="shared" si="134"/>
        <v>0</v>
      </c>
      <c r="O971" s="54">
        <f t="shared" si="135"/>
        <v>0</v>
      </c>
      <c r="P971" s="54">
        <f t="shared" si="136"/>
        <v>0</v>
      </c>
      <c r="Q971" s="54">
        <f t="shared" si="137"/>
        <v>0</v>
      </c>
      <c r="R971" s="54">
        <f t="shared" si="138"/>
        <v>0</v>
      </c>
      <c r="S971" s="54"/>
      <c r="T971" s="36"/>
      <c r="XDA971"/>
      <c r="XDB971"/>
      <c r="XDC971"/>
      <c r="XDD971"/>
      <c r="XDE971"/>
      <c r="XDF971"/>
      <c r="XDG971"/>
      <c r="XDH971"/>
      <c r="XDI971"/>
      <c r="XDJ971"/>
      <c r="XDK971"/>
      <c r="XDL971"/>
      <c r="XDM971"/>
      <c r="XDN971"/>
      <c r="XDO971"/>
      <c r="XDP971"/>
      <c r="XDQ971"/>
      <c r="XDR971"/>
      <c r="XDS971"/>
      <c r="XDT971"/>
      <c r="XDU971"/>
      <c r="XDV971"/>
      <c r="XDW971"/>
      <c r="XDX971"/>
      <c r="XDY971"/>
      <c r="XDZ971"/>
      <c r="XEA971"/>
      <c r="XEB971"/>
      <c r="XEC971"/>
      <c r="XED971"/>
      <c r="XEE971"/>
      <c r="XEF971"/>
      <c r="XEG971"/>
      <c r="XEH971"/>
      <c r="XEI971"/>
      <c r="XEJ971"/>
      <c r="XEK971"/>
      <c r="XEL971"/>
      <c r="XEM971"/>
      <c r="XEN971"/>
      <c r="XEO971"/>
      <c r="XEP971"/>
      <c r="XEQ971"/>
      <c r="XER971"/>
      <c r="XES971"/>
      <c r="XET971"/>
      <c r="XEU971"/>
      <c r="XEV971"/>
      <c r="XEW971"/>
      <c r="XEX971"/>
      <c r="XEY971"/>
      <c r="XEZ971"/>
      <c r="XFA971"/>
      <c r="XFB971"/>
      <c r="XFC971"/>
    </row>
    <row r="972" spans="1:20 16329:16383" s="38" customFormat="1" ht="29.1" customHeight="1" outlineLevel="4" x14ac:dyDescent="0.25">
      <c r="A972" s="49" t="s">
        <v>1844</v>
      </c>
      <c r="B972" s="50"/>
      <c r="C972" s="50"/>
      <c r="D972" s="3" t="s">
        <v>1845</v>
      </c>
      <c r="E972" s="3"/>
      <c r="F972" s="51" t="s">
        <v>1846</v>
      </c>
      <c r="G972" s="50" t="s">
        <v>134</v>
      </c>
      <c r="H972" s="52">
        <f>1</f>
        <v>1</v>
      </c>
      <c r="I972" s="36"/>
      <c r="J972" s="52">
        <v>1</v>
      </c>
      <c r="K972" s="53">
        <f>0</f>
        <v>0</v>
      </c>
      <c r="L972" s="53">
        <f>0</f>
        <v>0</v>
      </c>
      <c r="M972" s="53">
        <f>0</f>
        <v>0</v>
      </c>
      <c r="N972" s="54">
        <f t="shared" si="134"/>
        <v>0</v>
      </c>
      <c r="O972" s="54">
        <f t="shared" si="135"/>
        <v>0</v>
      </c>
      <c r="P972" s="54">
        <f t="shared" si="136"/>
        <v>0</v>
      </c>
      <c r="Q972" s="54">
        <f t="shared" si="137"/>
        <v>0</v>
      </c>
      <c r="R972" s="54">
        <f t="shared" si="138"/>
        <v>0</v>
      </c>
      <c r="S972" s="54"/>
      <c r="T972" s="36"/>
      <c r="XDA972"/>
      <c r="XDB972"/>
      <c r="XDC972"/>
      <c r="XDD972"/>
      <c r="XDE972"/>
      <c r="XDF972"/>
      <c r="XDG972"/>
      <c r="XDH972"/>
      <c r="XDI972"/>
      <c r="XDJ972"/>
      <c r="XDK972"/>
      <c r="XDL972"/>
      <c r="XDM972"/>
      <c r="XDN972"/>
      <c r="XDO972"/>
      <c r="XDP972"/>
      <c r="XDQ972"/>
      <c r="XDR972"/>
      <c r="XDS972"/>
      <c r="XDT972"/>
      <c r="XDU972"/>
      <c r="XDV972"/>
      <c r="XDW972"/>
      <c r="XDX972"/>
      <c r="XDY972"/>
      <c r="XDZ972"/>
      <c r="XEA972"/>
      <c r="XEB972"/>
      <c r="XEC972"/>
      <c r="XED972"/>
      <c r="XEE972"/>
      <c r="XEF972"/>
      <c r="XEG972"/>
      <c r="XEH972"/>
      <c r="XEI972"/>
      <c r="XEJ972"/>
      <c r="XEK972"/>
      <c r="XEL972"/>
      <c r="XEM972"/>
      <c r="XEN972"/>
      <c r="XEO972"/>
      <c r="XEP972"/>
      <c r="XEQ972"/>
      <c r="XER972"/>
      <c r="XES972"/>
      <c r="XET972"/>
      <c r="XEU972"/>
      <c r="XEV972"/>
      <c r="XEW972"/>
      <c r="XEX972"/>
      <c r="XEY972"/>
      <c r="XEZ972"/>
      <c r="XFA972"/>
      <c r="XFB972"/>
      <c r="XFC972"/>
    </row>
    <row r="973" spans="1:20 16329:16383" s="38" customFormat="1" ht="29.1" customHeight="1" outlineLevel="4" x14ac:dyDescent="0.25">
      <c r="A973" s="49" t="s">
        <v>1847</v>
      </c>
      <c r="B973" s="50"/>
      <c r="C973" s="50"/>
      <c r="D973" s="3" t="s">
        <v>1848</v>
      </c>
      <c r="E973" s="3"/>
      <c r="F973" s="51" t="s">
        <v>1846</v>
      </c>
      <c r="G973" s="50" t="s">
        <v>134</v>
      </c>
      <c r="H973" s="52">
        <f>1</f>
        <v>1</v>
      </c>
      <c r="I973" s="36"/>
      <c r="J973" s="52">
        <v>1</v>
      </c>
      <c r="K973" s="53">
        <f>0</f>
        <v>0</v>
      </c>
      <c r="L973" s="53">
        <f>0</f>
        <v>0</v>
      </c>
      <c r="M973" s="53">
        <f>0</f>
        <v>0</v>
      </c>
      <c r="N973" s="54">
        <f t="shared" si="134"/>
        <v>0</v>
      </c>
      <c r="O973" s="54">
        <f t="shared" si="135"/>
        <v>0</v>
      </c>
      <c r="P973" s="54">
        <f t="shared" si="136"/>
        <v>0</v>
      </c>
      <c r="Q973" s="54">
        <f t="shared" si="137"/>
        <v>0</v>
      </c>
      <c r="R973" s="54">
        <f t="shared" si="138"/>
        <v>0</v>
      </c>
      <c r="S973" s="54"/>
      <c r="T973" s="36"/>
      <c r="XDA973"/>
      <c r="XDB973"/>
      <c r="XDC973"/>
      <c r="XDD973"/>
      <c r="XDE973"/>
      <c r="XDF973"/>
      <c r="XDG973"/>
      <c r="XDH973"/>
      <c r="XDI973"/>
      <c r="XDJ973"/>
      <c r="XDK973"/>
      <c r="XDL973"/>
      <c r="XDM973"/>
      <c r="XDN973"/>
      <c r="XDO973"/>
      <c r="XDP973"/>
      <c r="XDQ973"/>
      <c r="XDR973"/>
      <c r="XDS973"/>
      <c r="XDT973"/>
      <c r="XDU973"/>
      <c r="XDV973"/>
      <c r="XDW973"/>
      <c r="XDX973"/>
      <c r="XDY973"/>
      <c r="XDZ973"/>
      <c r="XEA973"/>
      <c r="XEB973"/>
      <c r="XEC973"/>
      <c r="XED973"/>
      <c r="XEE973"/>
      <c r="XEF973"/>
      <c r="XEG973"/>
      <c r="XEH973"/>
      <c r="XEI973"/>
      <c r="XEJ973"/>
      <c r="XEK973"/>
      <c r="XEL973"/>
      <c r="XEM973"/>
      <c r="XEN973"/>
      <c r="XEO973"/>
      <c r="XEP973"/>
      <c r="XEQ973"/>
      <c r="XER973"/>
      <c r="XES973"/>
      <c r="XET973"/>
      <c r="XEU973"/>
      <c r="XEV973"/>
      <c r="XEW973"/>
      <c r="XEX973"/>
      <c r="XEY973"/>
      <c r="XEZ973"/>
      <c r="XFA973"/>
      <c r="XFB973"/>
      <c r="XFC973"/>
    </row>
    <row r="974" spans="1:20 16329:16383" s="38" customFormat="1" ht="29.1" customHeight="1" outlineLevel="4" x14ac:dyDescent="0.25">
      <c r="A974" s="49" t="s">
        <v>1849</v>
      </c>
      <c r="B974" s="50"/>
      <c r="C974" s="50"/>
      <c r="D974" s="3" t="s">
        <v>1850</v>
      </c>
      <c r="E974" s="3"/>
      <c r="F974" s="51"/>
      <c r="G974" s="50" t="s">
        <v>134</v>
      </c>
      <c r="H974" s="52">
        <f>1</f>
        <v>1</v>
      </c>
      <c r="I974" s="36"/>
      <c r="J974" s="52">
        <v>1</v>
      </c>
      <c r="K974" s="53">
        <f>0</f>
        <v>0</v>
      </c>
      <c r="L974" s="53">
        <f>0</f>
        <v>0</v>
      </c>
      <c r="M974" s="53">
        <f>0</f>
        <v>0</v>
      </c>
      <c r="N974" s="54">
        <f t="shared" si="134"/>
        <v>0</v>
      </c>
      <c r="O974" s="54">
        <f t="shared" si="135"/>
        <v>0</v>
      </c>
      <c r="P974" s="54">
        <f t="shared" si="136"/>
        <v>0</v>
      </c>
      <c r="Q974" s="54">
        <f t="shared" si="137"/>
        <v>0</v>
      </c>
      <c r="R974" s="54">
        <f t="shared" si="138"/>
        <v>0</v>
      </c>
      <c r="S974" s="54"/>
      <c r="T974" s="36"/>
      <c r="XDA974"/>
      <c r="XDB974"/>
      <c r="XDC974"/>
      <c r="XDD974"/>
      <c r="XDE974"/>
      <c r="XDF974"/>
      <c r="XDG974"/>
      <c r="XDH974"/>
      <c r="XDI974"/>
      <c r="XDJ974"/>
      <c r="XDK974"/>
      <c r="XDL974"/>
      <c r="XDM974"/>
      <c r="XDN974"/>
      <c r="XDO974"/>
      <c r="XDP974"/>
      <c r="XDQ974"/>
      <c r="XDR974"/>
      <c r="XDS974"/>
      <c r="XDT974"/>
      <c r="XDU974"/>
      <c r="XDV974"/>
      <c r="XDW974"/>
      <c r="XDX974"/>
      <c r="XDY974"/>
      <c r="XDZ974"/>
      <c r="XEA974"/>
      <c r="XEB974"/>
      <c r="XEC974"/>
      <c r="XED974"/>
      <c r="XEE974"/>
      <c r="XEF974"/>
      <c r="XEG974"/>
      <c r="XEH974"/>
      <c r="XEI974"/>
      <c r="XEJ974"/>
      <c r="XEK974"/>
      <c r="XEL974"/>
      <c r="XEM974"/>
      <c r="XEN974"/>
      <c r="XEO974"/>
      <c r="XEP974"/>
      <c r="XEQ974"/>
      <c r="XER974"/>
      <c r="XES974"/>
      <c r="XET974"/>
      <c r="XEU974"/>
      <c r="XEV974"/>
      <c r="XEW974"/>
      <c r="XEX974"/>
      <c r="XEY974"/>
      <c r="XEZ974"/>
      <c r="XFA974"/>
      <c r="XFB974"/>
      <c r="XFC974"/>
    </row>
    <row r="975" spans="1:20 16329:16383" s="38" customFormat="1" ht="29.1" customHeight="1" outlineLevel="4" x14ac:dyDescent="0.25">
      <c r="A975" s="49" t="s">
        <v>1851</v>
      </c>
      <c r="B975" s="50"/>
      <c r="C975" s="50"/>
      <c r="D975" s="3" t="s">
        <v>1852</v>
      </c>
      <c r="E975" s="3"/>
      <c r="F975" s="51"/>
      <c r="G975" s="50" t="s">
        <v>134</v>
      </c>
      <c r="H975" s="52">
        <f>1</f>
        <v>1</v>
      </c>
      <c r="I975" s="36"/>
      <c r="J975" s="52">
        <v>1</v>
      </c>
      <c r="K975" s="53">
        <f>0</f>
        <v>0</v>
      </c>
      <c r="L975" s="53">
        <f>0</f>
        <v>0</v>
      </c>
      <c r="M975" s="53">
        <f>0</f>
        <v>0</v>
      </c>
      <c r="N975" s="54">
        <f t="shared" si="134"/>
        <v>0</v>
      </c>
      <c r="O975" s="54">
        <f t="shared" si="135"/>
        <v>0</v>
      </c>
      <c r="P975" s="54">
        <f t="shared" si="136"/>
        <v>0</v>
      </c>
      <c r="Q975" s="54">
        <f t="shared" si="137"/>
        <v>0</v>
      </c>
      <c r="R975" s="54">
        <f t="shared" si="138"/>
        <v>0</v>
      </c>
      <c r="S975" s="54"/>
      <c r="T975" s="36"/>
      <c r="XDA975"/>
      <c r="XDB975"/>
      <c r="XDC975"/>
      <c r="XDD975"/>
      <c r="XDE975"/>
      <c r="XDF975"/>
      <c r="XDG975"/>
      <c r="XDH975"/>
      <c r="XDI975"/>
      <c r="XDJ975"/>
      <c r="XDK975"/>
      <c r="XDL975"/>
      <c r="XDM975"/>
      <c r="XDN975"/>
      <c r="XDO975"/>
      <c r="XDP975"/>
      <c r="XDQ975"/>
      <c r="XDR975"/>
      <c r="XDS975"/>
      <c r="XDT975"/>
      <c r="XDU975"/>
      <c r="XDV975"/>
      <c r="XDW975"/>
      <c r="XDX975"/>
      <c r="XDY975"/>
      <c r="XDZ975"/>
      <c r="XEA975"/>
      <c r="XEB975"/>
      <c r="XEC975"/>
      <c r="XED975"/>
      <c r="XEE975"/>
      <c r="XEF975"/>
      <c r="XEG975"/>
      <c r="XEH975"/>
      <c r="XEI975"/>
      <c r="XEJ975"/>
      <c r="XEK975"/>
      <c r="XEL975"/>
      <c r="XEM975"/>
      <c r="XEN975"/>
      <c r="XEO975"/>
      <c r="XEP975"/>
      <c r="XEQ975"/>
      <c r="XER975"/>
      <c r="XES975"/>
      <c r="XET975"/>
      <c r="XEU975"/>
      <c r="XEV975"/>
      <c r="XEW975"/>
      <c r="XEX975"/>
      <c r="XEY975"/>
      <c r="XEZ975"/>
      <c r="XFA975"/>
      <c r="XFB975"/>
      <c r="XFC975"/>
    </row>
    <row r="976" spans="1:20 16329:16383" s="38" customFormat="1" ht="29.1" customHeight="1" outlineLevel="4" x14ac:dyDescent="0.25">
      <c r="A976" s="49" t="s">
        <v>1853</v>
      </c>
      <c r="B976" s="50"/>
      <c r="C976" s="50"/>
      <c r="D976" s="3" t="s">
        <v>1854</v>
      </c>
      <c r="E976" s="3"/>
      <c r="F976" s="51"/>
      <c r="G976" s="50" t="s">
        <v>134</v>
      </c>
      <c r="H976" s="52">
        <f>1</f>
        <v>1</v>
      </c>
      <c r="I976" s="36"/>
      <c r="J976" s="52">
        <v>1</v>
      </c>
      <c r="K976" s="53">
        <f>0</f>
        <v>0</v>
      </c>
      <c r="L976" s="53">
        <f>0</f>
        <v>0</v>
      </c>
      <c r="M976" s="53">
        <f>0</f>
        <v>0</v>
      </c>
      <c r="N976" s="54">
        <f t="shared" si="134"/>
        <v>0</v>
      </c>
      <c r="O976" s="54">
        <f t="shared" si="135"/>
        <v>0</v>
      </c>
      <c r="P976" s="54">
        <f t="shared" si="136"/>
        <v>0</v>
      </c>
      <c r="Q976" s="54">
        <f t="shared" si="137"/>
        <v>0</v>
      </c>
      <c r="R976" s="54">
        <f t="shared" si="138"/>
        <v>0</v>
      </c>
      <c r="S976" s="54"/>
      <c r="T976" s="36"/>
      <c r="XDA976"/>
      <c r="XDB976"/>
      <c r="XDC976"/>
      <c r="XDD976"/>
      <c r="XDE976"/>
      <c r="XDF976"/>
      <c r="XDG976"/>
      <c r="XDH976"/>
      <c r="XDI976"/>
      <c r="XDJ976"/>
      <c r="XDK976"/>
      <c r="XDL976"/>
      <c r="XDM976"/>
      <c r="XDN976"/>
      <c r="XDO976"/>
      <c r="XDP976"/>
      <c r="XDQ976"/>
      <c r="XDR976"/>
      <c r="XDS976"/>
      <c r="XDT976"/>
      <c r="XDU976"/>
      <c r="XDV976"/>
      <c r="XDW976"/>
      <c r="XDX976"/>
      <c r="XDY976"/>
      <c r="XDZ976"/>
      <c r="XEA976"/>
      <c r="XEB976"/>
      <c r="XEC976"/>
      <c r="XED976"/>
      <c r="XEE976"/>
      <c r="XEF976"/>
      <c r="XEG976"/>
      <c r="XEH976"/>
      <c r="XEI976"/>
      <c r="XEJ976"/>
      <c r="XEK976"/>
      <c r="XEL976"/>
      <c r="XEM976"/>
      <c r="XEN976"/>
      <c r="XEO976"/>
      <c r="XEP976"/>
      <c r="XEQ976"/>
      <c r="XER976"/>
      <c r="XES976"/>
      <c r="XET976"/>
      <c r="XEU976"/>
      <c r="XEV976"/>
      <c r="XEW976"/>
      <c r="XEX976"/>
      <c r="XEY976"/>
      <c r="XEZ976"/>
      <c r="XFA976"/>
      <c r="XFB976"/>
      <c r="XFC976"/>
    </row>
    <row r="977" spans="1:20 16329:16383" s="38" customFormat="1" ht="29.1" customHeight="1" outlineLevel="4" x14ac:dyDescent="0.25">
      <c r="A977" s="49" t="s">
        <v>1855</v>
      </c>
      <c r="B977" s="50"/>
      <c r="C977" s="50"/>
      <c r="D977" s="3" t="s">
        <v>1856</v>
      </c>
      <c r="E977" s="3"/>
      <c r="F977" s="51"/>
      <c r="G977" s="50" t="s">
        <v>134</v>
      </c>
      <c r="H977" s="52">
        <f>1</f>
        <v>1</v>
      </c>
      <c r="I977" s="36"/>
      <c r="J977" s="52">
        <v>1</v>
      </c>
      <c r="K977" s="53">
        <f>0</f>
        <v>0</v>
      </c>
      <c r="L977" s="53">
        <f>0</f>
        <v>0</v>
      </c>
      <c r="M977" s="53">
        <f>0</f>
        <v>0</v>
      </c>
      <c r="N977" s="54">
        <f t="shared" si="134"/>
        <v>0</v>
      </c>
      <c r="O977" s="54">
        <f t="shared" si="135"/>
        <v>0</v>
      </c>
      <c r="P977" s="54">
        <f t="shared" si="136"/>
        <v>0</v>
      </c>
      <c r="Q977" s="54">
        <f t="shared" si="137"/>
        <v>0</v>
      </c>
      <c r="R977" s="54">
        <f t="shared" si="138"/>
        <v>0</v>
      </c>
      <c r="S977" s="54"/>
      <c r="T977" s="36"/>
      <c r="XDA977"/>
      <c r="XDB977"/>
      <c r="XDC977"/>
      <c r="XDD977"/>
      <c r="XDE977"/>
      <c r="XDF977"/>
      <c r="XDG977"/>
      <c r="XDH977"/>
      <c r="XDI977"/>
      <c r="XDJ977"/>
      <c r="XDK977"/>
      <c r="XDL977"/>
      <c r="XDM977"/>
      <c r="XDN977"/>
      <c r="XDO977"/>
      <c r="XDP977"/>
      <c r="XDQ977"/>
      <c r="XDR977"/>
      <c r="XDS977"/>
      <c r="XDT977"/>
      <c r="XDU977"/>
      <c r="XDV977"/>
      <c r="XDW977"/>
      <c r="XDX977"/>
      <c r="XDY977"/>
      <c r="XDZ977"/>
      <c r="XEA977"/>
      <c r="XEB977"/>
      <c r="XEC977"/>
      <c r="XED977"/>
      <c r="XEE977"/>
      <c r="XEF977"/>
      <c r="XEG977"/>
      <c r="XEH977"/>
      <c r="XEI977"/>
      <c r="XEJ977"/>
      <c r="XEK977"/>
      <c r="XEL977"/>
      <c r="XEM977"/>
      <c r="XEN977"/>
      <c r="XEO977"/>
      <c r="XEP977"/>
      <c r="XEQ977"/>
      <c r="XER977"/>
      <c r="XES977"/>
      <c r="XET977"/>
      <c r="XEU977"/>
      <c r="XEV977"/>
      <c r="XEW977"/>
      <c r="XEX977"/>
      <c r="XEY977"/>
      <c r="XEZ977"/>
      <c r="XFA977"/>
      <c r="XFB977"/>
      <c r="XFC977"/>
    </row>
    <row r="978" spans="1:20 16329:16383" s="38" customFormat="1" ht="29.1" customHeight="1" outlineLevel="4" x14ac:dyDescent="0.25">
      <c r="A978" s="49" t="s">
        <v>1857</v>
      </c>
      <c r="B978" s="50"/>
      <c r="C978" s="50"/>
      <c r="D978" s="3" t="s">
        <v>1858</v>
      </c>
      <c r="E978" s="3"/>
      <c r="F978" s="51"/>
      <c r="G978" s="50" t="s">
        <v>134</v>
      </c>
      <c r="H978" s="52">
        <f>1</f>
        <v>1</v>
      </c>
      <c r="I978" s="36"/>
      <c r="J978" s="52">
        <v>1</v>
      </c>
      <c r="K978" s="53">
        <f>0</f>
        <v>0</v>
      </c>
      <c r="L978" s="53">
        <f>0</f>
        <v>0</v>
      </c>
      <c r="M978" s="53">
        <f>0</f>
        <v>0</v>
      </c>
      <c r="N978" s="54">
        <f t="shared" si="134"/>
        <v>0</v>
      </c>
      <c r="O978" s="54">
        <f t="shared" si="135"/>
        <v>0</v>
      </c>
      <c r="P978" s="54">
        <f t="shared" si="136"/>
        <v>0</v>
      </c>
      <c r="Q978" s="54">
        <f t="shared" si="137"/>
        <v>0</v>
      </c>
      <c r="R978" s="54">
        <f t="shared" si="138"/>
        <v>0</v>
      </c>
      <c r="S978" s="54"/>
      <c r="T978" s="36"/>
      <c r="XDA978"/>
      <c r="XDB978"/>
      <c r="XDC978"/>
      <c r="XDD978"/>
      <c r="XDE978"/>
      <c r="XDF978"/>
      <c r="XDG978"/>
      <c r="XDH978"/>
      <c r="XDI978"/>
      <c r="XDJ978"/>
      <c r="XDK978"/>
      <c r="XDL978"/>
      <c r="XDM978"/>
      <c r="XDN978"/>
      <c r="XDO978"/>
      <c r="XDP978"/>
      <c r="XDQ978"/>
      <c r="XDR978"/>
      <c r="XDS978"/>
      <c r="XDT978"/>
      <c r="XDU978"/>
      <c r="XDV978"/>
      <c r="XDW978"/>
      <c r="XDX978"/>
      <c r="XDY978"/>
      <c r="XDZ978"/>
      <c r="XEA978"/>
      <c r="XEB978"/>
      <c r="XEC978"/>
      <c r="XED978"/>
      <c r="XEE978"/>
      <c r="XEF978"/>
      <c r="XEG978"/>
      <c r="XEH978"/>
      <c r="XEI978"/>
      <c r="XEJ978"/>
      <c r="XEK978"/>
      <c r="XEL978"/>
      <c r="XEM978"/>
      <c r="XEN978"/>
      <c r="XEO978"/>
      <c r="XEP978"/>
      <c r="XEQ978"/>
      <c r="XER978"/>
      <c r="XES978"/>
      <c r="XET978"/>
      <c r="XEU978"/>
      <c r="XEV978"/>
      <c r="XEW978"/>
      <c r="XEX978"/>
      <c r="XEY978"/>
      <c r="XEZ978"/>
      <c r="XFA978"/>
      <c r="XFB978"/>
      <c r="XFC978"/>
    </row>
    <row r="979" spans="1:20 16329:16383" s="38" customFormat="1" ht="29.1" customHeight="1" outlineLevel="1" x14ac:dyDescent="0.25">
      <c r="A979" s="39" t="s">
        <v>1859</v>
      </c>
      <c r="B979" s="40" t="s">
        <v>46</v>
      </c>
      <c r="C979" s="40" t="s">
        <v>1860</v>
      </c>
      <c r="D979" s="5" t="s">
        <v>1861</v>
      </c>
      <c r="E979" s="5"/>
      <c r="F979" s="41" t="s">
        <v>1862</v>
      </c>
      <c r="G979" s="40" t="s">
        <v>102</v>
      </c>
      <c r="H979" s="42"/>
      <c r="I979" s="36"/>
      <c r="J979" s="42"/>
      <c r="K979" s="43"/>
      <c r="L979" s="43"/>
      <c r="M979" s="43"/>
      <c r="N979" s="43"/>
      <c r="O979" s="43">
        <f>O980+O1135+O1854+O1908</f>
        <v>0</v>
      </c>
      <c r="P979" s="43">
        <f>P980+P1135+P1854+P1908</f>
        <v>0</v>
      </c>
      <c r="Q979" s="43">
        <f>Q980+Q1135+Q1854+Q1908</f>
        <v>0</v>
      </c>
      <c r="R979" s="43">
        <f>R980+R1135+R1854+R1908</f>
        <v>0</v>
      </c>
      <c r="S979" s="43"/>
      <c r="T979" s="36"/>
      <c r="XDA979"/>
      <c r="XDB979"/>
      <c r="XDC979"/>
      <c r="XDD979"/>
      <c r="XDE979"/>
      <c r="XDF979"/>
      <c r="XDG979"/>
      <c r="XDH979"/>
      <c r="XDI979"/>
      <c r="XDJ979"/>
      <c r="XDK979"/>
      <c r="XDL979"/>
      <c r="XDM979"/>
      <c r="XDN979"/>
      <c r="XDO979"/>
      <c r="XDP979"/>
      <c r="XDQ979"/>
      <c r="XDR979"/>
      <c r="XDS979"/>
      <c r="XDT979"/>
      <c r="XDU979"/>
      <c r="XDV979"/>
      <c r="XDW979"/>
      <c r="XDX979"/>
      <c r="XDY979"/>
      <c r="XDZ979"/>
      <c r="XEA979"/>
      <c r="XEB979"/>
      <c r="XEC979"/>
      <c r="XED979"/>
      <c r="XEE979"/>
      <c r="XEF979"/>
      <c r="XEG979"/>
      <c r="XEH979"/>
      <c r="XEI979"/>
      <c r="XEJ979"/>
      <c r="XEK979"/>
      <c r="XEL979"/>
      <c r="XEM979"/>
      <c r="XEN979"/>
      <c r="XEO979"/>
      <c r="XEP979"/>
      <c r="XEQ979"/>
      <c r="XER979"/>
      <c r="XES979"/>
      <c r="XET979"/>
      <c r="XEU979"/>
      <c r="XEV979"/>
      <c r="XEW979"/>
      <c r="XEX979"/>
      <c r="XEY979"/>
      <c r="XEZ979"/>
      <c r="XFA979"/>
      <c r="XFB979"/>
      <c r="XFC979"/>
    </row>
    <row r="980" spans="1:20 16329:16383" s="38" customFormat="1" ht="29.1" customHeight="1" outlineLevel="2" x14ac:dyDescent="0.25">
      <c r="A980" s="44" t="s">
        <v>1863</v>
      </c>
      <c r="B980" s="45" t="s">
        <v>1864</v>
      </c>
      <c r="C980" s="45" t="s">
        <v>1865</v>
      </c>
      <c r="D980" s="4" t="s">
        <v>1866</v>
      </c>
      <c r="E980" s="4"/>
      <c r="F980" s="46"/>
      <c r="G980" s="45" t="s">
        <v>102</v>
      </c>
      <c r="H980" s="47"/>
      <c r="I980" s="36"/>
      <c r="J980" s="47"/>
      <c r="K980" s="48"/>
      <c r="L980" s="48"/>
      <c r="M980" s="48"/>
      <c r="N980" s="48"/>
      <c r="O980" s="48">
        <f>O981+O998+O1013+O1033+O1049+O1060+O1070+O1080+O1090+O1100+O1110+O1122</f>
        <v>0</v>
      </c>
      <c r="P980" s="48">
        <f>P981+P998+P1013+P1033+P1049+P1060+P1070+P1080+P1090+P1100+P1110+P1122</f>
        <v>0</v>
      </c>
      <c r="Q980" s="48">
        <f>Q981+Q998+Q1013+Q1033+Q1049+Q1060+Q1070+Q1080+Q1090+Q1100+Q1110+Q1122</f>
        <v>0</v>
      </c>
      <c r="R980" s="48">
        <f>R981+R998+R1013+R1033+R1049+R1060+R1070+R1080+R1090+R1100+R1110+R1122</f>
        <v>0</v>
      </c>
      <c r="S980" s="48"/>
      <c r="T980" s="36"/>
      <c r="XDA980"/>
      <c r="XDB980"/>
      <c r="XDC980"/>
      <c r="XDD980"/>
      <c r="XDE980"/>
      <c r="XDF980"/>
      <c r="XDG980"/>
      <c r="XDH980"/>
      <c r="XDI980"/>
      <c r="XDJ980"/>
      <c r="XDK980"/>
      <c r="XDL980"/>
      <c r="XDM980"/>
      <c r="XDN980"/>
      <c r="XDO980"/>
      <c r="XDP980"/>
      <c r="XDQ980"/>
      <c r="XDR980"/>
      <c r="XDS980"/>
      <c r="XDT980"/>
      <c r="XDU980"/>
      <c r="XDV980"/>
      <c r="XDW980"/>
      <c r="XDX980"/>
      <c r="XDY980"/>
      <c r="XDZ980"/>
      <c r="XEA980"/>
      <c r="XEB980"/>
      <c r="XEC980"/>
      <c r="XED980"/>
      <c r="XEE980"/>
      <c r="XEF980"/>
      <c r="XEG980"/>
      <c r="XEH980"/>
      <c r="XEI980"/>
      <c r="XEJ980"/>
      <c r="XEK980"/>
      <c r="XEL980"/>
      <c r="XEM980"/>
      <c r="XEN980"/>
      <c r="XEO980"/>
      <c r="XEP980"/>
      <c r="XEQ980"/>
      <c r="XER980"/>
      <c r="XES980"/>
      <c r="XET980"/>
      <c r="XEU980"/>
      <c r="XEV980"/>
      <c r="XEW980"/>
      <c r="XEX980"/>
      <c r="XEY980"/>
      <c r="XEZ980"/>
      <c r="XFA980"/>
      <c r="XFB980"/>
      <c r="XFC980"/>
    </row>
    <row r="981" spans="1:20 16329:16383" s="38" customFormat="1" ht="29.1" customHeight="1" outlineLevel="3" x14ac:dyDescent="0.25">
      <c r="A981" s="55" t="s">
        <v>1867</v>
      </c>
      <c r="B981" s="56" t="s">
        <v>1868</v>
      </c>
      <c r="C981" s="56" t="s">
        <v>1869</v>
      </c>
      <c r="D981" s="2" t="s">
        <v>1870</v>
      </c>
      <c r="E981" s="2"/>
      <c r="F981" s="57"/>
      <c r="G981" s="56" t="s">
        <v>102</v>
      </c>
      <c r="H981" s="58"/>
      <c r="I981" s="36"/>
      <c r="J981" s="58"/>
      <c r="K981" s="59"/>
      <c r="L981" s="59"/>
      <c r="M981" s="59"/>
      <c r="N981" s="59"/>
      <c r="O981" s="59">
        <f>O982+O987+O995</f>
        <v>0</v>
      </c>
      <c r="P981" s="59">
        <f>P982+P987+P995</f>
        <v>0</v>
      </c>
      <c r="Q981" s="59">
        <f>Q982+Q987+Q995</f>
        <v>0</v>
      </c>
      <c r="R981" s="59">
        <f>R982+R987+R995</f>
        <v>0</v>
      </c>
      <c r="S981" s="59"/>
      <c r="T981" s="36"/>
      <c r="XDA981"/>
      <c r="XDB981"/>
      <c r="XDC981"/>
      <c r="XDD981"/>
      <c r="XDE981"/>
      <c r="XDF981"/>
      <c r="XDG981"/>
      <c r="XDH981"/>
      <c r="XDI981"/>
      <c r="XDJ981"/>
      <c r="XDK981"/>
      <c r="XDL981"/>
      <c r="XDM981"/>
      <c r="XDN981"/>
      <c r="XDO981"/>
      <c r="XDP981"/>
      <c r="XDQ981"/>
      <c r="XDR981"/>
      <c r="XDS981"/>
      <c r="XDT981"/>
      <c r="XDU981"/>
      <c r="XDV981"/>
      <c r="XDW981"/>
      <c r="XDX981"/>
      <c r="XDY981"/>
      <c r="XDZ981"/>
      <c r="XEA981"/>
      <c r="XEB981"/>
      <c r="XEC981"/>
      <c r="XED981"/>
      <c r="XEE981"/>
      <c r="XEF981"/>
      <c r="XEG981"/>
      <c r="XEH981"/>
      <c r="XEI981"/>
      <c r="XEJ981"/>
      <c r="XEK981"/>
      <c r="XEL981"/>
      <c r="XEM981"/>
      <c r="XEN981"/>
      <c r="XEO981"/>
      <c r="XEP981"/>
      <c r="XEQ981"/>
      <c r="XER981"/>
      <c r="XES981"/>
      <c r="XET981"/>
      <c r="XEU981"/>
      <c r="XEV981"/>
      <c r="XEW981"/>
      <c r="XEX981"/>
      <c r="XEY981"/>
      <c r="XEZ981"/>
      <c r="XFA981"/>
      <c r="XFB981"/>
      <c r="XFC981"/>
    </row>
    <row r="982" spans="1:20 16329:16383" s="38" customFormat="1" ht="29.1" customHeight="1" outlineLevel="4" x14ac:dyDescent="0.25">
      <c r="A982" s="60" t="s">
        <v>1871</v>
      </c>
      <c r="B982" s="61" t="s">
        <v>1872</v>
      </c>
      <c r="C982" s="61"/>
      <c r="D982" s="1" t="s">
        <v>1873</v>
      </c>
      <c r="E982" s="1"/>
      <c r="F982" s="62"/>
      <c r="G982" s="61"/>
      <c r="H982" s="63"/>
      <c r="I982" s="36"/>
      <c r="J982" s="63"/>
      <c r="K982" s="64"/>
      <c r="L982" s="64"/>
      <c r="M982" s="64"/>
      <c r="N982" s="64"/>
      <c r="O982" s="64">
        <f>SUM(O983:O986)</f>
        <v>0</v>
      </c>
      <c r="P982" s="64">
        <f>SUM(P983:P986)</f>
        <v>0</v>
      </c>
      <c r="Q982" s="64">
        <f>SUM(Q983:Q986)</f>
        <v>0</v>
      </c>
      <c r="R982" s="64">
        <f>SUM(R983:R986)</f>
        <v>0</v>
      </c>
      <c r="S982" s="64"/>
      <c r="T982" s="36"/>
      <c r="XDA982"/>
      <c r="XDB982"/>
      <c r="XDC982"/>
      <c r="XDD982"/>
      <c r="XDE982"/>
      <c r="XDF982"/>
      <c r="XDG982"/>
      <c r="XDH982"/>
      <c r="XDI982"/>
      <c r="XDJ982"/>
      <c r="XDK982"/>
      <c r="XDL982"/>
      <c r="XDM982"/>
      <c r="XDN982"/>
      <c r="XDO982"/>
      <c r="XDP982"/>
      <c r="XDQ982"/>
      <c r="XDR982"/>
      <c r="XDS982"/>
      <c r="XDT982"/>
      <c r="XDU982"/>
      <c r="XDV982"/>
      <c r="XDW982"/>
      <c r="XDX982"/>
      <c r="XDY982"/>
      <c r="XDZ982"/>
      <c r="XEA982"/>
      <c r="XEB982"/>
      <c r="XEC982"/>
      <c r="XED982"/>
      <c r="XEE982"/>
      <c r="XEF982"/>
      <c r="XEG982"/>
      <c r="XEH982"/>
      <c r="XEI982"/>
      <c r="XEJ982"/>
      <c r="XEK982"/>
      <c r="XEL982"/>
      <c r="XEM982"/>
      <c r="XEN982"/>
      <c r="XEO982"/>
      <c r="XEP982"/>
      <c r="XEQ982"/>
      <c r="XER982"/>
      <c r="XES982"/>
      <c r="XET982"/>
      <c r="XEU982"/>
      <c r="XEV982"/>
      <c r="XEW982"/>
      <c r="XEX982"/>
      <c r="XEY982"/>
      <c r="XEZ982"/>
      <c r="XFA982"/>
      <c r="XFB982"/>
      <c r="XFC982"/>
    </row>
    <row r="983" spans="1:20 16329:16383" s="38" customFormat="1" ht="29.1" customHeight="1" outlineLevel="5" x14ac:dyDescent="0.25">
      <c r="A983" s="49" t="s">
        <v>1874</v>
      </c>
      <c r="B983" s="50"/>
      <c r="C983" s="50"/>
      <c r="D983" s="3" t="s">
        <v>1875</v>
      </c>
      <c r="E983" s="3"/>
      <c r="F983" s="51"/>
      <c r="G983" s="50" t="s">
        <v>102</v>
      </c>
      <c r="H983" s="52">
        <f>1</f>
        <v>1</v>
      </c>
      <c r="I983" s="36"/>
      <c r="J983" s="52">
        <v>1</v>
      </c>
      <c r="K983" s="53">
        <f>0</f>
        <v>0</v>
      </c>
      <c r="L983" s="53">
        <f>0</f>
        <v>0</v>
      </c>
      <c r="M983" s="53">
        <f>0</f>
        <v>0</v>
      </c>
      <c r="N983" s="54">
        <f>SUM(K983:M983)</f>
        <v>0</v>
      </c>
      <c r="O983" s="54">
        <f>ROUND((H983*K983),2)</f>
        <v>0</v>
      </c>
      <c r="P983" s="54">
        <f>ROUND((H983*L983),2)</f>
        <v>0</v>
      </c>
      <c r="Q983" s="54">
        <f>ROUND((H983*M983),2)</f>
        <v>0</v>
      </c>
      <c r="R983" s="54">
        <f>ROUND((H983*N983),2)</f>
        <v>0</v>
      </c>
      <c r="S983" s="54"/>
      <c r="T983" s="36"/>
      <c r="XDA983"/>
      <c r="XDB983"/>
      <c r="XDC983"/>
      <c r="XDD983"/>
      <c r="XDE983"/>
      <c r="XDF983"/>
      <c r="XDG983"/>
      <c r="XDH983"/>
      <c r="XDI983"/>
      <c r="XDJ983"/>
      <c r="XDK983"/>
      <c r="XDL983"/>
      <c r="XDM983"/>
      <c r="XDN983"/>
      <c r="XDO983"/>
      <c r="XDP983"/>
      <c r="XDQ983"/>
      <c r="XDR983"/>
      <c r="XDS983"/>
      <c r="XDT983"/>
      <c r="XDU983"/>
      <c r="XDV983"/>
      <c r="XDW983"/>
      <c r="XDX983"/>
      <c r="XDY983"/>
      <c r="XDZ983"/>
      <c r="XEA983"/>
      <c r="XEB983"/>
      <c r="XEC983"/>
      <c r="XED983"/>
      <c r="XEE983"/>
      <c r="XEF983"/>
      <c r="XEG983"/>
      <c r="XEH983"/>
      <c r="XEI983"/>
      <c r="XEJ983"/>
      <c r="XEK983"/>
      <c r="XEL983"/>
      <c r="XEM983"/>
      <c r="XEN983"/>
      <c r="XEO983"/>
      <c r="XEP983"/>
      <c r="XEQ983"/>
      <c r="XER983"/>
      <c r="XES983"/>
      <c r="XET983"/>
      <c r="XEU983"/>
      <c r="XEV983"/>
      <c r="XEW983"/>
      <c r="XEX983"/>
      <c r="XEY983"/>
      <c r="XEZ983"/>
      <c r="XFA983"/>
      <c r="XFB983"/>
      <c r="XFC983"/>
    </row>
    <row r="984" spans="1:20 16329:16383" s="38" customFormat="1" ht="29.1" customHeight="1" outlineLevel="5" x14ac:dyDescent="0.25">
      <c r="A984" s="49" t="s">
        <v>1876</v>
      </c>
      <c r="B984" s="50"/>
      <c r="C984" s="50"/>
      <c r="D984" s="3" t="s">
        <v>1552</v>
      </c>
      <c r="E984" s="3"/>
      <c r="F984" s="51"/>
      <c r="G984" s="50" t="s">
        <v>102</v>
      </c>
      <c r="H984" s="52">
        <f>1</f>
        <v>1</v>
      </c>
      <c r="I984" s="36"/>
      <c r="J984" s="52">
        <v>1</v>
      </c>
      <c r="K984" s="53">
        <f>0</f>
        <v>0</v>
      </c>
      <c r="L984" s="53">
        <f>0</f>
        <v>0</v>
      </c>
      <c r="M984" s="53">
        <f>0</f>
        <v>0</v>
      </c>
      <c r="N984" s="54">
        <f>SUM(K984:M984)</f>
        <v>0</v>
      </c>
      <c r="O984" s="54">
        <f>ROUND((H984*K984),2)</f>
        <v>0</v>
      </c>
      <c r="P984" s="54">
        <f>ROUND((H984*L984),2)</f>
        <v>0</v>
      </c>
      <c r="Q984" s="54">
        <f>ROUND((H984*M984),2)</f>
        <v>0</v>
      </c>
      <c r="R984" s="54">
        <f>ROUND((H984*N984),2)</f>
        <v>0</v>
      </c>
      <c r="S984" s="54"/>
      <c r="T984" s="36"/>
      <c r="XDA984"/>
      <c r="XDB984"/>
      <c r="XDC984"/>
      <c r="XDD984"/>
      <c r="XDE984"/>
      <c r="XDF984"/>
      <c r="XDG984"/>
      <c r="XDH984"/>
      <c r="XDI984"/>
      <c r="XDJ984"/>
      <c r="XDK984"/>
      <c r="XDL984"/>
      <c r="XDM984"/>
      <c r="XDN984"/>
      <c r="XDO984"/>
      <c r="XDP984"/>
      <c r="XDQ984"/>
      <c r="XDR984"/>
      <c r="XDS984"/>
      <c r="XDT984"/>
      <c r="XDU984"/>
      <c r="XDV984"/>
      <c r="XDW984"/>
      <c r="XDX984"/>
      <c r="XDY984"/>
      <c r="XDZ984"/>
      <c r="XEA984"/>
      <c r="XEB984"/>
      <c r="XEC984"/>
      <c r="XED984"/>
      <c r="XEE984"/>
      <c r="XEF984"/>
      <c r="XEG984"/>
      <c r="XEH984"/>
      <c r="XEI984"/>
      <c r="XEJ984"/>
      <c r="XEK984"/>
      <c r="XEL984"/>
      <c r="XEM984"/>
      <c r="XEN984"/>
      <c r="XEO984"/>
      <c r="XEP984"/>
      <c r="XEQ984"/>
      <c r="XER984"/>
      <c r="XES984"/>
      <c r="XET984"/>
      <c r="XEU984"/>
      <c r="XEV984"/>
      <c r="XEW984"/>
      <c r="XEX984"/>
      <c r="XEY984"/>
      <c r="XEZ984"/>
      <c r="XFA984"/>
      <c r="XFB984"/>
      <c r="XFC984"/>
    </row>
    <row r="985" spans="1:20 16329:16383" s="38" customFormat="1" ht="29.1" customHeight="1" outlineLevel="5" x14ac:dyDescent="0.25">
      <c r="A985" s="49" t="s">
        <v>1877</v>
      </c>
      <c r="B985" s="50"/>
      <c r="C985" s="50"/>
      <c r="D985" s="3" t="s">
        <v>1878</v>
      </c>
      <c r="E985" s="3"/>
      <c r="F985" s="51"/>
      <c r="G985" s="50" t="s">
        <v>102</v>
      </c>
      <c r="H985" s="52">
        <f>1</f>
        <v>1</v>
      </c>
      <c r="I985" s="36"/>
      <c r="J985" s="52">
        <v>1</v>
      </c>
      <c r="K985" s="53">
        <f>0</f>
        <v>0</v>
      </c>
      <c r="L985" s="53">
        <f>0</f>
        <v>0</v>
      </c>
      <c r="M985" s="53">
        <f>0</f>
        <v>0</v>
      </c>
      <c r="N985" s="54">
        <f>SUM(K985:M985)</f>
        <v>0</v>
      </c>
      <c r="O985" s="54">
        <f>ROUND((H985*K985),2)</f>
        <v>0</v>
      </c>
      <c r="P985" s="54">
        <f>ROUND((H985*L985),2)</f>
        <v>0</v>
      </c>
      <c r="Q985" s="54">
        <f>ROUND((H985*M985),2)</f>
        <v>0</v>
      </c>
      <c r="R985" s="54">
        <f>ROUND((H985*N985),2)</f>
        <v>0</v>
      </c>
      <c r="S985" s="54"/>
      <c r="T985" s="36"/>
      <c r="XDA985"/>
      <c r="XDB985"/>
      <c r="XDC985"/>
      <c r="XDD985"/>
      <c r="XDE985"/>
      <c r="XDF985"/>
      <c r="XDG985"/>
      <c r="XDH985"/>
      <c r="XDI985"/>
      <c r="XDJ985"/>
      <c r="XDK985"/>
      <c r="XDL985"/>
      <c r="XDM985"/>
      <c r="XDN985"/>
      <c r="XDO985"/>
      <c r="XDP985"/>
      <c r="XDQ985"/>
      <c r="XDR985"/>
      <c r="XDS985"/>
      <c r="XDT985"/>
      <c r="XDU985"/>
      <c r="XDV985"/>
      <c r="XDW985"/>
      <c r="XDX985"/>
      <c r="XDY985"/>
      <c r="XDZ985"/>
      <c r="XEA985"/>
      <c r="XEB985"/>
      <c r="XEC985"/>
      <c r="XED985"/>
      <c r="XEE985"/>
      <c r="XEF985"/>
      <c r="XEG985"/>
      <c r="XEH985"/>
      <c r="XEI985"/>
      <c r="XEJ985"/>
      <c r="XEK985"/>
      <c r="XEL985"/>
      <c r="XEM985"/>
      <c r="XEN985"/>
      <c r="XEO985"/>
      <c r="XEP985"/>
      <c r="XEQ985"/>
      <c r="XER985"/>
      <c r="XES985"/>
      <c r="XET985"/>
      <c r="XEU985"/>
      <c r="XEV985"/>
      <c r="XEW985"/>
      <c r="XEX985"/>
      <c r="XEY985"/>
      <c r="XEZ985"/>
      <c r="XFA985"/>
      <c r="XFB985"/>
      <c r="XFC985"/>
    </row>
    <row r="986" spans="1:20 16329:16383" s="38" customFormat="1" ht="29.1" customHeight="1" outlineLevel="5" x14ac:dyDescent="0.25">
      <c r="A986" s="49" t="s">
        <v>1879</v>
      </c>
      <c r="B986" s="50"/>
      <c r="C986" s="50"/>
      <c r="D986" s="3" t="s">
        <v>1880</v>
      </c>
      <c r="E986" s="3"/>
      <c r="F986" s="51"/>
      <c r="G986" s="50" t="s">
        <v>102</v>
      </c>
      <c r="H986" s="52">
        <f>1</f>
        <v>1</v>
      </c>
      <c r="I986" s="36"/>
      <c r="J986" s="52">
        <v>1</v>
      </c>
      <c r="K986" s="53">
        <f>0</f>
        <v>0</v>
      </c>
      <c r="L986" s="53">
        <f>0</f>
        <v>0</v>
      </c>
      <c r="M986" s="53">
        <f>0</f>
        <v>0</v>
      </c>
      <c r="N986" s="54">
        <f>SUM(K986:M986)</f>
        <v>0</v>
      </c>
      <c r="O986" s="54">
        <f>ROUND((H986*K986),2)</f>
        <v>0</v>
      </c>
      <c r="P986" s="54">
        <f>ROUND((H986*L986),2)</f>
        <v>0</v>
      </c>
      <c r="Q986" s="54">
        <f>ROUND((H986*M986),2)</f>
        <v>0</v>
      </c>
      <c r="R986" s="54">
        <f>ROUND((H986*N986),2)</f>
        <v>0</v>
      </c>
      <c r="S986" s="54"/>
      <c r="T986" s="36"/>
      <c r="XDA986"/>
      <c r="XDB986"/>
      <c r="XDC986"/>
      <c r="XDD986"/>
      <c r="XDE986"/>
      <c r="XDF986"/>
      <c r="XDG986"/>
      <c r="XDH986"/>
      <c r="XDI986"/>
      <c r="XDJ986"/>
      <c r="XDK986"/>
      <c r="XDL986"/>
      <c r="XDM986"/>
      <c r="XDN986"/>
      <c r="XDO986"/>
      <c r="XDP986"/>
      <c r="XDQ986"/>
      <c r="XDR986"/>
      <c r="XDS986"/>
      <c r="XDT986"/>
      <c r="XDU986"/>
      <c r="XDV986"/>
      <c r="XDW986"/>
      <c r="XDX986"/>
      <c r="XDY986"/>
      <c r="XDZ986"/>
      <c r="XEA986"/>
      <c r="XEB986"/>
      <c r="XEC986"/>
      <c r="XED986"/>
      <c r="XEE986"/>
      <c r="XEF986"/>
      <c r="XEG986"/>
      <c r="XEH986"/>
      <c r="XEI986"/>
      <c r="XEJ986"/>
      <c r="XEK986"/>
      <c r="XEL986"/>
      <c r="XEM986"/>
      <c r="XEN986"/>
      <c r="XEO986"/>
      <c r="XEP986"/>
      <c r="XEQ986"/>
      <c r="XER986"/>
      <c r="XES986"/>
      <c r="XET986"/>
      <c r="XEU986"/>
      <c r="XEV986"/>
      <c r="XEW986"/>
      <c r="XEX986"/>
      <c r="XEY986"/>
      <c r="XEZ986"/>
      <c r="XFA986"/>
      <c r="XFB986"/>
      <c r="XFC986"/>
    </row>
    <row r="987" spans="1:20 16329:16383" s="38" customFormat="1" ht="29.1" customHeight="1" outlineLevel="4" x14ac:dyDescent="0.25">
      <c r="A987" s="60" t="s">
        <v>1881</v>
      </c>
      <c r="B987" s="61" t="s">
        <v>1882</v>
      </c>
      <c r="C987" s="61"/>
      <c r="D987" s="1" t="s">
        <v>344</v>
      </c>
      <c r="E987" s="1"/>
      <c r="F987" s="62"/>
      <c r="G987" s="61"/>
      <c r="H987" s="63"/>
      <c r="I987" s="36"/>
      <c r="J987" s="63"/>
      <c r="K987" s="64"/>
      <c r="L987" s="64"/>
      <c r="M987" s="64"/>
      <c r="N987" s="64"/>
      <c r="O987" s="64">
        <f>SUM(O988:O994)</f>
        <v>0</v>
      </c>
      <c r="P987" s="64">
        <f>SUM(P988:P994)</f>
        <v>0</v>
      </c>
      <c r="Q987" s="64">
        <f>SUM(Q988:Q994)</f>
        <v>0</v>
      </c>
      <c r="R987" s="64">
        <f>SUM(R988:R994)</f>
        <v>0</v>
      </c>
      <c r="S987" s="64"/>
      <c r="T987" s="36"/>
      <c r="XDA987"/>
      <c r="XDB987"/>
      <c r="XDC987"/>
      <c r="XDD987"/>
      <c r="XDE987"/>
      <c r="XDF987"/>
      <c r="XDG987"/>
      <c r="XDH987"/>
      <c r="XDI987"/>
      <c r="XDJ987"/>
      <c r="XDK987"/>
      <c r="XDL987"/>
      <c r="XDM987"/>
      <c r="XDN987"/>
      <c r="XDO987"/>
      <c r="XDP987"/>
      <c r="XDQ987"/>
      <c r="XDR987"/>
      <c r="XDS987"/>
      <c r="XDT987"/>
      <c r="XDU987"/>
      <c r="XDV987"/>
      <c r="XDW987"/>
      <c r="XDX987"/>
      <c r="XDY987"/>
      <c r="XDZ987"/>
      <c r="XEA987"/>
      <c r="XEB987"/>
      <c r="XEC987"/>
      <c r="XED987"/>
      <c r="XEE987"/>
      <c r="XEF987"/>
      <c r="XEG987"/>
      <c r="XEH987"/>
      <c r="XEI987"/>
      <c r="XEJ987"/>
      <c r="XEK987"/>
      <c r="XEL987"/>
      <c r="XEM987"/>
      <c r="XEN987"/>
      <c r="XEO987"/>
      <c r="XEP987"/>
      <c r="XEQ987"/>
      <c r="XER987"/>
      <c r="XES987"/>
      <c r="XET987"/>
      <c r="XEU987"/>
      <c r="XEV987"/>
      <c r="XEW987"/>
      <c r="XEX987"/>
      <c r="XEY987"/>
      <c r="XEZ987"/>
      <c r="XFA987"/>
      <c r="XFB987"/>
      <c r="XFC987"/>
    </row>
    <row r="988" spans="1:20 16329:16383" s="38" customFormat="1" ht="29.1" customHeight="1" outlineLevel="5" x14ac:dyDescent="0.25">
      <c r="A988" s="49" t="s">
        <v>1883</v>
      </c>
      <c r="B988" s="50"/>
      <c r="C988" s="50"/>
      <c r="D988" s="3" t="s">
        <v>1884</v>
      </c>
      <c r="E988" s="3"/>
      <c r="F988" s="51"/>
      <c r="G988" s="50" t="s">
        <v>102</v>
      </c>
      <c r="H988" s="52">
        <f>1</f>
        <v>1</v>
      </c>
      <c r="I988" s="36"/>
      <c r="J988" s="52">
        <v>1</v>
      </c>
      <c r="K988" s="53">
        <f>0</f>
        <v>0</v>
      </c>
      <c r="L988" s="53">
        <f>0</f>
        <v>0</v>
      </c>
      <c r="M988" s="53">
        <f>0</f>
        <v>0</v>
      </c>
      <c r="N988" s="54">
        <f t="shared" ref="N988:N994" si="139">SUM(K988:M988)</f>
        <v>0</v>
      </c>
      <c r="O988" s="54">
        <f t="shared" ref="O988:O994" si="140">ROUND((H988*K988),2)</f>
        <v>0</v>
      </c>
      <c r="P988" s="54">
        <f t="shared" ref="P988:P994" si="141">ROUND((H988*L988),2)</f>
        <v>0</v>
      </c>
      <c r="Q988" s="54">
        <f t="shared" ref="Q988:Q994" si="142">ROUND((H988*M988),2)</f>
        <v>0</v>
      </c>
      <c r="R988" s="54">
        <f t="shared" ref="R988:R994" si="143">ROUND((H988*N988),2)</f>
        <v>0</v>
      </c>
      <c r="S988" s="54"/>
      <c r="T988" s="36"/>
      <c r="XDA988"/>
      <c r="XDB988"/>
      <c r="XDC988"/>
      <c r="XDD988"/>
      <c r="XDE988"/>
      <c r="XDF988"/>
      <c r="XDG988"/>
      <c r="XDH988"/>
      <c r="XDI988"/>
      <c r="XDJ988"/>
      <c r="XDK988"/>
      <c r="XDL988"/>
      <c r="XDM988"/>
      <c r="XDN988"/>
      <c r="XDO988"/>
      <c r="XDP988"/>
      <c r="XDQ988"/>
      <c r="XDR988"/>
      <c r="XDS988"/>
      <c r="XDT988"/>
      <c r="XDU988"/>
      <c r="XDV988"/>
      <c r="XDW988"/>
      <c r="XDX988"/>
      <c r="XDY988"/>
      <c r="XDZ988"/>
      <c r="XEA988"/>
      <c r="XEB988"/>
      <c r="XEC988"/>
      <c r="XED988"/>
      <c r="XEE988"/>
      <c r="XEF988"/>
      <c r="XEG988"/>
      <c r="XEH988"/>
      <c r="XEI988"/>
      <c r="XEJ988"/>
      <c r="XEK988"/>
      <c r="XEL988"/>
      <c r="XEM988"/>
      <c r="XEN988"/>
      <c r="XEO988"/>
      <c r="XEP988"/>
      <c r="XEQ988"/>
      <c r="XER988"/>
      <c r="XES988"/>
      <c r="XET988"/>
      <c r="XEU988"/>
      <c r="XEV988"/>
      <c r="XEW988"/>
      <c r="XEX988"/>
      <c r="XEY988"/>
      <c r="XEZ988"/>
      <c r="XFA988"/>
      <c r="XFB988"/>
      <c r="XFC988"/>
    </row>
    <row r="989" spans="1:20 16329:16383" s="38" customFormat="1" ht="29.1" customHeight="1" outlineLevel="5" x14ac:dyDescent="0.25">
      <c r="A989" s="49" t="s">
        <v>1885</v>
      </c>
      <c r="B989" s="50"/>
      <c r="C989" s="50"/>
      <c r="D989" s="3" t="s">
        <v>1886</v>
      </c>
      <c r="E989" s="3"/>
      <c r="F989" s="51"/>
      <c r="G989" s="50" t="s">
        <v>102</v>
      </c>
      <c r="H989" s="52">
        <f>1</f>
        <v>1</v>
      </c>
      <c r="I989" s="36"/>
      <c r="J989" s="52">
        <v>1</v>
      </c>
      <c r="K989" s="53">
        <f>0</f>
        <v>0</v>
      </c>
      <c r="L989" s="53">
        <f>0</f>
        <v>0</v>
      </c>
      <c r="M989" s="53">
        <f>0</f>
        <v>0</v>
      </c>
      <c r="N989" s="54">
        <f t="shared" si="139"/>
        <v>0</v>
      </c>
      <c r="O989" s="54">
        <f t="shared" si="140"/>
        <v>0</v>
      </c>
      <c r="P989" s="54">
        <f t="shared" si="141"/>
        <v>0</v>
      </c>
      <c r="Q989" s="54">
        <f t="shared" si="142"/>
        <v>0</v>
      </c>
      <c r="R989" s="54">
        <f t="shared" si="143"/>
        <v>0</v>
      </c>
      <c r="S989" s="54"/>
      <c r="T989" s="36"/>
      <c r="XDA989"/>
      <c r="XDB989"/>
      <c r="XDC989"/>
      <c r="XDD989"/>
      <c r="XDE989"/>
      <c r="XDF989"/>
      <c r="XDG989"/>
      <c r="XDH989"/>
      <c r="XDI989"/>
      <c r="XDJ989"/>
      <c r="XDK989"/>
      <c r="XDL989"/>
      <c r="XDM989"/>
      <c r="XDN989"/>
      <c r="XDO989"/>
      <c r="XDP989"/>
      <c r="XDQ989"/>
      <c r="XDR989"/>
      <c r="XDS989"/>
      <c r="XDT989"/>
      <c r="XDU989"/>
      <c r="XDV989"/>
      <c r="XDW989"/>
      <c r="XDX989"/>
      <c r="XDY989"/>
      <c r="XDZ989"/>
      <c r="XEA989"/>
      <c r="XEB989"/>
      <c r="XEC989"/>
      <c r="XED989"/>
      <c r="XEE989"/>
      <c r="XEF989"/>
      <c r="XEG989"/>
      <c r="XEH989"/>
      <c r="XEI989"/>
      <c r="XEJ989"/>
      <c r="XEK989"/>
      <c r="XEL989"/>
      <c r="XEM989"/>
      <c r="XEN989"/>
      <c r="XEO989"/>
      <c r="XEP989"/>
      <c r="XEQ989"/>
      <c r="XER989"/>
      <c r="XES989"/>
      <c r="XET989"/>
      <c r="XEU989"/>
      <c r="XEV989"/>
      <c r="XEW989"/>
      <c r="XEX989"/>
      <c r="XEY989"/>
      <c r="XEZ989"/>
      <c r="XFA989"/>
      <c r="XFB989"/>
      <c r="XFC989"/>
    </row>
    <row r="990" spans="1:20 16329:16383" s="38" customFormat="1" ht="29.1" customHeight="1" outlineLevel="5" x14ac:dyDescent="0.25">
      <c r="A990" s="49" t="s">
        <v>1887</v>
      </c>
      <c r="B990" s="50"/>
      <c r="C990" s="50"/>
      <c r="D990" s="3" t="s">
        <v>1888</v>
      </c>
      <c r="E990" s="3"/>
      <c r="F990" s="51"/>
      <c r="G990" s="50" t="s">
        <v>102</v>
      </c>
      <c r="H990" s="52">
        <f>1</f>
        <v>1</v>
      </c>
      <c r="I990" s="36"/>
      <c r="J990" s="52">
        <v>1</v>
      </c>
      <c r="K990" s="53">
        <f>0</f>
        <v>0</v>
      </c>
      <c r="L990" s="53">
        <f>0</f>
        <v>0</v>
      </c>
      <c r="M990" s="53">
        <f>0</f>
        <v>0</v>
      </c>
      <c r="N990" s="54">
        <f t="shared" si="139"/>
        <v>0</v>
      </c>
      <c r="O990" s="54">
        <f t="shared" si="140"/>
        <v>0</v>
      </c>
      <c r="P990" s="54">
        <f t="shared" si="141"/>
        <v>0</v>
      </c>
      <c r="Q990" s="54">
        <f t="shared" si="142"/>
        <v>0</v>
      </c>
      <c r="R990" s="54">
        <f t="shared" si="143"/>
        <v>0</v>
      </c>
      <c r="S990" s="54"/>
      <c r="T990" s="36"/>
      <c r="XDA990"/>
      <c r="XDB990"/>
      <c r="XDC990"/>
      <c r="XDD990"/>
      <c r="XDE990"/>
      <c r="XDF990"/>
      <c r="XDG990"/>
      <c r="XDH990"/>
      <c r="XDI990"/>
      <c r="XDJ990"/>
      <c r="XDK990"/>
      <c r="XDL990"/>
      <c r="XDM990"/>
      <c r="XDN990"/>
      <c r="XDO990"/>
      <c r="XDP990"/>
      <c r="XDQ990"/>
      <c r="XDR990"/>
      <c r="XDS990"/>
      <c r="XDT990"/>
      <c r="XDU990"/>
      <c r="XDV990"/>
      <c r="XDW990"/>
      <c r="XDX990"/>
      <c r="XDY990"/>
      <c r="XDZ990"/>
      <c r="XEA990"/>
      <c r="XEB990"/>
      <c r="XEC990"/>
      <c r="XED990"/>
      <c r="XEE990"/>
      <c r="XEF990"/>
      <c r="XEG990"/>
      <c r="XEH990"/>
      <c r="XEI990"/>
      <c r="XEJ990"/>
      <c r="XEK990"/>
      <c r="XEL990"/>
      <c r="XEM990"/>
      <c r="XEN990"/>
      <c r="XEO990"/>
      <c r="XEP990"/>
      <c r="XEQ990"/>
      <c r="XER990"/>
      <c r="XES990"/>
      <c r="XET990"/>
      <c r="XEU990"/>
      <c r="XEV990"/>
      <c r="XEW990"/>
      <c r="XEX990"/>
      <c r="XEY990"/>
      <c r="XEZ990"/>
      <c r="XFA990"/>
      <c r="XFB990"/>
      <c r="XFC990"/>
    </row>
    <row r="991" spans="1:20 16329:16383" s="38" customFormat="1" ht="29.1" customHeight="1" outlineLevel="5" x14ac:dyDescent="0.25">
      <c r="A991" s="49" t="s">
        <v>1889</v>
      </c>
      <c r="B991" s="50"/>
      <c r="C991" s="50"/>
      <c r="D991" s="3" t="s">
        <v>1890</v>
      </c>
      <c r="E991" s="3"/>
      <c r="F991" s="51"/>
      <c r="G991" s="50" t="s">
        <v>102</v>
      </c>
      <c r="H991" s="52">
        <f>1</f>
        <v>1</v>
      </c>
      <c r="I991" s="36"/>
      <c r="J991" s="52">
        <v>1</v>
      </c>
      <c r="K991" s="53">
        <f>0</f>
        <v>0</v>
      </c>
      <c r="L991" s="53">
        <f>0</f>
        <v>0</v>
      </c>
      <c r="M991" s="53">
        <f>0</f>
        <v>0</v>
      </c>
      <c r="N991" s="54">
        <f t="shared" si="139"/>
        <v>0</v>
      </c>
      <c r="O991" s="54">
        <f t="shared" si="140"/>
        <v>0</v>
      </c>
      <c r="P991" s="54">
        <f t="shared" si="141"/>
        <v>0</v>
      </c>
      <c r="Q991" s="54">
        <f t="shared" si="142"/>
        <v>0</v>
      </c>
      <c r="R991" s="54">
        <f t="shared" si="143"/>
        <v>0</v>
      </c>
      <c r="S991" s="54"/>
      <c r="T991" s="36"/>
      <c r="XDA991"/>
      <c r="XDB991"/>
      <c r="XDC991"/>
      <c r="XDD991"/>
      <c r="XDE991"/>
      <c r="XDF991"/>
      <c r="XDG991"/>
      <c r="XDH991"/>
      <c r="XDI991"/>
      <c r="XDJ991"/>
      <c r="XDK991"/>
      <c r="XDL991"/>
      <c r="XDM991"/>
      <c r="XDN991"/>
      <c r="XDO991"/>
      <c r="XDP991"/>
      <c r="XDQ991"/>
      <c r="XDR991"/>
      <c r="XDS991"/>
      <c r="XDT991"/>
      <c r="XDU991"/>
      <c r="XDV991"/>
      <c r="XDW991"/>
      <c r="XDX991"/>
      <c r="XDY991"/>
      <c r="XDZ991"/>
      <c r="XEA991"/>
      <c r="XEB991"/>
      <c r="XEC991"/>
      <c r="XED991"/>
      <c r="XEE991"/>
      <c r="XEF991"/>
      <c r="XEG991"/>
      <c r="XEH991"/>
      <c r="XEI991"/>
      <c r="XEJ991"/>
      <c r="XEK991"/>
      <c r="XEL991"/>
      <c r="XEM991"/>
      <c r="XEN991"/>
      <c r="XEO991"/>
      <c r="XEP991"/>
      <c r="XEQ991"/>
      <c r="XER991"/>
      <c r="XES991"/>
      <c r="XET991"/>
      <c r="XEU991"/>
      <c r="XEV991"/>
      <c r="XEW991"/>
      <c r="XEX991"/>
      <c r="XEY991"/>
      <c r="XEZ991"/>
      <c r="XFA991"/>
      <c r="XFB991"/>
      <c r="XFC991"/>
    </row>
    <row r="992" spans="1:20 16329:16383" s="38" customFormat="1" ht="29.1" customHeight="1" outlineLevel="5" x14ac:dyDescent="0.25">
      <c r="A992" s="49" t="s">
        <v>1891</v>
      </c>
      <c r="B992" s="50"/>
      <c r="C992" s="50"/>
      <c r="D992" s="3" t="s">
        <v>1892</v>
      </c>
      <c r="E992" s="3"/>
      <c r="F992" s="51"/>
      <c r="G992" s="50" t="s">
        <v>102</v>
      </c>
      <c r="H992" s="52">
        <f>1</f>
        <v>1</v>
      </c>
      <c r="I992" s="36"/>
      <c r="J992" s="52">
        <v>1</v>
      </c>
      <c r="K992" s="53">
        <f>0</f>
        <v>0</v>
      </c>
      <c r="L992" s="53">
        <f>0</f>
        <v>0</v>
      </c>
      <c r="M992" s="53">
        <f>0</f>
        <v>0</v>
      </c>
      <c r="N992" s="54">
        <f t="shared" si="139"/>
        <v>0</v>
      </c>
      <c r="O992" s="54">
        <f t="shared" si="140"/>
        <v>0</v>
      </c>
      <c r="P992" s="54">
        <f t="shared" si="141"/>
        <v>0</v>
      </c>
      <c r="Q992" s="54">
        <f t="shared" si="142"/>
        <v>0</v>
      </c>
      <c r="R992" s="54">
        <f t="shared" si="143"/>
        <v>0</v>
      </c>
      <c r="S992" s="54"/>
      <c r="T992" s="36"/>
      <c r="XDA992"/>
      <c r="XDB992"/>
      <c r="XDC992"/>
      <c r="XDD992"/>
      <c r="XDE992"/>
      <c r="XDF992"/>
      <c r="XDG992"/>
      <c r="XDH992"/>
      <c r="XDI992"/>
      <c r="XDJ992"/>
      <c r="XDK992"/>
      <c r="XDL992"/>
      <c r="XDM992"/>
      <c r="XDN992"/>
      <c r="XDO992"/>
      <c r="XDP992"/>
      <c r="XDQ992"/>
      <c r="XDR992"/>
      <c r="XDS992"/>
      <c r="XDT992"/>
      <c r="XDU992"/>
      <c r="XDV992"/>
      <c r="XDW992"/>
      <c r="XDX992"/>
      <c r="XDY992"/>
      <c r="XDZ992"/>
      <c r="XEA992"/>
      <c r="XEB992"/>
      <c r="XEC992"/>
      <c r="XED992"/>
      <c r="XEE992"/>
      <c r="XEF992"/>
      <c r="XEG992"/>
      <c r="XEH992"/>
      <c r="XEI992"/>
      <c r="XEJ992"/>
      <c r="XEK992"/>
      <c r="XEL992"/>
      <c r="XEM992"/>
      <c r="XEN992"/>
      <c r="XEO992"/>
      <c r="XEP992"/>
      <c r="XEQ992"/>
      <c r="XER992"/>
      <c r="XES992"/>
      <c r="XET992"/>
      <c r="XEU992"/>
      <c r="XEV992"/>
      <c r="XEW992"/>
      <c r="XEX992"/>
      <c r="XEY992"/>
      <c r="XEZ992"/>
      <c r="XFA992"/>
      <c r="XFB992"/>
      <c r="XFC992"/>
    </row>
    <row r="993" spans="1:20 16329:16383" s="38" customFormat="1" ht="29.1" customHeight="1" outlineLevel="5" x14ac:dyDescent="0.25">
      <c r="A993" s="49" t="s">
        <v>1893</v>
      </c>
      <c r="B993" s="50"/>
      <c r="C993" s="50"/>
      <c r="D993" s="3" t="s">
        <v>1894</v>
      </c>
      <c r="E993" s="3"/>
      <c r="F993" s="51"/>
      <c r="G993" s="50" t="s">
        <v>102</v>
      </c>
      <c r="H993" s="52">
        <f>1</f>
        <v>1</v>
      </c>
      <c r="I993" s="36"/>
      <c r="J993" s="52">
        <v>1</v>
      </c>
      <c r="K993" s="53">
        <f>0</f>
        <v>0</v>
      </c>
      <c r="L993" s="53">
        <f>0</f>
        <v>0</v>
      </c>
      <c r="M993" s="53">
        <f>0</f>
        <v>0</v>
      </c>
      <c r="N993" s="54">
        <f t="shared" si="139"/>
        <v>0</v>
      </c>
      <c r="O993" s="54">
        <f t="shared" si="140"/>
        <v>0</v>
      </c>
      <c r="P993" s="54">
        <f t="shared" si="141"/>
        <v>0</v>
      </c>
      <c r="Q993" s="54">
        <f t="shared" si="142"/>
        <v>0</v>
      </c>
      <c r="R993" s="54">
        <f t="shared" si="143"/>
        <v>0</v>
      </c>
      <c r="S993" s="54"/>
      <c r="T993" s="36"/>
      <c r="XDA993"/>
      <c r="XDB993"/>
      <c r="XDC993"/>
      <c r="XDD993"/>
      <c r="XDE993"/>
      <c r="XDF993"/>
      <c r="XDG993"/>
      <c r="XDH993"/>
      <c r="XDI993"/>
      <c r="XDJ993"/>
      <c r="XDK993"/>
      <c r="XDL993"/>
      <c r="XDM993"/>
      <c r="XDN993"/>
      <c r="XDO993"/>
      <c r="XDP993"/>
      <c r="XDQ993"/>
      <c r="XDR993"/>
      <c r="XDS993"/>
      <c r="XDT993"/>
      <c r="XDU993"/>
      <c r="XDV993"/>
      <c r="XDW993"/>
      <c r="XDX993"/>
      <c r="XDY993"/>
      <c r="XDZ993"/>
      <c r="XEA993"/>
      <c r="XEB993"/>
      <c r="XEC993"/>
      <c r="XED993"/>
      <c r="XEE993"/>
      <c r="XEF993"/>
      <c r="XEG993"/>
      <c r="XEH993"/>
      <c r="XEI993"/>
      <c r="XEJ993"/>
      <c r="XEK993"/>
      <c r="XEL993"/>
      <c r="XEM993"/>
      <c r="XEN993"/>
      <c r="XEO993"/>
      <c r="XEP993"/>
      <c r="XEQ993"/>
      <c r="XER993"/>
      <c r="XES993"/>
      <c r="XET993"/>
      <c r="XEU993"/>
      <c r="XEV993"/>
      <c r="XEW993"/>
      <c r="XEX993"/>
      <c r="XEY993"/>
      <c r="XEZ993"/>
      <c r="XFA993"/>
      <c r="XFB993"/>
      <c r="XFC993"/>
    </row>
    <row r="994" spans="1:20 16329:16383" s="38" customFormat="1" ht="29.1" customHeight="1" outlineLevel="5" x14ac:dyDescent="0.25">
      <c r="A994" s="49" t="s">
        <v>1895</v>
      </c>
      <c r="B994" s="50"/>
      <c r="C994" s="50"/>
      <c r="D994" s="3" t="s">
        <v>1896</v>
      </c>
      <c r="E994" s="3"/>
      <c r="F994" s="51"/>
      <c r="G994" s="50" t="s">
        <v>102</v>
      </c>
      <c r="H994" s="52">
        <f>1</f>
        <v>1</v>
      </c>
      <c r="I994" s="36"/>
      <c r="J994" s="52">
        <v>1</v>
      </c>
      <c r="K994" s="53">
        <f>0</f>
        <v>0</v>
      </c>
      <c r="L994" s="53">
        <f>0</f>
        <v>0</v>
      </c>
      <c r="M994" s="53">
        <f>0</f>
        <v>0</v>
      </c>
      <c r="N994" s="54">
        <f t="shared" si="139"/>
        <v>0</v>
      </c>
      <c r="O994" s="54">
        <f t="shared" si="140"/>
        <v>0</v>
      </c>
      <c r="P994" s="54">
        <f t="shared" si="141"/>
        <v>0</v>
      </c>
      <c r="Q994" s="54">
        <f t="shared" si="142"/>
        <v>0</v>
      </c>
      <c r="R994" s="54">
        <f t="shared" si="143"/>
        <v>0</v>
      </c>
      <c r="S994" s="54"/>
      <c r="T994" s="36"/>
      <c r="XDA994"/>
      <c r="XDB994"/>
      <c r="XDC994"/>
      <c r="XDD994"/>
      <c r="XDE994"/>
      <c r="XDF994"/>
      <c r="XDG994"/>
      <c r="XDH994"/>
      <c r="XDI994"/>
      <c r="XDJ994"/>
      <c r="XDK994"/>
      <c r="XDL994"/>
      <c r="XDM994"/>
      <c r="XDN994"/>
      <c r="XDO994"/>
      <c r="XDP994"/>
      <c r="XDQ994"/>
      <c r="XDR994"/>
      <c r="XDS994"/>
      <c r="XDT994"/>
      <c r="XDU994"/>
      <c r="XDV994"/>
      <c r="XDW994"/>
      <c r="XDX994"/>
      <c r="XDY994"/>
      <c r="XDZ994"/>
      <c r="XEA994"/>
      <c r="XEB994"/>
      <c r="XEC994"/>
      <c r="XED994"/>
      <c r="XEE994"/>
      <c r="XEF994"/>
      <c r="XEG994"/>
      <c r="XEH994"/>
      <c r="XEI994"/>
      <c r="XEJ994"/>
      <c r="XEK994"/>
      <c r="XEL994"/>
      <c r="XEM994"/>
      <c r="XEN994"/>
      <c r="XEO994"/>
      <c r="XEP994"/>
      <c r="XEQ994"/>
      <c r="XER994"/>
      <c r="XES994"/>
      <c r="XET994"/>
      <c r="XEU994"/>
      <c r="XEV994"/>
      <c r="XEW994"/>
      <c r="XEX994"/>
      <c r="XEY994"/>
      <c r="XEZ994"/>
      <c r="XFA994"/>
      <c r="XFB994"/>
      <c r="XFC994"/>
    </row>
    <row r="995" spans="1:20 16329:16383" s="38" customFormat="1" ht="29.1" customHeight="1" outlineLevel="4" x14ac:dyDescent="0.25">
      <c r="A995" s="60" t="s">
        <v>1897</v>
      </c>
      <c r="B995" s="61" t="s">
        <v>1898</v>
      </c>
      <c r="C995" s="61"/>
      <c r="D995" s="1" t="s">
        <v>1899</v>
      </c>
      <c r="E995" s="1"/>
      <c r="F995" s="62"/>
      <c r="G995" s="61"/>
      <c r="H995" s="63"/>
      <c r="I995" s="36"/>
      <c r="J995" s="63"/>
      <c r="K995" s="64"/>
      <c r="L995" s="64"/>
      <c r="M995" s="64"/>
      <c r="N995" s="64"/>
      <c r="O995" s="64">
        <f>O996+O997</f>
        <v>0</v>
      </c>
      <c r="P995" s="64">
        <f>P996+P997</f>
        <v>0</v>
      </c>
      <c r="Q995" s="64">
        <f>Q996+Q997</f>
        <v>0</v>
      </c>
      <c r="R995" s="64">
        <f>R996+R997</f>
        <v>0</v>
      </c>
      <c r="S995" s="64"/>
      <c r="T995" s="36"/>
      <c r="XDA995"/>
      <c r="XDB995"/>
      <c r="XDC995"/>
      <c r="XDD995"/>
      <c r="XDE995"/>
      <c r="XDF995"/>
      <c r="XDG995"/>
      <c r="XDH995"/>
      <c r="XDI995"/>
      <c r="XDJ995"/>
      <c r="XDK995"/>
      <c r="XDL995"/>
      <c r="XDM995"/>
      <c r="XDN995"/>
      <c r="XDO995"/>
      <c r="XDP995"/>
      <c r="XDQ995"/>
      <c r="XDR995"/>
      <c r="XDS995"/>
      <c r="XDT995"/>
      <c r="XDU995"/>
      <c r="XDV995"/>
      <c r="XDW995"/>
      <c r="XDX995"/>
      <c r="XDY995"/>
      <c r="XDZ995"/>
      <c r="XEA995"/>
      <c r="XEB995"/>
      <c r="XEC995"/>
      <c r="XED995"/>
      <c r="XEE995"/>
      <c r="XEF995"/>
      <c r="XEG995"/>
      <c r="XEH995"/>
      <c r="XEI995"/>
      <c r="XEJ995"/>
      <c r="XEK995"/>
      <c r="XEL995"/>
      <c r="XEM995"/>
      <c r="XEN995"/>
      <c r="XEO995"/>
      <c r="XEP995"/>
      <c r="XEQ995"/>
      <c r="XER995"/>
      <c r="XES995"/>
      <c r="XET995"/>
      <c r="XEU995"/>
      <c r="XEV995"/>
      <c r="XEW995"/>
      <c r="XEX995"/>
      <c r="XEY995"/>
      <c r="XEZ995"/>
      <c r="XFA995"/>
      <c r="XFB995"/>
      <c r="XFC995"/>
    </row>
    <row r="996" spans="1:20 16329:16383" s="38" customFormat="1" ht="29.1" customHeight="1" outlineLevel="5" x14ac:dyDescent="0.25">
      <c r="A996" s="49" t="s">
        <v>1900</v>
      </c>
      <c r="B996" s="50"/>
      <c r="C996" s="50"/>
      <c r="D996" s="3" t="s">
        <v>1901</v>
      </c>
      <c r="E996" s="3"/>
      <c r="F996" s="51"/>
      <c r="G996" s="50" t="s">
        <v>102</v>
      </c>
      <c r="H996" s="52">
        <f>1</f>
        <v>1</v>
      </c>
      <c r="I996" s="36"/>
      <c r="J996" s="52">
        <v>1</v>
      </c>
      <c r="K996" s="53">
        <f>0</f>
        <v>0</v>
      </c>
      <c r="L996" s="53">
        <f>0</f>
        <v>0</v>
      </c>
      <c r="M996" s="53">
        <f>0</f>
        <v>0</v>
      </c>
      <c r="N996" s="54">
        <f>SUM(K996:M996)</f>
        <v>0</v>
      </c>
      <c r="O996" s="54">
        <f>ROUND((H996*K996),2)</f>
        <v>0</v>
      </c>
      <c r="P996" s="54">
        <f>ROUND((H996*L996),2)</f>
        <v>0</v>
      </c>
      <c r="Q996" s="54">
        <f>ROUND((H996*M996),2)</f>
        <v>0</v>
      </c>
      <c r="R996" s="54">
        <f>ROUND((H996*N996),2)</f>
        <v>0</v>
      </c>
      <c r="S996" s="54"/>
      <c r="T996" s="36"/>
      <c r="XDA996"/>
      <c r="XDB996"/>
      <c r="XDC996"/>
      <c r="XDD996"/>
      <c r="XDE996"/>
      <c r="XDF996"/>
      <c r="XDG996"/>
      <c r="XDH996"/>
      <c r="XDI996"/>
      <c r="XDJ996"/>
      <c r="XDK996"/>
      <c r="XDL996"/>
      <c r="XDM996"/>
      <c r="XDN996"/>
      <c r="XDO996"/>
      <c r="XDP996"/>
      <c r="XDQ996"/>
      <c r="XDR996"/>
      <c r="XDS996"/>
      <c r="XDT996"/>
      <c r="XDU996"/>
      <c r="XDV996"/>
      <c r="XDW996"/>
      <c r="XDX996"/>
      <c r="XDY996"/>
      <c r="XDZ996"/>
      <c r="XEA996"/>
      <c r="XEB996"/>
      <c r="XEC996"/>
      <c r="XED996"/>
      <c r="XEE996"/>
      <c r="XEF996"/>
      <c r="XEG996"/>
      <c r="XEH996"/>
      <c r="XEI996"/>
      <c r="XEJ996"/>
      <c r="XEK996"/>
      <c r="XEL996"/>
      <c r="XEM996"/>
      <c r="XEN996"/>
      <c r="XEO996"/>
      <c r="XEP996"/>
      <c r="XEQ996"/>
      <c r="XER996"/>
      <c r="XES996"/>
      <c r="XET996"/>
      <c r="XEU996"/>
      <c r="XEV996"/>
      <c r="XEW996"/>
      <c r="XEX996"/>
      <c r="XEY996"/>
      <c r="XEZ996"/>
      <c r="XFA996"/>
      <c r="XFB996"/>
      <c r="XFC996"/>
    </row>
    <row r="997" spans="1:20 16329:16383" s="38" customFormat="1" ht="29.1" customHeight="1" outlineLevel="5" x14ac:dyDescent="0.25">
      <c r="A997" s="49" t="s">
        <v>1902</v>
      </c>
      <c r="B997" s="50"/>
      <c r="C997" s="50"/>
      <c r="D997" s="3" t="s">
        <v>1903</v>
      </c>
      <c r="E997" s="3"/>
      <c r="F997" s="51"/>
      <c r="G997" s="50" t="s">
        <v>102</v>
      </c>
      <c r="H997" s="52">
        <f>1</f>
        <v>1</v>
      </c>
      <c r="I997" s="36"/>
      <c r="J997" s="52">
        <v>1</v>
      </c>
      <c r="K997" s="53">
        <f>0</f>
        <v>0</v>
      </c>
      <c r="L997" s="53">
        <f>0</f>
        <v>0</v>
      </c>
      <c r="M997" s="53">
        <f>0</f>
        <v>0</v>
      </c>
      <c r="N997" s="54">
        <f>SUM(K997:M997)</f>
        <v>0</v>
      </c>
      <c r="O997" s="54">
        <f>ROUND((H997*K997),2)</f>
        <v>0</v>
      </c>
      <c r="P997" s="54">
        <f>ROUND((H997*L997),2)</f>
        <v>0</v>
      </c>
      <c r="Q997" s="54">
        <f>ROUND((H997*M997),2)</f>
        <v>0</v>
      </c>
      <c r="R997" s="54">
        <f>ROUND((H997*N997),2)</f>
        <v>0</v>
      </c>
      <c r="S997" s="54"/>
      <c r="T997" s="36"/>
      <c r="XDA997"/>
      <c r="XDB997"/>
      <c r="XDC997"/>
      <c r="XDD997"/>
      <c r="XDE997"/>
      <c r="XDF997"/>
      <c r="XDG997"/>
      <c r="XDH997"/>
      <c r="XDI997"/>
      <c r="XDJ997"/>
      <c r="XDK997"/>
      <c r="XDL997"/>
      <c r="XDM997"/>
      <c r="XDN997"/>
      <c r="XDO997"/>
      <c r="XDP997"/>
      <c r="XDQ997"/>
      <c r="XDR997"/>
      <c r="XDS997"/>
      <c r="XDT997"/>
      <c r="XDU997"/>
      <c r="XDV997"/>
      <c r="XDW997"/>
      <c r="XDX997"/>
      <c r="XDY997"/>
      <c r="XDZ997"/>
      <c r="XEA997"/>
      <c r="XEB997"/>
      <c r="XEC997"/>
      <c r="XED997"/>
      <c r="XEE997"/>
      <c r="XEF997"/>
      <c r="XEG997"/>
      <c r="XEH997"/>
      <c r="XEI997"/>
      <c r="XEJ997"/>
      <c r="XEK997"/>
      <c r="XEL997"/>
      <c r="XEM997"/>
      <c r="XEN997"/>
      <c r="XEO997"/>
      <c r="XEP997"/>
      <c r="XEQ997"/>
      <c r="XER997"/>
      <c r="XES997"/>
      <c r="XET997"/>
      <c r="XEU997"/>
      <c r="XEV997"/>
      <c r="XEW997"/>
      <c r="XEX997"/>
      <c r="XEY997"/>
      <c r="XEZ997"/>
      <c r="XFA997"/>
      <c r="XFB997"/>
      <c r="XFC997"/>
    </row>
    <row r="998" spans="1:20 16329:16383" s="38" customFormat="1" ht="29.1" customHeight="1" outlineLevel="3" x14ac:dyDescent="0.25">
      <c r="A998" s="55" t="s">
        <v>1904</v>
      </c>
      <c r="B998" s="56" t="s">
        <v>1905</v>
      </c>
      <c r="C998" s="56" t="s">
        <v>1869</v>
      </c>
      <c r="D998" s="2" t="s">
        <v>1906</v>
      </c>
      <c r="E998" s="2"/>
      <c r="F998" s="57"/>
      <c r="G998" s="56" t="s">
        <v>102</v>
      </c>
      <c r="H998" s="58"/>
      <c r="I998" s="36"/>
      <c r="J998" s="58"/>
      <c r="K998" s="59"/>
      <c r="L998" s="59"/>
      <c r="M998" s="59"/>
      <c r="N998" s="59"/>
      <c r="O998" s="59">
        <f>O999+O1004+O1010</f>
        <v>0</v>
      </c>
      <c r="P998" s="59">
        <f>P999+P1004+P1010</f>
        <v>0</v>
      </c>
      <c r="Q998" s="59">
        <f>Q999+Q1004+Q1010</f>
        <v>0</v>
      </c>
      <c r="R998" s="59">
        <f>R999+R1004+R1010</f>
        <v>0</v>
      </c>
      <c r="S998" s="59"/>
      <c r="T998" s="36"/>
      <c r="XDA998"/>
      <c r="XDB998"/>
      <c r="XDC998"/>
      <c r="XDD998"/>
      <c r="XDE998"/>
      <c r="XDF998"/>
      <c r="XDG998"/>
      <c r="XDH998"/>
      <c r="XDI998"/>
      <c r="XDJ998"/>
      <c r="XDK998"/>
      <c r="XDL998"/>
      <c r="XDM998"/>
      <c r="XDN998"/>
      <c r="XDO998"/>
      <c r="XDP998"/>
      <c r="XDQ998"/>
      <c r="XDR998"/>
      <c r="XDS998"/>
      <c r="XDT998"/>
      <c r="XDU998"/>
      <c r="XDV998"/>
      <c r="XDW998"/>
      <c r="XDX998"/>
      <c r="XDY998"/>
      <c r="XDZ998"/>
      <c r="XEA998"/>
      <c r="XEB998"/>
      <c r="XEC998"/>
      <c r="XED998"/>
      <c r="XEE998"/>
      <c r="XEF998"/>
      <c r="XEG998"/>
      <c r="XEH998"/>
      <c r="XEI998"/>
      <c r="XEJ998"/>
      <c r="XEK998"/>
      <c r="XEL998"/>
      <c r="XEM998"/>
      <c r="XEN998"/>
      <c r="XEO998"/>
      <c r="XEP998"/>
      <c r="XEQ998"/>
      <c r="XER998"/>
      <c r="XES998"/>
      <c r="XET998"/>
      <c r="XEU998"/>
      <c r="XEV998"/>
      <c r="XEW998"/>
      <c r="XEX998"/>
      <c r="XEY998"/>
      <c r="XEZ998"/>
      <c r="XFA998"/>
      <c r="XFB998"/>
      <c r="XFC998"/>
    </row>
    <row r="999" spans="1:20 16329:16383" s="38" customFormat="1" ht="29.1" customHeight="1" outlineLevel="4" x14ac:dyDescent="0.25">
      <c r="A999" s="60" t="s">
        <v>1907</v>
      </c>
      <c r="B999" s="61" t="s">
        <v>1908</v>
      </c>
      <c r="C999" s="61"/>
      <c r="D999" s="1" t="s">
        <v>1873</v>
      </c>
      <c r="E999" s="1"/>
      <c r="F999" s="62"/>
      <c r="G999" s="61"/>
      <c r="H999" s="63"/>
      <c r="I999" s="36"/>
      <c r="J999" s="63"/>
      <c r="K999" s="64"/>
      <c r="L999" s="64"/>
      <c r="M999" s="64"/>
      <c r="N999" s="64"/>
      <c r="O999" s="64">
        <f>SUM(O1000:O1003)</f>
        <v>0</v>
      </c>
      <c r="P999" s="64">
        <f>SUM(P1000:P1003)</f>
        <v>0</v>
      </c>
      <c r="Q999" s="64">
        <f>SUM(Q1000:Q1003)</f>
        <v>0</v>
      </c>
      <c r="R999" s="64">
        <f>SUM(R1000:R1003)</f>
        <v>0</v>
      </c>
      <c r="S999" s="64"/>
      <c r="T999" s="36"/>
      <c r="XDA999"/>
      <c r="XDB999"/>
      <c r="XDC999"/>
      <c r="XDD999"/>
      <c r="XDE999"/>
      <c r="XDF999"/>
      <c r="XDG999"/>
      <c r="XDH999"/>
      <c r="XDI999"/>
      <c r="XDJ999"/>
      <c r="XDK999"/>
      <c r="XDL999"/>
      <c r="XDM999"/>
      <c r="XDN999"/>
      <c r="XDO999"/>
      <c r="XDP999"/>
      <c r="XDQ999"/>
      <c r="XDR999"/>
      <c r="XDS999"/>
      <c r="XDT999"/>
      <c r="XDU999"/>
      <c r="XDV999"/>
      <c r="XDW999"/>
      <c r="XDX999"/>
      <c r="XDY999"/>
      <c r="XDZ999"/>
      <c r="XEA999"/>
      <c r="XEB999"/>
      <c r="XEC999"/>
      <c r="XED999"/>
      <c r="XEE999"/>
      <c r="XEF999"/>
      <c r="XEG999"/>
      <c r="XEH999"/>
      <c r="XEI999"/>
      <c r="XEJ999"/>
      <c r="XEK999"/>
      <c r="XEL999"/>
      <c r="XEM999"/>
      <c r="XEN999"/>
      <c r="XEO999"/>
      <c r="XEP999"/>
      <c r="XEQ999"/>
      <c r="XER999"/>
      <c r="XES999"/>
      <c r="XET999"/>
      <c r="XEU999"/>
      <c r="XEV999"/>
      <c r="XEW999"/>
      <c r="XEX999"/>
      <c r="XEY999"/>
      <c r="XEZ999"/>
      <c r="XFA999"/>
      <c r="XFB999"/>
      <c r="XFC999"/>
    </row>
    <row r="1000" spans="1:20 16329:16383" s="38" customFormat="1" ht="29.1" customHeight="1" outlineLevel="5" x14ac:dyDescent="0.25">
      <c r="A1000" s="49" t="s">
        <v>1909</v>
      </c>
      <c r="B1000" s="50"/>
      <c r="C1000" s="50"/>
      <c r="D1000" s="3" t="s">
        <v>1875</v>
      </c>
      <c r="E1000" s="3"/>
      <c r="F1000" s="51"/>
      <c r="G1000" s="50" t="s">
        <v>102</v>
      </c>
      <c r="H1000" s="52">
        <f>1</f>
        <v>1</v>
      </c>
      <c r="I1000" s="36"/>
      <c r="J1000" s="52">
        <v>1</v>
      </c>
      <c r="K1000" s="53">
        <f>0</f>
        <v>0</v>
      </c>
      <c r="L1000" s="53">
        <f>0</f>
        <v>0</v>
      </c>
      <c r="M1000" s="53">
        <f>0</f>
        <v>0</v>
      </c>
      <c r="N1000" s="54">
        <f>SUM(K1000:M1000)</f>
        <v>0</v>
      </c>
      <c r="O1000" s="54">
        <f>ROUND((H1000*K1000),2)</f>
        <v>0</v>
      </c>
      <c r="P1000" s="54">
        <f>ROUND((H1000*L1000),2)</f>
        <v>0</v>
      </c>
      <c r="Q1000" s="54">
        <f>ROUND((H1000*M1000),2)</f>
        <v>0</v>
      </c>
      <c r="R1000" s="54">
        <f>ROUND((H1000*N1000),2)</f>
        <v>0</v>
      </c>
      <c r="S1000" s="54"/>
      <c r="T1000" s="36"/>
      <c r="XDA1000"/>
      <c r="XDB1000"/>
      <c r="XDC1000"/>
      <c r="XDD1000"/>
      <c r="XDE1000"/>
      <c r="XDF1000"/>
      <c r="XDG1000"/>
      <c r="XDH1000"/>
      <c r="XDI1000"/>
      <c r="XDJ1000"/>
      <c r="XDK1000"/>
      <c r="XDL1000"/>
      <c r="XDM1000"/>
      <c r="XDN1000"/>
      <c r="XDO1000"/>
      <c r="XDP1000"/>
      <c r="XDQ1000"/>
      <c r="XDR1000"/>
      <c r="XDS1000"/>
      <c r="XDT1000"/>
      <c r="XDU1000"/>
      <c r="XDV1000"/>
      <c r="XDW1000"/>
      <c r="XDX1000"/>
      <c r="XDY1000"/>
      <c r="XDZ1000"/>
      <c r="XEA1000"/>
      <c r="XEB1000"/>
      <c r="XEC1000"/>
      <c r="XED1000"/>
      <c r="XEE1000"/>
      <c r="XEF1000"/>
      <c r="XEG1000"/>
      <c r="XEH1000"/>
      <c r="XEI1000"/>
      <c r="XEJ1000"/>
      <c r="XEK1000"/>
      <c r="XEL1000"/>
      <c r="XEM1000"/>
      <c r="XEN1000"/>
      <c r="XEO1000"/>
      <c r="XEP1000"/>
      <c r="XEQ1000"/>
      <c r="XER1000"/>
      <c r="XES1000"/>
      <c r="XET1000"/>
      <c r="XEU1000"/>
      <c r="XEV1000"/>
      <c r="XEW1000"/>
      <c r="XEX1000"/>
      <c r="XEY1000"/>
      <c r="XEZ1000"/>
      <c r="XFA1000"/>
      <c r="XFB1000"/>
      <c r="XFC1000"/>
    </row>
    <row r="1001" spans="1:20 16329:16383" s="38" customFormat="1" ht="29.1" customHeight="1" outlineLevel="5" x14ac:dyDescent="0.25">
      <c r="A1001" s="49" t="s">
        <v>1910</v>
      </c>
      <c r="B1001" s="50"/>
      <c r="C1001" s="50"/>
      <c r="D1001" s="3" t="s">
        <v>1552</v>
      </c>
      <c r="E1001" s="3"/>
      <c r="F1001" s="51"/>
      <c r="G1001" s="50" t="s">
        <v>102</v>
      </c>
      <c r="H1001" s="52">
        <f>1</f>
        <v>1</v>
      </c>
      <c r="I1001" s="36"/>
      <c r="J1001" s="52">
        <v>1</v>
      </c>
      <c r="K1001" s="53">
        <f>0</f>
        <v>0</v>
      </c>
      <c r="L1001" s="53">
        <f>0</f>
        <v>0</v>
      </c>
      <c r="M1001" s="53">
        <f>0</f>
        <v>0</v>
      </c>
      <c r="N1001" s="54">
        <f>SUM(K1001:M1001)</f>
        <v>0</v>
      </c>
      <c r="O1001" s="54">
        <f>ROUND((H1001*K1001),2)</f>
        <v>0</v>
      </c>
      <c r="P1001" s="54">
        <f>ROUND((H1001*L1001),2)</f>
        <v>0</v>
      </c>
      <c r="Q1001" s="54">
        <f>ROUND((H1001*M1001),2)</f>
        <v>0</v>
      </c>
      <c r="R1001" s="54">
        <f>ROUND((H1001*N1001),2)</f>
        <v>0</v>
      </c>
      <c r="S1001" s="54"/>
      <c r="T1001" s="36"/>
      <c r="XDA1001"/>
      <c r="XDB1001"/>
      <c r="XDC1001"/>
      <c r="XDD1001"/>
      <c r="XDE1001"/>
      <c r="XDF1001"/>
      <c r="XDG1001"/>
      <c r="XDH1001"/>
      <c r="XDI1001"/>
      <c r="XDJ1001"/>
      <c r="XDK1001"/>
      <c r="XDL1001"/>
      <c r="XDM1001"/>
      <c r="XDN1001"/>
      <c r="XDO1001"/>
      <c r="XDP1001"/>
      <c r="XDQ1001"/>
      <c r="XDR1001"/>
      <c r="XDS1001"/>
      <c r="XDT1001"/>
      <c r="XDU1001"/>
      <c r="XDV1001"/>
      <c r="XDW1001"/>
      <c r="XDX1001"/>
      <c r="XDY1001"/>
      <c r="XDZ1001"/>
      <c r="XEA1001"/>
      <c r="XEB1001"/>
      <c r="XEC1001"/>
      <c r="XED1001"/>
      <c r="XEE1001"/>
      <c r="XEF1001"/>
      <c r="XEG1001"/>
      <c r="XEH1001"/>
      <c r="XEI1001"/>
      <c r="XEJ1001"/>
      <c r="XEK1001"/>
      <c r="XEL1001"/>
      <c r="XEM1001"/>
      <c r="XEN1001"/>
      <c r="XEO1001"/>
      <c r="XEP1001"/>
      <c r="XEQ1001"/>
      <c r="XER1001"/>
      <c r="XES1001"/>
      <c r="XET1001"/>
      <c r="XEU1001"/>
      <c r="XEV1001"/>
      <c r="XEW1001"/>
      <c r="XEX1001"/>
      <c r="XEY1001"/>
      <c r="XEZ1001"/>
      <c r="XFA1001"/>
      <c r="XFB1001"/>
      <c r="XFC1001"/>
    </row>
    <row r="1002" spans="1:20 16329:16383" s="38" customFormat="1" ht="29.1" customHeight="1" outlineLevel="5" x14ac:dyDescent="0.25">
      <c r="A1002" s="49" t="s">
        <v>1911</v>
      </c>
      <c r="B1002" s="50"/>
      <c r="C1002" s="50"/>
      <c r="D1002" s="3" t="s">
        <v>1878</v>
      </c>
      <c r="E1002" s="3"/>
      <c r="F1002" s="51"/>
      <c r="G1002" s="50" t="s">
        <v>102</v>
      </c>
      <c r="H1002" s="52">
        <f>1</f>
        <v>1</v>
      </c>
      <c r="I1002" s="36"/>
      <c r="J1002" s="52">
        <v>1</v>
      </c>
      <c r="K1002" s="53">
        <f>0</f>
        <v>0</v>
      </c>
      <c r="L1002" s="53">
        <f>0</f>
        <v>0</v>
      </c>
      <c r="M1002" s="53">
        <f>0</f>
        <v>0</v>
      </c>
      <c r="N1002" s="54">
        <f>SUM(K1002:M1002)</f>
        <v>0</v>
      </c>
      <c r="O1002" s="54">
        <f>ROUND((H1002*K1002),2)</f>
        <v>0</v>
      </c>
      <c r="P1002" s="54">
        <f>ROUND((H1002*L1002),2)</f>
        <v>0</v>
      </c>
      <c r="Q1002" s="54">
        <f>ROUND((H1002*M1002),2)</f>
        <v>0</v>
      </c>
      <c r="R1002" s="54">
        <f>ROUND((H1002*N1002),2)</f>
        <v>0</v>
      </c>
      <c r="S1002" s="54"/>
      <c r="T1002" s="36"/>
      <c r="XDA1002"/>
      <c r="XDB1002"/>
      <c r="XDC1002"/>
      <c r="XDD1002"/>
      <c r="XDE1002"/>
      <c r="XDF1002"/>
      <c r="XDG1002"/>
      <c r="XDH1002"/>
      <c r="XDI1002"/>
      <c r="XDJ1002"/>
      <c r="XDK1002"/>
      <c r="XDL1002"/>
      <c r="XDM1002"/>
      <c r="XDN1002"/>
      <c r="XDO1002"/>
      <c r="XDP1002"/>
      <c r="XDQ1002"/>
      <c r="XDR1002"/>
      <c r="XDS1002"/>
      <c r="XDT1002"/>
      <c r="XDU1002"/>
      <c r="XDV1002"/>
      <c r="XDW1002"/>
      <c r="XDX1002"/>
      <c r="XDY1002"/>
      <c r="XDZ1002"/>
      <c r="XEA1002"/>
      <c r="XEB1002"/>
      <c r="XEC1002"/>
      <c r="XED1002"/>
      <c r="XEE1002"/>
      <c r="XEF1002"/>
      <c r="XEG1002"/>
      <c r="XEH1002"/>
      <c r="XEI1002"/>
      <c r="XEJ1002"/>
      <c r="XEK1002"/>
      <c r="XEL1002"/>
      <c r="XEM1002"/>
      <c r="XEN1002"/>
      <c r="XEO1002"/>
      <c r="XEP1002"/>
      <c r="XEQ1002"/>
      <c r="XER1002"/>
      <c r="XES1002"/>
      <c r="XET1002"/>
      <c r="XEU1002"/>
      <c r="XEV1002"/>
      <c r="XEW1002"/>
      <c r="XEX1002"/>
      <c r="XEY1002"/>
      <c r="XEZ1002"/>
      <c r="XFA1002"/>
      <c r="XFB1002"/>
      <c r="XFC1002"/>
    </row>
    <row r="1003" spans="1:20 16329:16383" s="38" customFormat="1" ht="29.1" customHeight="1" outlineLevel="5" x14ac:dyDescent="0.25">
      <c r="A1003" s="49" t="s">
        <v>1912</v>
      </c>
      <c r="B1003" s="50"/>
      <c r="C1003" s="50"/>
      <c r="D1003" s="3" t="s">
        <v>1880</v>
      </c>
      <c r="E1003" s="3"/>
      <c r="F1003" s="51"/>
      <c r="G1003" s="50" t="s">
        <v>102</v>
      </c>
      <c r="H1003" s="52">
        <f>1</f>
        <v>1</v>
      </c>
      <c r="I1003" s="36"/>
      <c r="J1003" s="52">
        <v>1</v>
      </c>
      <c r="K1003" s="53">
        <f>0</f>
        <v>0</v>
      </c>
      <c r="L1003" s="53">
        <f>0</f>
        <v>0</v>
      </c>
      <c r="M1003" s="53">
        <f>0</f>
        <v>0</v>
      </c>
      <c r="N1003" s="54">
        <f>SUM(K1003:M1003)</f>
        <v>0</v>
      </c>
      <c r="O1003" s="54">
        <f>ROUND((H1003*K1003),2)</f>
        <v>0</v>
      </c>
      <c r="P1003" s="54">
        <f>ROUND((H1003*L1003),2)</f>
        <v>0</v>
      </c>
      <c r="Q1003" s="54">
        <f>ROUND((H1003*M1003),2)</f>
        <v>0</v>
      </c>
      <c r="R1003" s="54">
        <f>ROUND((H1003*N1003),2)</f>
        <v>0</v>
      </c>
      <c r="S1003" s="54"/>
      <c r="T1003" s="36"/>
      <c r="XDA1003"/>
      <c r="XDB1003"/>
      <c r="XDC1003"/>
      <c r="XDD1003"/>
      <c r="XDE1003"/>
      <c r="XDF1003"/>
      <c r="XDG1003"/>
      <c r="XDH1003"/>
      <c r="XDI1003"/>
      <c r="XDJ1003"/>
      <c r="XDK1003"/>
      <c r="XDL1003"/>
      <c r="XDM1003"/>
      <c r="XDN1003"/>
      <c r="XDO1003"/>
      <c r="XDP1003"/>
      <c r="XDQ1003"/>
      <c r="XDR1003"/>
      <c r="XDS1003"/>
      <c r="XDT1003"/>
      <c r="XDU1003"/>
      <c r="XDV1003"/>
      <c r="XDW1003"/>
      <c r="XDX1003"/>
      <c r="XDY1003"/>
      <c r="XDZ1003"/>
      <c r="XEA1003"/>
      <c r="XEB1003"/>
      <c r="XEC1003"/>
      <c r="XED1003"/>
      <c r="XEE1003"/>
      <c r="XEF1003"/>
      <c r="XEG1003"/>
      <c r="XEH1003"/>
      <c r="XEI1003"/>
      <c r="XEJ1003"/>
      <c r="XEK1003"/>
      <c r="XEL1003"/>
      <c r="XEM1003"/>
      <c r="XEN1003"/>
      <c r="XEO1003"/>
      <c r="XEP1003"/>
      <c r="XEQ1003"/>
      <c r="XER1003"/>
      <c r="XES1003"/>
      <c r="XET1003"/>
      <c r="XEU1003"/>
      <c r="XEV1003"/>
      <c r="XEW1003"/>
      <c r="XEX1003"/>
      <c r="XEY1003"/>
      <c r="XEZ1003"/>
      <c r="XFA1003"/>
      <c r="XFB1003"/>
      <c r="XFC1003"/>
    </row>
    <row r="1004" spans="1:20 16329:16383" s="38" customFormat="1" ht="29.1" customHeight="1" outlineLevel="4" x14ac:dyDescent="0.25">
      <c r="A1004" s="60" t="s">
        <v>1913</v>
      </c>
      <c r="B1004" s="61" t="s">
        <v>1914</v>
      </c>
      <c r="C1004" s="61"/>
      <c r="D1004" s="1" t="s">
        <v>344</v>
      </c>
      <c r="E1004" s="1"/>
      <c r="F1004" s="62"/>
      <c r="G1004" s="61"/>
      <c r="H1004" s="63"/>
      <c r="I1004" s="36"/>
      <c r="J1004" s="63"/>
      <c r="K1004" s="64"/>
      <c r="L1004" s="64"/>
      <c r="M1004" s="64"/>
      <c r="N1004" s="64"/>
      <c r="O1004" s="64">
        <f>SUM(O1005:O1009)</f>
        <v>0</v>
      </c>
      <c r="P1004" s="64">
        <f>SUM(P1005:P1009)</f>
        <v>0</v>
      </c>
      <c r="Q1004" s="64">
        <f>SUM(Q1005:Q1009)</f>
        <v>0</v>
      </c>
      <c r="R1004" s="64">
        <f>SUM(R1005:R1009)</f>
        <v>0</v>
      </c>
      <c r="S1004" s="64"/>
      <c r="T1004" s="36"/>
      <c r="XDA1004"/>
      <c r="XDB1004"/>
      <c r="XDC1004"/>
      <c r="XDD1004"/>
      <c r="XDE1004"/>
      <c r="XDF1004"/>
      <c r="XDG1004"/>
      <c r="XDH1004"/>
      <c r="XDI1004"/>
      <c r="XDJ1004"/>
      <c r="XDK1004"/>
      <c r="XDL1004"/>
      <c r="XDM1004"/>
      <c r="XDN1004"/>
      <c r="XDO1004"/>
      <c r="XDP1004"/>
      <c r="XDQ1004"/>
      <c r="XDR1004"/>
      <c r="XDS1004"/>
      <c r="XDT1004"/>
      <c r="XDU1004"/>
      <c r="XDV1004"/>
      <c r="XDW1004"/>
      <c r="XDX1004"/>
      <c r="XDY1004"/>
      <c r="XDZ1004"/>
      <c r="XEA1004"/>
      <c r="XEB1004"/>
      <c r="XEC1004"/>
      <c r="XED1004"/>
      <c r="XEE1004"/>
      <c r="XEF1004"/>
      <c r="XEG1004"/>
      <c r="XEH1004"/>
      <c r="XEI1004"/>
      <c r="XEJ1004"/>
      <c r="XEK1004"/>
      <c r="XEL1004"/>
      <c r="XEM1004"/>
      <c r="XEN1004"/>
      <c r="XEO1004"/>
      <c r="XEP1004"/>
      <c r="XEQ1004"/>
      <c r="XER1004"/>
      <c r="XES1004"/>
      <c r="XET1004"/>
      <c r="XEU1004"/>
      <c r="XEV1004"/>
      <c r="XEW1004"/>
      <c r="XEX1004"/>
      <c r="XEY1004"/>
      <c r="XEZ1004"/>
      <c r="XFA1004"/>
      <c r="XFB1004"/>
      <c r="XFC1004"/>
    </row>
    <row r="1005" spans="1:20 16329:16383" s="38" customFormat="1" ht="29.1" customHeight="1" outlineLevel="5" x14ac:dyDescent="0.25">
      <c r="A1005" s="49" t="s">
        <v>1915</v>
      </c>
      <c r="B1005" s="50"/>
      <c r="C1005" s="50"/>
      <c r="D1005" s="3" t="s">
        <v>1884</v>
      </c>
      <c r="E1005" s="3"/>
      <c r="F1005" s="51"/>
      <c r="G1005" s="50" t="s">
        <v>102</v>
      </c>
      <c r="H1005" s="52">
        <f>1</f>
        <v>1</v>
      </c>
      <c r="I1005" s="36"/>
      <c r="J1005" s="52">
        <v>1</v>
      </c>
      <c r="K1005" s="53">
        <f>0</f>
        <v>0</v>
      </c>
      <c r="L1005" s="53">
        <f>0</f>
        <v>0</v>
      </c>
      <c r="M1005" s="53">
        <f>0</f>
        <v>0</v>
      </c>
      <c r="N1005" s="54">
        <f>SUM(K1005:M1005)</f>
        <v>0</v>
      </c>
      <c r="O1005" s="54">
        <f>ROUND((H1005*K1005),2)</f>
        <v>0</v>
      </c>
      <c r="P1005" s="54">
        <f>ROUND((H1005*L1005),2)</f>
        <v>0</v>
      </c>
      <c r="Q1005" s="54">
        <f>ROUND((H1005*M1005),2)</f>
        <v>0</v>
      </c>
      <c r="R1005" s="54">
        <f>ROUND((H1005*N1005),2)</f>
        <v>0</v>
      </c>
      <c r="S1005" s="54"/>
      <c r="T1005" s="36"/>
      <c r="XDA1005"/>
      <c r="XDB1005"/>
      <c r="XDC1005"/>
      <c r="XDD1005"/>
      <c r="XDE1005"/>
      <c r="XDF1005"/>
      <c r="XDG1005"/>
      <c r="XDH1005"/>
      <c r="XDI1005"/>
      <c r="XDJ1005"/>
      <c r="XDK1005"/>
      <c r="XDL1005"/>
      <c r="XDM1005"/>
      <c r="XDN1005"/>
      <c r="XDO1005"/>
      <c r="XDP1005"/>
      <c r="XDQ1005"/>
      <c r="XDR1005"/>
      <c r="XDS1005"/>
      <c r="XDT1005"/>
      <c r="XDU1005"/>
      <c r="XDV1005"/>
      <c r="XDW1005"/>
      <c r="XDX1005"/>
      <c r="XDY1005"/>
      <c r="XDZ1005"/>
      <c r="XEA1005"/>
      <c r="XEB1005"/>
      <c r="XEC1005"/>
      <c r="XED1005"/>
      <c r="XEE1005"/>
      <c r="XEF1005"/>
      <c r="XEG1005"/>
      <c r="XEH1005"/>
      <c r="XEI1005"/>
      <c r="XEJ1005"/>
      <c r="XEK1005"/>
      <c r="XEL1005"/>
      <c r="XEM1005"/>
      <c r="XEN1005"/>
      <c r="XEO1005"/>
      <c r="XEP1005"/>
      <c r="XEQ1005"/>
      <c r="XER1005"/>
      <c r="XES1005"/>
      <c r="XET1005"/>
      <c r="XEU1005"/>
      <c r="XEV1005"/>
      <c r="XEW1005"/>
      <c r="XEX1005"/>
      <c r="XEY1005"/>
      <c r="XEZ1005"/>
      <c r="XFA1005"/>
      <c r="XFB1005"/>
      <c r="XFC1005"/>
    </row>
    <row r="1006" spans="1:20 16329:16383" s="38" customFormat="1" ht="29.1" customHeight="1" outlineLevel="5" x14ac:dyDescent="0.25">
      <c r="A1006" s="49" t="s">
        <v>1916</v>
      </c>
      <c r="B1006" s="50"/>
      <c r="C1006" s="50"/>
      <c r="D1006" s="3" t="s">
        <v>1886</v>
      </c>
      <c r="E1006" s="3"/>
      <c r="F1006" s="51"/>
      <c r="G1006" s="50" t="s">
        <v>102</v>
      </c>
      <c r="H1006" s="52">
        <f>1</f>
        <v>1</v>
      </c>
      <c r="I1006" s="36"/>
      <c r="J1006" s="52">
        <v>1</v>
      </c>
      <c r="K1006" s="53">
        <f>0</f>
        <v>0</v>
      </c>
      <c r="L1006" s="53">
        <f>0</f>
        <v>0</v>
      </c>
      <c r="M1006" s="53">
        <f>0</f>
        <v>0</v>
      </c>
      <c r="N1006" s="54">
        <f>SUM(K1006:M1006)</f>
        <v>0</v>
      </c>
      <c r="O1006" s="54">
        <f>ROUND((H1006*K1006),2)</f>
        <v>0</v>
      </c>
      <c r="P1006" s="54">
        <f>ROUND((H1006*L1006),2)</f>
        <v>0</v>
      </c>
      <c r="Q1006" s="54">
        <f>ROUND((H1006*M1006),2)</f>
        <v>0</v>
      </c>
      <c r="R1006" s="54">
        <f>ROUND((H1006*N1006),2)</f>
        <v>0</v>
      </c>
      <c r="S1006" s="54"/>
      <c r="T1006" s="36"/>
      <c r="XDA1006"/>
      <c r="XDB1006"/>
      <c r="XDC1006"/>
      <c r="XDD1006"/>
      <c r="XDE1006"/>
      <c r="XDF1006"/>
      <c r="XDG1006"/>
      <c r="XDH1006"/>
      <c r="XDI1006"/>
      <c r="XDJ1006"/>
      <c r="XDK1006"/>
      <c r="XDL1006"/>
      <c r="XDM1006"/>
      <c r="XDN1006"/>
      <c r="XDO1006"/>
      <c r="XDP1006"/>
      <c r="XDQ1006"/>
      <c r="XDR1006"/>
      <c r="XDS1006"/>
      <c r="XDT1006"/>
      <c r="XDU1006"/>
      <c r="XDV1006"/>
      <c r="XDW1006"/>
      <c r="XDX1006"/>
      <c r="XDY1006"/>
      <c r="XDZ1006"/>
      <c r="XEA1006"/>
      <c r="XEB1006"/>
      <c r="XEC1006"/>
      <c r="XED1006"/>
      <c r="XEE1006"/>
      <c r="XEF1006"/>
      <c r="XEG1006"/>
      <c r="XEH1006"/>
      <c r="XEI1006"/>
      <c r="XEJ1006"/>
      <c r="XEK1006"/>
      <c r="XEL1006"/>
      <c r="XEM1006"/>
      <c r="XEN1006"/>
      <c r="XEO1006"/>
      <c r="XEP1006"/>
      <c r="XEQ1006"/>
      <c r="XER1006"/>
      <c r="XES1006"/>
      <c r="XET1006"/>
      <c r="XEU1006"/>
      <c r="XEV1006"/>
      <c r="XEW1006"/>
      <c r="XEX1006"/>
      <c r="XEY1006"/>
      <c r="XEZ1006"/>
      <c r="XFA1006"/>
      <c r="XFB1006"/>
      <c r="XFC1006"/>
    </row>
    <row r="1007" spans="1:20 16329:16383" s="38" customFormat="1" ht="29.1" customHeight="1" outlineLevel="5" x14ac:dyDescent="0.25">
      <c r="A1007" s="49" t="s">
        <v>1917</v>
      </c>
      <c r="B1007" s="50"/>
      <c r="C1007" s="50"/>
      <c r="D1007" s="3" t="s">
        <v>1888</v>
      </c>
      <c r="E1007" s="3"/>
      <c r="F1007" s="51"/>
      <c r="G1007" s="50" t="s">
        <v>102</v>
      </c>
      <c r="H1007" s="52">
        <f>1</f>
        <v>1</v>
      </c>
      <c r="I1007" s="36"/>
      <c r="J1007" s="52">
        <v>1</v>
      </c>
      <c r="K1007" s="53">
        <f>0</f>
        <v>0</v>
      </c>
      <c r="L1007" s="53">
        <f>0</f>
        <v>0</v>
      </c>
      <c r="M1007" s="53">
        <f>0</f>
        <v>0</v>
      </c>
      <c r="N1007" s="54">
        <f>SUM(K1007:M1007)</f>
        <v>0</v>
      </c>
      <c r="O1007" s="54">
        <f>ROUND((H1007*K1007),2)</f>
        <v>0</v>
      </c>
      <c r="P1007" s="54">
        <f>ROUND((H1007*L1007),2)</f>
        <v>0</v>
      </c>
      <c r="Q1007" s="54">
        <f>ROUND((H1007*M1007),2)</f>
        <v>0</v>
      </c>
      <c r="R1007" s="54">
        <f>ROUND((H1007*N1007),2)</f>
        <v>0</v>
      </c>
      <c r="S1007" s="54"/>
      <c r="T1007" s="36"/>
      <c r="XDA1007"/>
      <c r="XDB1007"/>
      <c r="XDC1007"/>
      <c r="XDD1007"/>
      <c r="XDE1007"/>
      <c r="XDF1007"/>
      <c r="XDG1007"/>
      <c r="XDH1007"/>
      <c r="XDI1007"/>
      <c r="XDJ1007"/>
      <c r="XDK1007"/>
      <c r="XDL1007"/>
      <c r="XDM1007"/>
      <c r="XDN1007"/>
      <c r="XDO1007"/>
      <c r="XDP1007"/>
      <c r="XDQ1007"/>
      <c r="XDR1007"/>
      <c r="XDS1007"/>
      <c r="XDT1007"/>
      <c r="XDU1007"/>
      <c r="XDV1007"/>
      <c r="XDW1007"/>
      <c r="XDX1007"/>
      <c r="XDY1007"/>
      <c r="XDZ1007"/>
      <c r="XEA1007"/>
      <c r="XEB1007"/>
      <c r="XEC1007"/>
      <c r="XED1007"/>
      <c r="XEE1007"/>
      <c r="XEF1007"/>
      <c r="XEG1007"/>
      <c r="XEH1007"/>
      <c r="XEI1007"/>
      <c r="XEJ1007"/>
      <c r="XEK1007"/>
      <c r="XEL1007"/>
      <c r="XEM1007"/>
      <c r="XEN1007"/>
      <c r="XEO1007"/>
      <c r="XEP1007"/>
      <c r="XEQ1007"/>
      <c r="XER1007"/>
      <c r="XES1007"/>
      <c r="XET1007"/>
      <c r="XEU1007"/>
      <c r="XEV1007"/>
      <c r="XEW1007"/>
      <c r="XEX1007"/>
      <c r="XEY1007"/>
      <c r="XEZ1007"/>
      <c r="XFA1007"/>
      <c r="XFB1007"/>
      <c r="XFC1007"/>
    </row>
    <row r="1008" spans="1:20 16329:16383" s="38" customFormat="1" ht="29.1" customHeight="1" outlineLevel="5" x14ac:dyDescent="0.25">
      <c r="A1008" s="49" t="s">
        <v>1918</v>
      </c>
      <c r="B1008" s="50"/>
      <c r="C1008" s="50"/>
      <c r="D1008" s="3" t="s">
        <v>1890</v>
      </c>
      <c r="E1008" s="3"/>
      <c r="F1008" s="51"/>
      <c r="G1008" s="50" t="s">
        <v>102</v>
      </c>
      <c r="H1008" s="52">
        <f>1</f>
        <v>1</v>
      </c>
      <c r="I1008" s="36"/>
      <c r="J1008" s="52">
        <v>1</v>
      </c>
      <c r="K1008" s="53">
        <f>0</f>
        <v>0</v>
      </c>
      <c r="L1008" s="53">
        <f>0</f>
        <v>0</v>
      </c>
      <c r="M1008" s="53">
        <f>0</f>
        <v>0</v>
      </c>
      <c r="N1008" s="54">
        <f>SUM(K1008:M1008)</f>
        <v>0</v>
      </c>
      <c r="O1008" s="54">
        <f>ROUND((H1008*K1008),2)</f>
        <v>0</v>
      </c>
      <c r="P1008" s="54">
        <f>ROUND((H1008*L1008),2)</f>
        <v>0</v>
      </c>
      <c r="Q1008" s="54">
        <f>ROUND((H1008*M1008),2)</f>
        <v>0</v>
      </c>
      <c r="R1008" s="54">
        <f>ROUND((H1008*N1008),2)</f>
        <v>0</v>
      </c>
      <c r="S1008" s="54"/>
      <c r="T1008" s="36"/>
      <c r="XDA1008"/>
      <c r="XDB1008"/>
      <c r="XDC1008"/>
      <c r="XDD1008"/>
      <c r="XDE1008"/>
      <c r="XDF1008"/>
      <c r="XDG1008"/>
      <c r="XDH1008"/>
      <c r="XDI1008"/>
      <c r="XDJ1008"/>
      <c r="XDK1008"/>
      <c r="XDL1008"/>
      <c r="XDM1008"/>
      <c r="XDN1008"/>
      <c r="XDO1008"/>
      <c r="XDP1008"/>
      <c r="XDQ1008"/>
      <c r="XDR1008"/>
      <c r="XDS1008"/>
      <c r="XDT1008"/>
      <c r="XDU1008"/>
      <c r="XDV1008"/>
      <c r="XDW1008"/>
      <c r="XDX1008"/>
      <c r="XDY1008"/>
      <c r="XDZ1008"/>
      <c r="XEA1008"/>
      <c r="XEB1008"/>
      <c r="XEC1008"/>
      <c r="XED1008"/>
      <c r="XEE1008"/>
      <c r="XEF1008"/>
      <c r="XEG1008"/>
      <c r="XEH1008"/>
      <c r="XEI1008"/>
      <c r="XEJ1008"/>
      <c r="XEK1008"/>
      <c r="XEL1008"/>
      <c r="XEM1008"/>
      <c r="XEN1008"/>
      <c r="XEO1008"/>
      <c r="XEP1008"/>
      <c r="XEQ1008"/>
      <c r="XER1008"/>
      <c r="XES1008"/>
      <c r="XET1008"/>
      <c r="XEU1008"/>
      <c r="XEV1008"/>
      <c r="XEW1008"/>
      <c r="XEX1008"/>
      <c r="XEY1008"/>
      <c r="XEZ1008"/>
      <c r="XFA1008"/>
      <c r="XFB1008"/>
      <c r="XFC1008"/>
    </row>
    <row r="1009" spans="1:20 16329:16383" s="38" customFormat="1" ht="29.1" customHeight="1" outlineLevel="5" x14ac:dyDescent="0.25">
      <c r="A1009" s="49" t="s">
        <v>1919</v>
      </c>
      <c r="B1009" s="50"/>
      <c r="C1009" s="50"/>
      <c r="D1009" s="3" t="s">
        <v>1894</v>
      </c>
      <c r="E1009" s="3"/>
      <c r="F1009" s="51"/>
      <c r="G1009" s="50" t="s">
        <v>102</v>
      </c>
      <c r="H1009" s="52">
        <f>1</f>
        <v>1</v>
      </c>
      <c r="I1009" s="36"/>
      <c r="J1009" s="52">
        <v>1</v>
      </c>
      <c r="K1009" s="53">
        <f>0</f>
        <v>0</v>
      </c>
      <c r="L1009" s="53">
        <f>0</f>
        <v>0</v>
      </c>
      <c r="M1009" s="53">
        <f>0</f>
        <v>0</v>
      </c>
      <c r="N1009" s="54">
        <f>SUM(K1009:M1009)</f>
        <v>0</v>
      </c>
      <c r="O1009" s="54">
        <f>ROUND((H1009*K1009),2)</f>
        <v>0</v>
      </c>
      <c r="P1009" s="54">
        <f>ROUND((H1009*L1009),2)</f>
        <v>0</v>
      </c>
      <c r="Q1009" s="54">
        <f>ROUND((H1009*M1009),2)</f>
        <v>0</v>
      </c>
      <c r="R1009" s="54">
        <f>ROUND((H1009*N1009),2)</f>
        <v>0</v>
      </c>
      <c r="S1009" s="54"/>
      <c r="T1009" s="36"/>
      <c r="XDA1009"/>
      <c r="XDB1009"/>
      <c r="XDC1009"/>
      <c r="XDD1009"/>
      <c r="XDE1009"/>
      <c r="XDF1009"/>
      <c r="XDG1009"/>
      <c r="XDH1009"/>
      <c r="XDI1009"/>
      <c r="XDJ1009"/>
      <c r="XDK1009"/>
      <c r="XDL1009"/>
      <c r="XDM1009"/>
      <c r="XDN1009"/>
      <c r="XDO1009"/>
      <c r="XDP1009"/>
      <c r="XDQ1009"/>
      <c r="XDR1009"/>
      <c r="XDS1009"/>
      <c r="XDT1009"/>
      <c r="XDU1009"/>
      <c r="XDV1009"/>
      <c r="XDW1009"/>
      <c r="XDX1009"/>
      <c r="XDY1009"/>
      <c r="XDZ1009"/>
      <c r="XEA1009"/>
      <c r="XEB1009"/>
      <c r="XEC1009"/>
      <c r="XED1009"/>
      <c r="XEE1009"/>
      <c r="XEF1009"/>
      <c r="XEG1009"/>
      <c r="XEH1009"/>
      <c r="XEI1009"/>
      <c r="XEJ1009"/>
      <c r="XEK1009"/>
      <c r="XEL1009"/>
      <c r="XEM1009"/>
      <c r="XEN1009"/>
      <c r="XEO1009"/>
      <c r="XEP1009"/>
      <c r="XEQ1009"/>
      <c r="XER1009"/>
      <c r="XES1009"/>
      <c r="XET1009"/>
      <c r="XEU1009"/>
      <c r="XEV1009"/>
      <c r="XEW1009"/>
      <c r="XEX1009"/>
      <c r="XEY1009"/>
      <c r="XEZ1009"/>
      <c r="XFA1009"/>
      <c r="XFB1009"/>
      <c r="XFC1009"/>
    </row>
    <row r="1010" spans="1:20 16329:16383" s="38" customFormat="1" ht="29.1" customHeight="1" outlineLevel="4" x14ac:dyDescent="0.25">
      <c r="A1010" s="60" t="s">
        <v>1920</v>
      </c>
      <c r="B1010" s="61" t="s">
        <v>1921</v>
      </c>
      <c r="C1010" s="61"/>
      <c r="D1010" s="1" t="s">
        <v>1899</v>
      </c>
      <c r="E1010" s="1"/>
      <c r="F1010" s="62"/>
      <c r="G1010" s="61"/>
      <c r="H1010" s="63"/>
      <c r="I1010" s="36"/>
      <c r="J1010" s="63"/>
      <c r="K1010" s="64"/>
      <c r="L1010" s="64"/>
      <c r="M1010" s="64"/>
      <c r="N1010" s="64"/>
      <c r="O1010" s="64">
        <f>O1011+O1012</f>
        <v>0</v>
      </c>
      <c r="P1010" s="64">
        <f>P1011+P1012</f>
        <v>0</v>
      </c>
      <c r="Q1010" s="64">
        <f>Q1011+Q1012</f>
        <v>0</v>
      </c>
      <c r="R1010" s="64">
        <f>R1011+R1012</f>
        <v>0</v>
      </c>
      <c r="S1010" s="64"/>
      <c r="T1010" s="36"/>
      <c r="XDA1010"/>
      <c r="XDB1010"/>
      <c r="XDC1010"/>
      <c r="XDD1010"/>
      <c r="XDE1010"/>
      <c r="XDF1010"/>
      <c r="XDG1010"/>
      <c r="XDH1010"/>
      <c r="XDI1010"/>
      <c r="XDJ1010"/>
      <c r="XDK1010"/>
      <c r="XDL1010"/>
      <c r="XDM1010"/>
      <c r="XDN1010"/>
      <c r="XDO1010"/>
      <c r="XDP1010"/>
      <c r="XDQ1010"/>
      <c r="XDR1010"/>
      <c r="XDS1010"/>
      <c r="XDT1010"/>
      <c r="XDU1010"/>
      <c r="XDV1010"/>
      <c r="XDW1010"/>
      <c r="XDX1010"/>
      <c r="XDY1010"/>
      <c r="XDZ1010"/>
      <c r="XEA1010"/>
      <c r="XEB1010"/>
      <c r="XEC1010"/>
      <c r="XED1010"/>
      <c r="XEE1010"/>
      <c r="XEF1010"/>
      <c r="XEG1010"/>
      <c r="XEH1010"/>
      <c r="XEI1010"/>
      <c r="XEJ1010"/>
      <c r="XEK1010"/>
      <c r="XEL1010"/>
      <c r="XEM1010"/>
      <c r="XEN1010"/>
      <c r="XEO1010"/>
      <c r="XEP1010"/>
      <c r="XEQ1010"/>
      <c r="XER1010"/>
      <c r="XES1010"/>
      <c r="XET1010"/>
      <c r="XEU1010"/>
      <c r="XEV1010"/>
      <c r="XEW1010"/>
      <c r="XEX1010"/>
      <c r="XEY1010"/>
      <c r="XEZ1010"/>
      <c r="XFA1010"/>
      <c r="XFB1010"/>
      <c r="XFC1010"/>
    </row>
    <row r="1011" spans="1:20 16329:16383" s="38" customFormat="1" ht="29.1" customHeight="1" outlineLevel="5" x14ac:dyDescent="0.25">
      <c r="A1011" s="49" t="s">
        <v>1922</v>
      </c>
      <c r="B1011" s="50"/>
      <c r="C1011" s="50"/>
      <c r="D1011" s="3" t="s">
        <v>1901</v>
      </c>
      <c r="E1011" s="3"/>
      <c r="F1011" s="51"/>
      <c r="G1011" s="50" t="s">
        <v>102</v>
      </c>
      <c r="H1011" s="52">
        <f>1</f>
        <v>1</v>
      </c>
      <c r="I1011" s="36"/>
      <c r="J1011" s="52">
        <v>1</v>
      </c>
      <c r="K1011" s="53">
        <f>0</f>
        <v>0</v>
      </c>
      <c r="L1011" s="53">
        <f>0</f>
        <v>0</v>
      </c>
      <c r="M1011" s="53">
        <f>0</f>
        <v>0</v>
      </c>
      <c r="N1011" s="54">
        <f>SUM(K1011:M1011)</f>
        <v>0</v>
      </c>
      <c r="O1011" s="54">
        <f>ROUND((H1011*K1011),2)</f>
        <v>0</v>
      </c>
      <c r="P1011" s="54">
        <f>ROUND((H1011*L1011),2)</f>
        <v>0</v>
      </c>
      <c r="Q1011" s="54">
        <f>ROUND((H1011*M1011),2)</f>
        <v>0</v>
      </c>
      <c r="R1011" s="54">
        <f>ROUND((H1011*N1011),2)</f>
        <v>0</v>
      </c>
      <c r="S1011" s="54"/>
      <c r="T1011" s="36"/>
      <c r="XDA1011"/>
      <c r="XDB1011"/>
      <c r="XDC1011"/>
      <c r="XDD1011"/>
      <c r="XDE1011"/>
      <c r="XDF1011"/>
      <c r="XDG1011"/>
      <c r="XDH1011"/>
      <c r="XDI1011"/>
      <c r="XDJ1011"/>
      <c r="XDK1011"/>
      <c r="XDL1011"/>
      <c r="XDM1011"/>
      <c r="XDN1011"/>
      <c r="XDO1011"/>
      <c r="XDP1011"/>
      <c r="XDQ1011"/>
      <c r="XDR1011"/>
      <c r="XDS1011"/>
      <c r="XDT1011"/>
      <c r="XDU1011"/>
      <c r="XDV1011"/>
      <c r="XDW1011"/>
      <c r="XDX1011"/>
      <c r="XDY1011"/>
      <c r="XDZ1011"/>
      <c r="XEA1011"/>
      <c r="XEB1011"/>
      <c r="XEC1011"/>
      <c r="XED1011"/>
      <c r="XEE1011"/>
      <c r="XEF1011"/>
      <c r="XEG1011"/>
      <c r="XEH1011"/>
      <c r="XEI1011"/>
      <c r="XEJ1011"/>
      <c r="XEK1011"/>
      <c r="XEL1011"/>
      <c r="XEM1011"/>
      <c r="XEN1011"/>
      <c r="XEO1011"/>
      <c r="XEP1011"/>
      <c r="XEQ1011"/>
      <c r="XER1011"/>
      <c r="XES1011"/>
      <c r="XET1011"/>
      <c r="XEU1011"/>
      <c r="XEV1011"/>
      <c r="XEW1011"/>
      <c r="XEX1011"/>
      <c r="XEY1011"/>
      <c r="XEZ1011"/>
      <c r="XFA1011"/>
      <c r="XFB1011"/>
      <c r="XFC1011"/>
    </row>
    <row r="1012" spans="1:20 16329:16383" s="38" customFormat="1" ht="29.1" customHeight="1" outlineLevel="5" x14ac:dyDescent="0.25">
      <c r="A1012" s="49" t="s">
        <v>1923</v>
      </c>
      <c r="B1012" s="50"/>
      <c r="C1012" s="50"/>
      <c r="D1012" s="3" t="s">
        <v>1903</v>
      </c>
      <c r="E1012" s="3"/>
      <c r="F1012" s="51"/>
      <c r="G1012" s="50" t="s">
        <v>102</v>
      </c>
      <c r="H1012" s="52">
        <f>1</f>
        <v>1</v>
      </c>
      <c r="I1012" s="36"/>
      <c r="J1012" s="52">
        <v>1</v>
      </c>
      <c r="K1012" s="53">
        <f>0</f>
        <v>0</v>
      </c>
      <c r="L1012" s="53">
        <f>0</f>
        <v>0</v>
      </c>
      <c r="M1012" s="53">
        <f>0</f>
        <v>0</v>
      </c>
      <c r="N1012" s="54">
        <f>SUM(K1012:M1012)</f>
        <v>0</v>
      </c>
      <c r="O1012" s="54">
        <f>ROUND((H1012*K1012),2)</f>
        <v>0</v>
      </c>
      <c r="P1012" s="54">
        <f>ROUND((H1012*L1012),2)</f>
        <v>0</v>
      </c>
      <c r="Q1012" s="54">
        <f>ROUND((H1012*M1012),2)</f>
        <v>0</v>
      </c>
      <c r="R1012" s="54">
        <f>ROUND((H1012*N1012),2)</f>
        <v>0</v>
      </c>
      <c r="S1012" s="54"/>
      <c r="T1012" s="36"/>
      <c r="XDA1012"/>
      <c r="XDB1012"/>
      <c r="XDC1012"/>
      <c r="XDD1012"/>
      <c r="XDE1012"/>
      <c r="XDF1012"/>
      <c r="XDG1012"/>
      <c r="XDH1012"/>
      <c r="XDI1012"/>
      <c r="XDJ1012"/>
      <c r="XDK1012"/>
      <c r="XDL1012"/>
      <c r="XDM1012"/>
      <c r="XDN1012"/>
      <c r="XDO1012"/>
      <c r="XDP1012"/>
      <c r="XDQ1012"/>
      <c r="XDR1012"/>
      <c r="XDS1012"/>
      <c r="XDT1012"/>
      <c r="XDU1012"/>
      <c r="XDV1012"/>
      <c r="XDW1012"/>
      <c r="XDX1012"/>
      <c r="XDY1012"/>
      <c r="XDZ1012"/>
      <c r="XEA1012"/>
      <c r="XEB1012"/>
      <c r="XEC1012"/>
      <c r="XED1012"/>
      <c r="XEE1012"/>
      <c r="XEF1012"/>
      <c r="XEG1012"/>
      <c r="XEH1012"/>
      <c r="XEI1012"/>
      <c r="XEJ1012"/>
      <c r="XEK1012"/>
      <c r="XEL1012"/>
      <c r="XEM1012"/>
      <c r="XEN1012"/>
      <c r="XEO1012"/>
      <c r="XEP1012"/>
      <c r="XEQ1012"/>
      <c r="XER1012"/>
      <c r="XES1012"/>
      <c r="XET1012"/>
      <c r="XEU1012"/>
      <c r="XEV1012"/>
      <c r="XEW1012"/>
      <c r="XEX1012"/>
      <c r="XEY1012"/>
      <c r="XEZ1012"/>
      <c r="XFA1012"/>
      <c r="XFB1012"/>
      <c r="XFC1012"/>
    </row>
    <row r="1013" spans="1:20 16329:16383" s="38" customFormat="1" ht="29.1" customHeight="1" outlineLevel="3" x14ac:dyDescent="0.25">
      <c r="A1013" s="55" t="s">
        <v>1924</v>
      </c>
      <c r="B1013" s="56" t="s">
        <v>1925</v>
      </c>
      <c r="C1013" s="56" t="s">
        <v>1926</v>
      </c>
      <c r="D1013" s="2" t="s">
        <v>1927</v>
      </c>
      <c r="E1013" s="2"/>
      <c r="F1013" s="57"/>
      <c r="G1013" s="56" t="s">
        <v>102</v>
      </c>
      <c r="H1013" s="58"/>
      <c r="I1013" s="36"/>
      <c r="J1013" s="58"/>
      <c r="K1013" s="59"/>
      <c r="L1013" s="59"/>
      <c r="M1013" s="59"/>
      <c r="N1013" s="59"/>
      <c r="O1013" s="59">
        <f>O1014+O1020+O1027</f>
        <v>0</v>
      </c>
      <c r="P1013" s="59">
        <f>P1014+P1020+P1027</f>
        <v>0</v>
      </c>
      <c r="Q1013" s="59">
        <f>Q1014+Q1020+Q1027</f>
        <v>0</v>
      </c>
      <c r="R1013" s="59">
        <f>R1014+R1020+R1027</f>
        <v>0</v>
      </c>
      <c r="S1013" s="59"/>
      <c r="T1013" s="36"/>
      <c r="XDA1013"/>
      <c r="XDB1013"/>
      <c r="XDC1013"/>
      <c r="XDD1013"/>
      <c r="XDE1013"/>
      <c r="XDF1013"/>
      <c r="XDG1013"/>
      <c r="XDH1013"/>
      <c r="XDI1013"/>
      <c r="XDJ1013"/>
      <c r="XDK1013"/>
      <c r="XDL1013"/>
      <c r="XDM1013"/>
      <c r="XDN1013"/>
      <c r="XDO1013"/>
      <c r="XDP1013"/>
      <c r="XDQ1013"/>
      <c r="XDR1013"/>
      <c r="XDS1013"/>
      <c r="XDT1013"/>
      <c r="XDU1013"/>
      <c r="XDV1013"/>
      <c r="XDW1013"/>
      <c r="XDX1013"/>
      <c r="XDY1013"/>
      <c r="XDZ1013"/>
      <c r="XEA1013"/>
      <c r="XEB1013"/>
      <c r="XEC1013"/>
      <c r="XED1013"/>
      <c r="XEE1013"/>
      <c r="XEF1013"/>
      <c r="XEG1013"/>
      <c r="XEH1013"/>
      <c r="XEI1013"/>
      <c r="XEJ1013"/>
      <c r="XEK1013"/>
      <c r="XEL1013"/>
      <c r="XEM1013"/>
      <c r="XEN1013"/>
      <c r="XEO1013"/>
      <c r="XEP1013"/>
      <c r="XEQ1013"/>
      <c r="XER1013"/>
      <c r="XES1013"/>
      <c r="XET1013"/>
      <c r="XEU1013"/>
      <c r="XEV1013"/>
      <c r="XEW1013"/>
      <c r="XEX1013"/>
      <c r="XEY1013"/>
      <c r="XEZ1013"/>
      <c r="XFA1013"/>
      <c r="XFB1013"/>
      <c r="XFC1013"/>
    </row>
    <row r="1014" spans="1:20 16329:16383" s="38" customFormat="1" ht="29.1" customHeight="1" outlineLevel="4" x14ac:dyDescent="0.25">
      <c r="A1014" s="60" t="s">
        <v>1928</v>
      </c>
      <c r="B1014" s="61" t="s">
        <v>1929</v>
      </c>
      <c r="C1014" s="61"/>
      <c r="D1014" s="1" t="s">
        <v>1873</v>
      </c>
      <c r="E1014" s="1"/>
      <c r="F1014" s="62"/>
      <c r="G1014" s="61"/>
      <c r="H1014" s="63"/>
      <c r="I1014" s="36"/>
      <c r="J1014" s="63"/>
      <c r="K1014" s="64"/>
      <c r="L1014" s="64"/>
      <c r="M1014" s="64"/>
      <c r="N1014" s="64"/>
      <c r="O1014" s="64">
        <f>SUM(O1015:O1019)</f>
        <v>0</v>
      </c>
      <c r="P1014" s="64">
        <f>SUM(P1015:P1019)</f>
        <v>0</v>
      </c>
      <c r="Q1014" s="64">
        <f>SUM(Q1015:Q1019)</f>
        <v>0</v>
      </c>
      <c r="R1014" s="64">
        <f>SUM(R1015:R1019)</f>
        <v>0</v>
      </c>
      <c r="S1014" s="64"/>
      <c r="T1014" s="36"/>
      <c r="XDA1014"/>
      <c r="XDB1014"/>
      <c r="XDC1014"/>
      <c r="XDD1014"/>
      <c r="XDE1014"/>
      <c r="XDF1014"/>
      <c r="XDG1014"/>
      <c r="XDH1014"/>
      <c r="XDI1014"/>
      <c r="XDJ1014"/>
      <c r="XDK1014"/>
      <c r="XDL1014"/>
      <c r="XDM1014"/>
      <c r="XDN1014"/>
      <c r="XDO1014"/>
      <c r="XDP1014"/>
      <c r="XDQ1014"/>
      <c r="XDR1014"/>
      <c r="XDS1014"/>
      <c r="XDT1014"/>
      <c r="XDU1014"/>
      <c r="XDV1014"/>
      <c r="XDW1014"/>
      <c r="XDX1014"/>
      <c r="XDY1014"/>
      <c r="XDZ1014"/>
      <c r="XEA1014"/>
      <c r="XEB1014"/>
      <c r="XEC1014"/>
      <c r="XED1014"/>
      <c r="XEE1014"/>
      <c r="XEF1014"/>
      <c r="XEG1014"/>
      <c r="XEH1014"/>
      <c r="XEI1014"/>
      <c r="XEJ1014"/>
      <c r="XEK1014"/>
      <c r="XEL1014"/>
      <c r="XEM1014"/>
      <c r="XEN1014"/>
      <c r="XEO1014"/>
      <c r="XEP1014"/>
      <c r="XEQ1014"/>
      <c r="XER1014"/>
      <c r="XES1014"/>
      <c r="XET1014"/>
      <c r="XEU1014"/>
      <c r="XEV1014"/>
      <c r="XEW1014"/>
      <c r="XEX1014"/>
      <c r="XEY1014"/>
      <c r="XEZ1014"/>
      <c r="XFA1014"/>
      <c r="XFB1014"/>
      <c r="XFC1014"/>
    </row>
    <row r="1015" spans="1:20 16329:16383" s="38" customFormat="1" ht="29.1" customHeight="1" outlineLevel="5" x14ac:dyDescent="0.25">
      <c r="A1015" s="49" t="s">
        <v>1930</v>
      </c>
      <c r="B1015" s="50"/>
      <c r="C1015" s="50"/>
      <c r="D1015" s="3" t="s">
        <v>1875</v>
      </c>
      <c r="E1015" s="3"/>
      <c r="F1015" s="51"/>
      <c r="G1015" s="50" t="s">
        <v>102</v>
      </c>
      <c r="H1015" s="52">
        <f>1</f>
        <v>1</v>
      </c>
      <c r="I1015" s="36"/>
      <c r="J1015" s="52">
        <v>1</v>
      </c>
      <c r="K1015" s="53">
        <f>0</f>
        <v>0</v>
      </c>
      <c r="L1015" s="53">
        <f>0</f>
        <v>0</v>
      </c>
      <c r="M1015" s="53">
        <f>0</f>
        <v>0</v>
      </c>
      <c r="N1015" s="54">
        <f>SUM(K1015:M1015)</f>
        <v>0</v>
      </c>
      <c r="O1015" s="54">
        <f>ROUND((H1015*K1015),2)</f>
        <v>0</v>
      </c>
      <c r="P1015" s="54">
        <f>ROUND((H1015*L1015),2)</f>
        <v>0</v>
      </c>
      <c r="Q1015" s="54">
        <f>ROUND((H1015*M1015),2)</f>
        <v>0</v>
      </c>
      <c r="R1015" s="54">
        <f>ROUND((H1015*N1015),2)</f>
        <v>0</v>
      </c>
      <c r="S1015" s="54"/>
      <c r="T1015" s="36"/>
      <c r="XDA1015"/>
      <c r="XDB1015"/>
      <c r="XDC1015"/>
      <c r="XDD1015"/>
      <c r="XDE1015"/>
      <c r="XDF1015"/>
      <c r="XDG1015"/>
      <c r="XDH1015"/>
      <c r="XDI1015"/>
      <c r="XDJ1015"/>
      <c r="XDK1015"/>
      <c r="XDL1015"/>
      <c r="XDM1015"/>
      <c r="XDN1015"/>
      <c r="XDO1015"/>
      <c r="XDP1015"/>
      <c r="XDQ1015"/>
      <c r="XDR1015"/>
      <c r="XDS1015"/>
      <c r="XDT1015"/>
      <c r="XDU1015"/>
      <c r="XDV1015"/>
      <c r="XDW1015"/>
      <c r="XDX1015"/>
      <c r="XDY1015"/>
      <c r="XDZ1015"/>
      <c r="XEA1015"/>
      <c r="XEB1015"/>
      <c r="XEC1015"/>
      <c r="XED1015"/>
      <c r="XEE1015"/>
      <c r="XEF1015"/>
      <c r="XEG1015"/>
      <c r="XEH1015"/>
      <c r="XEI1015"/>
      <c r="XEJ1015"/>
      <c r="XEK1015"/>
      <c r="XEL1015"/>
      <c r="XEM1015"/>
      <c r="XEN1015"/>
      <c r="XEO1015"/>
      <c r="XEP1015"/>
      <c r="XEQ1015"/>
      <c r="XER1015"/>
      <c r="XES1015"/>
      <c r="XET1015"/>
      <c r="XEU1015"/>
      <c r="XEV1015"/>
      <c r="XEW1015"/>
      <c r="XEX1015"/>
      <c r="XEY1015"/>
      <c r="XEZ1015"/>
      <c r="XFA1015"/>
      <c r="XFB1015"/>
      <c r="XFC1015"/>
    </row>
    <row r="1016" spans="1:20 16329:16383" s="38" customFormat="1" ht="29.1" customHeight="1" outlineLevel="5" x14ac:dyDescent="0.25">
      <c r="A1016" s="49" t="s">
        <v>1931</v>
      </c>
      <c r="B1016" s="50"/>
      <c r="C1016" s="50"/>
      <c r="D1016" s="3" t="s">
        <v>1552</v>
      </c>
      <c r="E1016" s="3"/>
      <c r="F1016" s="51"/>
      <c r="G1016" s="50" t="s">
        <v>102</v>
      </c>
      <c r="H1016" s="52">
        <f>1</f>
        <v>1</v>
      </c>
      <c r="I1016" s="36"/>
      <c r="J1016" s="52">
        <v>1</v>
      </c>
      <c r="K1016" s="53">
        <f>0</f>
        <v>0</v>
      </c>
      <c r="L1016" s="53">
        <f>0</f>
        <v>0</v>
      </c>
      <c r="M1016" s="53">
        <f>0</f>
        <v>0</v>
      </c>
      <c r="N1016" s="54">
        <f>SUM(K1016:M1016)</f>
        <v>0</v>
      </c>
      <c r="O1016" s="54">
        <f>ROUND((H1016*K1016),2)</f>
        <v>0</v>
      </c>
      <c r="P1016" s="54">
        <f>ROUND((H1016*L1016),2)</f>
        <v>0</v>
      </c>
      <c r="Q1016" s="54">
        <f>ROUND((H1016*M1016),2)</f>
        <v>0</v>
      </c>
      <c r="R1016" s="54">
        <f>ROUND((H1016*N1016),2)</f>
        <v>0</v>
      </c>
      <c r="S1016" s="54"/>
      <c r="T1016" s="36"/>
      <c r="XDA1016"/>
      <c r="XDB1016"/>
      <c r="XDC1016"/>
      <c r="XDD1016"/>
      <c r="XDE1016"/>
      <c r="XDF1016"/>
      <c r="XDG1016"/>
      <c r="XDH1016"/>
      <c r="XDI1016"/>
      <c r="XDJ1016"/>
      <c r="XDK1016"/>
      <c r="XDL1016"/>
      <c r="XDM1016"/>
      <c r="XDN1016"/>
      <c r="XDO1016"/>
      <c r="XDP1016"/>
      <c r="XDQ1016"/>
      <c r="XDR1016"/>
      <c r="XDS1016"/>
      <c r="XDT1016"/>
      <c r="XDU1016"/>
      <c r="XDV1016"/>
      <c r="XDW1016"/>
      <c r="XDX1016"/>
      <c r="XDY1016"/>
      <c r="XDZ1016"/>
      <c r="XEA1016"/>
      <c r="XEB1016"/>
      <c r="XEC1016"/>
      <c r="XED1016"/>
      <c r="XEE1016"/>
      <c r="XEF1016"/>
      <c r="XEG1016"/>
      <c r="XEH1016"/>
      <c r="XEI1016"/>
      <c r="XEJ1016"/>
      <c r="XEK1016"/>
      <c r="XEL1016"/>
      <c r="XEM1016"/>
      <c r="XEN1016"/>
      <c r="XEO1016"/>
      <c r="XEP1016"/>
      <c r="XEQ1016"/>
      <c r="XER1016"/>
      <c r="XES1016"/>
      <c r="XET1016"/>
      <c r="XEU1016"/>
      <c r="XEV1016"/>
      <c r="XEW1016"/>
      <c r="XEX1016"/>
      <c r="XEY1016"/>
      <c r="XEZ1016"/>
      <c r="XFA1016"/>
      <c r="XFB1016"/>
      <c r="XFC1016"/>
    </row>
    <row r="1017" spans="1:20 16329:16383" s="38" customFormat="1" ht="29.1" customHeight="1" outlineLevel="5" x14ac:dyDescent="0.25">
      <c r="A1017" s="49" t="s">
        <v>1932</v>
      </c>
      <c r="B1017" s="50"/>
      <c r="C1017" s="50"/>
      <c r="D1017" s="3" t="s">
        <v>1933</v>
      </c>
      <c r="E1017" s="3"/>
      <c r="F1017" s="51"/>
      <c r="G1017" s="50" t="s">
        <v>102</v>
      </c>
      <c r="H1017" s="52">
        <f>1</f>
        <v>1</v>
      </c>
      <c r="I1017" s="36"/>
      <c r="J1017" s="52">
        <v>1</v>
      </c>
      <c r="K1017" s="53">
        <f>0</f>
        <v>0</v>
      </c>
      <c r="L1017" s="53">
        <f>0</f>
        <v>0</v>
      </c>
      <c r="M1017" s="53">
        <f>0</f>
        <v>0</v>
      </c>
      <c r="N1017" s="54">
        <f>SUM(K1017:M1017)</f>
        <v>0</v>
      </c>
      <c r="O1017" s="54">
        <f>ROUND((H1017*K1017),2)</f>
        <v>0</v>
      </c>
      <c r="P1017" s="54">
        <f>ROUND((H1017*L1017),2)</f>
        <v>0</v>
      </c>
      <c r="Q1017" s="54">
        <f>ROUND((H1017*M1017),2)</f>
        <v>0</v>
      </c>
      <c r="R1017" s="54">
        <f>ROUND((H1017*N1017),2)</f>
        <v>0</v>
      </c>
      <c r="S1017" s="54"/>
      <c r="T1017" s="36"/>
      <c r="XDA1017"/>
      <c r="XDB1017"/>
      <c r="XDC1017"/>
      <c r="XDD1017"/>
      <c r="XDE1017"/>
      <c r="XDF1017"/>
      <c r="XDG1017"/>
      <c r="XDH1017"/>
      <c r="XDI1017"/>
      <c r="XDJ1017"/>
      <c r="XDK1017"/>
      <c r="XDL1017"/>
      <c r="XDM1017"/>
      <c r="XDN1017"/>
      <c r="XDO1017"/>
      <c r="XDP1017"/>
      <c r="XDQ1017"/>
      <c r="XDR1017"/>
      <c r="XDS1017"/>
      <c r="XDT1017"/>
      <c r="XDU1017"/>
      <c r="XDV1017"/>
      <c r="XDW1017"/>
      <c r="XDX1017"/>
      <c r="XDY1017"/>
      <c r="XDZ1017"/>
      <c r="XEA1017"/>
      <c r="XEB1017"/>
      <c r="XEC1017"/>
      <c r="XED1017"/>
      <c r="XEE1017"/>
      <c r="XEF1017"/>
      <c r="XEG1017"/>
      <c r="XEH1017"/>
      <c r="XEI1017"/>
      <c r="XEJ1017"/>
      <c r="XEK1017"/>
      <c r="XEL1017"/>
      <c r="XEM1017"/>
      <c r="XEN1017"/>
      <c r="XEO1017"/>
      <c r="XEP1017"/>
      <c r="XEQ1017"/>
      <c r="XER1017"/>
      <c r="XES1017"/>
      <c r="XET1017"/>
      <c r="XEU1017"/>
      <c r="XEV1017"/>
      <c r="XEW1017"/>
      <c r="XEX1017"/>
      <c r="XEY1017"/>
      <c r="XEZ1017"/>
      <c r="XFA1017"/>
      <c r="XFB1017"/>
      <c r="XFC1017"/>
    </row>
    <row r="1018" spans="1:20 16329:16383" s="38" customFormat="1" ht="29.1" customHeight="1" outlineLevel="5" x14ac:dyDescent="0.25">
      <c r="A1018" s="49" t="s">
        <v>1934</v>
      </c>
      <c r="B1018" s="50"/>
      <c r="C1018" s="50"/>
      <c r="D1018" s="3" t="s">
        <v>1935</v>
      </c>
      <c r="E1018" s="3"/>
      <c r="F1018" s="51"/>
      <c r="G1018" s="50" t="s">
        <v>102</v>
      </c>
      <c r="H1018" s="52">
        <f>1</f>
        <v>1</v>
      </c>
      <c r="I1018" s="36"/>
      <c r="J1018" s="52">
        <v>1</v>
      </c>
      <c r="K1018" s="53">
        <f>0</f>
        <v>0</v>
      </c>
      <c r="L1018" s="53">
        <f>0</f>
        <v>0</v>
      </c>
      <c r="M1018" s="53">
        <f>0</f>
        <v>0</v>
      </c>
      <c r="N1018" s="54">
        <f>SUM(K1018:M1018)</f>
        <v>0</v>
      </c>
      <c r="O1018" s="54">
        <f>ROUND((H1018*K1018),2)</f>
        <v>0</v>
      </c>
      <c r="P1018" s="54">
        <f>ROUND((H1018*L1018),2)</f>
        <v>0</v>
      </c>
      <c r="Q1018" s="54">
        <f>ROUND((H1018*M1018),2)</f>
        <v>0</v>
      </c>
      <c r="R1018" s="54">
        <f>ROUND((H1018*N1018),2)</f>
        <v>0</v>
      </c>
      <c r="S1018" s="54"/>
      <c r="T1018" s="36"/>
      <c r="XDA1018"/>
      <c r="XDB1018"/>
      <c r="XDC1018"/>
      <c r="XDD1018"/>
      <c r="XDE1018"/>
      <c r="XDF1018"/>
      <c r="XDG1018"/>
      <c r="XDH1018"/>
      <c r="XDI1018"/>
      <c r="XDJ1018"/>
      <c r="XDK1018"/>
      <c r="XDL1018"/>
      <c r="XDM1018"/>
      <c r="XDN1018"/>
      <c r="XDO1018"/>
      <c r="XDP1018"/>
      <c r="XDQ1018"/>
      <c r="XDR1018"/>
      <c r="XDS1018"/>
      <c r="XDT1018"/>
      <c r="XDU1018"/>
      <c r="XDV1018"/>
      <c r="XDW1018"/>
      <c r="XDX1018"/>
      <c r="XDY1018"/>
      <c r="XDZ1018"/>
      <c r="XEA1018"/>
      <c r="XEB1018"/>
      <c r="XEC1018"/>
      <c r="XED1018"/>
      <c r="XEE1018"/>
      <c r="XEF1018"/>
      <c r="XEG1018"/>
      <c r="XEH1018"/>
      <c r="XEI1018"/>
      <c r="XEJ1018"/>
      <c r="XEK1018"/>
      <c r="XEL1018"/>
      <c r="XEM1018"/>
      <c r="XEN1018"/>
      <c r="XEO1018"/>
      <c r="XEP1018"/>
      <c r="XEQ1018"/>
      <c r="XER1018"/>
      <c r="XES1018"/>
      <c r="XET1018"/>
      <c r="XEU1018"/>
      <c r="XEV1018"/>
      <c r="XEW1018"/>
      <c r="XEX1018"/>
      <c r="XEY1018"/>
      <c r="XEZ1018"/>
      <c r="XFA1018"/>
      <c r="XFB1018"/>
      <c r="XFC1018"/>
    </row>
    <row r="1019" spans="1:20 16329:16383" s="38" customFormat="1" ht="29.1" customHeight="1" outlineLevel="5" x14ac:dyDescent="0.25">
      <c r="A1019" s="49" t="s">
        <v>1936</v>
      </c>
      <c r="B1019" s="50"/>
      <c r="C1019" s="50"/>
      <c r="D1019" s="3" t="s">
        <v>1937</v>
      </c>
      <c r="E1019" s="3"/>
      <c r="F1019" s="51"/>
      <c r="G1019" s="50" t="s">
        <v>194</v>
      </c>
      <c r="H1019" s="52">
        <f>1</f>
        <v>1</v>
      </c>
      <c r="I1019" s="36"/>
      <c r="J1019" s="52">
        <v>1</v>
      </c>
      <c r="K1019" s="53">
        <f>0</f>
        <v>0</v>
      </c>
      <c r="L1019" s="53">
        <f>0</f>
        <v>0</v>
      </c>
      <c r="M1019" s="53">
        <f>0</f>
        <v>0</v>
      </c>
      <c r="N1019" s="54">
        <f>SUM(K1019:M1019)</f>
        <v>0</v>
      </c>
      <c r="O1019" s="54">
        <f>ROUND((H1019*K1019),2)</f>
        <v>0</v>
      </c>
      <c r="P1019" s="54">
        <f>ROUND((H1019*L1019),2)</f>
        <v>0</v>
      </c>
      <c r="Q1019" s="54">
        <f>ROUND((H1019*M1019),2)</f>
        <v>0</v>
      </c>
      <c r="R1019" s="54">
        <f>ROUND((H1019*N1019),2)</f>
        <v>0</v>
      </c>
      <c r="S1019" s="54"/>
      <c r="T1019" s="36"/>
      <c r="XDA1019"/>
      <c r="XDB1019"/>
      <c r="XDC1019"/>
      <c r="XDD1019"/>
      <c r="XDE1019"/>
      <c r="XDF1019"/>
      <c r="XDG1019"/>
      <c r="XDH1019"/>
      <c r="XDI1019"/>
      <c r="XDJ1019"/>
      <c r="XDK1019"/>
      <c r="XDL1019"/>
      <c r="XDM1019"/>
      <c r="XDN1019"/>
      <c r="XDO1019"/>
      <c r="XDP1019"/>
      <c r="XDQ1019"/>
      <c r="XDR1019"/>
      <c r="XDS1019"/>
      <c r="XDT1019"/>
      <c r="XDU1019"/>
      <c r="XDV1019"/>
      <c r="XDW1019"/>
      <c r="XDX1019"/>
      <c r="XDY1019"/>
      <c r="XDZ1019"/>
      <c r="XEA1019"/>
      <c r="XEB1019"/>
      <c r="XEC1019"/>
      <c r="XED1019"/>
      <c r="XEE1019"/>
      <c r="XEF1019"/>
      <c r="XEG1019"/>
      <c r="XEH1019"/>
      <c r="XEI1019"/>
      <c r="XEJ1019"/>
      <c r="XEK1019"/>
      <c r="XEL1019"/>
      <c r="XEM1019"/>
      <c r="XEN1019"/>
      <c r="XEO1019"/>
      <c r="XEP1019"/>
      <c r="XEQ1019"/>
      <c r="XER1019"/>
      <c r="XES1019"/>
      <c r="XET1019"/>
      <c r="XEU1019"/>
      <c r="XEV1019"/>
      <c r="XEW1019"/>
      <c r="XEX1019"/>
      <c r="XEY1019"/>
      <c r="XEZ1019"/>
      <c r="XFA1019"/>
      <c r="XFB1019"/>
      <c r="XFC1019"/>
    </row>
    <row r="1020" spans="1:20 16329:16383" s="38" customFormat="1" ht="29.1" customHeight="1" outlineLevel="4" x14ac:dyDescent="0.25">
      <c r="A1020" s="60" t="s">
        <v>1938</v>
      </c>
      <c r="B1020" s="61" t="s">
        <v>1939</v>
      </c>
      <c r="C1020" s="61"/>
      <c r="D1020" s="1" t="s">
        <v>344</v>
      </c>
      <c r="E1020" s="1"/>
      <c r="F1020" s="62"/>
      <c r="G1020" s="61"/>
      <c r="H1020" s="63"/>
      <c r="I1020" s="36"/>
      <c r="J1020" s="63"/>
      <c r="K1020" s="64"/>
      <c r="L1020" s="64"/>
      <c r="M1020" s="64"/>
      <c r="N1020" s="64"/>
      <c r="O1020" s="64">
        <f>SUM(O1021:O1026)</f>
        <v>0</v>
      </c>
      <c r="P1020" s="64">
        <f>SUM(P1021:P1026)</f>
        <v>0</v>
      </c>
      <c r="Q1020" s="64">
        <f>SUM(Q1021:Q1026)</f>
        <v>0</v>
      </c>
      <c r="R1020" s="64">
        <f>SUM(R1021:R1026)</f>
        <v>0</v>
      </c>
      <c r="S1020" s="64"/>
      <c r="T1020" s="36"/>
      <c r="XDA1020"/>
      <c r="XDB1020"/>
      <c r="XDC1020"/>
      <c r="XDD1020"/>
      <c r="XDE1020"/>
      <c r="XDF1020"/>
      <c r="XDG1020"/>
      <c r="XDH1020"/>
      <c r="XDI1020"/>
      <c r="XDJ1020"/>
      <c r="XDK1020"/>
      <c r="XDL1020"/>
      <c r="XDM1020"/>
      <c r="XDN1020"/>
      <c r="XDO1020"/>
      <c r="XDP1020"/>
      <c r="XDQ1020"/>
      <c r="XDR1020"/>
      <c r="XDS1020"/>
      <c r="XDT1020"/>
      <c r="XDU1020"/>
      <c r="XDV1020"/>
      <c r="XDW1020"/>
      <c r="XDX1020"/>
      <c r="XDY1020"/>
      <c r="XDZ1020"/>
      <c r="XEA1020"/>
      <c r="XEB1020"/>
      <c r="XEC1020"/>
      <c r="XED1020"/>
      <c r="XEE1020"/>
      <c r="XEF1020"/>
      <c r="XEG1020"/>
      <c r="XEH1020"/>
      <c r="XEI1020"/>
      <c r="XEJ1020"/>
      <c r="XEK1020"/>
      <c r="XEL1020"/>
      <c r="XEM1020"/>
      <c r="XEN1020"/>
      <c r="XEO1020"/>
      <c r="XEP1020"/>
      <c r="XEQ1020"/>
      <c r="XER1020"/>
      <c r="XES1020"/>
      <c r="XET1020"/>
      <c r="XEU1020"/>
      <c r="XEV1020"/>
      <c r="XEW1020"/>
      <c r="XEX1020"/>
      <c r="XEY1020"/>
      <c r="XEZ1020"/>
      <c r="XFA1020"/>
      <c r="XFB1020"/>
      <c r="XFC1020"/>
    </row>
    <row r="1021" spans="1:20 16329:16383" s="38" customFormat="1" ht="29.1" customHeight="1" outlineLevel="5" x14ac:dyDescent="0.25">
      <c r="A1021" s="49" t="s">
        <v>1940</v>
      </c>
      <c r="B1021" s="50"/>
      <c r="C1021" s="50"/>
      <c r="D1021" s="3" t="s">
        <v>1884</v>
      </c>
      <c r="E1021" s="3"/>
      <c r="F1021" s="51"/>
      <c r="G1021" s="50" t="s">
        <v>102</v>
      </c>
      <c r="H1021" s="52">
        <f>1</f>
        <v>1</v>
      </c>
      <c r="I1021" s="36"/>
      <c r="J1021" s="52">
        <v>1</v>
      </c>
      <c r="K1021" s="53">
        <f>0</f>
        <v>0</v>
      </c>
      <c r="L1021" s="53">
        <f>0</f>
        <v>0</v>
      </c>
      <c r="M1021" s="53">
        <f>0</f>
        <v>0</v>
      </c>
      <c r="N1021" s="54">
        <f t="shared" ref="N1021:N1026" si="144">SUM(K1021:M1021)</f>
        <v>0</v>
      </c>
      <c r="O1021" s="54">
        <f t="shared" ref="O1021:O1026" si="145">ROUND((H1021*K1021),2)</f>
        <v>0</v>
      </c>
      <c r="P1021" s="54">
        <f t="shared" ref="P1021:P1026" si="146">ROUND((H1021*L1021),2)</f>
        <v>0</v>
      </c>
      <c r="Q1021" s="54">
        <f t="shared" ref="Q1021:Q1026" si="147">ROUND((H1021*M1021),2)</f>
        <v>0</v>
      </c>
      <c r="R1021" s="54">
        <f t="shared" ref="R1021:R1026" si="148">ROUND((H1021*N1021),2)</f>
        <v>0</v>
      </c>
      <c r="S1021" s="54"/>
      <c r="T1021" s="36"/>
      <c r="XDA1021"/>
      <c r="XDB1021"/>
      <c r="XDC1021"/>
      <c r="XDD1021"/>
      <c r="XDE1021"/>
      <c r="XDF1021"/>
      <c r="XDG1021"/>
      <c r="XDH1021"/>
      <c r="XDI1021"/>
      <c r="XDJ1021"/>
      <c r="XDK1021"/>
      <c r="XDL1021"/>
      <c r="XDM1021"/>
      <c r="XDN1021"/>
      <c r="XDO1021"/>
      <c r="XDP1021"/>
      <c r="XDQ1021"/>
      <c r="XDR1021"/>
      <c r="XDS1021"/>
      <c r="XDT1021"/>
      <c r="XDU1021"/>
      <c r="XDV1021"/>
      <c r="XDW1021"/>
      <c r="XDX1021"/>
      <c r="XDY1021"/>
      <c r="XDZ1021"/>
      <c r="XEA1021"/>
      <c r="XEB1021"/>
      <c r="XEC1021"/>
      <c r="XED1021"/>
      <c r="XEE1021"/>
      <c r="XEF1021"/>
      <c r="XEG1021"/>
      <c r="XEH1021"/>
      <c r="XEI1021"/>
      <c r="XEJ1021"/>
      <c r="XEK1021"/>
      <c r="XEL1021"/>
      <c r="XEM1021"/>
      <c r="XEN1021"/>
      <c r="XEO1021"/>
      <c r="XEP1021"/>
      <c r="XEQ1021"/>
      <c r="XER1021"/>
      <c r="XES1021"/>
      <c r="XET1021"/>
      <c r="XEU1021"/>
      <c r="XEV1021"/>
      <c r="XEW1021"/>
      <c r="XEX1021"/>
      <c r="XEY1021"/>
      <c r="XEZ1021"/>
      <c r="XFA1021"/>
      <c r="XFB1021"/>
      <c r="XFC1021"/>
    </row>
    <row r="1022" spans="1:20 16329:16383" s="38" customFormat="1" ht="29.1" customHeight="1" outlineLevel="5" x14ac:dyDescent="0.25">
      <c r="A1022" s="49" t="s">
        <v>1941</v>
      </c>
      <c r="B1022" s="50"/>
      <c r="C1022" s="50"/>
      <c r="D1022" s="3" t="s">
        <v>1886</v>
      </c>
      <c r="E1022" s="3"/>
      <c r="F1022" s="51"/>
      <c r="G1022" s="50" t="s">
        <v>102</v>
      </c>
      <c r="H1022" s="52">
        <f>1</f>
        <v>1</v>
      </c>
      <c r="I1022" s="36"/>
      <c r="J1022" s="52">
        <v>1</v>
      </c>
      <c r="K1022" s="53">
        <f>0</f>
        <v>0</v>
      </c>
      <c r="L1022" s="53">
        <f>0</f>
        <v>0</v>
      </c>
      <c r="M1022" s="53">
        <f>0</f>
        <v>0</v>
      </c>
      <c r="N1022" s="54">
        <f t="shared" si="144"/>
        <v>0</v>
      </c>
      <c r="O1022" s="54">
        <f t="shared" si="145"/>
        <v>0</v>
      </c>
      <c r="P1022" s="54">
        <f t="shared" si="146"/>
        <v>0</v>
      </c>
      <c r="Q1022" s="54">
        <f t="shared" si="147"/>
        <v>0</v>
      </c>
      <c r="R1022" s="54">
        <f t="shared" si="148"/>
        <v>0</v>
      </c>
      <c r="S1022" s="54"/>
      <c r="T1022" s="36"/>
      <c r="XDA1022"/>
      <c r="XDB1022"/>
      <c r="XDC1022"/>
      <c r="XDD1022"/>
      <c r="XDE1022"/>
      <c r="XDF1022"/>
      <c r="XDG1022"/>
      <c r="XDH1022"/>
      <c r="XDI1022"/>
      <c r="XDJ1022"/>
      <c r="XDK1022"/>
      <c r="XDL1022"/>
      <c r="XDM1022"/>
      <c r="XDN1022"/>
      <c r="XDO1022"/>
      <c r="XDP1022"/>
      <c r="XDQ1022"/>
      <c r="XDR1022"/>
      <c r="XDS1022"/>
      <c r="XDT1022"/>
      <c r="XDU1022"/>
      <c r="XDV1022"/>
      <c r="XDW1022"/>
      <c r="XDX1022"/>
      <c r="XDY1022"/>
      <c r="XDZ1022"/>
      <c r="XEA1022"/>
      <c r="XEB1022"/>
      <c r="XEC1022"/>
      <c r="XED1022"/>
      <c r="XEE1022"/>
      <c r="XEF1022"/>
      <c r="XEG1022"/>
      <c r="XEH1022"/>
      <c r="XEI1022"/>
      <c r="XEJ1022"/>
      <c r="XEK1022"/>
      <c r="XEL1022"/>
      <c r="XEM1022"/>
      <c r="XEN1022"/>
      <c r="XEO1022"/>
      <c r="XEP1022"/>
      <c r="XEQ1022"/>
      <c r="XER1022"/>
      <c r="XES1022"/>
      <c r="XET1022"/>
      <c r="XEU1022"/>
      <c r="XEV1022"/>
      <c r="XEW1022"/>
      <c r="XEX1022"/>
      <c r="XEY1022"/>
      <c r="XEZ1022"/>
      <c r="XFA1022"/>
      <c r="XFB1022"/>
      <c r="XFC1022"/>
    </row>
    <row r="1023" spans="1:20 16329:16383" s="38" customFormat="1" ht="29.1" customHeight="1" outlineLevel="5" x14ac:dyDescent="0.25">
      <c r="A1023" s="49" t="s">
        <v>1942</v>
      </c>
      <c r="B1023" s="50"/>
      <c r="C1023" s="50"/>
      <c r="D1023" s="3" t="s">
        <v>1888</v>
      </c>
      <c r="E1023" s="3"/>
      <c r="F1023" s="51"/>
      <c r="G1023" s="50" t="s">
        <v>102</v>
      </c>
      <c r="H1023" s="52">
        <f>1</f>
        <v>1</v>
      </c>
      <c r="I1023" s="36"/>
      <c r="J1023" s="52">
        <v>1</v>
      </c>
      <c r="K1023" s="53">
        <f>0</f>
        <v>0</v>
      </c>
      <c r="L1023" s="53">
        <f>0</f>
        <v>0</v>
      </c>
      <c r="M1023" s="53">
        <f>0</f>
        <v>0</v>
      </c>
      <c r="N1023" s="54">
        <f t="shared" si="144"/>
        <v>0</v>
      </c>
      <c r="O1023" s="54">
        <f t="shared" si="145"/>
        <v>0</v>
      </c>
      <c r="P1023" s="54">
        <f t="shared" si="146"/>
        <v>0</v>
      </c>
      <c r="Q1023" s="54">
        <f t="shared" si="147"/>
        <v>0</v>
      </c>
      <c r="R1023" s="54">
        <f t="shared" si="148"/>
        <v>0</v>
      </c>
      <c r="S1023" s="54"/>
      <c r="T1023" s="36"/>
      <c r="XDA1023"/>
      <c r="XDB1023"/>
      <c r="XDC1023"/>
      <c r="XDD1023"/>
      <c r="XDE1023"/>
      <c r="XDF1023"/>
      <c r="XDG1023"/>
      <c r="XDH1023"/>
      <c r="XDI1023"/>
      <c r="XDJ1023"/>
      <c r="XDK1023"/>
      <c r="XDL1023"/>
      <c r="XDM1023"/>
      <c r="XDN1023"/>
      <c r="XDO1023"/>
      <c r="XDP1023"/>
      <c r="XDQ1023"/>
      <c r="XDR1023"/>
      <c r="XDS1023"/>
      <c r="XDT1023"/>
      <c r="XDU1023"/>
      <c r="XDV1023"/>
      <c r="XDW1023"/>
      <c r="XDX1023"/>
      <c r="XDY1023"/>
      <c r="XDZ1023"/>
      <c r="XEA1023"/>
      <c r="XEB1023"/>
      <c r="XEC1023"/>
      <c r="XED1023"/>
      <c r="XEE1023"/>
      <c r="XEF1023"/>
      <c r="XEG1023"/>
      <c r="XEH1023"/>
      <c r="XEI1023"/>
      <c r="XEJ1023"/>
      <c r="XEK1023"/>
      <c r="XEL1023"/>
      <c r="XEM1023"/>
      <c r="XEN1023"/>
      <c r="XEO1023"/>
      <c r="XEP1023"/>
      <c r="XEQ1023"/>
      <c r="XER1023"/>
      <c r="XES1023"/>
      <c r="XET1023"/>
      <c r="XEU1023"/>
      <c r="XEV1023"/>
      <c r="XEW1023"/>
      <c r="XEX1023"/>
      <c r="XEY1023"/>
      <c r="XEZ1023"/>
      <c r="XFA1023"/>
      <c r="XFB1023"/>
      <c r="XFC1023"/>
    </row>
    <row r="1024" spans="1:20 16329:16383" s="38" customFormat="1" ht="29.1" customHeight="1" outlineLevel="5" x14ac:dyDescent="0.25">
      <c r="A1024" s="49" t="s">
        <v>1943</v>
      </c>
      <c r="B1024" s="50"/>
      <c r="C1024" s="50"/>
      <c r="D1024" s="3" t="s">
        <v>1890</v>
      </c>
      <c r="E1024" s="3"/>
      <c r="F1024" s="51"/>
      <c r="G1024" s="50" t="s">
        <v>102</v>
      </c>
      <c r="H1024" s="52">
        <f>1</f>
        <v>1</v>
      </c>
      <c r="I1024" s="36"/>
      <c r="J1024" s="52">
        <v>1</v>
      </c>
      <c r="K1024" s="53">
        <f>0</f>
        <v>0</v>
      </c>
      <c r="L1024" s="53">
        <f>0</f>
        <v>0</v>
      </c>
      <c r="M1024" s="53">
        <f>0</f>
        <v>0</v>
      </c>
      <c r="N1024" s="54">
        <f t="shared" si="144"/>
        <v>0</v>
      </c>
      <c r="O1024" s="54">
        <f t="shared" si="145"/>
        <v>0</v>
      </c>
      <c r="P1024" s="54">
        <f t="shared" si="146"/>
        <v>0</v>
      </c>
      <c r="Q1024" s="54">
        <f t="shared" si="147"/>
        <v>0</v>
      </c>
      <c r="R1024" s="54">
        <f t="shared" si="148"/>
        <v>0</v>
      </c>
      <c r="S1024" s="54"/>
      <c r="T1024" s="36"/>
      <c r="XDA1024"/>
      <c r="XDB1024"/>
      <c r="XDC1024"/>
      <c r="XDD1024"/>
      <c r="XDE1024"/>
      <c r="XDF1024"/>
      <c r="XDG1024"/>
      <c r="XDH1024"/>
      <c r="XDI1024"/>
      <c r="XDJ1024"/>
      <c r="XDK1024"/>
      <c r="XDL1024"/>
      <c r="XDM1024"/>
      <c r="XDN1024"/>
      <c r="XDO1024"/>
      <c r="XDP1024"/>
      <c r="XDQ1024"/>
      <c r="XDR1024"/>
      <c r="XDS1024"/>
      <c r="XDT1024"/>
      <c r="XDU1024"/>
      <c r="XDV1024"/>
      <c r="XDW1024"/>
      <c r="XDX1024"/>
      <c r="XDY1024"/>
      <c r="XDZ1024"/>
      <c r="XEA1024"/>
      <c r="XEB1024"/>
      <c r="XEC1024"/>
      <c r="XED1024"/>
      <c r="XEE1024"/>
      <c r="XEF1024"/>
      <c r="XEG1024"/>
      <c r="XEH1024"/>
      <c r="XEI1024"/>
      <c r="XEJ1024"/>
      <c r="XEK1024"/>
      <c r="XEL1024"/>
      <c r="XEM1024"/>
      <c r="XEN1024"/>
      <c r="XEO1024"/>
      <c r="XEP1024"/>
      <c r="XEQ1024"/>
      <c r="XER1024"/>
      <c r="XES1024"/>
      <c r="XET1024"/>
      <c r="XEU1024"/>
      <c r="XEV1024"/>
      <c r="XEW1024"/>
      <c r="XEX1024"/>
      <c r="XEY1024"/>
      <c r="XEZ1024"/>
      <c r="XFA1024"/>
      <c r="XFB1024"/>
      <c r="XFC1024"/>
    </row>
    <row r="1025" spans="1:20 16329:16383" s="38" customFormat="1" ht="29.1" customHeight="1" outlineLevel="5" x14ac:dyDescent="0.25">
      <c r="A1025" s="49" t="s">
        <v>1944</v>
      </c>
      <c r="B1025" s="50"/>
      <c r="C1025" s="50"/>
      <c r="D1025" s="3" t="s">
        <v>1945</v>
      </c>
      <c r="E1025" s="3"/>
      <c r="F1025" s="51"/>
      <c r="G1025" s="50" t="s">
        <v>102</v>
      </c>
      <c r="H1025" s="52">
        <f>1</f>
        <v>1</v>
      </c>
      <c r="I1025" s="36"/>
      <c r="J1025" s="52">
        <v>1</v>
      </c>
      <c r="K1025" s="53">
        <f>0</f>
        <v>0</v>
      </c>
      <c r="L1025" s="53">
        <f>0</f>
        <v>0</v>
      </c>
      <c r="M1025" s="53">
        <f>0</f>
        <v>0</v>
      </c>
      <c r="N1025" s="54">
        <f t="shared" si="144"/>
        <v>0</v>
      </c>
      <c r="O1025" s="54">
        <f t="shared" si="145"/>
        <v>0</v>
      </c>
      <c r="P1025" s="54">
        <f t="shared" si="146"/>
        <v>0</v>
      </c>
      <c r="Q1025" s="54">
        <f t="shared" si="147"/>
        <v>0</v>
      </c>
      <c r="R1025" s="54">
        <f t="shared" si="148"/>
        <v>0</v>
      </c>
      <c r="S1025" s="54"/>
      <c r="T1025" s="36"/>
      <c r="XDA1025"/>
      <c r="XDB1025"/>
      <c r="XDC1025"/>
      <c r="XDD1025"/>
      <c r="XDE1025"/>
      <c r="XDF1025"/>
      <c r="XDG1025"/>
      <c r="XDH1025"/>
      <c r="XDI1025"/>
      <c r="XDJ1025"/>
      <c r="XDK1025"/>
      <c r="XDL1025"/>
      <c r="XDM1025"/>
      <c r="XDN1025"/>
      <c r="XDO1025"/>
      <c r="XDP1025"/>
      <c r="XDQ1025"/>
      <c r="XDR1025"/>
      <c r="XDS1025"/>
      <c r="XDT1025"/>
      <c r="XDU1025"/>
      <c r="XDV1025"/>
      <c r="XDW1025"/>
      <c r="XDX1025"/>
      <c r="XDY1025"/>
      <c r="XDZ1025"/>
      <c r="XEA1025"/>
      <c r="XEB1025"/>
      <c r="XEC1025"/>
      <c r="XED1025"/>
      <c r="XEE1025"/>
      <c r="XEF1025"/>
      <c r="XEG1025"/>
      <c r="XEH1025"/>
      <c r="XEI1025"/>
      <c r="XEJ1025"/>
      <c r="XEK1025"/>
      <c r="XEL1025"/>
      <c r="XEM1025"/>
      <c r="XEN1025"/>
      <c r="XEO1025"/>
      <c r="XEP1025"/>
      <c r="XEQ1025"/>
      <c r="XER1025"/>
      <c r="XES1025"/>
      <c r="XET1025"/>
      <c r="XEU1025"/>
      <c r="XEV1025"/>
      <c r="XEW1025"/>
      <c r="XEX1025"/>
      <c r="XEY1025"/>
      <c r="XEZ1025"/>
      <c r="XFA1025"/>
      <c r="XFB1025"/>
      <c r="XFC1025"/>
    </row>
    <row r="1026" spans="1:20 16329:16383" s="38" customFormat="1" ht="29.1" customHeight="1" outlineLevel="5" x14ac:dyDescent="0.25">
      <c r="A1026" s="49" t="s">
        <v>1946</v>
      </c>
      <c r="B1026" s="50"/>
      <c r="C1026" s="50"/>
      <c r="D1026" s="3" t="s">
        <v>1947</v>
      </c>
      <c r="E1026" s="3"/>
      <c r="F1026" s="51"/>
      <c r="G1026" s="50" t="s">
        <v>29</v>
      </c>
      <c r="H1026" s="52">
        <f>1</f>
        <v>1</v>
      </c>
      <c r="I1026" s="36"/>
      <c r="J1026" s="52">
        <v>1</v>
      </c>
      <c r="K1026" s="53">
        <f>0</f>
        <v>0</v>
      </c>
      <c r="L1026" s="53">
        <f>0</f>
        <v>0</v>
      </c>
      <c r="M1026" s="53">
        <f>0</f>
        <v>0</v>
      </c>
      <c r="N1026" s="54">
        <f t="shared" si="144"/>
        <v>0</v>
      </c>
      <c r="O1026" s="54">
        <f t="shared" si="145"/>
        <v>0</v>
      </c>
      <c r="P1026" s="54">
        <f t="shared" si="146"/>
        <v>0</v>
      </c>
      <c r="Q1026" s="54">
        <f t="shared" si="147"/>
        <v>0</v>
      </c>
      <c r="R1026" s="54">
        <f t="shared" si="148"/>
        <v>0</v>
      </c>
      <c r="S1026" s="54"/>
      <c r="T1026" s="36"/>
      <c r="XDA1026"/>
      <c r="XDB1026"/>
      <c r="XDC1026"/>
      <c r="XDD1026"/>
      <c r="XDE1026"/>
      <c r="XDF1026"/>
      <c r="XDG1026"/>
      <c r="XDH1026"/>
      <c r="XDI1026"/>
      <c r="XDJ1026"/>
      <c r="XDK1026"/>
      <c r="XDL1026"/>
      <c r="XDM1026"/>
      <c r="XDN1026"/>
      <c r="XDO1026"/>
      <c r="XDP1026"/>
      <c r="XDQ1026"/>
      <c r="XDR1026"/>
      <c r="XDS1026"/>
      <c r="XDT1026"/>
      <c r="XDU1026"/>
      <c r="XDV1026"/>
      <c r="XDW1026"/>
      <c r="XDX1026"/>
      <c r="XDY1026"/>
      <c r="XDZ1026"/>
      <c r="XEA1026"/>
      <c r="XEB1026"/>
      <c r="XEC1026"/>
      <c r="XED1026"/>
      <c r="XEE1026"/>
      <c r="XEF1026"/>
      <c r="XEG1026"/>
      <c r="XEH1026"/>
      <c r="XEI1026"/>
      <c r="XEJ1026"/>
      <c r="XEK1026"/>
      <c r="XEL1026"/>
      <c r="XEM1026"/>
      <c r="XEN1026"/>
      <c r="XEO1026"/>
      <c r="XEP1026"/>
      <c r="XEQ1026"/>
      <c r="XER1026"/>
      <c r="XES1026"/>
      <c r="XET1026"/>
      <c r="XEU1026"/>
      <c r="XEV1026"/>
      <c r="XEW1026"/>
      <c r="XEX1026"/>
      <c r="XEY1026"/>
      <c r="XEZ1026"/>
      <c r="XFA1026"/>
      <c r="XFB1026"/>
      <c r="XFC1026"/>
    </row>
    <row r="1027" spans="1:20 16329:16383" s="38" customFormat="1" ht="29.1" customHeight="1" outlineLevel="4" x14ac:dyDescent="0.25">
      <c r="A1027" s="60" t="s">
        <v>1948</v>
      </c>
      <c r="B1027" s="61" t="s">
        <v>1949</v>
      </c>
      <c r="C1027" s="61"/>
      <c r="D1027" s="1" t="s">
        <v>1899</v>
      </c>
      <c r="E1027" s="1"/>
      <c r="F1027" s="62"/>
      <c r="G1027" s="61"/>
      <c r="H1027" s="63"/>
      <c r="I1027" s="36"/>
      <c r="J1027" s="63"/>
      <c r="K1027" s="64"/>
      <c r="L1027" s="64"/>
      <c r="M1027" s="64"/>
      <c r="N1027" s="64"/>
      <c r="O1027" s="64">
        <f>SUM(O1028:O1032)</f>
        <v>0</v>
      </c>
      <c r="P1027" s="64">
        <f>SUM(P1028:P1032)</f>
        <v>0</v>
      </c>
      <c r="Q1027" s="64">
        <f>SUM(Q1028:Q1032)</f>
        <v>0</v>
      </c>
      <c r="R1027" s="64">
        <f>SUM(R1028:R1032)</f>
        <v>0</v>
      </c>
      <c r="S1027" s="64"/>
      <c r="T1027" s="36"/>
      <c r="XDA1027"/>
      <c r="XDB1027"/>
      <c r="XDC1027"/>
      <c r="XDD1027"/>
      <c r="XDE1027"/>
      <c r="XDF1027"/>
      <c r="XDG1027"/>
      <c r="XDH1027"/>
      <c r="XDI1027"/>
      <c r="XDJ1027"/>
      <c r="XDK1027"/>
      <c r="XDL1027"/>
      <c r="XDM1027"/>
      <c r="XDN1027"/>
      <c r="XDO1027"/>
      <c r="XDP1027"/>
      <c r="XDQ1027"/>
      <c r="XDR1027"/>
      <c r="XDS1027"/>
      <c r="XDT1027"/>
      <c r="XDU1027"/>
      <c r="XDV1027"/>
      <c r="XDW1027"/>
      <c r="XDX1027"/>
      <c r="XDY1027"/>
      <c r="XDZ1027"/>
      <c r="XEA1027"/>
      <c r="XEB1027"/>
      <c r="XEC1027"/>
      <c r="XED1027"/>
      <c r="XEE1027"/>
      <c r="XEF1027"/>
      <c r="XEG1027"/>
      <c r="XEH1027"/>
      <c r="XEI1027"/>
      <c r="XEJ1027"/>
      <c r="XEK1027"/>
      <c r="XEL1027"/>
      <c r="XEM1027"/>
      <c r="XEN1027"/>
      <c r="XEO1027"/>
      <c r="XEP1027"/>
      <c r="XEQ1027"/>
      <c r="XER1027"/>
      <c r="XES1027"/>
      <c r="XET1027"/>
      <c r="XEU1027"/>
      <c r="XEV1027"/>
      <c r="XEW1027"/>
      <c r="XEX1027"/>
      <c r="XEY1027"/>
      <c r="XEZ1027"/>
      <c r="XFA1027"/>
      <c r="XFB1027"/>
      <c r="XFC1027"/>
    </row>
    <row r="1028" spans="1:20 16329:16383" s="38" customFormat="1" ht="29.1" customHeight="1" outlineLevel="5" x14ac:dyDescent="0.25">
      <c r="A1028" s="49" t="s">
        <v>1950</v>
      </c>
      <c r="B1028" s="50"/>
      <c r="C1028" s="50"/>
      <c r="D1028" s="3" t="s">
        <v>1951</v>
      </c>
      <c r="E1028" s="3"/>
      <c r="F1028" s="51"/>
      <c r="G1028" s="50" t="s">
        <v>102</v>
      </c>
      <c r="H1028" s="52">
        <f>1</f>
        <v>1</v>
      </c>
      <c r="I1028" s="36"/>
      <c r="J1028" s="52">
        <v>1</v>
      </c>
      <c r="K1028" s="53">
        <f>0</f>
        <v>0</v>
      </c>
      <c r="L1028" s="53">
        <f>0</f>
        <v>0</v>
      </c>
      <c r="M1028" s="53">
        <f>0</f>
        <v>0</v>
      </c>
      <c r="N1028" s="54">
        <f>SUM(K1028:M1028)</f>
        <v>0</v>
      </c>
      <c r="O1028" s="54">
        <f>ROUND((H1028*K1028),2)</f>
        <v>0</v>
      </c>
      <c r="P1028" s="54">
        <f>ROUND((H1028*L1028),2)</f>
        <v>0</v>
      </c>
      <c r="Q1028" s="54">
        <f>ROUND((H1028*M1028),2)</f>
        <v>0</v>
      </c>
      <c r="R1028" s="54">
        <f>ROUND((H1028*N1028),2)</f>
        <v>0</v>
      </c>
      <c r="S1028" s="54"/>
      <c r="T1028" s="36"/>
      <c r="XDA1028"/>
      <c r="XDB1028"/>
      <c r="XDC1028"/>
      <c r="XDD1028"/>
      <c r="XDE1028"/>
      <c r="XDF1028"/>
      <c r="XDG1028"/>
      <c r="XDH1028"/>
      <c r="XDI1028"/>
      <c r="XDJ1028"/>
      <c r="XDK1028"/>
      <c r="XDL1028"/>
      <c r="XDM1028"/>
      <c r="XDN1028"/>
      <c r="XDO1028"/>
      <c r="XDP1028"/>
      <c r="XDQ1028"/>
      <c r="XDR1028"/>
      <c r="XDS1028"/>
      <c r="XDT1028"/>
      <c r="XDU1028"/>
      <c r="XDV1028"/>
      <c r="XDW1028"/>
      <c r="XDX1028"/>
      <c r="XDY1028"/>
      <c r="XDZ1028"/>
      <c r="XEA1028"/>
      <c r="XEB1028"/>
      <c r="XEC1028"/>
      <c r="XED1028"/>
      <c r="XEE1028"/>
      <c r="XEF1028"/>
      <c r="XEG1028"/>
      <c r="XEH1028"/>
      <c r="XEI1028"/>
      <c r="XEJ1028"/>
      <c r="XEK1028"/>
      <c r="XEL1028"/>
      <c r="XEM1028"/>
      <c r="XEN1028"/>
      <c r="XEO1028"/>
      <c r="XEP1028"/>
      <c r="XEQ1028"/>
      <c r="XER1028"/>
      <c r="XES1028"/>
      <c r="XET1028"/>
      <c r="XEU1028"/>
      <c r="XEV1028"/>
      <c r="XEW1028"/>
      <c r="XEX1028"/>
      <c r="XEY1028"/>
      <c r="XEZ1028"/>
      <c r="XFA1028"/>
      <c r="XFB1028"/>
      <c r="XFC1028"/>
    </row>
    <row r="1029" spans="1:20 16329:16383" s="38" customFormat="1" ht="29.1" customHeight="1" outlineLevel="5" x14ac:dyDescent="0.25">
      <c r="A1029" s="49" t="s">
        <v>1952</v>
      </c>
      <c r="B1029" s="50"/>
      <c r="C1029" s="50"/>
      <c r="D1029" s="3" t="s">
        <v>1953</v>
      </c>
      <c r="E1029" s="3"/>
      <c r="F1029" s="51"/>
      <c r="G1029" s="50" t="s">
        <v>102</v>
      </c>
      <c r="H1029" s="52">
        <f>1</f>
        <v>1</v>
      </c>
      <c r="I1029" s="36"/>
      <c r="J1029" s="52">
        <v>1</v>
      </c>
      <c r="K1029" s="53">
        <f>0</f>
        <v>0</v>
      </c>
      <c r="L1029" s="53">
        <f>0</f>
        <v>0</v>
      </c>
      <c r="M1029" s="53">
        <f>0</f>
        <v>0</v>
      </c>
      <c r="N1029" s="54">
        <f>SUM(K1029:M1029)</f>
        <v>0</v>
      </c>
      <c r="O1029" s="54">
        <f>ROUND((H1029*K1029),2)</f>
        <v>0</v>
      </c>
      <c r="P1029" s="54">
        <f>ROUND((H1029*L1029),2)</f>
        <v>0</v>
      </c>
      <c r="Q1029" s="54">
        <f>ROUND((H1029*M1029),2)</f>
        <v>0</v>
      </c>
      <c r="R1029" s="54">
        <f>ROUND((H1029*N1029),2)</f>
        <v>0</v>
      </c>
      <c r="S1029" s="54"/>
      <c r="T1029" s="36"/>
      <c r="XDA1029"/>
      <c r="XDB1029"/>
      <c r="XDC1029"/>
      <c r="XDD1029"/>
      <c r="XDE1029"/>
      <c r="XDF1029"/>
      <c r="XDG1029"/>
      <c r="XDH1029"/>
      <c r="XDI1029"/>
      <c r="XDJ1029"/>
      <c r="XDK1029"/>
      <c r="XDL1029"/>
      <c r="XDM1029"/>
      <c r="XDN1029"/>
      <c r="XDO1029"/>
      <c r="XDP1029"/>
      <c r="XDQ1029"/>
      <c r="XDR1029"/>
      <c r="XDS1029"/>
      <c r="XDT1029"/>
      <c r="XDU1029"/>
      <c r="XDV1029"/>
      <c r="XDW1029"/>
      <c r="XDX1029"/>
      <c r="XDY1029"/>
      <c r="XDZ1029"/>
      <c r="XEA1029"/>
      <c r="XEB1029"/>
      <c r="XEC1029"/>
      <c r="XED1029"/>
      <c r="XEE1029"/>
      <c r="XEF1029"/>
      <c r="XEG1029"/>
      <c r="XEH1029"/>
      <c r="XEI1029"/>
      <c r="XEJ1029"/>
      <c r="XEK1029"/>
      <c r="XEL1029"/>
      <c r="XEM1029"/>
      <c r="XEN1029"/>
      <c r="XEO1029"/>
      <c r="XEP1029"/>
      <c r="XEQ1029"/>
      <c r="XER1029"/>
      <c r="XES1029"/>
      <c r="XET1029"/>
      <c r="XEU1029"/>
      <c r="XEV1029"/>
      <c r="XEW1029"/>
      <c r="XEX1029"/>
      <c r="XEY1029"/>
      <c r="XEZ1029"/>
      <c r="XFA1029"/>
      <c r="XFB1029"/>
      <c r="XFC1029"/>
    </row>
    <row r="1030" spans="1:20 16329:16383" s="38" customFormat="1" ht="29.1" customHeight="1" outlineLevel="5" x14ac:dyDescent="0.25">
      <c r="A1030" s="49" t="s">
        <v>1954</v>
      </c>
      <c r="B1030" s="50"/>
      <c r="C1030" s="50"/>
      <c r="D1030" s="3" t="s">
        <v>1955</v>
      </c>
      <c r="E1030" s="3"/>
      <c r="F1030" s="51"/>
      <c r="G1030" s="50" t="s">
        <v>102</v>
      </c>
      <c r="H1030" s="52">
        <f>1</f>
        <v>1</v>
      </c>
      <c r="I1030" s="36"/>
      <c r="J1030" s="52">
        <v>1</v>
      </c>
      <c r="K1030" s="53">
        <f>0</f>
        <v>0</v>
      </c>
      <c r="L1030" s="53">
        <f>0</f>
        <v>0</v>
      </c>
      <c r="M1030" s="53">
        <f>0</f>
        <v>0</v>
      </c>
      <c r="N1030" s="54">
        <f>SUM(K1030:M1030)</f>
        <v>0</v>
      </c>
      <c r="O1030" s="54">
        <f>ROUND((H1030*K1030),2)</f>
        <v>0</v>
      </c>
      <c r="P1030" s="54">
        <f>ROUND((H1030*L1030),2)</f>
        <v>0</v>
      </c>
      <c r="Q1030" s="54">
        <f>ROUND((H1030*M1030),2)</f>
        <v>0</v>
      </c>
      <c r="R1030" s="54">
        <f>ROUND((H1030*N1030),2)</f>
        <v>0</v>
      </c>
      <c r="S1030" s="54"/>
      <c r="T1030" s="36"/>
      <c r="XDA1030"/>
      <c r="XDB1030"/>
      <c r="XDC1030"/>
      <c r="XDD1030"/>
      <c r="XDE1030"/>
      <c r="XDF1030"/>
      <c r="XDG1030"/>
      <c r="XDH1030"/>
      <c r="XDI1030"/>
      <c r="XDJ1030"/>
      <c r="XDK1030"/>
      <c r="XDL1030"/>
      <c r="XDM1030"/>
      <c r="XDN1030"/>
      <c r="XDO1030"/>
      <c r="XDP1030"/>
      <c r="XDQ1030"/>
      <c r="XDR1030"/>
      <c r="XDS1030"/>
      <c r="XDT1030"/>
      <c r="XDU1030"/>
      <c r="XDV1030"/>
      <c r="XDW1030"/>
      <c r="XDX1030"/>
      <c r="XDY1030"/>
      <c r="XDZ1030"/>
      <c r="XEA1030"/>
      <c r="XEB1030"/>
      <c r="XEC1030"/>
      <c r="XED1030"/>
      <c r="XEE1030"/>
      <c r="XEF1030"/>
      <c r="XEG1030"/>
      <c r="XEH1030"/>
      <c r="XEI1030"/>
      <c r="XEJ1030"/>
      <c r="XEK1030"/>
      <c r="XEL1030"/>
      <c r="XEM1030"/>
      <c r="XEN1030"/>
      <c r="XEO1030"/>
      <c r="XEP1030"/>
      <c r="XEQ1030"/>
      <c r="XER1030"/>
      <c r="XES1030"/>
      <c r="XET1030"/>
      <c r="XEU1030"/>
      <c r="XEV1030"/>
      <c r="XEW1030"/>
      <c r="XEX1030"/>
      <c r="XEY1030"/>
      <c r="XEZ1030"/>
      <c r="XFA1030"/>
      <c r="XFB1030"/>
      <c r="XFC1030"/>
    </row>
    <row r="1031" spans="1:20 16329:16383" s="38" customFormat="1" ht="29.1" customHeight="1" outlineLevel="5" x14ac:dyDescent="0.25">
      <c r="A1031" s="49" t="s">
        <v>1956</v>
      </c>
      <c r="B1031" s="50"/>
      <c r="C1031" s="50"/>
      <c r="D1031" s="3" t="s">
        <v>1957</v>
      </c>
      <c r="E1031" s="3"/>
      <c r="F1031" s="51"/>
      <c r="G1031" s="50" t="s">
        <v>102</v>
      </c>
      <c r="H1031" s="52">
        <f>1</f>
        <v>1</v>
      </c>
      <c r="I1031" s="36"/>
      <c r="J1031" s="52">
        <v>1</v>
      </c>
      <c r="K1031" s="53">
        <f>0</f>
        <v>0</v>
      </c>
      <c r="L1031" s="53">
        <f>0</f>
        <v>0</v>
      </c>
      <c r="M1031" s="53">
        <f>0</f>
        <v>0</v>
      </c>
      <c r="N1031" s="54">
        <f>SUM(K1031:M1031)</f>
        <v>0</v>
      </c>
      <c r="O1031" s="54">
        <f>ROUND((H1031*K1031),2)</f>
        <v>0</v>
      </c>
      <c r="P1031" s="54">
        <f>ROUND((H1031*L1031),2)</f>
        <v>0</v>
      </c>
      <c r="Q1031" s="54">
        <f>ROUND((H1031*M1031),2)</f>
        <v>0</v>
      </c>
      <c r="R1031" s="54">
        <f>ROUND((H1031*N1031),2)</f>
        <v>0</v>
      </c>
      <c r="S1031" s="54"/>
      <c r="T1031" s="36"/>
      <c r="XDA1031"/>
      <c r="XDB1031"/>
      <c r="XDC1031"/>
      <c r="XDD1031"/>
      <c r="XDE1031"/>
      <c r="XDF1031"/>
      <c r="XDG1031"/>
      <c r="XDH1031"/>
      <c r="XDI1031"/>
      <c r="XDJ1031"/>
      <c r="XDK1031"/>
      <c r="XDL1031"/>
      <c r="XDM1031"/>
      <c r="XDN1031"/>
      <c r="XDO1031"/>
      <c r="XDP1031"/>
      <c r="XDQ1031"/>
      <c r="XDR1031"/>
      <c r="XDS1031"/>
      <c r="XDT1031"/>
      <c r="XDU1031"/>
      <c r="XDV1031"/>
      <c r="XDW1031"/>
      <c r="XDX1031"/>
      <c r="XDY1031"/>
      <c r="XDZ1031"/>
      <c r="XEA1031"/>
      <c r="XEB1031"/>
      <c r="XEC1031"/>
      <c r="XED1031"/>
      <c r="XEE1031"/>
      <c r="XEF1031"/>
      <c r="XEG1031"/>
      <c r="XEH1031"/>
      <c r="XEI1031"/>
      <c r="XEJ1031"/>
      <c r="XEK1031"/>
      <c r="XEL1031"/>
      <c r="XEM1031"/>
      <c r="XEN1031"/>
      <c r="XEO1031"/>
      <c r="XEP1031"/>
      <c r="XEQ1031"/>
      <c r="XER1031"/>
      <c r="XES1031"/>
      <c r="XET1031"/>
      <c r="XEU1031"/>
      <c r="XEV1031"/>
      <c r="XEW1031"/>
      <c r="XEX1031"/>
      <c r="XEY1031"/>
      <c r="XEZ1031"/>
      <c r="XFA1031"/>
      <c r="XFB1031"/>
      <c r="XFC1031"/>
    </row>
    <row r="1032" spans="1:20 16329:16383" s="38" customFormat="1" ht="29.1" customHeight="1" outlineLevel="5" x14ac:dyDescent="0.25">
      <c r="A1032" s="49" t="s">
        <v>1958</v>
      </c>
      <c r="B1032" s="50"/>
      <c r="C1032" s="50"/>
      <c r="D1032" s="3" t="s">
        <v>1959</v>
      </c>
      <c r="E1032" s="3"/>
      <c r="F1032" s="51" t="s">
        <v>1960</v>
      </c>
      <c r="G1032" s="50" t="s">
        <v>134</v>
      </c>
      <c r="H1032" s="52">
        <f>1</f>
        <v>1</v>
      </c>
      <c r="I1032" s="36"/>
      <c r="J1032" s="52">
        <v>1</v>
      </c>
      <c r="K1032" s="53">
        <f>0</f>
        <v>0</v>
      </c>
      <c r="L1032" s="53">
        <f>0</f>
        <v>0</v>
      </c>
      <c r="M1032" s="53">
        <f>0</f>
        <v>0</v>
      </c>
      <c r="N1032" s="54">
        <f>SUM(K1032:M1032)</f>
        <v>0</v>
      </c>
      <c r="O1032" s="54">
        <f>ROUND((H1032*K1032),2)</f>
        <v>0</v>
      </c>
      <c r="P1032" s="54">
        <f>ROUND((H1032*L1032),2)</f>
        <v>0</v>
      </c>
      <c r="Q1032" s="54">
        <f>ROUND((H1032*M1032),2)</f>
        <v>0</v>
      </c>
      <c r="R1032" s="54">
        <f>ROUND((H1032*N1032),2)</f>
        <v>0</v>
      </c>
      <c r="S1032" s="54"/>
      <c r="T1032" s="36"/>
      <c r="XDA1032"/>
      <c r="XDB1032"/>
      <c r="XDC1032"/>
      <c r="XDD1032"/>
      <c r="XDE1032"/>
      <c r="XDF1032"/>
      <c r="XDG1032"/>
      <c r="XDH1032"/>
      <c r="XDI1032"/>
      <c r="XDJ1032"/>
      <c r="XDK1032"/>
      <c r="XDL1032"/>
      <c r="XDM1032"/>
      <c r="XDN1032"/>
      <c r="XDO1032"/>
      <c r="XDP1032"/>
      <c r="XDQ1032"/>
      <c r="XDR1032"/>
      <c r="XDS1032"/>
      <c r="XDT1032"/>
      <c r="XDU1032"/>
      <c r="XDV1032"/>
      <c r="XDW1032"/>
      <c r="XDX1032"/>
      <c r="XDY1032"/>
      <c r="XDZ1032"/>
      <c r="XEA1032"/>
      <c r="XEB1032"/>
      <c r="XEC1032"/>
      <c r="XED1032"/>
      <c r="XEE1032"/>
      <c r="XEF1032"/>
      <c r="XEG1032"/>
      <c r="XEH1032"/>
      <c r="XEI1032"/>
      <c r="XEJ1032"/>
      <c r="XEK1032"/>
      <c r="XEL1032"/>
      <c r="XEM1032"/>
      <c r="XEN1032"/>
      <c r="XEO1032"/>
      <c r="XEP1032"/>
      <c r="XEQ1032"/>
      <c r="XER1032"/>
      <c r="XES1032"/>
      <c r="XET1032"/>
      <c r="XEU1032"/>
      <c r="XEV1032"/>
      <c r="XEW1032"/>
      <c r="XEX1032"/>
      <c r="XEY1032"/>
      <c r="XEZ1032"/>
      <c r="XFA1032"/>
      <c r="XFB1032"/>
      <c r="XFC1032"/>
    </row>
    <row r="1033" spans="1:20 16329:16383" s="38" customFormat="1" ht="29.1" customHeight="1" outlineLevel="3" x14ac:dyDescent="0.25">
      <c r="A1033" s="55" t="s">
        <v>1961</v>
      </c>
      <c r="B1033" s="56" t="s">
        <v>1962</v>
      </c>
      <c r="C1033" s="56" t="s">
        <v>1963</v>
      </c>
      <c r="D1033" s="2" t="s">
        <v>1964</v>
      </c>
      <c r="E1033" s="2"/>
      <c r="F1033" s="57"/>
      <c r="G1033" s="56" t="s">
        <v>102</v>
      </c>
      <c r="H1033" s="58"/>
      <c r="I1033" s="36"/>
      <c r="J1033" s="58"/>
      <c r="K1033" s="59"/>
      <c r="L1033" s="59"/>
      <c r="M1033" s="59"/>
      <c r="N1033" s="59"/>
      <c r="O1033" s="59">
        <f>O1034+O1039+O1043+O1047</f>
        <v>0</v>
      </c>
      <c r="P1033" s="59">
        <f>P1034+P1039+P1043+P1047</f>
        <v>0</v>
      </c>
      <c r="Q1033" s="59">
        <f>Q1034+Q1039+Q1043+Q1047</f>
        <v>0</v>
      </c>
      <c r="R1033" s="59">
        <f>R1034+R1039+R1043+R1047</f>
        <v>0</v>
      </c>
      <c r="S1033" s="59"/>
      <c r="T1033" s="36"/>
      <c r="XDA1033"/>
      <c r="XDB1033"/>
      <c r="XDC1033"/>
      <c r="XDD1033"/>
      <c r="XDE1033"/>
      <c r="XDF1033"/>
      <c r="XDG1033"/>
      <c r="XDH1033"/>
      <c r="XDI1033"/>
      <c r="XDJ1033"/>
      <c r="XDK1033"/>
      <c r="XDL1033"/>
      <c r="XDM1033"/>
      <c r="XDN1033"/>
      <c r="XDO1033"/>
      <c r="XDP1033"/>
      <c r="XDQ1033"/>
      <c r="XDR1033"/>
      <c r="XDS1033"/>
      <c r="XDT1033"/>
      <c r="XDU1033"/>
      <c r="XDV1033"/>
      <c r="XDW1033"/>
      <c r="XDX1033"/>
      <c r="XDY1033"/>
      <c r="XDZ1033"/>
      <c r="XEA1033"/>
      <c r="XEB1033"/>
      <c r="XEC1033"/>
      <c r="XED1033"/>
      <c r="XEE1033"/>
      <c r="XEF1033"/>
      <c r="XEG1033"/>
      <c r="XEH1033"/>
      <c r="XEI1033"/>
      <c r="XEJ1033"/>
      <c r="XEK1033"/>
      <c r="XEL1033"/>
      <c r="XEM1033"/>
      <c r="XEN1033"/>
      <c r="XEO1033"/>
      <c r="XEP1033"/>
      <c r="XEQ1033"/>
      <c r="XER1033"/>
      <c r="XES1033"/>
      <c r="XET1033"/>
      <c r="XEU1033"/>
      <c r="XEV1033"/>
      <c r="XEW1033"/>
      <c r="XEX1033"/>
      <c r="XEY1033"/>
      <c r="XEZ1033"/>
      <c r="XFA1033"/>
      <c r="XFB1033"/>
      <c r="XFC1033"/>
    </row>
    <row r="1034" spans="1:20 16329:16383" s="38" customFormat="1" ht="29.1" customHeight="1" outlineLevel="4" x14ac:dyDescent="0.25">
      <c r="A1034" s="60" t="s">
        <v>1965</v>
      </c>
      <c r="B1034" s="61" t="s">
        <v>1966</v>
      </c>
      <c r="C1034" s="61"/>
      <c r="D1034" s="1" t="s">
        <v>1873</v>
      </c>
      <c r="E1034" s="1"/>
      <c r="F1034" s="62"/>
      <c r="G1034" s="61"/>
      <c r="H1034" s="63"/>
      <c r="I1034" s="36"/>
      <c r="J1034" s="63"/>
      <c r="K1034" s="64"/>
      <c r="L1034" s="64"/>
      <c r="M1034" s="64"/>
      <c r="N1034" s="64"/>
      <c r="O1034" s="64">
        <f>SUM(O1035:O1038)</f>
        <v>0</v>
      </c>
      <c r="P1034" s="64">
        <f>SUM(P1035:P1038)</f>
        <v>0</v>
      </c>
      <c r="Q1034" s="64">
        <f>SUM(Q1035:Q1038)</f>
        <v>0</v>
      </c>
      <c r="R1034" s="64">
        <f>SUM(R1035:R1038)</f>
        <v>0</v>
      </c>
      <c r="S1034" s="64"/>
      <c r="T1034" s="36"/>
      <c r="XDA1034"/>
      <c r="XDB1034"/>
      <c r="XDC1034"/>
      <c r="XDD1034"/>
      <c r="XDE1034"/>
      <c r="XDF1034"/>
      <c r="XDG1034"/>
      <c r="XDH1034"/>
      <c r="XDI1034"/>
      <c r="XDJ1034"/>
      <c r="XDK1034"/>
      <c r="XDL1034"/>
      <c r="XDM1034"/>
      <c r="XDN1034"/>
      <c r="XDO1034"/>
      <c r="XDP1034"/>
      <c r="XDQ1034"/>
      <c r="XDR1034"/>
      <c r="XDS1034"/>
      <c r="XDT1034"/>
      <c r="XDU1034"/>
      <c r="XDV1034"/>
      <c r="XDW1034"/>
      <c r="XDX1034"/>
      <c r="XDY1034"/>
      <c r="XDZ1034"/>
      <c r="XEA1034"/>
      <c r="XEB1034"/>
      <c r="XEC1034"/>
      <c r="XED1034"/>
      <c r="XEE1034"/>
      <c r="XEF1034"/>
      <c r="XEG1034"/>
      <c r="XEH1034"/>
      <c r="XEI1034"/>
      <c r="XEJ1034"/>
      <c r="XEK1034"/>
      <c r="XEL1034"/>
      <c r="XEM1034"/>
      <c r="XEN1034"/>
      <c r="XEO1034"/>
      <c r="XEP1034"/>
      <c r="XEQ1034"/>
      <c r="XER1034"/>
      <c r="XES1034"/>
      <c r="XET1034"/>
      <c r="XEU1034"/>
      <c r="XEV1034"/>
      <c r="XEW1034"/>
      <c r="XEX1034"/>
      <c r="XEY1034"/>
      <c r="XEZ1034"/>
      <c r="XFA1034"/>
      <c r="XFB1034"/>
      <c r="XFC1034"/>
    </row>
    <row r="1035" spans="1:20 16329:16383" s="38" customFormat="1" ht="29.1" customHeight="1" outlineLevel="5" x14ac:dyDescent="0.25">
      <c r="A1035" s="49" t="s">
        <v>1967</v>
      </c>
      <c r="B1035" s="50"/>
      <c r="C1035" s="50"/>
      <c r="D1035" s="3" t="s">
        <v>1968</v>
      </c>
      <c r="E1035" s="3"/>
      <c r="F1035" s="51"/>
      <c r="G1035" s="50" t="s">
        <v>102</v>
      </c>
      <c r="H1035" s="52">
        <f>1</f>
        <v>1</v>
      </c>
      <c r="I1035" s="36"/>
      <c r="J1035" s="52">
        <v>1</v>
      </c>
      <c r="K1035" s="53">
        <f>0</f>
        <v>0</v>
      </c>
      <c r="L1035" s="53">
        <f>0</f>
        <v>0</v>
      </c>
      <c r="M1035" s="53">
        <f>0</f>
        <v>0</v>
      </c>
      <c r="N1035" s="54">
        <f>SUM(K1035:M1035)</f>
        <v>0</v>
      </c>
      <c r="O1035" s="54">
        <f>ROUND((H1035*K1035),2)</f>
        <v>0</v>
      </c>
      <c r="P1035" s="54">
        <f>ROUND((H1035*L1035),2)</f>
        <v>0</v>
      </c>
      <c r="Q1035" s="54">
        <f>ROUND((H1035*M1035),2)</f>
        <v>0</v>
      </c>
      <c r="R1035" s="54">
        <f>ROUND((H1035*N1035),2)</f>
        <v>0</v>
      </c>
      <c r="S1035" s="54"/>
      <c r="T1035" s="36"/>
      <c r="XDA1035"/>
      <c r="XDB1035"/>
      <c r="XDC1035"/>
      <c r="XDD1035"/>
      <c r="XDE1035"/>
      <c r="XDF1035"/>
      <c r="XDG1035"/>
      <c r="XDH1035"/>
      <c r="XDI1035"/>
      <c r="XDJ1035"/>
      <c r="XDK1035"/>
      <c r="XDL1035"/>
      <c r="XDM1035"/>
      <c r="XDN1035"/>
      <c r="XDO1035"/>
      <c r="XDP1035"/>
      <c r="XDQ1035"/>
      <c r="XDR1035"/>
      <c r="XDS1035"/>
      <c r="XDT1035"/>
      <c r="XDU1035"/>
      <c r="XDV1035"/>
      <c r="XDW1035"/>
      <c r="XDX1035"/>
      <c r="XDY1035"/>
      <c r="XDZ1035"/>
      <c r="XEA1035"/>
      <c r="XEB1035"/>
      <c r="XEC1035"/>
      <c r="XED1035"/>
      <c r="XEE1035"/>
      <c r="XEF1035"/>
      <c r="XEG1035"/>
      <c r="XEH1035"/>
      <c r="XEI1035"/>
      <c r="XEJ1035"/>
      <c r="XEK1035"/>
      <c r="XEL1035"/>
      <c r="XEM1035"/>
      <c r="XEN1035"/>
      <c r="XEO1035"/>
      <c r="XEP1035"/>
      <c r="XEQ1035"/>
      <c r="XER1035"/>
      <c r="XES1035"/>
      <c r="XET1035"/>
      <c r="XEU1035"/>
      <c r="XEV1035"/>
      <c r="XEW1035"/>
      <c r="XEX1035"/>
      <c r="XEY1035"/>
      <c r="XEZ1035"/>
      <c r="XFA1035"/>
      <c r="XFB1035"/>
      <c r="XFC1035"/>
    </row>
    <row r="1036" spans="1:20 16329:16383" s="38" customFormat="1" ht="29.1" customHeight="1" outlineLevel="5" x14ac:dyDescent="0.25">
      <c r="A1036" s="49" t="s">
        <v>1969</v>
      </c>
      <c r="B1036" s="50"/>
      <c r="C1036" s="50"/>
      <c r="D1036" s="3" t="s">
        <v>1970</v>
      </c>
      <c r="E1036" s="3"/>
      <c r="F1036" s="51"/>
      <c r="G1036" s="50" t="s">
        <v>102</v>
      </c>
      <c r="H1036" s="52">
        <f>1</f>
        <v>1</v>
      </c>
      <c r="I1036" s="36"/>
      <c r="J1036" s="52">
        <v>1</v>
      </c>
      <c r="K1036" s="53">
        <f>0</f>
        <v>0</v>
      </c>
      <c r="L1036" s="53">
        <f>0</f>
        <v>0</v>
      </c>
      <c r="M1036" s="53">
        <f>0</f>
        <v>0</v>
      </c>
      <c r="N1036" s="54">
        <f>SUM(K1036:M1036)</f>
        <v>0</v>
      </c>
      <c r="O1036" s="54">
        <f>ROUND((H1036*K1036),2)</f>
        <v>0</v>
      </c>
      <c r="P1036" s="54">
        <f>ROUND((H1036*L1036),2)</f>
        <v>0</v>
      </c>
      <c r="Q1036" s="54">
        <f>ROUND((H1036*M1036),2)</f>
        <v>0</v>
      </c>
      <c r="R1036" s="54">
        <f>ROUND((H1036*N1036),2)</f>
        <v>0</v>
      </c>
      <c r="S1036" s="54"/>
      <c r="T1036" s="36"/>
      <c r="XDA1036"/>
      <c r="XDB1036"/>
      <c r="XDC1036"/>
      <c r="XDD1036"/>
      <c r="XDE1036"/>
      <c r="XDF1036"/>
      <c r="XDG1036"/>
      <c r="XDH1036"/>
      <c r="XDI1036"/>
      <c r="XDJ1036"/>
      <c r="XDK1036"/>
      <c r="XDL1036"/>
      <c r="XDM1036"/>
      <c r="XDN1036"/>
      <c r="XDO1036"/>
      <c r="XDP1036"/>
      <c r="XDQ1036"/>
      <c r="XDR1036"/>
      <c r="XDS1036"/>
      <c r="XDT1036"/>
      <c r="XDU1036"/>
      <c r="XDV1036"/>
      <c r="XDW1036"/>
      <c r="XDX1036"/>
      <c r="XDY1036"/>
      <c r="XDZ1036"/>
      <c r="XEA1036"/>
      <c r="XEB1036"/>
      <c r="XEC1036"/>
      <c r="XED1036"/>
      <c r="XEE1036"/>
      <c r="XEF1036"/>
      <c r="XEG1036"/>
      <c r="XEH1036"/>
      <c r="XEI1036"/>
      <c r="XEJ1036"/>
      <c r="XEK1036"/>
      <c r="XEL1036"/>
      <c r="XEM1036"/>
      <c r="XEN1036"/>
      <c r="XEO1036"/>
      <c r="XEP1036"/>
      <c r="XEQ1036"/>
      <c r="XER1036"/>
      <c r="XES1036"/>
      <c r="XET1036"/>
      <c r="XEU1036"/>
      <c r="XEV1036"/>
      <c r="XEW1036"/>
      <c r="XEX1036"/>
      <c r="XEY1036"/>
      <c r="XEZ1036"/>
      <c r="XFA1036"/>
      <c r="XFB1036"/>
      <c r="XFC1036"/>
    </row>
    <row r="1037" spans="1:20 16329:16383" s="38" customFormat="1" ht="29.1" customHeight="1" outlineLevel="5" x14ac:dyDescent="0.25">
      <c r="A1037" s="49" t="s">
        <v>1971</v>
      </c>
      <c r="B1037" s="50"/>
      <c r="C1037" s="50"/>
      <c r="D1037" s="3" t="s">
        <v>1972</v>
      </c>
      <c r="E1037" s="3"/>
      <c r="F1037" s="51"/>
      <c r="G1037" s="50" t="s">
        <v>102</v>
      </c>
      <c r="H1037" s="52">
        <f>1</f>
        <v>1</v>
      </c>
      <c r="I1037" s="36"/>
      <c r="J1037" s="52">
        <v>1</v>
      </c>
      <c r="K1037" s="53">
        <f>0</f>
        <v>0</v>
      </c>
      <c r="L1037" s="53">
        <f>0</f>
        <v>0</v>
      </c>
      <c r="M1037" s="53">
        <f>0</f>
        <v>0</v>
      </c>
      <c r="N1037" s="54">
        <f>SUM(K1037:M1037)</f>
        <v>0</v>
      </c>
      <c r="O1037" s="54">
        <f>ROUND((H1037*K1037),2)</f>
        <v>0</v>
      </c>
      <c r="P1037" s="54">
        <f>ROUND((H1037*L1037),2)</f>
        <v>0</v>
      </c>
      <c r="Q1037" s="54">
        <f>ROUND((H1037*M1037),2)</f>
        <v>0</v>
      </c>
      <c r="R1037" s="54">
        <f>ROUND((H1037*N1037),2)</f>
        <v>0</v>
      </c>
      <c r="S1037" s="54"/>
      <c r="T1037" s="36"/>
      <c r="XDA1037"/>
      <c r="XDB1037"/>
      <c r="XDC1037"/>
      <c r="XDD1037"/>
      <c r="XDE1037"/>
      <c r="XDF1037"/>
      <c r="XDG1037"/>
      <c r="XDH1037"/>
      <c r="XDI1037"/>
      <c r="XDJ1037"/>
      <c r="XDK1037"/>
      <c r="XDL1037"/>
      <c r="XDM1037"/>
      <c r="XDN1037"/>
      <c r="XDO1037"/>
      <c r="XDP1037"/>
      <c r="XDQ1037"/>
      <c r="XDR1037"/>
      <c r="XDS1037"/>
      <c r="XDT1037"/>
      <c r="XDU1037"/>
      <c r="XDV1037"/>
      <c r="XDW1037"/>
      <c r="XDX1037"/>
      <c r="XDY1037"/>
      <c r="XDZ1037"/>
      <c r="XEA1037"/>
      <c r="XEB1037"/>
      <c r="XEC1037"/>
      <c r="XED1037"/>
      <c r="XEE1037"/>
      <c r="XEF1037"/>
      <c r="XEG1037"/>
      <c r="XEH1037"/>
      <c r="XEI1037"/>
      <c r="XEJ1037"/>
      <c r="XEK1037"/>
      <c r="XEL1037"/>
      <c r="XEM1037"/>
      <c r="XEN1037"/>
      <c r="XEO1037"/>
      <c r="XEP1037"/>
      <c r="XEQ1037"/>
      <c r="XER1037"/>
      <c r="XES1037"/>
      <c r="XET1037"/>
      <c r="XEU1037"/>
      <c r="XEV1037"/>
      <c r="XEW1037"/>
      <c r="XEX1037"/>
      <c r="XEY1037"/>
      <c r="XEZ1037"/>
      <c r="XFA1037"/>
      <c r="XFB1037"/>
      <c r="XFC1037"/>
    </row>
    <row r="1038" spans="1:20 16329:16383" s="38" customFormat="1" ht="29.1" customHeight="1" outlineLevel="5" x14ac:dyDescent="0.25">
      <c r="A1038" s="49" t="s">
        <v>1973</v>
      </c>
      <c r="B1038" s="50"/>
      <c r="C1038" s="50"/>
      <c r="D1038" s="3" t="s">
        <v>1937</v>
      </c>
      <c r="E1038" s="3"/>
      <c r="F1038" s="51"/>
      <c r="G1038" s="50" t="s">
        <v>194</v>
      </c>
      <c r="H1038" s="52">
        <f>1</f>
        <v>1</v>
      </c>
      <c r="I1038" s="36"/>
      <c r="J1038" s="52">
        <v>1</v>
      </c>
      <c r="K1038" s="53">
        <f>0</f>
        <v>0</v>
      </c>
      <c r="L1038" s="53">
        <f>0</f>
        <v>0</v>
      </c>
      <c r="M1038" s="53">
        <f>0</f>
        <v>0</v>
      </c>
      <c r="N1038" s="54">
        <f>SUM(K1038:M1038)</f>
        <v>0</v>
      </c>
      <c r="O1038" s="54">
        <f>ROUND((H1038*K1038),2)</f>
        <v>0</v>
      </c>
      <c r="P1038" s="54">
        <f>ROUND((H1038*L1038),2)</f>
        <v>0</v>
      </c>
      <c r="Q1038" s="54">
        <f>ROUND((H1038*M1038),2)</f>
        <v>0</v>
      </c>
      <c r="R1038" s="54">
        <f>ROUND((H1038*N1038),2)</f>
        <v>0</v>
      </c>
      <c r="S1038" s="54"/>
      <c r="T1038" s="36"/>
      <c r="XDA1038"/>
      <c r="XDB1038"/>
      <c r="XDC1038"/>
      <c r="XDD1038"/>
      <c r="XDE1038"/>
      <c r="XDF1038"/>
      <c r="XDG1038"/>
      <c r="XDH1038"/>
      <c r="XDI1038"/>
      <c r="XDJ1038"/>
      <c r="XDK1038"/>
      <c r="XDL1038"/>
      <c r="XDM1038"/>
      <c r="XDN1038"/>
      <c r="XDO1038"/>
      <c r="XDP1038"/>
      <c r="XDQ1038"/>
      <c r="XDR1038"/>
      <c r="XDS1038"/>
      <c r="XDT1038"/>
      <c r="XDU1038"/>
      <c r="XDV1038"/>
      <c r="XDW1038"/>
      <c r="XDX1038"/>
      <c r="XDY1038"/>
      <c r="XDZ1038"/>
      <c r="XEA1038"/>
      <c r="XEB1038"/>
      <c r="XEC1038"/>
      <c r="XED1038"/>
      <c r="XEE1038"/>
      <c r="XEF1038"/>
      <c r="XEG1038"/>
      <c r="XEH1038"/>
      <c r="XEI1038"/>
      <c r="XEJ1038"/>
      <c r="XEK1038"/>
      <c r="XEL1038"/>
      <c r="XEM1038"/>
      <c r="XEN1038"/>
      <c r="XEO1038"/>
      <c r="XEP1038"/>
      <c r="XEQ1038"/>
      <c r="XER1038"/>
      <c r="XES1038"/>
      <c r="XET1038"/>
      <c r="XEU1038"/>
      <c r="XEV1038"/>
      <c r="XEW1038"/>
      <c r="XEX1038"/>
      <c r="XEY1038"/>
      <c r="XEZ1038"/>
      <c r="XFA1038"/>
      <c r="XFB1038"/>
      <c r="XFC1038"/>
    </row>
    <row r="1039" spans="1:20 16329:16383" s="38" customFormat="1" ht="29.1" customHeight="1" outlineLevel="4" x14ac:dyDescent="0.25">
      <c r="A1039" s="60" t="s">
        <v>1974</v>
      </c>
      <c r="B1039" s="61" t="s">
        <v>1975</v>
      </c>
      <c r="C1039" s="61"/>
      <c r="D1039" s="1" t="s">
        <v>344</v>
      </c>
      <c r="E1039" s="1"/>
      <c r="F1039" s="62"/>
      <c r="G1039" s="61"/>
      <c r="H1039" s="63"/>
      <c r="I1039" s="36"/>
      <c r="J1039" s="63"/>
      <c r="K1039" s="64"/>
      <c r="L1039" s="64"/>
      <c r="M1039" s="64"/>
      <c r="N1039" s="64"/>
      <c r="O1039" s="64">
        <f>SUM(O1040:O1042)</f>
        <v>0</v>
      </c>
      <c r="P1039" s="64">
        <f>SUM(P1040:P1042)</f>
        <v>0</v>
      </c>
      <c r="Q1039" s="64">
        <f>SUM(Q1040:Q1042)</f>
        <v>0</v>
      </c>
      <c r="R1039" s="64">
        <f>SUM(R1040:R1042)</f>
        <v>0</v>
      </c>
      <c r="S1039" s="64"/>
      <c r="T1039" s="36"/>
      <c r="XDA1039"/>
      <c r="XDB1039"/>
      <c r="XDC1039"/>
      <c r="XDD1039"/>
      <c r="XDE1039"/>
      <c r="XDF1039"/>
      <c r="XDG1039"/>
      <c r="XDH1039"/>
      <c r="XDI1039"/>
      <c r="XDJ1039"/>
      <c r="XDK1039"/>
      <c r="XDL1039"/>
      <c r="XDM1039"/>
      <c r="XDN1039"/>
      <c r="XDO1039"/>
      <c r="XDP1039"/>
      <c r="XDQ1039"/>
      <c r="XDR1039"/>
      <c r="XDS1039"/>
      <c r="XDT1039"/>
      <c r="XDU1039"/>
      <c r="XDV1039"/>
      <c r="XDW1039"/>
      <c r="XDX1039"/>
      <c r="XDY1039"/>
      <c r="XDZ1039"/>
      <c r="XEA1039"/>
      <c r="XEB1039"/>
      <c r="XEC1039"/>
      <c r="XED1039"/>
      <c r="XEE1039"/>
      <c r="XEF1039"/>
      <c r="XEG1039"/>
      <c r="XEH1039"/>
      <c r="XEI1039"/>
      <c r="XEJ1039"/>
      <c r="XEK1039"/>
      <c r="XEL1039"/>
      <c r="XEM1039"/>
      <c r="XEN1039"/>
      <c r="XEO1039"/>
      <c r="XEP1039"/>
      <c r="XEQ1039"/>
      <c r="XER1039"/>
      <c r="XES1039"/>
      <c r="XET1039"/>
      <c r="XEU1039"/>
      <c r="XEV1039"/>
      <c r="XEW1039"/>
      <c r="XEX1039"/>
      <c r="XEY1039"/>
      <c r="XEZ1039"/>
      <c r="XFA1039"/>
      <c r="XFB1039"/>
      <c r="XFC1039"/>
    </row>
    <row r="1040" spans="1:20 16329:16383" s="38" customFormat="1" ht="29.1" customHeight="1" outlineLevel="5" x14ac:dyDescent="0.25">
      <c r="A1040" s="49" t="s">
        <v>1976</v>
      </c>
      <c r="B1040" s="50"/>
      <c r="C1040" s="50"/>
      <c r="D1040" s="3" t="s">
        <v>1884</v>
      </c>
      <c r="E1040" s="3"/>
      <c r="F1040" s="51"/>
      <c r="G1040" s="50" t="s">
        <v>102</v>
      </c>
      <c r="H1040" s="52">
        <f>1</f>
        <v>1</v>
      </c>
      <c r="I1040" s="36"/>
      <c r="J1040" s="52">
        <v>1</v>
      </c>
      <c r="K1040" s="53">
        <f>0</f>
        <v>0</v>
      </c>
      <c r="L1040" s="53">
        <f>0</f>
        <v>0</v>
      </c>
      <c r="M1040" s="53">
        <f>0</f>
        <v>0</v>
      </c>
      <c r="N1040" s="54">
        <f>SUM(K1040:M1040)</f>
        <v>0</v>
      </c>
      <c r="O1040" s="54">
        <f>ROUND((H1040*K1040),2)</f>
        <v>0</v>
      </c>
      <c r="P1040" s="54">
        <f>ROUND((H1040*L1040),2)</f>
        <v>0</v>
      </c>
      <c r="Q1040" s="54">
        <f>ROUND((H1040*M1040),2)</f>
        <v>0</v>
      </c>
      <c r="R1040" s="54">
        <f>ROUND((H1040*N1040),2)</f>
        <v>0</v>
      </c>
      <c r="S1040" s="54"/>
      <c r="T1040" s="36"/>
      <c r="XDA1040"/>
      <c r="XDB1040"/>
      <c r="XDC1040"/>
      <c r="XDD1040"/>
      <c r="XDE1040"/>
      <c r="XDF1040"/>
      <c r="XDG1040"/>
      <c r="XDH1040"/>
      <c r="XDI1040"/>
      <c r="XDJ1040"/>
      <c r="XDK1040"/>
      <c r="XDL1040"/>
      <c r="XDM1040"/>
      <c r="XDN1040"/>
      <c r="XDO1040"/>
      <c r="XDP1040"/>
      <c r="XDQ1040"/>
      <c r="XDR1040"/>
      <c r="XDS1040"/>
      <c r="XDT1040"/>
      <c r="XDU1040"/>
      <c r="XDV1040"/>
      <c r="XDW1040"/>
      <c r="XDX1040"/>
      <c r="XDY1040"/>
      <c r="XDZ1040"/>
      <c r="XEA1040"/>
      <c r="XEB1040"/>
      <c r="XEC1040"/>
      <c r="XED1040"/>
      <c r="XEE1040"/>
      <c r="XEF1040"/>
      <c r="XEG1040"/>
      <c r="XEH1040"/>
      <c r="XEI1040"/>
      <c r="XEJ1040"/>
      <c r="XEK1040"/>
      <c r="XEL1040"/>
      <c r="XEM1040"/>
      <c r="XEN1040"/>
      <c r="XEO1040"/>
      <c r="XEP1040"/>
      <c r="XEQ1040"/>
      <c r="XER1040"/>
      <c r="XES1040"/>
      <c r="XET1040"/>
      <c r="XEU1040"/>
      <c r="XEV1040"/>
      <c r="XEW1040"/>
      <c r="XEX1040"/>
      <c r="XEY1040"/>
      <c r="XEZ1040"/>
      <c r="XFA1040"/>
      <c r="XFB1040"/>
      <c r="XFC1040"/>
    </row>
    <row r="1041" spans="1:20 16329:16383" s="38" customFormat="1" ht="29.1" customHeight="1" outlineLevel="5" x14ac:dyDescent="0.25">
      <c r="A1041" s="49" t="s">
        <v>1977</v>
      </c>
      <c r="B1041" s="50"/>
      <c r="C1041" s="50"/>
      <c r="D1041" s="3" t="s">
        <v>1955</v>
      </c>
      <c r="E1041" s="3"/>
      <c r="F1041" s="51"/>
      <c r="G1041" s="50" t="s">
        <v>102</v>
      </c>
      <c r="H1041" s="52">
        <f>1</f>
        <v>1</v>
      </c>
      <c r="I1041" s="36"/>
      <c r="J1041" s="52">
        <v>1</v>
      </c>
      <c r="K1041" s="53">
        <f>0</f>
        <v>0</v>
      </c>
      <c r="L1041" s="53">
        <f>0</f>
        <v>0</v>
      </c>
      <c r="M1041" s="53">
        <f>0</f>
        <v>0</v>
      </c>
      <c r="N1041" s="54">
        <f>SUM(K1041:M1041)</f>
        <v>0</v>
      </c>
      <c r="O1041" s="54">
        <f>ROUND((H1041*K1041),2)</f>
        <v>0</v>
      </c>
      <c r="P1041" s="54">
        <f>ROUND((H1041*L1041),2)</f>
        <v>0</v>
      </c>
      <c r="Q1041" s="54">
        <f>ROUND((H1041*M1041),2)</f>
        <v>0</v>
      </c>
      <c r="R1041" s="54">
        <f>ROUND((H1041*N1041),2)</f>
        <v>0</v>
      </c>
      <c r="S1041" s="54"/>
      <c r="T1041" s="36"/>
      <c r="XDA1041"/>
      <c r="XDB1041"/>
      <c r="XDC1041"/>
      <c r="XDD1041"/>
      <c r="XDE1041"/>
      <c r="XDF1041"/>
      <c r="XDG1041"/>
      <c r="XDH1041"/>
      <c r="XDI1041"/>
      <c r="XDJ1041"/>
      <c r="XDK1041"/>
      <c r="XDL1041"/>
      <c r="XDM1041"/>
      <c r="XDN1041"/>
      <c r="XDO1041"/>
      <c r="XDP1041"/>
      <c r="XDQ1041"/>
      <c r="XDR1041"/>
      <c r="XDS1041"/>
      <c r="XDT1041"/>
      <c r="XDU1041"/>
      <c r="XDV1041"/>
      <c r="XDW1041"/>
      <c r="XDX1041"/>
      <c r="XDY1041"/>
      <c r="XDZ1041"/>
      <c r="XEA1041"/>
      <c r="XEB1041"/>
      <c r="XEC1041"/>
      <c r="XED1041"/>
      <c r="XEE1041"/>
      <c r="XEF1041"/>
      <c r="XEG1041"/>
      <c r="XEH1041"/>
      <c r="XEI1041"/>
      <c r="XEJ1041"/>
      <c r="XEK1041"/>
      <c r="XEL1041"/>
      <c r="XEM1041"/>
      <c r="XEN1041"/>
      <c r="XEO1041"/>
      <c r="XEP1041"/>
      <c r="XEQ1041"/>
      <c r="XER1041"/>
      <c r="XES1041"/>
      <c r="XET1041"/>
      <c r="XEU1041"/>
      <c r="XEV1041"/>
      <c r="XEW1041"/>
      <c r="XEX1041"/>
      <c r="XEY1041"/>
      <c r="XEZ1041"/>
      <c r="XFA1041"/>
      <c r="XFB1041"/>
      <c r="XFC1041"/>
    </row>
    <row r="1042" spans="1:20 16329:16383" s="38" customFormat="1" ht="29.1" customHeight="1" outlineLevel="5" x14ac:dyDescent="0.25">
      <c r="A1042" s="49" t="s">
        <v>1978</v>
      </c>
      <c r="B1042" s="50"/>
      <c r="C1042" s="50"/>
      <c r="D1042" s="3" t="s">
        <v>1957</v>
      </c>
      <c r="E1042" s="3"/>
      <c r="F1042" s="51"/>
      <c r="G1042" s="50" t="s">
        <v>102</v>
      </c>
      <c r="H1042" s="52">
        <f>1</f>
        <v>1</v>
      </c>
      <c r="I1042" s="36"/>
      <c r="J1042" s="52">
        <v>1</v>
      </c>
      <c r="K1042" s="53">
        <f>0</f>
        <v>0</v>
      </c>
      <c r="L1042" s="53">
        <f>0</f>
        <v>0</v>
      </c>
      <c r="M1042" s="53">
        <f>0</f>
        <v>0</v>
      </c>
      <c r="N1042" s="54">
        <f>SUM(K1042:M1042)</f>
        <v>0</v>
      </c>
      <c r="O1042" s="54">
        <f>ROUND((H1042*K1042),2)</f>
        <v>0</v>
      </c>
      <c r="P1042" s="54">
        <f>ROUND((H1042*L1042),2)</f>
        <v>0</v>
      </c>
      <c r="Q1042" s="54">
        <f>ROUND((H1042*M1042),2)</f>
        <v>0</v>
      </c>
      <c r="R1042" s="54">
        <f>ROUND((H1042*N1042),2)</f>
        <v>0</v>
      </c>
      <c r="S1042" s="54"/>
      <c r="T1042" s="36"/>
      <c r="XDA1042"/>
      <c r="XDB1042"/>
      <c r="XDC1042"/>
      <c r="XDD1042"/>
      <c r="XDE1042"/>
      <c r="XDF1042"/>
      <c r="XDG1042"/>
      <c r="XDH1042"/>
      <c r="XDI1042"/>
      <c r="XDJ1042"/>
      <c r="XDK1042"/>
      <c r="XDL1042"/>
      <c r="XDM1042"/>
      <c r="XDN1042"/>
      <c r="XDO1042"/>
      <c r="XDP1042"/>
      <c r="XDQ1042"/>
      <c r="XDR1042"/>
      <c r="XDS1042"/>
      <c r="XDT1042"/>
      <c r="XDU1042"/>
      <c r="XDV1042"/>
      <c r="XDW1042"/>
      <c r="XDX1042"/>
      <c r="XDY1042"/>
      <c r="XDZ1042"/>
      <c r="XEA1042"/>
      <c r="XEB1042"/>
      <c r="XEC1042"/>
      <c r="XED1042"/>
      <c r="XEE1042"/>
      <c r="XEF1042"/>
      <c r="XEG1042"/>
      <c r="XEH1042"/>
      <c r="XEI1042"/>
      <c r="XEJ1042"/>
      <c r="XEK1042"/>
      <c r="XEL1042"/>
      <c r="XEM1042"/>
      <c r="XEN1042"/>
      <c r="XEO1042"/>
      <c r="XEP1042"/>
      <c r="XEQ1042"/>
      <c r="XER1042"/>
      <c r="XES1042"/>
      <c r="XET1042"/>
      <c r="XEU1042"/>
      <c r="XEV1042"/>
      <c r="XEW1042"/>
      <c r="XEX1042"/>
      <c r="XEY1042"/>
      <c r="XEZ1042"/>
      <c r="XFA1042"/>
      <c r="XFB1042"/>
      <c r="XFC1042"/>
    </row>
    <row r="1043" spans="1:20 16329:16383" s="38" customFormat="1" ht="29.1" customHeight="1" outlineLevel="4" x14ac:dyDescent="0.25">
      <c r="A1043" s="60" t="s">
        <v>1979</v>
      </c>
      <c r="B1043" s="61" t="s">
        <v>1980</v>
      </c>
      <c r="C1043" s="61"/>
      <c r="D1043" s="1" t="s">
        <v>1899</v>
      </c>
      <c r="E1043" s="1"/>
      <c r="F1043" s="62"/>
      <c r="G1043" s="61"/>
      <c r="H1043" s="63"/>
      <c r="I1043" s="36"/>
      <c r="J1043" s="63"/>
      <c r="K1043" s="64"/>
      <c r="L1043" s="64"/>
      <c r="M1043" s="64"/>
      <c r="N1043" s="64"/>
      <c r="O1043" s="64">
        <f>SUM(O1044:O1046)</f>
        <v>0</v>
      </c>
      <c r="P1043" s="64">
        <f>SUM(P1044:P1046)</f>
        <v>0</v>
      </c>
      <c r="Q1043" s="64">
        <f>SUM(Q1044:Q1046)</f>
        <v>0</v>
      </c>
      <c r="R1043" s="64">
        <f>SUM(R1044:R1046)</f>
        <v>0</v>
      </c>
      <c r="S1043" s="64"/>
      <c r="T1043" s="36"/>
      <c r="XDA1043"/>
      <c r="XDB1043"/>
      <c r="XDC1043"/>
      <c r="XDD1043"/>
      <c r="XDE1043"/>
      <c r="XDF1043"/>
      <c r="XDG1043"/>
      <c r="XDH1043"/>
      <c r="XDI1043"/>
      <c r="XDJ1043"/>
      <c r="XDK1043"/>
      <c r="XDL1043"/>
      <c r="XDM1043"/>
      <c r="XDN1043"/>
      <c r="XDO1043"/>
      <c r="XDP1043"/>
      <c r="XDQ1043"/>
      <c r="XDR1043"/>
      <c r="XDS1043"/>
      <c r="XDT1043"/>
      <c r="XDU1043"/>
      <c r="XDV1043"/>
      <c r="XDW1043"/>
      <c r="XDX1043"/>
      <c r="XDY1043"/>
      <c r="XDZ1043"/>
      <c r="XEA1043"/>
      <c r="XEB1043"/>
      <c r="XEC1043"/>
      <c r="XED1043"/>
      <c r="XEE1043"/>
      <c r="XEF1043"/>
      <c r="XEG1043"/>
      <c r="XEH1043"/>
      <c r="XEI1043"/>
      <c r="XEJ1043"/>
      <c r="XEK1043"/>
      <c r="XEL1043"/>
      <c r="XEM1043"/>
      <c r="XEN1043"/>
      <c r="XEO1043"/>
      <c r="XEP1043"/>
      <c r="XEQ1043"/>
      <c r="XER1043"/>
      <c r="XES1043"/>
      <c r="XET1043"/>
      <c r="XEU1043"/>
      <c r="XEV1043"/>
      <c r="XEW1043"/>
      <c r="XEX1043"/>
      <c r="XEY1043"/>
      <c r="XEZ1043"/>
      <c r="XFA1043"/>
      <c r="XFB1043"/>
      <c r="XFC1043"/>
    </row>
    <row r="1044" spans="1:20 16329:16383" s="38" customFormat="1" ht="29.1" customHeight="1" outlineLevel="5" x14ac:dyDescent="0.25">
      <c r="A1044" s="49" t="s">
        <v>1981</v>
      </c>
      <c r="B1044" s="50"/>
      <c r="C1044" s="50"/>
      <c r="D1044" s="3" t="s">
        <v>1884</v>
      </c>
      <c r="E1044" s="3"/>
      <c r="F1044" s="51"/>
      <c r="G1044" s="50" t="s">
        <v>102</v>
      </c>
      <c r="H1044" s="52">
        <f>1</f>
        <v>1</v>
      </c>
      <c r="I1044" s="36"/>
      <c r="J1044" s="52">
        <v>1</v>
      </c>
      <c r="K1044" s="53">
        <f>0</f>
        <v>0</v>
      </c>
      <c r="L1044" s="53">
        <f>0</f>
        <v>0</v>
      </c>
      <c r="M1044" s="53">
        <f>0</f>
        <v>0</v>
      </c>
      <c r="N1044" s="54">
        <f>SUM(K1044:M1044)</f>
        <v>0</v>
      </c>
      <c r="O1044" s="54">
        <f>ROUND((H1044*K1044),2)</f>
        <v>0</v>
      </c>
      <c r="P1044" s="54">
        <f>ROUND((H1044*L1044),2)</f>
        <v>0</v>
      </c>
      <c r="Q1044" s="54">
        <f>ROUND((H1044*M1044),2)</f>
        <v>0</v>
      </c>
      <c r="R1044" s="54">
        <f>ROUND((H1044*N1044),2)</f>
        <v>0</v>
      </c>
      <c r="S1044" s="54"/>
      <c r="T1044" s="36"/>
      <c r="XDA1044"/>
      <c r="XDB1044"/>
      <c r="XDC1044"/>
      <c r="XDD1044"/>
      <c r="XDE1044"/>
      <c r="XDF1044"/>
      <c r="XDG1044"/>
      <c r="XDH1044"/>
      <c r="XDI1044"/>
      <c r="XDJ1044"/>
      <c r="XDK1044"/>
      <c r="XDL1044"/>
      <c r="XDM1044"/>
      <c r="XDN1044"/>
      <c r="XDO1044"/>
      <c r="XDP1044"/>
      <c r="XDQ1044"/>
      <c r="XDR1044"/>
      <c r="XDS1044"/>
      <c r="XDT1044"/>
      <c r="XDU1044"/>
      <c r="XDV1044"/>
      <c r="XDW1044"/>
      <c r="XDX1044"/>
      <c r="XDY1044"/>
      <c r="XDZ1044"/>
      <c r="XEA1044"/>
      <c r="XEB1044"/>
      <c r="XEC1044"/>
      <c r="XED1044"/>
      <c r="XEE1044"/>
      <c r="XEF1044"/>
      <c r="XEG1044"/>
      <c r="XEH1044"/>
      <c r="XEI1044"/>
      <c r="XEJ1044"/>
      <c r="XEK1044"/>
      <c r="XEL1044"/>
      <c r="XEM1044"/>
      <c r="XEN1044"/>
      <c r="XEO1044"/>
      <c r="XEP1044"/>
      <c r="XEQ1044"/>
      <c r="XER1044"/>
      <c r="XES1044"/>
      <c r="XET1044"/>
      <c r="XEU1044"/>
      <c r="XEV1044"/>
      <c r="XEW1044"/>
      <c r="XEX1044"/>
      <c r="XEY1044"/>
      <c r="XEZ1044"/>
      <c r="XFA1044"/>
      <c r="XFB1044"/>
      <c r="XFC1044"/>
    </row>
    <row r="1045" spans="1:20 16329:16383" s="38" customFormat="1" ht="29.1" customHeight="1" outlineLevel="5" x14ac:dyDescent="0.25">
      <c r="A1045" s="49" t="s">
        <v>1982</v>
      </c>
      <c r="B1045" s="50"/>
      <c r="C1045" s="50"/>
      <c r="D1045" s="3" t="s">
        <v>1955</v>
      </c>
      <c r="E1045" s="3"/>
      <c r="F1045" s="51"/>
      <c r="G1045" s="50" t="s">
        <v>102</v>
      </c>
      <c r="H1045" s="52">
        <f>1</f>
        <v>1</v>
      </c>
      <c r="I1045" s="36"/>
      <c r="J1045" s="52">
        <v>1</v>
      </c>
      <c r="K1045" s="53">
        <f>0</f>
        <v>0</v>
      </c>
      <c r="L1045" s="53">
        <f>0</f>
        <v>0</v>
      </c>
      <c r="M1045" s="53">
        <f>0</f>
        <v>0</v>
      </c>
      <c r="N1045" s="54">
        <f>SUM(K1045:M1045)</f>
        <v>0</v>
      </c>
      <c r="O1045" s="54">
        <f>ROUND((H1045*K1045),2)</f>
        <v>0</v>
      </c>
      <c r="P1045" s="54">
        <f>ROUND((H1045*L1045),2)</f>
        <v>0</v>
      </c>
      <c r="Q1045" s="54">
        <f>ROUND((H1045*M1045),2)</f>
        <v>0</v>
      </c>
      <c r="R1045" s="54">
        <f>ROUND((H1045*N1045),2)</f>
        <v>0</v>
      </c>
      <c r="S1045" s="54"/>
      <c r="T1045" s="36"/>
      <c r="XDA1045"/>
      <c r="XDB1045"/>
      <c r="XDC1045"/>
      <c r="XDD1045"/>
      <c r="XDE1045"/>
      <c r="XDF1045"/>
      <c r="XDG1045"/>
      <c r="XDH1045"/>
      <c r="XDI1045"/>
      <c r="XDJ1045"/>
      <c r="XDK1045"/>
      <c r="XDL1045"/>
      <c r="XDM1045"/>
      <c r="XDN1045"/>
      <c r="XDO1045"/>
      <c r="XDP1045"/>
      <c r="XDQ1045"/>
      <c r="XDR1045"/>
      <c r="XDS1045"/>
      <c r="XDT1045"/>
      <c r="XDU1045"/>
      <c r="XDV1045"/>
      <c r="XDW1045"/>
      <c r="XDX1045"/>
      <c r="XDY1045"/>
      <c r="XDZ1045"/>
      <c r="XEA1045"/>
      <c r="XEB1045"/>
      <c r="XEC1045"/>
      <c r="XED1045"/>
      <c r="XEE1045"/>
      <c r="XEF1045"/>
      <c r="XEG1045"/>
      <c r="XEH1045"/>
      <c r="XEI1045"/>
      <c r="XEJ1045"/>
      <c r="XEK1045"/>
      <c r="XEL1045"/>
      <c r="XEM1045"/>
      <c r="XEN1045"/>
      <c r="XEO1045"/>
      <c r="XEP1045"/>
      <c r="XEQ1045"/>
      <c r="XER1045"/>
      <c r="XES1045"/>
      <c r="XET1045"/>
      <c r="XEU1045"/>
      <c r="XEV1045"/>
      <c r="XEW1045"/>
      <c r="XEX1045"/>
      <c r="XEY1045"/>
      <c r="XEZ1045"/>
      <c r="XFA1045"/>
      <c r="XFB1045"/>
      <c r="XFC1045"/>
    </row>
    <row r="1046" spans="1:20 16329:16383" s="38" customFormat="1" ht="29.1" customHeight="1" outlineLevel="5" x14ac:dyDescent="0.25">
      <c r="A1046" s="49" t="s">
        <v>1983</v>
      </c>
      <c r="B1046" s="50"/>
      <c r="C1046" s="50"/>
      <c r="D1046" s="3" t="s">
        <v>1957</v>
      </c>
      <c r="E1046" s="3"/>
      <c r="F1046" s="51"/>
      <c r="G1046" s="50" t="s">
        <v>102</v>
      </c>
      <c r="H1046" s="52">
        <f>1</f>
        <v>1</v>
      </c>
      <c r="I1046" s="36"/>
      <c r="J1046" s="52">
        <v>1</v>
      </c>
      <c r="K1046" s="53">
        <f>0</f>
        <v>0</v>
      </c>
      <c r="L1046" s="53">
        <f>0</f>
        <v>0</v>
      </c>
      <c r="M1046" s="53">
        <f>0</f>
        <v>0</v>
      </c>
      <c r="N1046" s="54">
        <f>SUM(K1046:M1046)</f>
        <v>0</v>
      </c>
      <c r="O1046" s="54">
        <f>ROUND((H1046*K1046),2)</f>
        <v>0</v>
      </c>
      <c r="P1046" s="54">
        <f>ROUND((H1046*L1046),2)</f>
        <v>0</v>
      </c>
      <c r="Q1046" s="54">
        <f>ROUND((H1046*M1046),2)</f>
        <v>0</v>
      </c>
      <c r="R1046" s="54">
        <f>ROUND((H1046*N1046),2)</f>
        <v>0</v>
      </c>
      <c r="S1046" s="54"/>
      <c r="T1046" s="36"/>
      <c r="XDA1046"/>
      <c r="XDB1046"/>
      <c r="XDC1046"/>
      <c r="XDD1046"/>
      <c r="XDE1046"/>
      <c r="XDF1046"/>
      <c r="XDG1046"/>
      <c r="XDH1046"/>
      <c r="XDI1046"/>
      <c r="XDJ1046"/>
      <c r="XDK1046"/>
      <c r="XDL1046"/>
      <c r="XDM1046"/>
      <c r="XDN1046"/>
      <c r="XDO1046"/>
      <c r="XDP1046"/>
      <c r="XDQ1046"/>
      <c r="XDR1046"/>
      <c r="XDS1046"/>
      <c r="XDT1046"/>
      <c r="XDU1046"/>
      <c r="XDV1046"/>
      <c r="XDW1046"/>
      <c r="XDX1046"/>
      <c r="XDY1046"/>
      <c r="XDZ1046"/>
      <c r="XEA1046"/>
      <c r="XEB1046"/>
      <c r="XEC1046"/>
      <c r="XED1046"/>
      <c r="XEE1046"/>
      <c r="XEF1046"/>
      <c r="XEG1046"/>
      <c r="XEH1046"/>
      <c r="XEI1046"/>
      <c r="XEJ1046"/>
      <c r="XEK1046"/>
      <c r="XEL1046"/>
      <c r="XEM1046"/>
      <c r="XEN1046"/>
      <c r="XEO1046"/>
      <c r="XEP1046"/>
      <c r="XEQ1046"/>
      <c r="XER1046"/>
      <c r="XES1046"/>
      <c r="XET1046"/>
      <c r="XEU1046"/>
      <c r="XEV1046"/>
      <c r="XEW1046"/>
      <c r="XEX1046"/>
      <c r="XEY1046"/>
      <c r="XEZ1046"/>
      <c r="XFA1046"/>
      <c r="XFB1046"/>
      <c r="XFC1046"/>
    </row>
    <row r="1047" spans="1:20 16329:16383" s="38" customFormat="1" ht="29.1" customHeight="1" outlineLevel="4" x14ac:dyDescent="0.25">
      <c r="A1047" s="60" t="s">
        <v>1984</v>
      </c>
      <c r="B1047" s="61" t="s">
        <v>1985</v>
      </c>
      <c r="C1047" s="61"/>
      <c r="D1047" s="1" t="s">
        <v>1498</v>
      </c>
      <c r="E1047" s="1"/>
      <c r="F1047" s="62"/>
      <c r="G1047" s="61"/>
      <c r="H1047" s="63"/>
      <c r="I1047" s="36"/>
      <c r="J1047" s="63"/>
      <c r="K1047" s="64"/>
      <c r="L1047" s="64"/>
      <c r="M1047" s="64"/>
      <c r="N1047" s="64"/>
      <c r="O1047" s="64">
        <f>O1048</f>
        <v>0</v>
      </c>
      <c r="P1047" s="64">
        <f>P1048</f>
        <v>0</v>
      </c>
      <c r="Q1047" s="64">
        <f>Q1048</f>
        <v>0</v>
      </c>
      <c r="R1047" s="64">
        <f>R1048</f>
        <v>0</v>
      </c>
      <c r="S1047" s="64"/>
      <c r="T1047" s="36"/>
      <c r="XDA1047"/>
      <c r="XDB1047"/>
      <c r="XDC1047"/>
      <c r="XDD1047"/>
      <c r="XDE1047"/>
      <c r="XDF1047"/>
      <c r="XDG1047"/>
      <c r="XDH1047"/>
      <c r="XDI1047"/>
      <c r="XDJ1047"/>
      <c r="XDK1047"/>
      <c r="XDL1047"/>
      <c r="XDM1047"/>
      <c r="XDN1047"/>
      <c r="XDO1047"/>
      <c r="XDP1047"/>
      <c r="XDQ1047"/>
      <c r="XDR1047"/>
      <c r="XDS1047"/>
      <c r="XDT1047"/>
      <c r="XDU1047"/>
      <c r="XDV1047"/>
      <c r="XDW1047"/>
      <c r="XDX1047"/>
      <c r="XDY1047"/>
      <c r="XDZ1047"/>
      <c r="XEA1047"/>
      <c r="XEB1047"/>
      <c r="XEC1047"/>
      <c r="XED1047"/>
      <c r="XEE1047"/>
      <c r="XEF1047"/>
      <c r="XEG1047"/>
      <c r="XEH1047"/>
      <c r="XEI1047"/>
      <c r="XEJ1047"/>
      <c r="XEK1047"/>
      <c r="XEL1047"/>
      <c r="XEM1047"/>
      <c r="XEN1047"/>
      <c r="XEO1047"/>
      <c r="XEP1047"/>
      <c r="XEQ1047"/>
      <c r="XER1047"/>
      <c r="XES1047"/>
      <c r="XET1047"/>
      <c r="XEU1047"/>
      <c r="XEV1047"/>
      <c r="XEW1047"/>
      <c r="XEX1047"/>
      <c r="XEY1047"/>
      <c r="XEZ1047"/>
      <c r="XFA1047"/>
      <c r="XFB1047"/>
      <c r="XFC1047"/>
    </row>
    <row r="1048" spans="1:20 16329:16383" s="38" customFormat="1" ht="29.1" customHeight="1" outlineLevel="5" x14ac:dyDescent="0.25">
      <c r="A1048" s="49" t="s">
        <v>1986</v>
      </c>
      <c r="B1048" s="50"/>
      <c r="C1048" s="50"/>
      <c r="D1048" s="3" t="s">
        <v>1987</v>
      </c>
      <c r="E1048" s="3"/>
      <c r="F1048" s="51"/>
      <c r="G1048" s="50" t="s">
        <v>194</v>
      </c>
      <c r="H1048" s="52">
        <f>1</f>
        <v>1</v>
      </c>
      <c r="I1048" s="36"/>
      <c r="J1048" s="52">
        <v>1</v>
      </c>
      <c r="K1048" s="53">
        <f>0</f>
        <v>0</v>
      </c>
      <c r="L1048" s="53">
        <f>0</f>
        <v>0</v>
      </c>
      <c r="M1048" s="53">
        <f>0</f>
        <v>0</v>
      </c>
      <c r="N1048" s="54">
        <f>SUM(K1048:M1048)</f>
        <v>0</v>
      </c>
      <c r="O1048" s="54">
        <f>ROUND((H1048*K1048),2)</f>
        <v>0</v>
      </c>
      <c r="P1048" s="54">
        <f>ROUND((H1048*L1048),2)</f>
        <v>0</v>
      </c>
      <c r="Q1048" s="54">
        <f>ROUND((H1048*M1048),2)</f>
        <v>0</v>
      </c>
      <c r="R1048" s="54">
        <f>ROUND((H1048*N1048),2)</f>
        <v>0</v>
      </c>
      <c r="S1048" s="54"/>
      <c r="T1048" s="36"/>
      <c r="XDA1048"/>
      <c r="XDB1048"/>
      <c r="XDC1048"/>
      <c r="XDD1048"/>
      <c r="XDE1048"/>
      <c r="XDF1048"/>
      <c r="XDG1048"/>
      <c r="XDH1048"/>
      <c r="XDI1048"/>
      <c r="XDJ1048"/>
      <c r="XDK1048"/>
      <c r="XDL1048"/>
      <c r="XDM1048"/>
      <c r="XDN1048"/>
      <c r="XDO1048"/>
      <c r="XDP1048"/>
      <c r="XDQ1048"/>
      <c r="XDR1048"/>
      <c r="XDS1048"/>
      <c r="XDT1048"/>
      <c r="XDU1048"/>
      <c r="XDV1048"/>
      <c r="XDW1048"/>
      <c r="XDX1048"/>
      <c r="XDY1048"/>
      <c r="XDZ1048"/>
      <c r="XEA1048"/>
      <c r="XEB1048"/>
      <c r="XEC1048"/>
      <c r="XED1048"/>
      <c r="XEE1048"/>
      <c r="XEF1048"/>
      <c r="XEG1048"/>
      <c r="XEH1048"/>
      <c r="XEI1048"/>
      <c r="XEJ1048"/>
      <c r="XEK1048"/>
      <c r="XEL1048"/>
      <c r="XEM1048"/>
      <c r="XEN1048"/>
      <c r="XEO1048"/>
      <c r="XEP1048"/>
      <c r="XEQ1048"/>
      <c r="XER1048"/>
      <c r="XES1048"/>
      <c r="XET1048"/>
      <c r="XEU1048"/>
      <c r="XEV1048"/>
      <c r="XEW1048"/>
      <c r="XEX1048"/>
      <c r="XEY1048"/>
      <c r="XEZ1048"/>
      <c r="XFA1048"/>
      <c r="XFB1048"/>
      <c r="XFC1048"/>
    </row>
    <row r="1049" spans="1:20 16329:16383" s="38" customFormat="1" ht="29.1" customHeight="1" outlineLevel="3" x14ac:dyDescent="0.25">
      <c r="A1049" s="55" t="s">
        <v>1988</v>
      </c>
      <c r="B1049" s="56" t="s">
        <v>1989</v>
      </c>
      <c r="C1049" s="56" t="s">
        <v>1926</v>
      </c>
      <c r="D1049" s="2" t="s">
        <v>1990</v>
      </c>
      <c r="E1049" s="2"/>
      <c r="F1049" s="57"/>
      <c r="G1049" s="56" t="s">
        <v>102</v>
      </c>
      <c r="H1049" s="58"/>
      <c r="I1049" s="36"/>
      <c r="J1049" s="58"/>
      <c r="K1049" s="59"/>
      <c r="L1049" s="59"/>
      <c r="M1049" s="59"/>
      <c r="N1049" s="59"/>
      <c r="O1049" s="59">
        <f>O1050+O1054+O1058</f>
        <v>0</v>
      </c>
      <c r="P1049" s="59">
        <f>P1050+P1054+P1058</f>
        <v>0</v>
      </c>
      <c r="Q1049" s="59">
        <f>Q1050+Q1054+Q1058</f>
        <v>0</v>
      </c>
      <c r="R1049" s="59">
        <f>R1050+R1054+R1058</f>
        <v>0</v>
      </c>
      <c r="S1049" s="59"/>
      <c r="T1049" s="36"/>
      <c r="XDA1049"/>
      <c r="XDB1049"/>
      <c r="XDC1049"/>
      <c r="XDD1049"/>
      <c r="XDE1049"/>
      <c r="XDF1049"/>
      <c r="XDG1049"/>
      <c r="XDH1049"/>
      <c r="XDI1049"/>
      <c r="XDJ1049"/>
      <c r="XDK1049"/>
      <c r="XDL1049"/>
      <c r="XDM1049"/>
      <c r="XDN1049"/>
      <c r="XDO1049"/>
      <c r="XDP1049"/>
      <c r="XDQ1049"/>
      <c r="XDR1049"/>
      <c r="XDS1049"/>
      <c r="XDT1049"/>
      <c r="XDU1049"/>
      <c r="XDV1049"/>
      <c r="XDW1049"/>
      <c r="XDX1049"/>
      <c r="XDY1049"/>
      <c r="XDZ1049"/>
      <c r="XEA1049"/>
      <c r="XEB1049"/>
      <c r="XEC1049"/>
      <c r="XED1049"/>
      <c r="XEE1049"/>
      <c r="XEF1049"/>
      <c r="XEG1049"/>
      <c r="XEH1049"/>
      <c r="XEI1049"/>
      <c r="XEJ1049"/>
      <c r="XEK1049"/>
      <c r="XEL1049"/>
      <c r="XEM1049"/>
      <c r="XEN1049"/>
      <c r="XEO1049"/>
      <c r="XEP1049"/>
      <c r="XEQ1049"/>
      <c r="XER1049"/>
      <c r="XES1049"/>
      <c r="XET1049"/>
      <c r="XEU1049"/>
      <c r="XEV1049"/>
      <c r="XEW1049"/>
      <c r="XEX1049"/>
      <c r="XEY1049"/>
      <c r="XEZ1049"/>
      <c r="XFA1049"/>
      <c r="XFB1049"/>
      <c r="XFC1049"/>
    </row>
    <row r="1050" spans="1:20 16329:16383" s="38" customFormat="1" ht="29.1" customHeight="1" outlineLevel="4" x14ac:dyDescent="0.25">
      <c r="A1050" s="60" t="s">
        <v>1991</v>
      </c>
      <c r="B1050" s="61" t="s">
        <v>1992</v>
      </c>
      <c r="C1050" s="61"/>
      <c r="D1050" s="1" t="s">
        <v>1873</v>
      </c>
      <c r="E1050" s="1"/>
      <c r="F1050" s="62"/>
      <c r="G1050" s="61"/>
      <c r="H1050" s="63"/>
      <c r="I1050" s="36"/>
      <c r="J1050" s="63"/>
      <c r="K1050" s="64"/>
      <c r="L1050" s="64"/>
      <c r="M1050" s="64"/>
      <c r="N1050" s="64"/>
      <c r="O1050" s="64">
        <f>SUM(O1051:O1053)</f>
        <v>0</v>
      </c>
      <c r="P1050" s="64">
        <f>SUM(P1051:P1053)</f>
        <v>0</v>
      </c>
      <c r="Q1050" s="64">
        <f>SUM(Q1051:Q1053)</f>
        <v>0</v>
      </c>
      <c r="R1050" s="64">
        <f>SUM(R1051:R1053)</f>
        <v>0</v>
      </c>
      <c r="S1050" s="64"/>
      <c r="T1050" s="36"/>
      <c r="XDA1050"/>
      <c r="XDB1050"/>
      <c r="XDC1050"/>
      <c r="XDD1050"/>
      <c r="XDE1050"/>
      <c r="XDF1050"/>
      <c r="XDG1050"/>
      <c r="XDH1050"/>
      <c r="XDI1050"/>
      <c r="XDJ1050"/>
      <c r="XDK1050"/>
      <c r="XDL1050"/>
      <c r="XDM1050"/>
      <c r="XDN1050"/>
      <c r="XDO1050"/>
      <c r="XDP1050"/>
      <c r="XDQ1050"/>
      <c r="XDR1050"/>
      <c r="XDS1050"/>
      <c r="XDT1050"/>
      <c r="XDU1050"/>
      <c r="XDV1050"/>
      <c r="XDW1050"/>
      <c r="XDX1050"/>
      <c r="XDY1050"/>
      <c r="XDZ1050"/>
      <c r="XEA1050"/>
      <c r="XEB1050"/>
      <c r="XEC1050"/>
      <c r="XED1050"/>
      <c r="XEE1050"/>
      <c r="XEF1050"/>
      <c r="XEG1050"/>
      <c r="XEH1050"/>
      <c r="XEI1050"/>
      <c r="XEJ1050"/>
      <c r="XEK1050"/>
      <c r="XEL1050"/>
      <c r="XEM1050"/>
      <c r="XEN1050"/>
      <c r="XEO1050"/>
      <c r="XEP1050"/>
      <c r="XEQ1050"/>
      <c r="XER1050"/>
      <c r="XES1050"/>
      <c r="XET1050"/>
      <c r="XEU1050"/>
      <c r="XEV1050"/>
      <c r="XEW1050"/>
      <c r="XEX1050"/>
      <c r="XEY1050"/>
      <c r="XEZ1050"/>
      <c r="XFA1050"/>
      <c r="XFB1050"/>
      <c r="XFC1050"/>
    </row>
    <row r="1051" spans="1:20 16329:16383" s="38" customFormat="1" ht="29.1" customHeight="1" outlineLevel="5" x14ac:dyDescent="0.25">
      <c r="A1051" s="49" t="s">
        <v>1993</v>
      </c>
      <c r="B1051" s="50"/>
      <c r="C1051" s="50"/>
      <c r="D1051" s="3" t="s">
        <v>1875</v>
      </c>
      <c r="E1051" s="3"/>
      <c r="F1051" s="51"/>
      <c r="G1051" s="50" t="s">
        <v>102</v>
      </c>
      <c r="H1051" s="52">
        <f>1</f>
        <v>1</v>
      </c>
      <c r="I1051" s="36"/>
      <c r="J1051" s="52">
        <v>1</v>
      </c>
      <c r="K1051" s="53">
        <f>0</f>
        <v>0</v>
      </c>
      <c r="L1051" s="53">
        <f>0</f>
        <v>0</v>
      </c>
      <c r="M1051" s="53">
        <f>0</f>
        <v>0</v>
      </c>
      <c r="N1051" s="54">
        <f>SUM(K1051:M1051)</f>
        <v>0</v>
      </c>
      <c r="O1051" s="54">
        <f>ROUND((H1051*K1051),2)</f>
        <v>0</v>
      </c>
      <c r="P1051" s="54">
        <f>ROUND((H1051*L1051),2)</f>
        <v>0</v>
      </c>
      <c r="Q1051" s="54">
        <f>ROUND((H1051*M1051),2)</f>
        <v>0</v>
      </c>
      <c r="R1051" s="54">
        <f>ROUND((H1051*N1051),2)</f>
        <v>0</v>
      </c>
      <c r="S1051" s="54"/>
      <c r="T1051" s="36"/>
      <c r="XDA1051"/>
      <c r="XDB1051"/>
      <c r="XDC1051"/>
      <c r="XDD1051"/>
      <c r="XDE1051"/>
      <c r="XDF1051"/>
      <c r="XDG1051"/>
      <c r="XDH1051"/>
      <c r="XDI1051"/>
      <c r="XDJ1051"/>
      <c r="XDK1051"/>
      <c r="XDL1051"/>
      <c r="XDM1051"/>
      <c r="XDN1051"/>
      <c r="XDO1051"/>
      <c r="XDP1051"/>
      <c r="XDQ1051"/>
      <c r="XDR1051"/>
      <c r="XDS1051"/>
      <c r="XDT1051"/>
      <c r="XDU1051"/>
      <c r="XDV1051"/>
      <c r="XDW1051"/>
      <c r="XDX1051"/>
      <c r="XDY1051"/>
      <c r="XDZ1051"/>
      <c r="XEA1051"/>
      <c r="XEB1051"/>
      <c r="XEC1051"/>
      <c r="XED1051"/>
      <c r="XEE1051"/>
      <c r="XEF1051"/>
      <c r="XEG1051"/>
      <c r="XEH1051"/>
      <c r="XEI1051"/>
      <c r="XEJ1051"/>
      <c r="XEK1051"/>
      <c r="XEL1051"/>
      <c r="XEM1051"/>
      <c r="XEN1051"/>
      <c r="XEO1051"/>
      <c r="XEP1051"/>
      <c r="XEQ1051"/>
      <c r="XER1051"/>
      <c r="XES1051"/>
      <c r="XET1051"/>
      <c r="XEU1051"/>
      <c r="XEV1051"/>
      <c r="XEW1051"/>
      <c r="XEX1051"/>
      <c r="XEY1051"/>
      <c r="XEZ1051"/>
      <c r="XFA1051"/>
      <c r="XFB1051"/>
      <c r="XFC1051"/>
    </row>
    <row r="1052" spans="1:20 16329:16383" s="38" customFormat="1" ht="29.1" customHeight="1" outlineLevel="5" x14ac:dyDescent="0.25">
      <c r="A1052" s="49" t="s">
        <v>1994</v>
      </c>
      <c r="B1052" s="50"/>
      <c r="C1052" s="50"/>
      <c r="D1052" s="3" t="s">
        <v>1552</v>
      </c>
      <c r="E1052" s="3"/>
      <c r="F1052" s="51"/>
      <c r="G1052" s="50" t="s">
        <v>102</v>
      </c>
      <c r="H1052" s="52">
        <f>1</f>
        <v>1</v>
      </c>
      <c r="I1052" s="36"/>
      <c r="J1052" s="52">
        <v>1</v>
      </c>
      <c r="K1052" s="53">
        <f>0</f>
        <v>0</v>
      </c>
      <c r="L1052" s="53">
        <f>0</f>
        <v>0</v>
      </c>
      <c r="M1052" s="53">
        <f>0</f>
        <v>0</v>
      </c>
      <c r="N1052" s="54">
        <f>SUM(K1052:M1052)</f>
        <v>0</v>
      </c>
      <c r="O1052" s="54">
        <f>ROUND((H1052*K1052),2)</f>
        <v>0</v>
      </c>
      <c r="P1052" s="54">
        <f>ROUND((H1052*L1052),2)</f>
        <v>0</v>
      </c>
      <c r="Q1052" s="54">
        <f>ROUND((H1052*M1052),2)</f>
        <v>0</v>
      </c>
      <c r="R1052" s="54">
        <f>ROUND((H1052*N1052),2)</f>
        <v>0</v>
      </c>
      <c r="S1052" s="54"/>
      <c r="T1052" s="36"/>
      <c r="XDA1052"/>
      <c r="XDB1052"/>
      <c r="XDC1052"/>
      <c r="XDD1052"/>
      <c r="XDE1052"/>
      <c r="XDF1052"/>
      <c r="XDG1052"/>
      <c r="XDH1052"/>
      <c r="XDI1052"/>
      <c r="XDJ1052"/>
      <c r="XDK1052"/>
      <c r="XDL1052"/>
      <c r="XDM1052"/>
      <c r="XDN1052"/>
      <c r="XDO1052"/>
      <c r="XDP1052"/>
      <c r="XDQ1052"/>
      <c r="XDR1052"/>
      <c r="XDS1052"/>
      <c r="XDT1052"/>
      <c r="XDU1052"/>
      <c r="XDV1052"/>
      <c r="XDW1052"/>
      <c r="XDX1052"/>
      <c r="XDY1052"/>
      <c r="XDZ1052"/>
      <c r="XEA1052"/>
      <c r="XEB1052"/>
      <c r="XEC1052"/>
      <c r="XED1052"/>
      <c r="XEE1052"/>
      <c r="XEF1052"/>
      <c r="XEG1052"/>
      <c r="XEH1052"/>
      <c r="XEI1052"/>
      <c r="XEJ1052"/>
      <c r="XEK1052"/>
      <c r="XEL1052"/>
      <c r="XEM1052"/>
      <c r="XEN1052"/>
      <c r="XEO1052"/>
      <c r="XEP1052"/>
      <c r="XEQ1052"/>
      <c r="XER1052"/>
      <c r="XES1052"/>
      <c r="XET1052"/>
      <c r="XEU1052"/>
      <c r="XEV1052"/>
      <c r="XEW1052"/>
      <c r="XEX1052"/>
      <c r="XEY1052"/>
      <c r="XEZ1052"/>
      <c r="XFA1052"/>
      <c r="XFB1052"/>
      <c r="XFC1052"/>
    </row>
    <row r="1053" spans="1:20 16329:16383" s="38" customFormat="1" ht="29.1" customHeight="1" outlineLevel="5" x14ac:dyDescent="0.25">
      <c r="A1053" s="49" t="s">
        <v>1995</v>
      </c>
      <c r="B1053" s="50"/>
      <c r="C1053" s="50"/>
      <c r="D1053" s="3" t="s">
        <v>1996</v>
      </c>
      <c r="E1053" s="3"/>
      <c r="F1053" s="51"/>
      <c r="G1053" s="50" t="s">
        <v>102</v>
      </c>
      <c r="H1053" s="52">
        <f>1</f>
        <v>1</v>
      </c>
      <c r="I1053" s="36"/>
      <c r="J1053" s="52">
        <v>1</v>
      </c>
      <c r="K1053" s="53">
        <f>0</f>
        <v>0</v>
      </c>
      <c r="L1053" s="53">
        <f>0</f>
        <v>0</v>
      </c>
      <c r="M1053" s="53">
        <f>0</f>
        <v>0</v>
      </c>
      <c r="N1053" s="54">
        <f>SUM(K1053:M1053)</f>
        <v>0</v>
      </c>
      <c r="O1053" s="54">
        <f>ROUND((H1053*K1053),2)</f>
        <v>0</v>
      </c>
      <c r="P1053" s="54">
        <f>ROUND((H1053*L1053),2)</f>
        <v>0</v>
      </c>
      <c r="Q1053" s="54">
        <f>ROUND((H1053*M1053),2)</f>
        <v>0</v>
      </c>
      <c r="R1053" s="54">
        <f>ROUND((H1053*N1053),2)</f>
        <v>0</v>
      </c>
      <c r="S1053" s="54"/>
      <c r="T1053" s="36"/>
      <c r="XDA1053"/>
      <c r="XDB1053"/>
      <c r="XDC1053"/>
      <c r="XDD1053"/>
      <c r="XDE1053"/>
      <c r="XDF1053"/>
      <c r="XDG1053"/>
      <c r="XDH1053"/>
      <c r="XDI1053"/>
      <c r="XDJ1053"/>
      <c r="XDK1053"/>
      <c r="XDL1053"/>
      <c r="XDM1053"/>
      <c r="XDN1053"/>
      <c r="XDO1053"/>
      <c r="XDP1053"/>
      <c r="XDQ1053"/>
      <c r="XDR1053"/>
      <c r="XDS1053"/>
      <c r="XDT1053"/>
      <c r="XDU1053"/>
      <c r="XDV1053"/>
      <c r="XDW1053"/>
      <c r="XDX1053"/>
      <c r="XDY1053"/>
      <c r="XDZ1053"/>
      <c r="XEA1053"/>
      <c r="XEB1053"/>
      <c r="XEC1053"/>
      <c r="XED1053"/>
      <c r="XEE1053"/>
      <c r="XEF1053"/>
      <c r="XEG1053"/>
      <c r="XEH1053"/>
      <c r="XEI1053"/>
      <c r="XEJ1053"/>
      <c r="XEK1053"/>
      <c r="XEL1053"/>
      <c r="XEM1053"/>
      <c r="XEN1053"/>
      <c r="XEO1053"/>
      <c r="XEP1053"/>
      <c r="XEQ1053"/>
      <c r="XER1053"/>
      <c r="XES1053"/>
      <c r="XET1053"/>
      <c r="XEU1053"/>
      <c r="XEV1053"/>
      <c r="XEW1053"/>
      <c r="XEX1053"/>
      <c r="XEY1053"/>
      <c r="XEZ1053"/>
      <c r="XFA1053"/>
      <c r="XFB1053"/>
      <c r="XFC1053"/>
    </row>
    <row r="1054" spans="1:20 16329:16383" s="38" customFormat="1" ht="29.1" customHeight="1" outlineLevel="4" x14ac:dyDescent="0.25">
      <c r="A1054" s="60" t="s">
        <v>1997</v>
      </c>
      <c r="B1054" s="61" t="s">
        <v>1998</v>
      </c>
      <c r="C1054" s="61"/>
      <c r="D1054" s="1" t="s">
        <v>344</v>
      </c>
      <c r="E1054" s="1"/>
      <c r="F1054" s="62"/>
      <c r="G1054" s="61"/>
      <c r="H1054" s="63"/>
      <c r="I1054" s="36"/>
      <c r="J1054" s="63"/>
      <c r="K1054" s="64"/>
      <c r="L1054" s="64"/>
      <c r="M1054" s="64"/>
      <c r="N1054" s="64"/>
      <c r="O1054" s="64">
        <f>SUM(O1055:O1057)</f>
        <v>0</v>
      </c>
      <c r="P1054" s="64">
        <f>SUM(P1055:P1057)</f>
        <v>0</v>
      </c>
      <c r="Q1054" s="64">
        <f>SUM(Q1055:Q1057)</f>
        <v>0</v>
      </c>
      <c r="R1054" s="64">
        <f>SUM(R1055:R1057)</f>
        <v>0</v>
      </c>
      <c r="S1054" s="64"/>
      <c r="T1054" s="36"/>
      <c r="XDA1054"/>
      <c r="XDB1054"/>
      <c r="XDC1054"/>
      <c r="XDD1054"/>
      <c r="XDE1054"/>
      <c r="XDF1054"/>
      <c r="XDG1054"/>
      <c r="XDH1054"/>
      <c r="XDI1054"/>
      <c r="XDJ1054"/>
      <c r="XDK1054"/>
      <c r="XDL1054"/>
      <c r="XDM1054"/>
      <c r="XDN1054"/>
      <c r="XDO1054"/>
      <c r="XDP1054"/>
      <c r="XDQ1054"/>
      <c r="XDR1054"/>
      <c r="XDS1054"/>
      <c r="XDT1054"/>
      <c r="XDU1054"/>
      <c r="XDV1054"/>
      <c r="XDW1054"/>
      <c r="XDX1054"/>
      <c r="XDY1054"/>
      <c r="XDZ1054"/>
      <c r="XEA1054"/>
      <c r="XEB1054"/>
      <c r="XEC1054"/>
      <c r="XED1054"/>
      <c r="XEE1054"/>
      <c r="XEF1054"/>
      <c r="XEG1054"/>
      <c r="XEH1054"/>
      <c r="XEI1054"/>
      <c r="XEJ1054"/>
      <c r="XEK1054"/>
      <c r="XEL1054"/>
      <c r="XEM1054"/>
      <c r="XEN1054"/>
      <c r="XEO1054"/>
      <c r="XEP1054"/>
      <c r="XEQ1054"/>
      <c r="XER1054"/>
      <c r="XES1054"/>
      <c r="XET1054"/>
      <c r="XEU1054"/>
      <c r="XEV1054"/>
      <c r="XEW1054"/>
      <c r="XEX1054"/>
      <c r="XEY1054"/>
      <c r="XEZ1054"/>
      <c r="XFA1054"/>
      <c r="XFB1054"/>
      <c r="XFC1054"/>
    </row>
    <row r="1055" spans="1:20 16329:16383" s="38" customFormat="1" ht="29.1" customHeight="1" outlineLevel="5" x14ac:dyDescent="0.25">
      <c r="A1055" s="49" t="s">
        <v>1999</v>
      </c>
      <c r="B1055" s="50"/>
      <c r="C1055" s="50"/>
      <c r="D1055" s="3" t="s">
        <v>1884</v>
      </c>
      <c r="E1055" s="3"/>
      <c r="F1055" s="51"/>
      <c r="G1055" s="50" t="s">
        <v>102</v>
      </c>
      <c r="H1055" s="52">
        <f>1</f>
        <v>1</v>
      </c>
      <c r="I1055" s="36"/>
      <c r="J1055" s="52">
        <v>1</v>
      </c>
      <c r="K1055" s="53">
        <f>0</f>
        <v>0</v>
      </c>
      <c r="L1055" s="53">
        <f>0</f>
        <v>0</v>
      </c>
      <c r="M1055" s="53">
        <f>0</f>
        <v>0</v>
      </c>
      <c r="N1055" s="54">
        <f>SUM(K1055:M1055)</f>
        <v>0</v>
      </c>
      <c r="O1055" s="54">
        <f>ROUND((H1055*K1055),2)</f>
        <v>0</v>
      </c>
      <c r="P1055" s="54">
        <f>ROUND((H1055*L1055),2)</f>
        <v>0</v>
      </c>
      <c r="Q1055" s="54">
        <f>ROUND((H1055*M1055),2)</f>
        <v>0</v>
      </c>
      <c r="R1055" s="54">
        <f>ROUND((H1055*N1055),2)</f>
        <v>0</v>
      </c>
      <c r="S1055" s="54"/>
      <c r="T1055" s="36"/>
      <c r="XDA1055"/>
      <c r="XDB1055"/>
      <c r="XDC1055"/>
      <c r="XDD1055"/>
      <c r="XDE1055"/>
      <c r="XDF1055"/>
      <c r="XDG1055"/>
      <c r="XDH1055"/>
      <c r="XDI1055"/>
      <c r="XDJ1055"/>
      <c r="XDK1055"/>
      <c r="XDL1055"/>
      <c r="XDM1055"/>
      <c r="XDN1055"/>
      <c r="XDO1055"/>
      <c r="XDP1055"/>
      <c r="XDQ1055"/>
      <c r="XDR1055"/>
      <c r="XDS1055"/>
      <c r="XDT1055"/>
      <c r="XDU1055"/>
      <c r="XDV1055"/>
      <c r="XDW1055"/>
      <c r="XDX1055"/>
      <c r="XDY1055"/>
      <c r="XDZ1055"/>
      <c r="XEA1055"/>
      <c r="XEB1055"/>
      <c r="XEC1055"/>
      <c r="XED1055"/>
      <c r="XEE1055"/>
      <c r="XEF1055"/>
      <c r="XEG1055"/>
      <c r="XEH1055"/>
      <c r="XEI1055"/>
      <c r="XEJ1055"/>
      <c r="XEK1055"/>
      <c r="XEL1055"/>
      <c r="XEM1055"/>
      <c r="XEN1055"/>
      <c r="XEO1055"/>
      <c r="XEP1055"/>
      <c r="XEQ1055"/>
      <c r="XER1055"/>
      <c r="XES1055"/>
      <c r="XET1055"/>
      <c r="XEU1055"/>
      <c r="XEV1055"/>
      <c r="XEW1055"/>
      <c r="XEX1055"/>
      <c r="XEY1055"/>
      <c r="XEZ1055"/>
      <c r="XFA1055"/>
      <c r="XFB1055"/>
      <c r="XFC1055"/>
    </row>
    <row r="1056" spans="1:20 16329:16383" s="38" customFormat="1" ht="29.1" customHeight="1" outlineLevel="5" x14ac:dyDescent="0.25">
      <c r="A1056" s="49" t="s">
        <v>2000</v>
      </c>
      <c r="B1056" s="50"/>
      <c r="C1056" s="50"/>
      <c r="D1056" s="3" t="s">
        <v>2001</v>
      </c>
      <c r="E1056" s="3"/>
      <c r="F1056" s="51"/>
      <c r="G1056" s="50" t="s">
        <v>102</v>
      </c>
      <c r="H1056" s="52">
        <f>1</f>
        <v>1</v>
      </c>
      <c r="I1056" s="36"/>
      <c r="J1056" s="52">
        <v>1</v>
      </c>
      <c r="K1056" s="53">
        <f>0</f>
        <v>0</v>
      </c>
      <c r="L1056" s="53">
        <f>0</f>
        <v>0</v>
      </c>
      <c r="M1056" s="53">
        <f>0</f>
        <v>0</v>
      </c>
      <c r="N1056" s="54">
        <f>SUM(K1056:M1056)</f>
        <v>0</v>
      </c>
      <c r="O1056" s="54">
        <f>ROUND((H1056*K1056),2)</f>
        <v>0</v>
      </c>
      <c r="P1056" s="54">
        <f>ROUND((H1056*L1056),2)</f>
        <v>0</v>
      </c>
      <c r="Q1056" s="54">
        <f>ROUND((H1056*M1056),2)</f>
        <v>0</v>
      </c>
      <c r="R1056" s="54">
        <f>ROUND((H1056*N1056),2)</f>
        <v>0</v>
      </c>
      <c r="S1056" s="54"/>
      <c r="T1056" s="36"/>
      <c r="XDA1056"/>
      <c r="XDB1056"/>
      <c r="XDC1056"/>
      <c r="XDD1056"/>
      <c r="XDE1056"/>
      <c r="XDF1056"/>
      <c r="XDG1056"/>
      <c r="XDH1056"/>
      <c r="XDI1056"/>
      <c r="XDJ1056"/>
      <c r="XDK1056"/>
      <c r="XDL1056"/>
      <c r="XDM1056"/>
      <c r="XDN1056"/>
      <c r="XDO1056"/>
      <c r="XDP1056"/>
      <c r="XDQ1056"/>
      <c r="XDR1056"/>
      <c r="XDS1056"/>
      <c r="XDT1056"/>
      <c r="XDU1056"/>
      <c r="XDV1056"/>
      <c r="XDW1056"/>
      <c r="XDX1056"/>
      <c r="XDY1056"/>
      <c r="XDZ1056"/>
      <c r="XEA1056"/>
      <c r="XEB1056"/>
      <c r="XEC1056"/>
      <c r="XED1056"/>
      <c r="XEE1056"/>
      <c r="XEF1056"/>
      <c r="XEG1056"/>
      <c r="XEH1056"/>
      <c r="XEI1056"/>
      <c r="XEJ1056"/>
      <c r="XEK1056"/>
      <c r="XEL1056"/>
      <c r="XEM1056"/>
      <c r="XEN1056"/>
      <c r="XEO1056"/>
      <c r="XEP1056"/>
      <c r="XEQ1056"/>
      <c r="XER1056"/>
      <c r="XES1056"/>
      <c r="XET1056"/>
      <c r="XEU1056"/>
      <c r="XEV1056"/>
      <c r="XEW1056"/>
      <c r="XEX1056"/>
      <c r="XEY1056"/>
      <c r="XEZ1056"/>
      <c r="XFA1056"/>
      <c r="XFB1056"/>
      <c r="XFC1056"/>
    </row>
    <row r="1057" spans="1:20 16329:16383" s="38" customFormat="1" ht="29.1" customHeight="1" outlineLevel="5" x14ac:dyDescent="0.25">
      <c r="A1057" s="49" t="s">
        <v>2002</v>
      </c>
      <c r="B1057" s="50"/>
      <c r="C1057" s="50"/>
      <c r="D1057" s="3" t="s">
        <v>2003</v>
      </c>
      <c r="E1057" s="3"/>
      <c r="F1057" s="51"/>
      <c r="G1057" s="50" t="s">
        <v>102</v>
      </c>
      <c r="H1057" s="52">
        <f>1</f>
        <v>1</v>
      </c>
      <c r="I1057" s="36"/>
      <c r="J1057" s="52">
        <v>1</v>
      </c>
      <c r="K1057" s="53">
        <f>0</f>
        <v>0</v>
      </c>
      <c r="L1057" s="53">
        <f>0</f>
        <v>0</v>
      </c>
      <c r="M1057" s="53">
        <f>0</f>
        <v>0</v>
      </c>
      <c r="N1057" s="54">
        <f>SUM(K1057:M1057)</f>
        <v>0</v>
      </c>
      <c r="O1057" s="54">
        <f>ROUND((H1057*K1057),2)</f>
        <v>0</v>
      </c>
      <c r="P1057" s="54">
        <f>ROUND((H1057*L1057),2)</f>
        <v>0</v>
      </c>
      <c r="Q1057" s="54">
        <f>ROUND((H1057*M1057),2)</f>
        <v>0</v>
      </c>
      <c r="R1057" s="54">
        <f>ROUND((H1057*N1057),2)</f>
        <v>0</v>
      </c>
      <c r="S1057" s="54"/>
      <c r="T1057" s="36"/>
      <c r="XDA1057"/>
      <c r="XDB1057"/>
      <c r="XDC1057"/>
      <c r="XDD1057"/>
      <c r="XDE1057"/>
      <c r="XDF1057"/>
      <c r="XDG1057"/>
      <c r="XDH1057"/>
      <c r="XDI1057"/>
      <c r="XDJ1057"/>
      <c r="XDK1057"/>
      <c r="XDL1057"/>
      <c r="XDM1057"/>
      <c r="XDN1057"/>
      <c r="XDO1057"/>
      <c r="XDP1057"/>
      <c r="XDQ1057"/>
      <c r="XDR1057"/>
      <c r="XDS1057"/>
      <c r="XDT1057"/>
      <c r="XDU1057"/>
      <c r="XDV1057"/>
      <c r="XDW1057"/>
      <c r="XDX1057"/>
      <c r="XDY1057"/>
      <c r="XDZ1057"/>
      <c r="XEA1057"/>
      <c r="XEB1057"/>
      <c r="XEC1057"/>
      <c r="XED1057"/>
      <c r="XEE1057"/>
      <c r="XEF1057"/>
      <c r="XEG1057"/>
      <c r="XEH1057"/>
      <c r="XEI1057"/>
      <c r="XEJ1057"/>
      <c r="XEK1057"/>
      <c r="XEL1057"/>
      <c r="XEM1057"/>
      <c r="XEN1057"/>
      <c r="XEO1057"/>
      <c r="XEP1057"/>
      <c r="XEQ1057"/>
      <c r="XER1057"/>
      <c r="XES1057"/>
      <c r="XET1057"/>
      <c r="XEU1057"/>
      <c r="XEV1057"/>
      <c r="XEW1057"/>
      <c r="XEX1057"/>
      <c r="XEY1057"/>
      <c r="XEZ1057"/>
      <c r="XFA1057"/>
      <c r="XFB1057"/>
      <c r="XFC1057"/>
    </row>
    <row r="1058" spans="1:20 16329:16383" s="38" customFormat="1" ht="29.1" customHeight="1" outlineLevel="4" x14ac:dyDescent="0.25">
      <c r="A1058" s="60" t="s">
        <v>2004</v>
      </c>
      <c r="B1058" s="61" t="s">
        <v>2005</v>
      </c>
      <c r="C1058" s="61"/>
      <c r="D1058" s="1" t="s">
        <v>1899</v>
      </c>
      <c r="E1058" s="1"/>
      <c r="F1058" s="62"/>
      <c r="G1058" s="61"/>
      <c r="H1058" s="63"/>
      <c r="I1058" s="36"/>
      <c r="J1058" s="63"/>
      <c r="K1058" s="64"/>
      <c r="L1058" s="64"/>
      <c r="M1058" s="64"/>
      <c r="N1058" s="64"/>
      <c r="O1058" s="64">
        <f>O1059</f>
        <v>0</v>
      </c>
      <c r="P1058" s="64">
        <f>P1059</f>
        <v>0</v>
      </c>
      <c r="Q1058" s="64">
        <f>Q1059</f>
        <v>0</v>
      </c>
      <c r="R1058" s="64">
        <f>R1059</f>
        <v>0</v>
      </c>
      <c r="S1058" s="64"/>
      <c r="T1058" s="36"/>
      <c r="XDA1058"/>
      <c r="XDB1058"/>
      <c r="XDC1058"/>
      <c r="XDD1058"/>
      <c r="XDE1058"/>
      <c r="XDF1058"/>
      <c r="XDG1058"/>
      <c r="XDH1058"/>
      <c r="XDI1058"/>
      <c r="XDJ1058"/>
      <c r="XDK1058"/>
      <c r="XDL1058"/>
      <c r="XDM1058"/>
      <c r="XDN1058"/>
      <c r="XDO1058"/>
      <c r="XDP1058"/>
      <c r="XDQ1058"/>
      <c r="XDR1058"/>
      <c r="XDS1058"/>
      <c r="XDT1058"/>
      <c r="XDU1058"/>
      <c r="XDV1058"/>
      <c r="XDW1058"/>
      <c r="XDX1058"/>
      <c r="XDY1058"/>
      <c r="XDZ1058"/>
      <c r="XEA1058"/>
      <c r="XEB1058"/>
      <c r="XEC1058"/>
      <c r="XED1058"/>
      <c r="XEE1058"/>
      <c r="XEF1058"/>
      <c r="XEG1058"/>
      <c r="XEH1058"/>
      <c r="XEI1058"/>
      <c r="XEJ1058"/>
      <c r="XEK1058"/>
      <c r="XEL1058"/>
      <c r="XEM1058"/>
      <c r="XEN1058"/>
      <c r="XEO1058"/>
      <c r="XEP1058"/>
      <c r="XEQ1058"/>
      <c r="XER1058"/>
      <c r="XES1058"/>
      <c r="XET1058"/>
      <c r="XEU1058"/>
      <c r="XEV1058"/>
      <c r="XEW1058"/>
      <c r="XEX1058"/>
      <c r="XEY1058"/>
      <c r="XEZ1058"/>
      <c r="XFA1058"/>
      <c r="XFB1058"/>
      <c r="XFC1058"/>
    </row>
    <row r="1059" spans="1:20 16329:16383" s="38" customFormat="1" ht="29.1" customHeight="1" outlineLevel="5" x14ac:dyDescent="0.25">
      <c r="A1059" s="49" t="s">
        <v>2006</v>
      </c>
      <c r="B1059" s="50"/>
      <c r="C1059" s="50"/>
      <c r="D1059" s="3" t="s">
        <v>2007</v>
      </c>
      <c r="E1059" s="3"/>
      <c r="F1059" s="51"/>
      <c r="G1059" s="50" t="s">
        <v>102</v>
      </c>
      <c r="H1059" s="52">
        <f>1</f>
        <v>1</v>
      </c>
      <c r="I1059" s="36"/>
      <c r="J1059" s="52">
        <v>1</v>
      </c>
      <c r="K1059" s="53">
        <f>0</f>
        <v>0</v>
      </c>
      <c r="L1059" s="53">
        <f>0</f>
        <v>0</v>
      </c>
      <c r="M1059" s="53">
        <f>0</f>
        <v>0</v>
      </c>
      <c r="N1059" s="54">
        <f>SUM(K1059:M1059)</f>
        <v>0</v>
      </c>
      <c r="O1059" s="54">
        <f>ROUND((H1059*K1059),2)</f>
        <v>0</v>
      </c>
      <c r="P1059" s="54">
        <f>ROUND((H1059*L1059),2)</f>
        <v>0</v>
      </c>
      <c r="Q1059" s="54">
        <f>ROUND((H1059*M1059),2)</f>
        <v>0</v>
      </c>
      <c r="R1059" s="54">
        <f>ROUND((H1059*N1059),2)</f>
        <v>0</v>
      </c>
      <c r="S1059" s="54"/>
      <c r="T1059" s="36"/>
      <c r="XDA1059"/>
      <c r="XDB1059"/>
      <c r="XDC1059"/>
      <c r="XDD1059"/>
      <c r="XDE1059"/>
      <c r="XDF1059"/>
      <c r="XDG1059"/>
      <c r="XDH1059"/>
      <c r="XDI1059"/>
      <c r="XDJ1059"/>
      <c r="XDK1059"/>
      <c r="XDL1059"/>
      <c r="XDM1059"/>
      <c r="XDN1059"/>
      <c r="XDO1059"/>
      <c r="XDP1059"/>
      <c r="XDQ1059"/>
      <c r="XDR1059"/>
      <c r="XDS1059"/>
      <c r="XDT1059"/>
      <c r="XDU1059"/>
      <c r="XDV1059"/>
      <c r="XDW1059"/>
      <c r="XDX1059"/>
      <c r="XDY1059"/>
      <c r="XDZ1059"/>
      <c r="XEA1059"/>
      <c r="XEB1059"/>
      <c r="XEC1059"/>
      <c r="XED1059"/>
      <c r="XEE1059"/>
      <c r="XEF1059"/>
      <c r="XEG1059"/>
      <c r="XEH1059"/>
      <c r="XEI1059"/>
      <c r="XEJ1059"/>
      <c r="XEK1059"/>
      <c r="XEL1059"/>
      <c r="XEM1059"/>
      <c r="XEN1059"/>
      <c r="XEO1059"/>
      <c r="XEP1059"/>
      <c r="XEQ1059"/>
      <c r="XER1059"/>
      <c r="XES1059"/>
      <c r="XET1059"/>
      <c r="XEU1059"/>
      <c r="XEV1059"/>
      <c r="XEW1059"/>
      <c r="XEX1059"/>
      <c r="XEY1059"/>
      <c r="XEZ1059"/>
      <c r="XFA1059"/>
      <c r="XFB1059"/>
      <c r="XFC1059"/>
    </row>
    <row r="1060" spans="1:20 16329:16383" s="38" customFormat="1" ht="29.1" customHeight="1" outlineLevel="3" x14ac:dyDescent="0.25">
      <c r="A1060" s="55" t="s">
        <v>2008</v>
      </c>
      <c r="B1060" s="56" t="s">
        <v>2009</v>
      </c>
      <c r="C1060" s="56" t="s">
        <v>2010</v>
      </c>
      <c r="D1060" s="2" t="s">
        <v>2011</v>
      </c>
      <c r="E1060" s="2"/>
      <c r="F1060" s="57"/>
      <c r="G1060" s="56" t="s">
        <v>102</v>
      </c>
      <c r="H1060" s="58"/>
      <c r="I1060" s="36"/>
      <c r="J1060" s="58"/>
      <c r="K1060" s="59"/>
      <c r="L1060" s="59"/>
      <c r="M1060" s="59"/>
      <c r="N1060" s="59"/>
      <c r="O1060" s="59">
        <f>O1061+O1065+O1068</f>
        <v>0</v>
      </c>
      <c r="P1060" s="59">
        <f>P1061+P1065+P1068</f>
        <v>0</v>
      </c>
      <c r="Q1060" s="59">
        <f>Q1061+Q1065+Q1068</f>
        <v>0</v>
      </c>
      <c r="R1060" s="59">
        <f>R1061+R1065+R1068</f>
        <v>0</v>
      </c>
      <c r="S1060" s="59"/>
      <c r="T1060" s="36"/>
      <c r="XDA1060"/>
      <c r="XDB1060"/>
      <c r="XDC1060"/>
      <c r="XDD1060"/>
      <c r="XDE1060"/>
      <c r="XDF1060"/>
      <c r="XDG1060"/>
      <c r="XDH1060"/>
      <c r="XDI1060"/>
      <c r="XDJ1060"/>
      <c r="XDK1060"/>
      <c r="XDL1060"/>
      <c r="XDM1060"/>
      <c r="XDN1060"/>
      <c r="XDO1060"/>
      <c r="XDP1060"/>
      <c r="XDQ1060"/>
      <c r="XDR1060"/>
      <c r="XDS1060"/>
      <c r="XDT1060"/>
      <c r="XDU1060"/>
      <c r="XDV1060"/>
      <c r="XDW1060"/>
      <c r="XDX1060"/>
      <c r="XDY1060"/>
      <c r="XDZ1060"/>
      <c r="XEA1060"/>
      <c r="XEB1060"/>
      <c r="XEC1060"/>
      <c r="XED1060"/>
      <c r="XEE1060"/>
      <c r="XEF1060"/>
      <c r="XEG1060"/>
      <c r="XEH1060"/>
      <c r="XEI1060"/>
      <c r="XEJ1060"/>
      <c r="XEK1060"/>
      <c r="XEL1060"/>
      <c r="XEM1060"/>
      <c r="XEN1060"/>
      <c r="XEO1060"/>
      <c r="XEP1060"/>
      <c r="XEQ1060"/>
      <c r="XER1060"/>
      <c r="XES1060"/>
      <c r="XET1060"/>
      <c r="XEU1060"/>
      <c r="XEV1060"/>
      <c r="XEW1060"/>
      <c r="XEX1060"/>
      <c r="XEY1060"/>
      <c r="XEZ1060"/>
      <c r="XFA1060"/>
      <c r="XFB1060"/>
      <c r="XFC1060"/>
    </row>
    <row r="1061" spans="1:20 16329:16383" s="38" customFormat="1" ht="29.1" customHeight="1" outlineLevel="4" x14ac:dyDescent="0.25">
      <c r="A1061" s="60" t="s">
        <v>2012</v>
      </c>
      <c r="B1061" s="61" t="s">
        <v>2013</v>
      </c>
      <c r="C1061" s="61"/>
      <c r="D1061" s="1" t="s">
        <v>1873</v>
      </c>
      <c r="E1061" s="1"/>
      <c r="F1061" s="62"/>
      <c r="G1061" s="61"/>
      <c r="H1061" s="63"/>
      <c r="I1061" s="36"/>
      <c r="J1061" s="63"/>
      <c r="K1061" s="64"/>
      <c r="L1061" s="64"/>
      <c r="M1061" s="64"/>
      <c r="N1061" s="64"/>
      <c r="O1061" s="64">
        <f>SUM(O1062:O1064)</f>
        <v>0</v>
      </c>
      <c r="P1061" s="64">
        <f>SUM(P1062:P1064)</f>
        <v>0</v>
      </c>
      <c r="Q1061" s="64">
        <f>SUM(Q1062:Q1064)</f>
        <v>0</v>
      </c>
      <c r="R1061" s="64">
        <f>SUM(R1062:R1064)</f>
        <v>0</v>
      </c>
      <c r="S1061" s="64"/>
      <c r="T1061" s="36"/>
      <c r="XDA1061"/>
      <c r="XDB1061"/>
      <c r="XDC1061"/>
      <c r="XDD1061"/>
      <c r="XDE1061"/>
      <c r="XDF1061"/>
      <c r="XDG1061"/>
      <c r="XDH1061"/>
      <c r="XDI1061"/>
      <c r="XDJ1061"/>
      <c r="XDK1061"/>
      <c r="XDL1061"/>
      <c r="XDM1061"/>
      <c r="XDN1061"/>
      <c r="XDO1061"/>
      <c r="XDP1061"/>
      <c r="XDQ1061"/>
      <c r="XDR1061"/>
      <c r="XDS1061"/>
      <c r="XDT1061"/>
      <c r="XDU1061"/>
      <c r="XDV1061"/>
      <c r="XDW1061"/>
      <c r="XDX1061"/>
      <c r="XDY1061"/>
      <c r="XDZ1061"/>
      <c r="XEA1061"/>
      <c r="XEB1061"/>
      <c r="XEC1061"/>
      <c r="XED1061"/>
      <c r="XEE1061"/>
      <c r="XEF1061"/>
      <c r="XEG1061"/>
      <c r="XEH1061"/>
      <c r="XEI1061"/>
      <c r="XEJ1061"/>
      <c r="XEK1061"/>
      <c r="XEL1061"/>
      <c r="XEM1061"/>
      <c r="XEN1061"/>
      <c r="XEO1061"/>
      <c r="XEP1061"/>
      <c r="XEQ1061"/>
      <c r="XER1061"/>
      <c r="XES1061"/>
      <c r="XET1061"/>
      <c r="XEU1061"/>
      <c r="XEV1061"/>
      <c r="XEW1061"/>
      <c r="XEX1061"/>
      <c r="XEY1061"/>
      <c r="XEZ1061"/>
      <c r="XFA1061"/>
      <c r="XFB1061"/>
      <c r="XFC1061"/>
    </row>
    <row r="1062" spans="1:20 16329:16383" s="38" customFormat="1" ht="29.1" customHeight="1" outlineLevel="5" x14ac:dyDescent="0.25">
      <c r="A1062" s="49" t="s">
        <v>2014</v>
      </c>
      <c r="B1062" s="50"/>
      <c r="C1062" s="50"/>
      <c r="D1062" s="3" t="s">
        <v>1875</v>
      </c>
      <c r="E1062" s="3"/>
      <c r="F1062" s="51"/>
      <c r="G1062" s="50" t="s">
        <v>102</v>
      </c>
      <c r="H1062" s="52">
        <f>1</f>
        <v>1</v>
      </c>
      <c r="I1062" s="36"/>
      <c r="J1062" s="52">
        <v>1</v>
      </c>
      <c r="K1062" s="53">
        <f>0</f>
        <v>0</v>
      </c>
      <c r="L1062" s="53">
        <f>0</f>
        <v>0</v>
      </c>
      <c r="M1062" s="53">
        <f>0</f>
        <v>0</v>
      </c>
      <c r="N1062" s="54">
        <f>SUM(K1062:M1062)</f>
        <v>0</v>
      </c>
      <c r="O1062" s="54">
        <f>ROUND((H1062*K1062),2)</f>
        <v>0</v>
      </c>
      <c r="P1062" s="54">
        <f>ROUND((H1062*L1062),2)</f>
        <v>0</v>
      </c>
      <c r="Q1062" s="54">
        <f>ROUND((H1062*M1062),2)</f>
        <v>0</v>
      </c>
      <c r="R1062" s="54">
        <f>ROUND((H1062*N1062),2)</f>
        <v>0</v>
      </c>
      <c r="S1062" s="54"/>
      <c r="T1062" s="36"/>
      <c r="XDA1062"/>
      <c r="XDB1062"/>
      <c r="XDC1062"/>
      <c r="XDD1062"/>
      <c r="XDE1062"/>
      <c r="XDF1062"/>
      <c r="XDG1062"/>
      <c r="XDH1062"/>
      <c r="XDI1062"/>
      <c r="XDJ1062"/>
      <c r="XDK1062"/>
      <c r="XDL1062"/>
      <c r="XDM1062"/>
      <c r="XDN1062"/>
      <c r="XDO1062"/>
      <c r="XDP1062"/>
      <c r="XDQ1062"/>
      <c r="XDR1062"/>
      <c r="XDS1062"/>
      <c r="XDT1062"/>
      <c r="XDU1062"/>
      <c r="XDV1062"/>
      <c r="XDW1062"/>
      <c r="XDX1062"/>
      <c r="XDY1062"/>
      <c r="XDZ1062"/>
      <c r="XEA1062"/>
      <c r="XEB1062"/>
      <c r="XEC1062"/>
      <c r="XED1062"/>
      <c r="XEE1062"/>
      <c r="XEF1062"/>
      <c r="XEG1062"/>
      <c r="XEH1062"/>
      <c r="XEI1062"/>
      <c r="XEJ1062"/>
      <c r="XEK1062"/>
      <c r="XEL1062"/>
      <c r="XEM1062"/>
      <c r="XEN1062"/>
      <c r="XEO1062"/>
      <c r="XEP1062"/>
      <c r="XEQ1062"/>
      <c r="XER1062"/>
      <c r="XES1062"/>
      <c r="XET1062"/>
      <c r="XEU1062"/>
      <c r="XEV1062"/>
      <c r="XEW1062"/>
      <c r="XEX1062"/>
      <c r="XEY1062"/>
      <c r="XEZ1062"/>
      <c r="XFA1062"/>
      <c r="XFB1062"/>
      <c r="XFC1062"/>
    </row>
    <row r="1063" spans="1:20 16329:16383" s="38" customFormat="1" ht="29.1" customHeight="1" outlineLevel="5" x14ac:dyDescent="0.25">
      <c r="A1063" s="49" t="s">
        <v>2015</v>
      </c>
      <c r="B1063" s="50"/>
      <c r="C1063" s="50"/>
      <c r="D1063" s="3" t="s">
        <v>1552</v>
      </c>
      <c r="E1063" s="3"/>
      <c r="F1063" s="51"/>
      <c r="G1063" s="50" t="s">
        <v>102</v>
      </c>
      <c r="H1063" s="52">
        <f>1</f>
        <v>1</v>
      </c>
      <c r="I1063" s="36"/>
      <c r="J1063" s="52">
        <v>1</v>
      </c>
      <c r="K1063" s="53">
        <f>0</f>
        <v>0</v>
      </c>
      <c r="L1063" s="53">
        <f>0</f>
        <v>0</v>
      </c>
      <c r="M1063" s="53">
        <f>0</f>
        <v>0</v>
      </c>
      <c r="N1063" s="54">
        <f>SUM(K1063:M1063)</f>
        <v>0</v>
      </c>
      <c r="O1063" s="54">
        <f>ROUND((H1063*K1063),2)</f>
        <v>0</v>
      </c>
      <c r="P1063" s="54">
        <f>ROUND((H1063*L1063),2)</f>
        <v>0</v>
      </c>
      <c r="Q1063" s="54">
        <f>ROUND((H1063*M1063),2)</f>
        <v>0</v>
      </c>
      <c r="R1063" s="54">
        <f>ROUND((H1063*N1063),2)</f>
        <v>0</v>
      </c>
      <c r="S1063" s="54"/>
      <c r="T1063" s="36"/>
      <c r="XDA1063"/>
      <c r="XDB1063"/>
      <c r="XDC1063"/>
      <c r="XDD1063"/>
      <c r="XDE1063"/>
      <c r="XDF1063"/>
      <c r="XDG1063"/>
      <c r="XDH1063"/>
      <c r="XDI1063"/>
      <c r="XDJ1063"/>
      <c r="XDK1063"/>
      <c r="XDL1063"/>
      <c r="XDM1063"/>
      <c r="XDN1063"/>
      <c r="XDO1063"/>
      <c r="XDP1063"/>
      <c r="XDQ1063"/>
      <c r="XDR1063"/>
      <c r="XDS1063"/>
      <c r="XDT1063"/>
      <c r="XDU1063"/>
      <c r="XDV1063"/>
      <c r="XDW1063"/>
      <c r="XDX1063"/>
      <c r="XDY1063"/>
      <c r="XDZ1063"/>
      <c r="XEA1063"/>
      <c r="XEB1063"/>
      <c r="XEC1063"/>
      <c r="XED1063"/>
      <c r="XEE1063"/>
      <c r="XEF1063"/>
      <c r="XEG1063"/>
      <c r="XEH1063"/>
      <c r="XEI1063"/>
      <c r="XEJ1063"/>
      <c r="XEK1063"/>
      <c r="XEL1063"/>
      <c r="XEM1063"/>
      <c r="XEN1063"/>
      <c r="XEO1063"/>
      <c r="XEP1063"/>
      <c r="XEQ1063"/>
      <c r="XER1063"/>
      <c r="XES1063"/>
      <c r="XET1063"/>
      <c r="XEU1063"/>
      <c r="XEV1063"/>
      <c r="XEW1063"/>
      <c r="XEX1063"/>
      <c r="XEY1063"/>
      <c r="XEZ1063"/>
      <c r="XFA1063"/>
      <c r="XFB1063"/>
      <c r="XFC1063"/>
    </row>
    <row r="1064" spans="1:20 16329:16383" s="38" customFormat="1" ht="29.1" customHeight="1" outlineLevel="5" x14ac:dyDescent="0.25">
      <c r="A1064" s="49" t="s">
        <v>2016</v>
      </c>
      <c r="B1064" s="50"/>
      <c r="C1064" s="50"/>
      <c r="D1064" s="3" t="s">
        <v>1996</v>
      </c>
      <c r="E1064" s="3"/>
      <c r="F1064" s="51"/>
      <c r="G1064" s="50" t="s">
        <v>102</v>
      </c>
      <c r="H1064" s="52">
        <f>1</f>
        <v>1</v>
      </c>
      <c r="I1064" s="36"/>
      <c r="J1064" s="52">
        <v>1</v>
      </c>
      <c r="K1064" s="53">
        <f>0</f>
        <v>0</v>
      </c>
      <c r="L1064" s="53">
        <f>0</f>
        <v>0</v>
      </c>
      <c r="M1064" s="53">
        <f>0</f>
        <v>0</v>
      </c>
      <c r="N1064" s="54">
        <f>SUM(K1064:M1064)</f>
        <v>0</v>
      </c>
      <c r="O1064" s="54">
        <f>ROUND((H1064*K1064),2)</f>
        <v>0</v>
      </c>
      <c r="P1064" s="54">
        <f>ROUND((H1064*L1064),2)</f>
        <v>0</v>
      </c>
      <c r="Q1064" s="54">
        <f>ROUND((H1064*M1064),2)</f>
        <v>0</v>
      </c>
      <c r="R1064" s="54">
        <f>ROUND((H1064*N1064),2)</f>
        <v>0</v>
      </c>
      <c r="S1064" s="54"/>
      <c r="T1064" s="36"/>
      <c r="XDA1064"/>
      <c r="XDB1064"/>
      <c r="XDC1064"/>
      <c r="XDD1064"/>
      <c r="XDE1064"/>
      <c r="XDF1064"/>
      <c r="XDG1064"/>
      <c r="XDH1064"/>
      <c r="XDI1064"/>
      <c r="XDJ1064"/>
      <c r="XDK1064"/>
      <c r="XDL1064"/>
      <c r="XDM1064"/>
      <c r="XDN1064"/>
      <c r="XDO1064"/>
      <c r="XDP1064"/>
      <c r="XDQ1064"/>
      <c r="XDR1064"/>
      <c r="XDS1064"/>
      <c r="XDT1064"/>
      <c r="XDU1064"/>
      <c r="XDV1064"/>
      <c r="XDW1064"/>
      <c r="XDX1064"/>
      <c r="XDY1064"/>
      <c r="XDZ1064"/>
      <c r="XEA1064"/>
      <c r="XEB1064"/>
      <c r="XEC1064"/>
      <c r="XED1064"/>
      <c r="XEE1064"/>
      <c r="XEF1064"/>
      <c r="XEG1064"/>
      <c r="XEH1064"/>
      <c r="XEI1064"/>
      <c r="XEJ1064"/>
      <c r="XEK1064"/>
      <c r="XEL1064"/>
      <c r="XEM1064"/>
      <c r="XEN1064"/>
      <c r="XEO1064"/>
      <c r="XEP1064"/>
      <c r="XEQ1064"/>
      <c r="XER1064"/>
      <c r="XES1064"/>
      <c r="XET1064"/>
      <c r="XEU1064"/>
      <c r="XEV1064"/>
      <c r="XEW1064"/>
      <c r="XEX1064"/>
      <c r="XEY1064"/>
      <c r="XEZ1064"/>
      <c r="XFA1064"/>
      <c r="XFB1064"/>
      <c r="XFC1064"/>
    </row>
    <row r="1065" spans="1:20 16329:16383" s="38" customFormat="1" ht="29.1" customHeight="1" outlineLevel="4" x14ac:dyDescent="0.25">
      <c r="A1065" s="60" t="s">
        <v>2017</v>
      </c>
      <c r="B1065" s="61" t="s">
        <v>2018</v>
      </c>
      <c r="C1065" s="61"/>
      <c r="D1065" s="1" t="s">
        <v>344</v>
      </c>
      <c r="E1065" s="1"/>
      <c r="F1065" s="62"/>
      <c r="G1065" s="61"/>
      <c r="H1065" s="63"/>
      <c r="I1065" s="36"/>
      <c r="J1065" s="63"/>
      <c r="K1065" s="64"/>
      <c r="L1065" s="64"/>
      <c r="M1065" s="64"/>
      <c r="N1065" s="64"/>
      <c r="O1065" s="64">
        <f>O1066+O1067</f>
        <v>0</v>
      </c>
      <c r="P1065" s="64">
        <f>P1066+P1067</f>
        <v>0</v>
      </c>
      <c r="Q1065" s="64">
        <f>Q1066+Q1067</f>
        <v>0</v>
      </c>
      <c r="R1065" s="64">
        <f>R1066+R1067</f>
        <v>0</v>
      </c>
      <c r="S1065" s="64"/>
      <c r="T1065" s="36"/>
      <c r="XDA1065"/>
      <c r="XDB1065"/>
      <c r="XDC1065"/>
      <c r="XDD1065"/>
      <c r="XDE1065"/>
      <c r="XDF1065"/>
      <c r="XDG1065"/>
      <c r="XDH1065"/>
      <c r="XDI1065"/>
      <c r="XDJ1065"/>
      <c r="XDK1065"/>
      <c r="XDL1065"/>
      <c r="XDM1065"/>
      <c r="XDN1065"/>
      <c r="XDO1065"/>
      <c r="XDP1065"/>
      <c r="XDQ1065"/>
      <c r="XDR1065"/>
      <c r="XDS1065"/>
      <c r="XDT1065"/>
      <c r="XDU1065"/>
      <c r="XDV1065"/>
      <c r="XDW1065"/>
      <c r="XDX1065"/>
      <c r="XDY1065"/>
      <c r="XDZ1065"/>
      <c r="XEA1065"/>
      <c r="XEB1065"/>
      <c r="XEC1065"/>
      <c r="XED1065"/>
      <c r="XEE1065"/>
      <c r="XEF1065"/>
      <c r="XEG1065"/>
      <c r="XEH1065"/>
      <c r="XEI1065"/>
      <c r="XEJ1065"/>
      <c r="XEK1065"/>
      <c r="XEL1065"/>
      <c r="XEM1065"/>
      <c r="XEN1065"/>
      <c r="XEO1065"/>
      <c r="XEP1065"/>
      <c r="XEQ1065"/>
      <c r="XER1065"/>
      <c r="XES1065"/>
      <c r="XET1065"/>
      <c r="XEU1065"/>
      <c r="XEV1065"/>
      <c r="XEW1065"/>
      <c r="XEX1065"/>
      <c r="XEY1065"/>
      <c r="XEZ1065"/>
      <c r="XFA1065"/>
      <c r="XFB1065"/>
      <c r="XFC1065"/>
    </row>
    <row r="1066" spans="1:20 16329:16383" s="38" customFormat="1" ht="29.1" customHeight="1" outlineLevel="5" x14ac:dyDescent="0.25">
      <c r="A1066" s="49" t="s">
        <v>2019</v>
      </c>
      <c r="B1066" s="50"/>
      <c r="C1066" s="50"/>
      <c r="D1066" s="3" t="s">
        <v>1884</v>
      </c>
      <c r="E1066" s="3"/>
      <c r="F1066" s="51"/>
      <c r="G1066" s="50" t="s">
        <v>102</v>
      </c>
      <c r="H1066" s="52">
        <f>1</f>
        <v>1</v>
      </c>
      <c r="I1066" s="36"/>
      <c r="J1066" s="52">
        <v>1</v>
      </c>
      <c r="K1066" s="53">
        <f>0</f>
        <v>0</v>
      </c>
      <c r="L1066" s="53">
        <f>0</f>
        <v>0</v>
      </c>
      <c r="M1066" s="53">
        <f>0</f>
        <v>0</v>
      </c>
      <c r="N1066" s="54">
        <f>SUM(K1066:M1066)</f>
        <v>0</v>
      </c>
      <c r="O1066" s="54">
        <f>ROUND((H1066*K1066),2)</f>
        <v>0</v>
      </c>
      <c r="P1066" s="54">
        <f>ROUND((H1066*L1066),2)</f>
        <v>0</v>
      </c>
      <c r="Q1066" s="54">
        <f>ROUND((H1066*M1066),2)</f>
        <v>0</v>
      </c>
      <c r="R1066" s="54">
        <f>ROUND((H1066*N1066),2)</f>
        <v>0</v>
      </c>
      <c r="S1066" s="54"/>
      <c r="T1066" s="36"/>
      <c r="XDA1066"/>
      <c r="XDB1066"/>
      <c r="XDC1066"/>
      <c r="XDD1066"/>
      <c r="XDE1066"/>
      <c r="XDF1066"/>
      <c r="XDG1066"/>
      <c r="XDH1066"/>
      <c r="XDI1066"/>
      <c r="XDJ1066"/>
      <c r="XDK1066"/>
      <c r="XDL1066"/>
      <c r="XDM1066"/>
      <c r="XDN1066"/>
      <c r="XDO1066"/>
      <c r="XDP1066"/>
      <c r="XDQ1066"/>
      <c r="XDR1066"/>
      <c r="XDS1066"/>
      <c r="XDT1066"/>
      <c r="XDU1066"/>
      <c r="XDV1066"/>
      <c r="XDW1066"/>
      <c r="XDX1066"/>
      <c r="XDY1066"/>
      <c r="XDZ1066"/>
      <c r="XEA1066"/>
      <c r="XEB1066"/>
      <c r="XEC1066"/>
      <c r="XED1066"/>
      <c r="XEE1066"/>
      <c r="XEF1066"/>
      <c r="XEG1066"/>
      <c r="XEH1066"/>
      <c r="XEI1066"/>
      <c r="XEJ1066"/>
      <c r="XEK1066"/>
      <c r="XEL1066"/>
      <c r="XEM1066"/>
      <c r="XEN1066"/>
      <c r="XEO1066"/>
      <c r="XEP1066"/>
      <c r="XEQ1066"/>
      <c r="XER1066"/>
      <c r="XES1066"/>
      <c r="XET1066"/>
      <c r="XEU1066"/>
      <c r="XEV1066"/>
      <c r="XEW1066"/>
      <c r="XEX1066"/>
      <c r="XEY1066"/>
      <c r="XEZ1066"/>
      <c r="XFA1066"/>
      <c r="XFB1066"/>
      <c r="XFC1066"/>
    </row>
    <row r="1067" spans="1:20 16329:16383" s="38" customFormat="1" ht="29.1" customHeight="1" outlineLevel="5" x14ac:dyDescent="0.25">
      <c r="A1067" s="49" t="s">
        <v>2020</v>
      </c>
      <c r="B1067" s="50"/>
      <c r="C1067" s="50"/>
      <c r="D1067" s="3" t="s">
        <v>2003</v>
      </c>
      <c r="E1067" s="3"/>
      <c r="F1067" s="51"/>
      <c r="G1067" s="50" t="s">
        <v>102</v>
      </c>
      <c r="H1067" s="52">
        <f>1</f>
        <v>1</v>
      </c>
      <c r="I1067" s="36"/>
      <c r="J1067" s="52">
        <v>1</v>
      </c>
      <c r="K1067" s="53">
        <f>0</f>
        <v>0</v>
      </c>
      <c r="L1067" s="53">
        <f>0</f>
        <v>0</v>
      </c>
      <c r="M1067" s="53">
        <f>0</f>
        <v>0</v>
      </c>
      <c r="N1067" s="54">
        <f>SUM(K1067:M1067)</f>
        <v>0</v>
      </c>
      <c r="O1067" s="54">
        <f>ROUND((H1067*K1067),2)</f>
        <v>0</v>
      </c>
      <c r="P1067" s="54">
        <f>ROUND((H1067*L1067),2)</f>
        <v>0</v>
      </c>
      <c r="Q1067" s="54">
        <f>ROUND((H1067*M1067),2)</f>
        <v>0</v>
      </c>
      <c r="R1067" s="54">
        <f>ROUND((H1067*N1067),2)</f>
        <v>0</v>
      </c>
      <c r="S1067" s="54"/>
      <c r="T1067" s="36"/>
      <c r="XDA1067"/>
      <c r="XDB1067"/>
      <c r="XDC1067"/>
      <c r="XDD1067"/>
      <c r="XDE1067"/>
      <c r="XDF1067"/>
      <c r="XDG1067"/>
      <c r="XDH1067"/>
      <c r="XDI1067"/>
      <c r="XDJ1067"/>
      <c r="XDK1067"/>
      <c r="XDL1067"/>
      <c r="XDM1067"/>
      <c r="XDN1067"/>
      <c r="XDO1067"/>
      <c r="XDP1067"/>
      <c r="XDQ1067"/>
      <c r="XDR1067"/>
      <c r="XDS1067"/>
      <c r="XDT1067"/>
      <c r="XDU1067"/>
      <c r="XDV1067"/>
      <c r="XDW1067"/>
      <c r="XDX1067"/>
      <c r="XDY1067"/>
      <c r="XDZ1067"/>
      <c r="XEA1067"/>
      <c r="XEB1067"/>
      <c r="XEC1067"/>
      <c r="XED1067"/>
      <c r="XEE1067"/>
      <c r="XEF1067"/>
      <c r="XEG1067"/>
      <c r="XEH1067"/>
      <c r="XEI1067"/>
      <c r="XEJ1067"/>
      <c r="XEK1067"/>
      <c r="XEL1067"/>
      <c r="XEM1067"/>
      <c r="XEN1067"/>
      <c r="XEO1067"/>
      <c r="XEP1067"/>
      <c r="XEQ1067"/>
      <c r="XER1067"/>
      <c r="XES1067"/>
      <c r="XET1067"/>
      <c r="XEU1067"/>
      <c r="XEV1067"/>
      <c r="XEW1067"/>
      <c r="XEX1067"/>
      <c r="XEY1067"/>
      <c r="XEZ1067"/>
      <c r="XFA1067"/>
      <c r="XFB1067"/>
      <c r="XFC1067"/>
    </row>
    <row r="1068" spans="1:20 16329:16383" s="38" customFormat="1" ht="29.1" customHeight="1" outlineLevel="4" x14ac:dyDescent="0.25">
      <c r="A1068" s="60" t="s">
        <v>2021</v>
      </c>
      <c r="B1068" s="61" t="s">
        <v>2022</v>
      </c>
      <c r="C1068" s="61"/>
      <c r="D1068" s="1" t="s">
        <v>1899</v>
      </c>
      <c r="E1068" s="1"/>
      <c r="F1068" s="62"/>
      <c r="G1068" s="61"/>
      <c r="H1068" s="63"/>
      <c r="I1068" s="36"/>
      <c r="J1068" s="63"/>
      <c r="K1068" s="64"/>
      <c r="L1068" s="64"/>
      <c r="M1068" s="64"/>
      <c r="N1068" s="64"/>
      <c r="O1068" s="64">
        <f>O1069</f>
        <v>0</v>
      </c>
      <c r="P1068" s="64">
        <f>P1069</f>
        <v>0</v>
      </c>
      <c r="Q1068" s="64">
        <f>Q1069</f>
        <v>0</v>
      </c>
      <c r="R1068" s="64">
        <f>R1069</f>
        <v>0</v>
      </c>
      <c r="S1068" s="64"/>
      <c r="T1068" s="36"/>
      <c r="XDA1068"/>
      <c r="XDB1068"/>
      <c r="XDC1068"/>
      <c r="XDD1068"/>
      <c r="XDE1068"/>
      <c r="XDF1068"/>
      <c r="XDG1068"/>
      <c r="XDH1068"/>
      <c r="XDI1068"/>
      <c r="XDJ1068"/>
      <c r="XDK1068"/>
      <c r="XDL1068"/>
      <c r="XDM1068"/>
      <c r="XDN1068"/>
      <c r="XDO1068"/>
      <c r="XDP1068"/>
      <c r="XDQ1068"/>
      <c r="XDR1068"/>
      <c r="XDS1068"/>
      <c r="XDT1068"/>
      <c r="XDU1068"/>
      <c r="XDV1068"/>
      <c r="XDW1068"/>
      <c r="XDX1068"/>
      <c r="XDY1068"/>
      <c r="XDZ1068"/>
      <c r="XEA1068"/>
      <c r="XEB1068"/>
      <c r="XEC1068"/>
      <c r="XED1068"/>
      <c r="XEE1068"/>
      <c r="XEF1068"/>
      <c r="XEG1068"/>
      <c r="XEH1068"/>
      <c r="XEI1068"/>
      <c r="XEJ1068"/>
      <c r="XEK1068"/>
      <c r="XEL1068"/>
      <c r="XEM1068"/>
      <c r="XEN1068"/>
      <c r="XEO1068"/>
      <c r="XEP1068"/>
      <c r="XEQ1068"/>
      <c r="XER1068"/>
      <c r="XES1068"/>
      <c r="XET1068"/>
      <c r="XEU1068"/>
      <c r="XEV1068"/>
      <c r="XEW1068"/>
      <c r="XEX1068"/>
      <c r="XEY1068"/>
      <c r="XEZ1068"/>
      <c r="XFA1068"/>
      <c r="XFB1068"/>
      <c r="XFC1068"/>
    </row>
    <row r="1069" spans="1:20 16329:16383" s="38" customFormat="1" ht="29.1" customHeight="1" outlineLevel="5" x14ac:dyDescent="0.25">
      <c r="A1069" s="49" t="s">
        <v>2023</v>
      </c>
      <c r="B1069" s="50"/>
      <c r="C1069" s="50"/>
      <c r="D1069" s="3" t="s">
        <v>2007</v>
      </c>
      <c r="E1069" s="3"/>
      <c r="F1069" s="51"/>
      <c r="G1069" s="50" t="s">
        <v>102</v>
      </c>
      <c r="H1069" s="52">
        <f>1</f>
        <v>1</v>
      </c>
      <c r="I1069" s="36"/>
      <c r="J1069" s="52">
        <v>1</v>
      </c>
      <c r="K1069" s="53">
        <f>0</f>
        <v>0</v>
      </c>
      <c r="L1069" s="53">
        <f>0</f>
        <v>0</v>
      </c>
      <c r="M1069" s="53">
        <f>0</f>
        <v>0</v>
      </c>
      <c r="N1069" s="54">
        <f>SUM(K1069:M1069)</f>
        <v>0</v>
      </c>
      <c r="O1069" s="54">
        <f>ROUND((H1069*K1069),2)</f>
        <v>0</v>
      </c>
      <c r="P1069" s="54">
        <f>ROUND((H1069*L1069),2)</f>
        <v>0</v>
      </c>
      <c r="Q1069" s="54">
        <f>ROUND((H1069*M1069),2)</f>
        <v>0</v>
      </c>
      <c r="R1069" s="54">
        <f>ROUND((H1069*N1069),2)</f>
        <v>0</v>
      </c>
      <c r="S1069" s="54"/>
      <c r="T1069" s="36"/>
      <c r="XDA1069"/>
      <c r="XDB1069"/>
      <c r="XDC1069"/>
      <c r="XDD1069"/>
      <c r="XDE1069"/>
      <c r="XDF1069"/>
      <c r="XDG1069"/>
      <c r="XDH1069"/>
      <c r="XDI1069"/>
      <c r="XDJ1069"/>
      <c r="XDK1069"/>
      <c r="XDL1069"/>
      <c r="XDM1069"/>
      <c r="XDN1069"/>
      <c r="XDO1069"/>
      <c r="XDP1069"/>
      <c r="XDQ1069"/>
      <c r="XDR1069"/>
      <c r="XDS1069"/>
      <c r="XDT1069"/>
      <c r="XDU1069"/>
      <c r="XDV1069"/>
      <c r="XDW1069"/>
      <c r="XDX1069"/>
      <c r="XDY1069"/>
      <c r="XDZ1069"/>
      <c r="XEA1069"/>
      <c r="XEB1069"/>
      <c r="XEC1069"/>
      <c r="XED1069"/>
      <c r="XEE1069"/>
      <c r="XEF1069"/>
      <c r="XEG1069"/>
      <c r="XEH1069"/>
      <c r="XEI1069"/>
      <c r="XEJ1069"/>
      <c r="XEK1069"/>
      <c r="XEL1069"/>
      <c r="XEM1069"/>
      <c r="XEN1069"/>
      <c r="XEO1069"/>
      <c r="XEP1069"/>
      <c r="XEQ1069"/>
      <c r="XER1069"/>
      <c r="XES1069"/>
      <c r="XET1069"/>
      <c r="XEU1069"/>
      <c r="XEV1069"/>
      <c r="XEW1069"/>
      <c r="XEX1069"/>
      <c r="XEY1069"/>
      <c r="XEZ1069"/>
      <c r="XFA1069"/>
      <c r="XFB1069"/>
      <c r="XFC1069"/>
    </row>
    <row r="1070" spans="1:20 16329:16383" s="38" customFormat="1" ht="29.1" customHeight="1" outlineLevel="3" x14ac:dyDescent="0.25">
      <c r="A1070" s="55" t="s">
        <v>2024</v>
      </c>
      <c r="B1070" s="56" t="s">
        <v>2025</v>
      </c>
      <c r="C1070" s="56" t="s">
        <v>2010</v>
      </c>
      <c r="D1070" s="2" t="s">
        <v>2026</v>
      </c>
      <c r="E1070" s="2"/>
      <c r="F1070" s="57"/>
      <c r="G1070" s="56" t="s">
        <v>102</v>
      </c>
      <c r="H1070" s="58"/>
      <c r="I1070" s="36"/>
      <c r="J1070" s="58"/>
      <c r="K1070" s="59"/>
      <c r="L1070" s="59"/>
      <c r="M1070" s="59"/>
      <c r="N1070" s="59"/>
      <c r="O1070" s="59">
        <f>O1071+O1075+O1078</f>
        <v>0</v>
      </c>
      <c r="P1070" s="59">
        <f>P1071+P1075+P1078</f>
        <v>0</v>
      </c>
      <c r="Q1070" s="59">
        <f>Q1071+Q1075+Q1078</f>
        <v>0</v>
      </c>
      <c r="R1070" s="59">
        <f>R1071+R1075+R1078</f>
        <v>0</v>
      </c>
      <c r="S1070" s="59"/>
      <c r="T1070" s="36"/>
      <c r="XDA1070"/>
      <c r="XDB1070"/>
      <c r="XDC1070"/>
      <c r="XDD1070"/>
      <c r="XDE1070"/>
      <c r="XDF1070"/>
      <c r="XDG1070"/>
      <c r="XDH1070"/>
      <c r="XDI1070"/>
      <c r="XDJ1070"/>
      <c r="XDK1070"/>
      <c r="XDL1070"/>
      <c r="XDM1070"/>
      <c r="XDN1070"/>
      <c r="XDO1070"/>
      <c r="XDP1070"/>
      <c r="XDQ1070"/>
      <c r="XDR1070"/>
      <c r="XDS1070"/>
      <c r="XDT1070"/>
      <c r="XDU1070"/>
      <c r="XDV1070"/>
      <c r="XDW1070"/>
      <c r="XDX1070"/>
      <c r="XDY1070"/>
      <c r="XDZ1070"/>
      <c r="XEA1070"/>
      <c r="XEB1070"/>
      <c r="XEC1070"/>
      <c r="XED1070"/>
      <c r="XEE1070"/>
      <c r="XEF1070"/>
      <c r="XEG1070"/>
      <c r="XEH1070"/>
      <c r="XEI1070"/>
      <c r="XEJ1070"/>
      <c r="XEK1070"/>
      <c r="XEL1070"/>
      <c r="XEM1070"/>
      <c r="XEN1070"/>
      <c r="XEO1070"/>
      <c r="XEP1070"/>
      <c r="XEQ1070"/>
      <c r="XER1070"/>
      <c r="XES1070"/>
      <c r="XET1070"/>
      <c r="XEU1070"/>
      <c r="XEV1070"/>
      <c r="XEW1070"/>
      <c r="XEX1070"/>
      <c r="XEY1070"/>
      <c r="XEZ1070"/>
      <c r="XFA1070"/>
      <c r="XFB1070"/>
      <c r="XFC1070"/>
    </row>
    <row r="1071" spans="1:20 16329:16383" s="38" customFormat="1" ht="29.1" customHeight="1" outlineLevel="4" x14ac:dyDescent="0.25">
      <c r="A1071" s="60" t="s">
        <v>2027</v>
      </c>
      <c r="B1071" s="61" t="s">
        <v>2028</v>
      </c>
      <c r="C1071" s="61"/>
      <c r="D1071" s="1" t="s">
        <v>1873</v>
      </c>
      <c r="E1071" s="1"/>
      <c r="F1071" s="62"/>
      <c r="G1071" s="61"/>
      <c r="H1071" s="63"/>
      <c r="I1071" s="36"/>
      <c r="J1071" s="63"/>
      <c r="K1071" s="64"/>
      <c r="L1071" s="64"/>
      <c r="M1071" s="64"/>
      <c r="N1071" s="64"/>
      <c r="O1071" s="64">
        <f>SUM(O1072:O1074)</f>
        <v>0</v>
      </c>
      <c r="P1071" s="64">
        <f>SUM(P1072:P1074)</f>
        <v>0</v>
      </c>
      <c r="Q1071" s="64">
        <f>SUM(Q1072:Q1074)</f>
        <v>0</v>
      </c>
      <c r="R1071" s="64">
        <f>SUM(R1072:R1074)</f>
        <v>0</v>
      </c>
      <c r="S1071" s="64"/>
      <c r="T1071" s="36"/>
      <c r="XDA1071"/>
      <c r="XDB1071"/>
      <c r="XDC1071"/>
      <c r="XDD1071"/>
      <c r="XDE1071"/>
      <c r="XDF1071"/>
      <c r="XDG1071"/>
      <c r="XDH1071"/>
      <c r="XDI1071"/>
      <c r="XDJ1071"/>
      <c r="XDK1071"/>
      <c r="XDL1071"/>
      <c r="XDM1071"/>
      <c r="XDN1071"/>
      <c r="XDO1071"/>
      <c r="XDP1071"/>
      <c r="XDQ1071"/>
      <c r="XDR1071"/>
      <c r="XDS1071"/>
      <c r="XDT1071"/>
      <c r="XDU1071"/>
      <c r="XDV1071"/>
      <c r="XDW1071"/>
      <c r="XDX1071"/>
      <c r="XDY1071"/>
      <c r="XDZ1071"/>
      <c r="XEA1071"/>
      <c r="XEB1071"/>
      <c r="XEC1071"/>
      <c r="XED1071"/>
      <c r="XEE1071"/>
      <c r="XEF1071"/>
      <c r="XEG1071"/>
      <c r="XEH1071"/>
      <c r="XEI1071"/>
      <c r="XEJ1071"/>
      <c r="XEK1071"/>
      <c r="XEL1071"/>
      <c r="XEM1071"/>
      <c r="XEN1071"/>
      <c r="XEO1071"/>
      <c r="XEP1071"/>
      <c r="XEQ1071"/>
      <c r="XER1071"/>
      <c r="XES1071"/>
      <c r="XET1071"/>
      <c r="XEU1071"/>
      <c r="XEV1071"/>
      <c r="XEW1071"/>
      <c r="XEX1071"/>
      <c r="XEY1071"/>
      <c r="XEZ1071"/>
      <c r="XFA1071"/>
      <c r="XFB1071"/>
      <c r="XFC1071"/>
    </row>
    <row r="1072" spans="1:20 16329:16383" s="38" customFormat="1" ht="29.1" customHeight="1" outlineLevel="5" x14ac:dyDescent="0.25">
      <c r="A1072" s="49" t="s">
        <v>2029</v>
      </c>
      <c r="B1072" s="50"/>
      <c r="C1072" s="50"/>
      <c r="D1072" s="3" t="s">
        <v>1875</v>
      </c>
      <c r="E1072" s="3"/>
      <c r="F1072" s="51"/>
      <c r="G1072" s="50" t="s">
        <v>102</v>
      </c>
      <c r="H1072" s="52">
        <f>1</f>
        <v>1</v>
      </c>
      <c r="I1072" s="36"/>
      <c r="J1072" s="52">
        <v>1</v>
      </c>
      <c r="K1072" s="53">
        <f>0</f>
        <v>0</v>
      </c>
      <c r="L1072" s="53">
        <f>0</f>
        <v>0</v>
      </c>
      <c r="M1072" s="53">
        <f>0</f>
        <v>0</v>
      </c>
      <c r="N1072" s="54">
        <f>SUM(K1072:M1072)</f>
        <v>0</v>
      </c>
      <c r="O1072" s="54">
        <f>ROUND((H1072*K1072),2)</f>
        <v>0</v>
      </c>
      <c r="P1072" s="54">
        <f>ROUND((H1072*L1072),2)</f>
        <v>0</v>
      </c>
      <c r="Q1072" s="54">
        <f>ROUND((H1072*M1072),2)</f>
        <v>0</v>
      </c>
      <c r="R1072" s="54">
        <f>ROUND((H1072*N1072),2)</f>
        <v>0</v>
      </c>
      <c r="S1072" s="54"/>
      <c r="T1072" s="36"/>
      <c r="XDA1072"/>
      <c r="XDB1072"/>
      <c r="XDC1072"/>
      <c r="XDD1072"/>
      <c r="XDE1072"/>
      <c r="XDF1072"/>
      <c r="XDG1072"/>
      <c r="XDH1072"/>
      <c r="XDI1072"/>
      <c r="XDJ1072"/>
      <c r="XDK1072"/>
      <c r="XDL1072"/>
      <c r="XDM1072"/>
      <c r="XDN1072"/>
      <c r="XDO1072"/>
      <c r="XDP1072"/>
      <c r="XDQ1072"/>
      <c r="XDR1072"/>
      <c r="XDS1072"/>
      <c r="XDT1072"/>
      <c r="XDU1072"/>
      <c r="XDV1072"/>
      <c r="XDW1072"/>
      <c r="XDX1072"/>
      <c r="XDY1072"/>
      <c r="XDZ1072"/>
      <c r="XEA1072"/>
      <c r="XEB1072"/>
      <c r="XEC1072"/>
      <c r="XED1072"/>
      <c r="XEE1072"/>
      <c r="XEF1072"/>
      <c r="XEG1072"/>
      <c r="XEH1072"/>
      <c r="XEI1072"/>
      <c r="XEJ1072"/>
      <c r="XEK1072"/>
      <c r="XEL1072"/>
      <c r="XEM1072"/>
      <c r="XEN1072"/>
      <c r="XEO1072"/>
      <c r="XEP1072"/>
      <c r="XEQ1072"/>
      <c r="XER1072"/>
      <c r="XES1072"/>
      <c r="XET1072"/>
      <c r="XEU1072"/>
      <c r="XEV1072"/>
      <c r="XEW1072"/>
      <c r="XEX1072"/>
      <c r="XEY1072"/>
      <c r="XEZ1072"/>
      <c r="XFA1072"/>
      <c r="XFB1072"/>
      <c r="XFC1072"/>
    </row>
    <row r="1073" spans="1:20 16329:16383" s="38" customFormat="1" ht="29.1" customHeight="1" outlineLevel="5" x14ac:dyDescent="0.25">
      <c r="A1073" s="49" t="s">
        <v>2030</v>
      </c>
      <c r="B1073" s="50"/>
      <c r="C1073" s="50"/>
      <c r="D1073" s="3" t="s">
        <v>1552</v>
      </c>
      <c r="E1073" s="3"/>
      <c r="F1073" s="51"/>
      <c r="G1073" s="50" t="s">
        <v>102</v>
      </c>
      <c r="H1073" s="52">
        <f>1</f>
        <v>1</v>
      </c>
      <c r="I1073" s="36"/>
      <c r="J1073" s="52">
        <v>1</v>
      </c>
      <c r="K1073" s="53">
        <f>0</f>
        <v>0</v>
      </c>
      <c r="L1073" s="53">
        <f>0</f>
        <v>0</v>
      </c>
      <c r="M1073" s="53">
        <f>0</f>
        <v>0</v>
      </c>
      <c r="N1073" s="54">
        <f>SUM(K1073:M1073)</f>
        <v>0</v>
      </c>
      <c r="O1073" s="54">
        <f>ROUND((H1073*K1073),2)</f>
        <v>0</v>
      </c>
      <c r="P1073" s="54">
        <f>ROUND((H1073*L1073),2)</f>
        <v>0</v>
      </c>
      <c r="Q1073" s="54">
        <f>ROUND((H1073*M1073),2)</f>
        <v>0</v>
      </c>
      <c r="R1073" s="54">
        <f>ROUND((H1073*N1073),2)</f>
        <v>0</v>
      </c>
      <c r="S1073" s="54"/>
      <c r="T1073" s="36"/>
      <c r="XDA1073"/>
      <c r="XDB1073"/>
      <c r="XDC1073"/>
      <c r="XDD1073"/>
      <c r="XDE1073"/>
      <c r="XDF1073"/>
      <c r="XDG1073"/>
      <c r="XDH1073"/>
      <c r="XDI1073"/>
      <c r="XDJ1073"/>
      <c r="XDK1073"/>
      <c r="XDL1073"/>
      <c r="XDM1073"/>
      <c r="XDN1073"/>
      <c r="XDO1073"/>
      <c r="XDP1073"/>
      <c r="XDQ1073"/>
      <c r="XDR1073"/>
      <c r="XDS1073"/>
      <c r="XDT1073"/>
      <c r="XDU1073"/>
      <c r="XDV1073"/>
      <c r="XDW1073"/>
      <c r="XDX1073"/>
      <c r="XDY1073"/>
      <c r="XDZ1073"/>
      <c r="XEA1073"/>
      <c r="XEB1073"/>
      <c r="XEC1073"/>
      <c r="XED1073"/>
      <c r="XEE1073"/>
      <c r="XEF1073"/>
      <c r="XEG1073"/>
      <c r="XEH1073"/>
      <c r="XEI1073"/>
      <c r="XEJ1073"/>
      <c r="XEK1073"/>
      <c r="XEL1073"/>
      <c r="XEM1073"/>
      <c r="XEN1073"/>
      <c r="XEO1073"/>
      <c r="XEP1073"/>
      <c r="XEQ1073"/>
      <c r="XER1073"/>
      <c r="XES1073"/>
      <c r="XET1073"/>
      <c r="XEU1073"/>
      <c r="XEV1073"/>
      <c r="XEW1073"/>
      <c r="XEX1073"/>
      <c r="XEY1073"/>
      <c r="XEZ1073"/>
      <c r="XFA1073"/>
      <c r="XFB1073"/>
      <c r="XFC1073"/>
    </row>
    <row r="1074" spans="1:20 16329:16383" s="38" customFormat="1" ht="29.1" customHeight="1" outlineLevel="5" x14ac:dyDescent="0.25">
      <c r="A1074" s="49" t="s">
        <v>2031</v>
      </c>
      <c r="B1074" s="50"/>
      <c r="C1074" s="50"/>
      <c r="D1074" s="3" t="s">
        <v>1880</v>
      </c>
      <c r="E1074" s="3"/>
      <c r="F1074" s="51"/>
      <c r="G1074" s="50" t="s">
        <v>102</v>
      </c>
      <c r="H1074" s="52">
        <f>1</f>
        <v>1</v>
      </c>
      <c r="I1074" s="36"/>
      <c r="J1074" s="52">
        <v>1</v>
      </c>
      <c r="K1074" s="53">
        <f>0</f>
        <v>0</v>
      </c>
      <c r="L1074" s="53">
        <f>0</f>
        <v>0</v>
      </c>
      <c r="M1074" s="53">
        <f>0</f>
        <v>0</v>
      </c>
      <c r="N1074" s="54">
        <f>SUM(K1074:M1074)</f>
        <v>0</v>
      </c>
      <c r="O1074" s="54">
        <f>ROUND((H1074*K1074),2)</f>
        <v>0</v>
      </c>
      <c r="P1074" s="54">
        <f>ROUND((H1074*L1074),2)</f>
        <v>0</v>
      </c>
      <c r="Q1074" s="54">
        <f>ROUND((H1074*M1074),2)</f>
        <v>0</v>
      </c>
      <c r="R1074" s="54">
        <f>ROUND((H1074*N1074),2)</f>
        <v>0</v>
      </c>
      <c r="S1074" s="54"/>
      <c r="T1074" s="36"/>
      <c r="XDA1074"/>
      <c r="XDB1074"/>
      <c r="XDC1074"/>
      <c r="XDD1074"/>
      <c r="XDE1074"/>
      <c r="XDF1074"/>
      <c r="XDG1074"/>
      <c r="XDH1074"/>
      <c r="XDI1074"/>
      <c r="XDJ1074"/>
      <c r="XDK1074"/>
      <c r="XDL1074"/>
      <c r="XDM1074"/>
      <c r="XDN1074"/>
      <c r="XDO1074"/>
      <c r="XDP1074"/>
      <c r="XDQ1074"/>
      <c r="XDR1074"/>
      <c r="XDS1074"/>
      <c r="XDT1074"/>
      <c r="XDU1074"/>
      <c r="XDV1074"/>
      <c r="XDW1074"/>
      <c r="XDX1074"/>
      <c r="XDY1074"/>
      <c r="XDZ1074"/>
      <c r="XEA1074"/>
      <c r="XEB1074"/>
      <c r="XEC1074"/>
      <c r="XED1074"/>
      <c r="XEE1074"/>
      <c r="XEF1074"/>
      <c r="XEG1074"/>
      <c r="XEH1074"/>
      <c r="XEI1074"/>
      <c r="XEJ1074"/>
      <c r="XEK1074"/>
      <c r="XEL1074"/>
      <c r="XEM1074"/>
      <c r="XEN1074"/>
      <c r="XEO1074"/>
      <c r="XEP1074"/>
      <c r="XEQ1074"/>
      <c r="XER1074"/>
      <c r="XES1074"/>
      <c r="XET1074"/>
      <c r="XEU1074"/>
      <c r="XEV1074"/>
      <c r="XEW1074"/>
      <c r="XEX1074"/>
      <c r="XEY1074"/>
      <c r="XEZ1074"/>
      <c r="XFA1074"/>
      <c r="XFB1074"/>
      <c r="XFC1074"/>
    </row>
    <row r="1075" spans="1:20 16329:16383" s="38" customFormat="1" ht="29.1" customHeight="1" outlineLevel="4" x14ac:dyDescent="0.25">
      <c r="A1075" s="60" t="s">
        <v>2032</v>
      </c>
      <c r="B1075" s="61" t="s">
        <v>2033</v>
      </c>
      <c r="C1075" s="61"/>
      <c r="D1075" s="1" t="s">
        <v>344</v>
      </c>
      <c r="E1075" s="1"/>
      <c r="F1075" s="62"/>
      <c r="G1075" s="61"/>
      <c r="H1075" s="63"/>
      <c r="I1075" s="36"/>
      <c r="J1075" s="63"/>
      <c r="K1075" s="64"/>
      <c r="L1075" s="64"/>
      <c r="M1075" s="64"/>
      <c r="N1075" s="64"/>
      <c r="O1075" s="64">
        <f>O1076+O1077</f>
        <v>0</v>
      </c>
      <c r="P1075" s="64">
        <f>P1076+P1077</f>
        <v>0</v>
      </c>
      <c r="Q1075" s="64">
        <f>Q1076+Q1077</f>
        <v>0</v>
      </c>
      <c r="R1075" s="64">
        <f>R1076+R1077</f>
        <v>0</v>
      </c>
      <c r="S1075" s="64"/>
      <c r="T1075" s="36"/>
      <c r="XDA1075"/>
      <c r="XDB1075"/>
      <c r="XDC1075"/>
      <c r="XDD1075"/>
      <c r="XDE1075"/>
      <c r="XDF1075"/>
      <c r="XDG1075"/>
      <c r="XDH1075"/>
      <c r="XDI1075"/>
      <c r="XDJ1075"/>
      <c r="XDK1075"/>
      <c r="XDL1075"/>
      <c r="XDM1075"/>
      <c r="XDN1075"/>
      <c r="XDO1075"/>
      <c r="XDP1075"/>
      <c r="XDQ1075"/>
      <c r="XDR1075"/>
      <c r="XDS1075"/>
      <c r="XDT1075"/>
      <c r="XDU1075"/>
      <c r="XDV1075"/>
      <c r="XDW1075"/>
      <c r="XDX1075"/>
      <c r="XDY1075"/>
      <c r="XDZ1075"/>
      <c r="XEA1075"/>
      <c r="XEB1075"/>
      <c r="XEC1075"/>
      <c r="XED1075"/>
      <c r="XEE1075"/>
      <c r="XEF1075"/>
      <c r="XEG1075"/>
      <c r="XEH1075"/>
      <c r="XEI1075"/>
      <c r="XEJ1075"/>
      <c r="XEK1075"/>
      <c r="XEL1075"/>
      <c r="XEM1075"/>
      <c r="XEN1075"/>
      <c r="XEO1075"/>
      <c r="XEP1075"/>
      <c r="XEQ1075"/>
      <c r="XER1075"/>
      <c r="XES1075"/>
      <c r="XET1075"/>
      <c r="XEU1075"/>
      <c r="XEV1075"/>
      <c r="XEW1075"/>
      <c r="XEX1075"/>
      <c r="XEY1075"/>
      <c r="XEZ1075"/>
      <c r="XFA1075"/>
      <c r="XFB1075"/>
      <c r="XFC1075"/>
    </row>
    <row r="1076" spans="1:20 16329:16383" s="38" customFormat="1" ht="29.1" customHeight="1" outlineLevel="5" x14ac:dyDescent="0.25">
      <c r="A1076" s="49" t="s">
        <v>2034</v>
      </c>
      <c r="B1076" s="50"/>
      <c r="C1076" s="50"/>
      <c r="D1076" s="3" t="s">
        <v>1884</v>
      </c>
      <c r="E1076" s="3"/>
      <c r="F1076" s="51"/>
      <c r="G1076" s="50" t="s">
        <v>102</v>
      </c>
      <c r="H1076" s="52">
        <f>1</f>
        <v>1</v>
      </c>
      <c r="I1076" s="36"/>
      <c r="J1076" s="52">
        <v>1</v>
      </c>
      <c r="K1076" s="53">
        <f>0</f>
        <v>0</v>
      </c>
      <c r="L1076" s="53">
        <f>0</f>
        <v>0</v>
      </c>
      <c r="M1076" s="53">
        <f>0</f>
        <v>0</v>
      </c>
      <c r="N1076" s="54">
        <f>SUM(K1076:M1076)</f>
        <v>0</v>
      </c>
      <c r="O1076" s="54">
        <f>ROUND((H1076*K1076),2)</f>
        <v>0</v>
      </c>
      <c r="P1076" s="54">
        <f>ROUND((H1076*L1076),2)</f>
        <v>0</v>
      </c>
      <c r="Q1076" s="54">
        <f>ROUND((H1076*M1076),2)</f>
        <v>0</v>
      </c>
      <c r="R1076" s="54">
        <f>ROUND((H1076*N1076),2)</f>
        <v>0</v>
      </c>
      <c r="S1076" s="54"/>
      <c r="T1076" s="36"/>
      <c r="XDA1076"/>
      <c r="XDB1076"/>
      <c r="XDC1076"/>
      <c r="XDD1076"/>
      <c r="XDE1076"/>
      <c r="XDF1076"/>
      <c r="XDG1076"/>
      <c r="XDH1076"/>
      <c r="XDI1076"/>
      <c r="XDJ1076"/>
      <c r="XDK1076"/>
      <c r="XDL1076"/>
      <c r="XDM1076"/>
      <c r="XDN1076"/>
      <c r="XDO1076"/>
      <c r="XDP1076"/>
      <c r="XDQ1076"/>
      <c r="XDR1076"/>
      <c r="XDS1076"/>
      <c r="XDT1076"/>
      <c r="XDU1076"/>
      <c r="XDV1076"/>
      <c r="XDW1076"/>
      <c r="XDX1076"/>
      <c r="XDY1076"/>
      <c r="XDZ1076"/>
      <c r="XEA1076"/>
      <c r="XEB1076"/>
      <c r="XEC1076"/>
      <c r="XED1076"/>
      <c r="XEE1076"/>
      <c r="XEF1076"/>
      <c r="XEG1076"/>
      <c r="XEH1076"/>
      <c r="XEI1076"/>
      <c r="XEJ1076"/>
      <c r="XEK1076"/>
      <c r="XEL1076"/>
      <c r="XEM1076"/>
      <c r="XEN1076"/>
      <c r="XEO1076"/>
      <c r="XEP1076"/>
      <c r="XEQ1076"/>
      <c r="XER1076"/>
      <c r="XES1076"/>
      <c r="XET1076"/>
      <c r="XEU1076"/>
      <c r="XEV1076"/>
      <c r="XEW1076"/>
      <c r="XEX1076"/>
      <c r="XEY1076"/>
      <c r="XEZ1076"/>
      <c r="XFA1076"/>
      <c r="XFB1076"/>
      <c r="XFC1076"/>
    </row>
    <row r="1077" spans="1:20 16329:16383" s="38" customFormat="1" ht="29.1" customHeight="1" outlineLevel="5" x14ac:dyDescent="0.25">
      <c r="A1077" s="49" t="s">
        <v>2035</v>
      </c>
      <c r="B1077" s="50"/>
      <c r="C1077" s="50"/>
      <c r="D1077" s="3" t="s">
        <v>2003</v>
      </c>
      <c r="E1077" s="3"/>
      <c r="F1077" s="51"/>
      <c r="G1077" s="50" t="s">
        <v>102</v>
      </c>
      <c r="H1077" s="52">
        <f>1</f>
        <v>1</v>
      </c>
      <c r="I1077" s="36"/>
      <c r="J1077" s="52">
        <v>1</v>
      </c>
      <c r="K1077" s="53">
        <f>0</f>
        <v>0</v>
      </c>
      <c r="L1077" s="53">
        <f>0</f>
        <v>0</v>
      </c>
      <c r="M1077" s="53">
        <f>0</f>
        <v>0</v>
      </c>
      <c r="N1077" s="54">
        <f>SUM(K1077:M1077)</f>
        <v>0</v>
      </c>
      <c r="O1077" s="54">
        <f>ROUND((H1077*K1077),2)</f>
        <v>0</v>
      </c>
      <c r="P1077" s="54">
        <f>ROUND((H1077*L1077),2)</f>
        <v>0</v>
      </c>
      <c r="Q1077" s="54">
        <f>ROUND((H1077*M1077),2)</f>
        <v>0</v>
      </c>
      <c r="R1077" s="54">
        <f>ROUND((H1077*N1077),2)</f>
        <v>0</v>
      </c>
      <c r="S1077" s="54"/>
      <c r="T1077" s="36"/>
      <c r="XDA1077"/>
      <c r="XDB1077"/>
      <c r="XDC1077"/>
      <c r="XDD1077"/>
      <c r="XDE1077"/>
      <c r="XDF1077"/>
      <c r="XDG1077"/>
      <c r="XDH1077"/>
      <c r="XDI1077"/>
      <c r="XDJ1077"/>
      <c r="XDK1077"/>
      <c r="XDL1077"/>
      <c r="XDM1077"/>
      <c r="XDN1077"/>
      <c r="XDO1077"/>
      <c r="XDP1077"/>
      <c r="XDQ1077"/>
      <c r="XDR1077"/>
      <c r="XDS1077"/>
      <c r="XDT1077"/>
      <c r="XDU1077"/>
      <c r="XDV1077"/>
      <c r="XDW1077"/>
      <c r="XDX1077"/>
      <c r="XDY1077"/>
      <c r="XDZ1077"/>
      <c r="XEA1077"/>
      <c r="XEB1077"/>
      <c r="XEC1077"/>
      <c r="XED1077"/>
      <c r="XEE1077"/>
      <c r="XEF1077"/>
      <c r="XEG1077"/>
      <c r="XEH1077"/>
      <c r="XEI1077"/>
      <c r="XEJ1077"/>
      <c r="XEK1077"/>
      <c r="XEL1077"/>
      <c r="XEM1077"/>
      <c r="XEN1077"/>
      <c r="XEO1077"/>
      <c r="XEP1077"/>
      <c r="XEQ1077"/>
      <c r="XER1077"/>
      <c r="XES1077"/>
      <c r="XET1077"/>
      <c r="XEU1077"/>
      <c r="XEV1077"/>
      <c r="XEW1077"/>
      <c r="XEX1077"/>
      <c r="XEY1077"/>
      <c r="XEZ1077"/>
      <c r="XFA1077"/>
      <c r="XFB1077"/>
      <c r="XFC1077"/>
    </row>
    <row r="1078" spans="1:20 16329:16383" s="38" customFormat="1" ht="29.1" customHeight="1" outlineLevel="4" x14ac:dyDescent="0.25">
      <c r="A1078" s="60" t="s">
        <v>2036</v>
      </c>
      <c r="B1078" s="61" t="s">
        <v>2037</v>
      </c>
      <c r="C1078" s="61"/>
      <c r="D1078" s="1" t="s">
        <v>1899</v>
      </c>
      <c r="E1078" s="1"/>
      <c r="F1078" s="62"/>
      <c r="G1078" s="61"/>
      <c r="H1078" s="63"/>
      <c r="I1078" s="36"/>
      <c r="J1078" s="63"/>
      <c r="K1078" s="64"/>
      <c r="L1078" s="64"/>
      <c r="M1078" s="64"/>
      <c r="N1078" s="64"/>
      <c r="O1078" s="64">
        <f>O1079</f>
        <v>0</v>
      </c>
      <c r="P1078" s="64">
        <f>P1079</f>
        <v>0</v>
      </c>
      <c r="Q1078" s="64">
        <f>Q1079</f>
        <v>0</v>
      </c>
      <c r="R1078" s="64">
        <f>R1079</f>
        <v>0</v>
      </c>
      <c r="S1078" s="64"/>
      <c r="T1078" s="36"/>
      <c r="XDA1078"/>
      <c r="XDB1078"/>
      <c r="XDC1078"/>
      <c r="XDD1078"/>
      <c r="XDE1078"/>
      <c r="XDF1078"/>
      <c r="XDG1078"/>
      <c r="XDH1078"/>
      <c r="XDI1078"/>
      <c r="XDJ1078"/>
      <c r="XDK1078"/>
      <c r="XDL1078"/>
      <c r="XDM1078"/>
      <c r="XDN1078"/>
      <c r="XDO1078"/>
      <c r="XDP1078"/>
      <c r="XDQ1078"/>
      <c r="XDR1078"/>
      <c r="XDS1078"/>
      <c r="XDT1078"/>
      <c r="XDU1078"/>
      <c r="XDV1078"/>
      <c r="XDW1078"/>
      <c r="XDX1078"/>
      <c r="XDY1078"/>
      <c r="XDZ1078"/>
      <c r="XEA1078"/>
      <c r="XEB1078"/>
      <c r="XEC1078"/>
      <c r="XED1078"/>
      <c r="XEE1078"/>
      <c r="XEF1078"/>
      <c r="XEG1078"/>
      <c r="XEH1078"/>
      <c r="XEI1078"/>
      <c r="XEJ1078"/>
      <c r="XEK1078"/>
      <c r="XEL1078"/>
      <c r="XEM1078"/>
      <c r="XEN1078"/>
      <c r="XEO1078"/>
      <c r="XEP1078"/>
      <c r="XEQ1078"/>
      <c r="XER1078"/>
      <c r="XES1078"/>
      <c r="XET1078"/>
      <c r="XEU1078"/>
      <c r="XEV1078"/>
      <c r="XEW1078"/>
      <c r="XEX1078"/>
      <c r="XEY1078"/>
      <c r="XEZ1078"/>
      <c r="XFA1078"/>
      <c r="XFB1078"/>
      <c r="XFC1078"/>
    </row>
    <row r="1079" spans="1:20 16329:16383" s="38" customFormat="1" ht="29.1" customHeight="1" outlineLevel="5" x14ac:dyDescent="0.25">
      <c r="A1079" s="49" t="s">
        <v>2038</v>
      </c>
      <c r="B1079" s="50"/>
      <c r="C1079" s="50"/>
      <c r="D1079" s="3" t="s">
        <v>2007</v>
      </c>
      <c r="E1079" s="3"/>
      <c r="F1079" s="51"/>
      <c r="G1079" s="50" t="s">
        <v>102</v>
      </c>
      <c r="H1079" s="52">
        <f>1</f>
        <v>1</v>
      </c>
      <c r="I1079" s="36"/>
      <c r="J1079" s="52">
        <v>1</v>
      </c>
      <c r="K1079" s="53">
        <f>0</f>
        <v>0</v>
      </c>
      <c r="L1079" s="53">
        <f>0</f>
        <v>0</v>
      </c>
      <c r="M1079" s="53">
        <f>0</f>
        <v>0</v>
      </c>
      <c r="N1079" s="54">
        <f>SUM(K1079:M1079)</f>
        <v>0</v>
      </c>
      <c r="O1079" s="54">
        <f>ROUND((H1079*K1079),2)</f>
        <v>0</v>
      </c>
      <c r="P1079" s="54">
        <f>ROUND((H1079*L1079),2)</f>
        <v>0</v>
      </c>
      <c r="Q1079" s="54">
        <f>ROUND((H1079*M1079),2)</f>
        <v>0</v>
      </c>
      <c r="R1079" s="54">
        <f>ROUND((H1079*N1079),2)</f>
        <v>0</v>
      </c>
      <c r="S1079" s="54"/>
      <c r="T1079" s="36"/>
      <c r="XDA1079"/>
      <c r="XDB1079"/>
      <c r="XDC1079"/>
      <c r="XDD1079"/>
      <c r="XDE1079"/>
      <c r="XDF1079"/>
      <c r="XDG1079"/>
      <c r="XDH1079"/>
      <c r="XDI1079"/>
      <c r="XDJ1079"/>
      <c r="XDK1079"/>
      <c r="XDL1079"/>
      <c r="XDM1079"/>
      <c r="XDN1079"/>
      <c r="XDO1079"/>
      <c r="XDP1079"/>
      <c r="XDQ1079"/>
      <c r="XDR1079"/>
      <c r="XDS1079"/>
      <c r="XDT1079"/>
      <c r="XDU1079"/>
      <c r="XDV1079"/>
      <c r="XDW1079"/>
      <c r="XDX1079"/>
      <c r="XDY1079"/>
      <c r="XDZ1079"/>
      <c r="XEA1079"/>
      <c r="XEB1079"/>
      <c r="XEC1079"/>
      <c r="XED1079"/>
      <c r="XEE1079"/>
      <c r="XEF1079"/>
      <c r="XEG1079"/>
      <c r="XEH1079"/>
      <c r="XEI1079"/>
      <c r="XEJ1079"/>
      <c r="XEK1079"/>
      <c r="XEL1079"/>
      <c r="XEM1079"/>
      <c r="XEN1079"/>
      <c r="XEO1079"/>
      <c r="XEP1079"/>
      <c r="XEQ1079"/>
      <c r="XER1079"/>
      <c r="XES1079"/>
      <c r="XET1079"/>
      <c r="XEU1079"/>
      <c r="XEV1079"/>
      <c r="XEW1079"/>
      <c r="XEX1079"/>
      <c r="XEY1079"/>
      <c r="XEZ1079"/>
      <c r="XFA1079"/>
      <c r="XFB1079"/>
      <c r="XFC1079"/>
    </row>
    <row r="1080" spans="1:20 16329:16383" s="38" customFormat="1" ht="29.1" customHeight="1" outlineLevel="3" x14ac:dyDescent="0.25">
      <c r="A1080" s="55" t="s">
        <v>2039</v>
      </c>
      <c r="B1080" s="56" t="s">
        <v>2040</v>
      </c>
      <c r="C1080" s="56" t="s">
        <v>2041</v>
      </c>
      <c r="D1080" s="2" t="s">
        <v>2042</v>
      </c>
      <c r="E1080" s="2"/>
      <c r="F1080" s="57"/>
      <c r="G1080" s="56" t="s">
        <v>102</v>
      </c>
      <c r="H1080" s="58"/>
      <c r="I1080" s="36"/>
      <c r="J1080" s="58"/>
      <c r="K1080" s="59"/>
      <c r="L1080" s="59"/>
      <c r="M1080" s="59"/>
      <c r="N1080" s="59"/>
      <c r="O1080" s="59">
        <f>O1081+O1085+O1088</f>
        <v>0</v>
      </c>
      <c r="P1080" s="59">
        <f>P1081+P1085+P1088</f>
        <v>0</v>
      </c>
      <c r="Q1080" s="59">
        <f>Q1081+Q1085+Q1088</f>
        <v>0</v>
      </c>
      <c r="R1080" s="59">
        <f>R1081+R1085+R1088</f>
        <v>0</v>
      </c>
      <c r="S1080" s="59"/>
      <c r="T1080" s="36"/>
      <c r="XDA1080"/>
      <c r="XDB1080"/>
      <c r="XDC1080"/>
      <c r="XDD1080"/>
      <c r="XDE1080"/>
      <c r="XDF1080"/>
      <c r="XDG1080"/>
      <c r="XDH1080"/>
      <c r="XDI1080"/>
      <c r="XDJ1080"/>
      <c r="XDK1080"/>
      <c r="XDL1080"/>
      <c r="XDM1080"/>
      <c r="XDN1080"/>
      <c r="XDO1080"/>
      <c r="XDP1080"/>
      <c r="XDQ1080"/>
      <c r="XDR1080"/>
      <c r="XDS1080"/>
      <c r="XDT1080"/>
      <c r="XDU1080"/>
      <c r="XDV1080"/>
      <c r="XDW1080"/>
      <c r="XDX1080"/>
      <c r="XDY1080"/>
      <c r="XDZ1080"/>
      <c r="XEA1080"/>
      <c r="XEB1080"/>
      <c r="XEC1080"/>
      <c r="XED1080"/>
      <c r="XEE1080"/>
      <c r="XEF1080"/>
      <c r="XEG1080"/>
      <c r="XEH1080"/>
      <c r="XEI1080"/>
      <c r="XEJ1080"/>
      <c r="XEK1080"/>
      <c r="XEL1080"/>
      <c r="XEM1080"/>
      <c r="XEN1080"/>
      <c r="XEO1080"/>
      <c r="XEP1080"/>
      <c r="XEQ1080"/>
      <c r="XER1080"/>
      <c r="XES1080"/>
      <c r="XET1080"/>
      <c r="XEU1080"/>
      <c r="XEV1080"/>
      <c r="XEW1080"/>
      <c r="XEX1080"/>
      <c r="XEY1080"/>
      <c r="XEZ1080"/>
      <c r="XFA1080"/>
      <c r="XFB1080"/>
      <c r="XFC1080"/>
    </row>
    <row r="1081" spans="1:20 16329:16383" s="38" customFormat="1" ht="29.1" customHeight="1" outlineLevel="4" x14ac:dyDescent="0.25">
      <c r="A1081" s="60" t="s">
        <v>2043</v>
      </c>
      <c r="B1081" s="61" t="s">
        <v>2044</v>
      </c>
      <c r="C1081" s="61"/>
      <c r="D1081" s="1" t="s">
        <v>1873</v>
      </c>
      <c r="E1081" s="1"/>
      <c r="F1081" s="62"/>
      <c r="G1081" s="61"/>
      <c r="H1081" s="63"/>
      <c r="I1081" s="36"/>
      <c r="J1081" s="63"/>
      <c r="K1081" s="64"/>
      <c r="L1081" s="64"/>
      <c r="M1081" s="64"/>
      <c r="N1081" s="64"/>
      <c r="O1081" s="64">
        <f>SUM(O1082:O1084)</f>
        <v>0</v>
      </c>
      <c r="P1081" s="64">
        <f>SUM(P1082:P1084)</f>
        <v>0</v>
      </c>
      <c r="Q1081" s="64">
        <f>SUM(Q1082:Q1084)</f>
        <v>0</v>
      </c>
      <c r="R1081" s="64">
        <f>SUM(R1082:R1084)</f>
        <v>0</v>
      </c>
      <c r="S1081" s="64"/>
      <c r="T1081" s="36"/>
      <c r="XDA1081"/>
      <c r="XDB1081"/>
      <c r="XDC1081"/>
      <c r="XDD1081"/>
      <c r="XDE1081"/>
      <c r="XDF1081"/>
      <c r="XDG1081"/>
      <c r="XDH1081"/>
      <c r="XDI1081"/>
      <c r="XDJ1081"/>
      <c r="XDK1081"/>
      <c r="XDL1081"/>
      <c r="XDM1081"/>
      <c r="XDN1081"/>
      <c r="XDO1081"/>
      <c r="XDP1081"/>
      <c r="XDQ1081"/>
      <c r="XDR1081"/>
      <c r="XDS1081"/>
      <c r="XDT1081"/>
      <c r="XDU1081"/>
      <c r="XDV1081"/>
      <c r="XDW1081"/>
      <c r="XDX1081"/>
      <c r="XDY1081"/>
      <c r="XDZ1081"/>
      <c r="XEA1081"/>
      <c r="XEB1081"/>
      <c r="XEC1081"/>
      <c r="XED1081"/>
      <c r="XEE1081"/>
      <c r="XEF1081"/>
      <c r="XEG1081"/>
      <c r="XEH1081"/>
      <c r="XEI1081"/>
      <c r="XEJ1081"/>
      <c r="XEK1081"/>
      <c r="XEL1081"/>
      <c r="XEM1081"/>
      <c r="XEN1081"/>
      <c r="XEO1081"/>
      <c r="XEP1081"/>
      <c r="XEQ1081"/>
      <c r="XER1081"/>
      <c r="XES1081"/>
      <c r="XET1081"/>
      <c r="XEU1081"/>
      <c r="XEV1081"/>
      <c r="XEW1081"/>
      <c r="XEX1081"/>
      <c r="XEY1081"/>
      <c r="XEZ1081"/>
      <c r="XFA1081"/>
      <c r="XFB1081"/>
      <c r="XFC1081"/>
    </row>
    <row r="1082" spans="1:20 16329:16383" s="38" customFormat="1" ht="29.1" customHeight="1" outlineLevel="5" x14ac:dyDescent="0.25">
      <c r="A1082" s="49" t="s">
        <v>2045</v>
      </c>
      <c r="B1082" s="50"/>
      <c r="C1082" s="50"/>
      <c r="D1082" s="3" t="s">
        <v>1875</v>
      </c>
      <c r="E1082" s="3"/>
      <c r="F1082" s="51"/>
      <c r="G1082" s="50" t="s">
        <v>102</v>
      </c>
      <c r="H1082" s="52">
        <f>1</f>
        <v>1</v>
      </c>
      <c r="I1082" s="36"/>
      <c r="J1082" s="52">
        <v>1</v>
      </c>
      <c r="K1082" s="53">
        <f>0</f>
        <v>0</v>
      </c>
      <c r="L1082" s="53">
        <f>0</f>
        <v>0</v>
      </c>
      <c r="M1082" s="53">
        <f>0</f>
        <v>0</v>
      </c>
      <c r="N1082" s="54">
        <f>SUM(K1082:M1082)</f>
        <v>0</v>
      </c>
      <c r="O1082" s="54">
        <f>ROUND((H1082*K1082),2)</f>
        <v>0</v>
      </c>
      <c r="P1082" s="54">
        <f>ROUND((H1082*L1082),2)</f>
        <v>0</v>
      </c>
      <c r="Q1082" s="54">
        <f>ROUND((H1082*M1082),2)</f>
        <v>0</v>
      </c>
      <c r="R1082" s="54">
        <f>ROUND((H1082*N1082),2)</f>
        <v>0</v>
      </c>
      <c r="S1082" s="54"/>
      <c r="T1082" s="36"/>
      <c r="XDA1082"/>
      <c r="XDB1082"/>
      <c r="XDC1082"/>
      <c r="XDD1082"/>
      <c r="XDE1082"/>
      <c r="XDF1082"/>
      <c r="XDG1082"/>
      <c r="XDH1082"/>
      <c r="XDI1082"/>
      <c r="XDJ1082"/>
      <c r="XDK1082"/>
      <c r="XDL1082"/>
      <c r="XDM1082"/>
      <c r="XDN1082"/>
      <c r="XDO1082"/>
      <c r="XDP1082"/>
      <c r="XDQ1082"/>
      <c r="XDR1082"/>
      <c r="XDS1082"/>
      <c r="XDT1082"/>
      <c r="XDU1082"/>
      <c r="XDV1082"/>
      <c r="XDW1082"/>
      <c r="XDX1082"/>
      <c r="XDY1082"/>
      <c r="XDZ1082"/>
      <c r="XEA1082"/>
      <c r="XEB1082"/>
      <c r="XEC1082"/>
      <c r="XED1082"/>
      <c r="XEE1082"/>
      <c r="XEF1082"/>
      <c r="XEG1082"/>
      <c r="XEH1082"/>
      <c r="XEI1082"/>
      <c r="XEJ1082"/>
      <c r="XEK1082"/>
      <c r="XEL1082"/>
      <c r="XEM1082"/>
      <c r="XEN1082"/>
      <c r="XEO1082"/>
      <c r="XEP1082"/>
      <c r="XEQ1082"/>
      <c r="XER1082"/>
      <c r="XES1082"/>
      <c r="XET1082"/>
      <c r="XEU1082"/>
      <c r="XEV1082"/>
      <c r="XEW1082"/>
      <c r="XEX1082"/>
      <c r="XEY1082"/>
      <c r="XEZ1082"/>
      <c r="XFA1082"/>
      <c r="XFB1082"/>
      <c r="XFC1082"/>
    </row>
    <row r="1083" spans="1:20 16329:16383" s="38" customFormat="1" ht="29.1" customHeight="1" outlineLevel="5" x14ac:dyDescent="0.25">
      <c r="A1083" s="49" t="s">
        <v>2046</v>
      </c>
      <c r="B1083" s="50"/>
      <c r="C1083" s="50"/>
      <c r="D1083" s="3" t="s">
        <v>1552</v>
      </c>
      <c r="E1083" s="3"/>
      <c r="F1083" s="51"/>
      <c r="G1083" s="50" t="s">
        <v>102</v>
      </c>
      <c r="H1083" s="52">
        <f>1</f>
        <v>1</v>
      </c>
      <c r="I1083" s="36"/>
      <c r="J1083" s="52">
        <v>1</v>
      </c>
      <c r="K1083" s="53">
        <f>0</f>
        <v>0</v>
      </c>
      <c r="L1083" s="53">
        <f>0</f>
        <v>0</v>
      </c>
      <c r="M1083" s="53">
        <f>0</f>
        <v>0</v>
      </c>
      <c r="N1083" s="54">
        <f>SUM(K1083:M1083)</f>
        <v>0</v>
      </c>
      <c r="O1083" s="54">
        <f>ROUND((H1083*K1083),2)</f>
        <v>0</v>
      </c>
      <c r="P1083" s="54">
        <f>ROUND((H1083*L1083),2)</f>
        <v>0</v>
      </c>
      <c r="Q1083" s="54">
        <f>ROUND((H1083*M1083),2)</f>
        <v>0</v>
      </c>
      <c r="R1083" s="54">
        <f>ROUND((H1083*N1083),2)</f>
        <v>0</v>
      </c>
      <c r="S1083" s="54"/>
      <c r="T1083" s="36"/>
      <c r="XDA1083"/>
      <c r="XDB1083"/>
      <c r="XDC1083"/>
      <c r="XDD1083"/>
      <c r="XDE1083"/>
      <c r="XDF1083"/>
      <c r="XDG1083"/>
      <c r="XDH1083"/>
      <c r="XDI1083"/>
      <c r="XDJ1083"/>
      <c r="XDK1083"/>
      <c r="XDL1083"/>
      <c r="XDM1083"/>
      <c r="XDN1083"/>
      <c r="XDO1083"/>
      <c r="XDP1083"/>
      <c r="XDQ1083"/>
      <c r="XDR1083"/>
      <c r="XDS1083"/>
      <c r="XDT1083"/>
      <c r="XDU1083"/>
      <c r="XDV1083"/>
      <c r="XDW1083"/>
      <c r="XDX1083"/>
      <c r="XDY1083"/>
      <c r="XDZ1083"/>
      <c r="XEA1083"/>
      <c r="XEB1083"/>
      <c r="XEC1083"/>
      <c r="XED1083"/>
      <c r="XEE1083"/>
      <c r="XEF1083"/>
      <c r="XEG1083"/>
      <c r="XEH1083"/>
      <c r="XEI1083"/>
      <c r="XEJ1083"/>
      <c r="XEK1083"/>
      <c r="XEL1083"/>
      <c r="XEM1083"/>
      <c r="XEN1083"/>
      <c r="XEO1083"/>
      <c r="XEP1083"/>
      <c r="XEQ1083"/>
      <c r="XER1083"/>
      <c r="XES1083"/>
      <c r="XET1083"/>
      <c r="XEU1083"/>
      <c r="XEV1083"/>
      <c r="XEW1083"/>
      <c r="XEX1083"/>
      <c r="XEY1083"/>
      <c r="XEZ1083"/>
      <c r="XFA1083"/>
      <c r="XFB1083"/>
      <c r="XFC1083"/>
    </row>
    <row r="1084" spans="1:20 16329:16383" s="38" customFormat="1" ht="29.1" customHeight="1" outlineLevel="5" x14ac:dyDescent="0.25">
      <c r="A1084" s="49" t="s">
        <v>2047</v>
      </c>
      <c r="B1084" s="50"/>
      <c r="C1084" s="50"/>
      <c r="D1084" s="3" t="s">
        <v>1996</v>
      </c>
      <c r="E1084" s="3"/>
      <c r="F1084" s="51"/>
      <c r="G1084" s="50" t="s">
        <v>102</v>
      </c>
      <c r="H1084" s="52">
        <f>1</f>
        <v>1</v>
      </c>
      <c r="I1084" s="36"/>
      <c r="J1084" s="52">
        <v>1</v>
      </c>
      <c r="K1084" s="53">
        <f>0</f>
        <v>0</v>
      </c>
      <c r="L1084" s="53">
        <f>0</f>
        <v>0</v>
      </c>
      <c r="M1084" s="53">
        <f>0</f>
        <v>0</v>
      </c>
      <c r="N1084" s="54">
        <f>SUM(K1084:M1084)</f>
        <v>0</v>
      </c>
      <c r="O1084" s="54">
        <f>ROUND((H1084*K1084),2)</f>
        <v>0</v>
      </c>
      <c r="P1084" s="54">
        <f>ROUND((H1084*L1084),2)</f>
        <v>0</v>
      </c>
      <c r="Q1084" s="54">
        <f>ROUND((H1084*M1084),2)</f>
        <v>0</v>
      </c>
      <c r="R1084" s="54">
        <f>ROUND((H1084*N1084),2)</f>
        <v>0</v>
      </c>
      <c r="S1084" s="54"/>
      <c r="T1084" s="36"/>
      <c r="XDA1084"/>
      <c r="XDB1084"/>
      <c r="XDC1084"/>
      <c r="XDD1084"/>
      <c r="XDE1084"/>
      <c r="XDF1084"/>
      <c r="XDG1084"/>
      <c r="XDH1084"/>
      <c r="XDI1084"/>
      <c r="XDJ1084"/>
      <c r="XDK1084"/>
      <c r="XDL1084"/>
      <c r="XDM1084"/>
      <c r="XDN1084"/>
      <c r="XDO1084"/>
      <c r="XDP1084"/>
      <c r="XDQ1084"/>
      <c r="XDR1084"/>
      <c r="XDS1084"/>
      <c r="XDT1084"/>
      <c r="XDU1084"/>
      <c r="XDV1084"/>
      <c r="XDW1084"/>
      <c r="XDX1084"/>
      <c r="XDY1084"/>
      <c r="XDZ1084"/>
      <c r="XEA1084"/>
      <c r="XEB1084"/>
      <c r="XEC1084"/>
      <c r="XED1084"/>
      <c r="XEE1084"/>
      <c r="XEF1084"/>
      <c r="XEG1084"/>
      <c r="XEH1084"/>
      <c r="XEI1084"/>
      <c r="XEJ1084"/>
      <c r="XEK1084"/>
      <c r="XEL1084"/>
      <c r="XEM1084"/>
      <c r="XEN1084"/>
      <c r="XEO1084"/>
      <c r="XEP1084"/>
      <c r="XEQ1084"/>
      <c r="XER1084"/>
      <c r="XES1084"/>
      <c r="XET1084"/>
      <c r="XEU1084"/>
      <c r="XEV1084"/>
      <c r="XEW1084"/>
      <c r="XEX1084"/>
      <c r="XEY1084"/>
      <c r="XEZ1084"/>
      <c r="XFA1084"/>
      <c r="XFB1084"/>
      <c r="XFC1084"/>
    </row>
    <row r="1085" spans="1:20 16329:16383" s="38" customFormat="1" ht="29.1" customHeight="1" outlineLevel="4" x14ac:dyDescent="0.25">
      <c r="A1085" s="60" t="s">
        <v>2048</v>
      </c>
      <c r="B1085" s="61" t="s">
        <v>2049</v>
      </c>
      <c r="C1085" s="61"/>
      <c r="D1085" s="1" t="s">
        <v>344</v>
      </c>
      <c r="E1085" s="1"/>
      <c r="F1085" s="62"/>
      <c r="G1085" s="61"/>
      <c r="H1085" s="63"/>
      <c r="I1085" s="36"/>
      <c r="J1085" s="63"/>
      <c r="K1085" s="64"/>
      <c r="L1085" s="64"/>
      <c r="M1085" s="64"/>
      <c r="N1085" s="64"/>
      <c r="O1085" s="64">
        <f>O1086+O1087</f>
        <v>0</v>
      </c>
      <c r="P1085" s="64">
        <f>P1086+P1087</f>
        <v>0</v>
      </c>
      <c r="Q1085" s="64">
        <f>Q1086+Q1087</f>
        <v>0</v>
      </c>
      <c r="R1085" s="64">
        <f>R1086+R1087</f>
        <v>0</v>
      </c>
      <c r="S1085" s="64"/>
      <c r="T1085" s="36"/>
      <c r="XDA1085"/>
      <c r="XDB1085"/>
      <c r="XDC1085"/>
      <c r="XDD1085"/>
      <c r="XDE1085"/>
      <c r="XDF1085"/>
      <c r="XDG1085"/>
      <c r="XDH1085"/>
      <c r="XDI1085"/>
      <c r="XDJ1085"/>
      <c r="XDK1085"/>
      <c r="XDL1085"/>
      <c r="XDM1085"/>
      <c r="XDN1085"/>
      <c r="XDO1085"/>
      <c r="XDP1085"/>
      <c r="XDQ1085"/>
      <c r="XDR1085"/>
      <c r="XDS1085"/>
      <c r="XDT1085"/>
      <c r="XDU1085"/>
      <c r="XDV1085"/>
      <c r="XDW1085"/>
      <c r="XDX1085"/>
      <c r="XDY1085"/>
      <c r="XDZ1085"/>
      <c r="XEA1085"/>
      <c r="XEB1085"/>
      <c r="XEC1085"/>
      <c r="XED1085"/>
      <c r="XEE1085"/>
      <c r="XEF1085"/>
      <c r="XEG1085"/>
      <c r="XEH1085"/>
      <c r="XEI1085"/>
      <c r="XEJ1085"/>
      <c r="XEK1085"/>
      <c r="XEL1085"/>
      <c r="XEM1085"/>
      <c r="XEN1085"/>
      <c r="XEO1085"/>
      <c r="XEP1085"/>
      <c r="XEQ1085"/>
      <c r="XER1085"/>
      <c r="XES1085"/>
      <c r="XET1085"/>
      <c r="XEU1085"/>
      <c r="XEV1085"/>
      <c r="XEW1085"/>
      <c r="XEX1085"/>
      <c r="XEY1085"/>
      <c r="XEZ1085"/>
      <c r="XFA1085"/>
      <c r="XFB1085"/>
      <c r="XFC1085"/>
    </row>
    <row r="1086" spans="1:20 16329:16383" s="38" customFormat="1" ht="29.1" customHeight="1" outlineLevel="5" x14ac:dyDescent="0.25">
      <c r="A1086" s="49" t="s">
        <v>2050</v>
      </c>
      <c r="B1086" s="50"/>
      <c r="C1086" s="50"/>
      <c r="D1086" s="3" t="s">
        <v>1884</v>
      </c>
      <c r="E1086" s="3"/>
      <c r="F1086" s="51"/>
      <c r="G1086" s="50" t="s">
        <v>102</v>
      </c>
      <c r="H1086" s="52">
        <f>1</f>
        <v>1</v>
      </c>
      <c r="I1086" s="36"/>
      <c r="J1086" s="52">
        <v>1</v>
      </c>
      <c r="K1086" s="53">
        <f>0</f>
        <v>0</v>
      </c>
      <c r="L1086" s="53">
        <f>0</f>
        <v>0</v>
      </c>
      <c r="M1086" s="53">
        <f>0</f>
        <v>0</v>
      </c>
      <c r="N1086" s="54">
        <f>SUM(K1086:M1086)</f>
        <v>0</v>
      </c>
      <c r="O1086" s="54">
        <f>ROUND((H1086*K1086),2)</f>
        <v>0</v>
      </c>
      <c r="P1086" s="54">
        <f>ROUND((H1086*L1086),2)</f>
        <v>0</v>
      </c>
      <c r="Q1086" s="54">
        <f>ROUND((H1086*M1086),2)</f>
        <v>0</v>
      </c>
      <c r="R1086" s="54">
        <f>ROUND((H1086*N1086),2)</f>
        <v>0</v>
      </c>
      <c r="S1086" s="54"/>
      <c r="T1086" s="36"/>
      <c r="XDA1086"/>
      <c r="XDB1086"/>
      <c r="XDC1086"/>
      <c r="XDD1086"/>
      <c r="XDE1086"/>
      <c r="XDF1086"/>
      <c r="XDG1086"/>
      <c r="XDH1086"/>
      <c r="XDI1086"/>
      <c r="XDJ1086"/>
      <c r="XDK1086"/>
      <c r="XDL1086"/>
      <c r="XDM1086"/>
      <c r="XDN1086"/>
      <c r="XDO1086"/>
      <c r="XDP1086"/>
      <c r="XDQ1086"/>
      <c r="XDR1086"/>
      <c r="XDS1086"/>
      <c r="XDT1086"/>
      <c r="XDU1086"/>
      <c r="XDV1086"/>
      <c r="XDW1086"/>
      <c r="XDX1086"/>
      <c r="XDY1086"/>
      <c r="XDZ1086"/>
      <c r="XEA1086"/>
      <c r="XEB1086"/>
      <c r="XEC1086"/>
      <c r="XED1086"/>
      <c r="XEE1086"/>
      <c r="XEF1086"/>
      <c r="XEG1086"/>
      <c r="XEH1086"/>
      <c r="XEI1086"/>
      <c r="XEJ1086"/>
      <c r="XEK1086"/>
      <c r="XEL1086"/>
      <c r="XEM1086"/>
      <c r="XEN1086"/>
      <c r="XEO1086"/>
      <c r="XEP1086"/>
      <c r="XEQ1086"/>
      <c r="XER1086"/>
      <c r="XES1086"/>
      <c r="XET1086"/>
      <c r="XEU1086"/>
      <c r="XEV1086"/>
      <c r="XEW1086"/>
      <c r="XEX1086"/>
      <c r="XEY1086"/>
      <c r="XEZ1086"/>
      <c r="XFA1086"/>
      <c r="XFB1086"/>
      <c r="XFC1086"/>
    </row>
    <row r="1087" spans="1:20 16329:16383" s="38" customFormat="1" ht="29.1" customHeight="1" outlineLevel="5" x14ac:dyDescent="0.25">
      <c r="A1087" s="49" t="s">
        <v>2051</v>
      </c>
      <c r="B1087" s="50"/>
      <c r="C1087" s="50"/>
      <c r="D1087" s="3" t="s">
        <v>2003</v>
      </c>
      <c r="E1087" s="3"/>
      <c r="F1087" s="51"/>
      <c r="G1087" s="50" t="s">
        <v>102</v>
      </c>
      <c r="H1087" s="52">
        <f>1</f>
        <v>1</v>
      </c>
      <c r="I1087" s="36"/>
      <c r="J1087" s="52">
        <v>1</v>
      </c>
      <c r="K1087" s="53">
        <f>0</f>
        <v>0</v>
      </c>
      <c r="L1087" s="53">
        <f>0</f>
        <v>0</v>
      </c>
      <c r="M1087" s="53">
        <f>0</f>
        <v>0</v>
      </c>
      <c r="N1087" s="54">
        <f>SUM(K1087:M1087)</f>
        <v>0</v>
      </c>
      <c r="O1087" s="54">
        <f>ROUND((H1087*K1087),2)</f>
        <v>0</v>
      </c>
      <c r="P1087" s="54">
        <f>ROUND((H1087*L1087),2)</f>
        <v>0</v>
      </c>
      <c r="Q1087" s="54">
        <f>ROUND((H1087*M1087),2)</f>
        <v>0</v>
      </c>
      <c r="R1087" s="54">
        <f>ROUND((H1087*N1087),2)</f>
        <v>0</v>
      </c>
      <c r="S1087" s="54"/>
      <c r="T1087" s="36"/>
      <c r="XDA1087"/>
      <c r="XDB1087"/>
      <c r="XDC1087"/>
      <c r="XDD1087"/>
      <c r="XDE1087"/>
      <c r="XDF1087"/>
      <c r="XDG1087"/>
      <c r="XDH1087"/>
      <c r="XDI1087"/>
      <c r="XDJ1087"/>
      <c r="XDK1087"/>
      <c r="XDL1087"/>
      <c r="XDM1087"/>
      <c r="XDN1087"/>
      <c r="XDO1087"/>
      <c r="XDP1087"/>
      <c r="XDQ1087"/>
      <c r="XDR1087"/>
      <c r="XDS1087"/>
      <c r="XDT1087"/>
      <c r="XDU1087"/>
      <c r="XDV1087"/>
      <c r="XDW1087"/>
      <c r="XDX1087"/>
      <c r="XDY1087"/>
      <c r="XDZ1087"/>
      <c r="XEA1087"/>
      <c r="XEB1087"/>
      <c r="XEC1087"/>
      <c r="XED1087"/>
      <c r="XEE1087"/>
      <c r="XEF1087"/>
      <c r="XEG1087"/>
      <c r="XEH1087"/>
      <c r="XEI1087"/>
      <c r="XEJ1087"/>
      <c r="XEK1087"/>
      <c r="XEL1087"/>
      <c r="XEM1087"/>
      <c r="XEN1087"/>
      <c r="XEO1087"/>
      <c r="XEP1087"/>
      <c r="XEQ1087"/>
      <c r="XER1087"/>
      <c r="XES1087"/>
      <c r="XET1087"/>
      <c r="XEU1087"/>
      <c r="XEV1087"/>
      <c r="XEW1087"/>
      <c r="XEX1087"/>
      <c r="XEY1087"/>
      <c r="XEZ1087"/>
      <c r="XFA1087"/>
      <c r="XFB1087"/>
      <c r="XFC1087"/>
    </row>
    <row r="1088" spans="1:20 16329:16383" s="38" customFormat="1" ht="29.1" customHeight="1" outlineLevel="4" x14ac:dyDescent="0.25">
      <c r="A1088" s="60" t="s">
        <v>2052</v>
      </c>
      <c r="B1088" s="61" t="s">
        <v>2053</v>
      </c>
      <c r="C1088" s="61"/>
      <c r="D1088" s="1" t="s">
        <v>1899</v>
      </c>
      <c r="E1088" s="1"/>
      <c r="F1088" s="62"/>
      <c r="G1088" s="61"/>
      <c r="H1088" s="63"/>
      <c r="I1088" s="36"/>
      <c r="J1088" s="63"/>
      <c r="K1088" s="64"/>
      <c r="L1088" s="64"/>
      <c r="M1088" s="64"/>
      <c r="N1088" s="64"/>
      <c r="O1088" s="64">
        <f>O1089</f>
        <v>0</v>
      </c>
      <c r="P1088" s="64">
        <f>P1089</f>
        <v>0</v>
      </c>
      <c r="Q1088" s="64">
        <f>Q1089</f>
        <v>0</v>
      </c>
      <c r="R1088" s="64">
        <f>R1089</f>
        <v>0</v>
      </c>
      <c r="S1088" s="64"/>
      <c r="T1088" s="36"/>
      <c r="XDA1088"/>
      <c r="XDB1088"/>
      <c r="XDC1088"/>
      <c r="XDD1088"/>
      <c r="XDE1088"/>
      <c r="XDF1088"/>
      <c r="XDG1088"/>
      <c r="XDH1088"/>
      <c r="XDI1088"/>
      <c r="XDJ1088"/>
      <c r="XDK1088"/>
      <c r="XDL1088"/>
      <c r="XDM1088"/>
      <c r="XDN1088"/>
      <c r="XDO1088"/>
      <c r="XDP1088"/>
      <c r="XDQ1088"/>
      <c r="XDR1088"/>
      <c r="XDS1088"/>
      <c r="XDT1088"/>
      <c r="XDU1088"/>
      <c r="XDV1088"/>
      <c r="XDW1088"/>
      <c r="XDX1088"/>
      <c r="XDY1088"/>
      <c r="XDZ1088"/>
      <c r="XEA1088"/>
      <c r="XEB1088"/>
      <c r="XEC1088"/>
      <c r="XED1088"/>
      <c r="XEE1088"/>
      <c r="XEF1088"/>
      <c r="XEG1088"/>
      <c r="XEH1088"/>
      <c r="XEI1088"/>
      <c r="XEJ1088"/>
      <c r="XEK1088"/>
      <c r="XEL1088"/>
      <c r="XEM1088"/>
      <c r="XEN1088"/>
      <c r="XEO1088"/>
      <c r="XEP1088"/>
      <c r="XEQ1088"/>
      <c r="XER1088"/>
      <c r="XES1088"/>
      <c r="XET1088"/>
      <c r="XEU1088"/>
      <c r="XEV1088"/>
      <c r="XEW1088"/>
      <c r="XEX1088"/>
      <c r="XEY1088"/>
      <c r="XEZ1088"/>
      <c r="XFA1088"/>
      <c r="XFB1088"/>
      <c r="XFC1088"/>
    </row>
    <row r="1089" spans="1:20 16329:16383" s="38" customFormat="1" ht="29.1" customHeight="1" outlineLevel="5" x14ac:dyDescent="0.25">
      <c r="A1089" s="49" t="s">
        <v>2054</v>
      </c>
      <c r="B1089" s="50"/>
      <c r="C1089" s="50"/>
      <c r="D1089" s="3" t="s">
        <v>2007</v>
      </c>
      <c r="E1089" s="3"/>
      <c r="F1089" s="51"/>
      <c r="G1089" s="50" t="s">
        <v>102</v>
      </c>
      <c r="H1089" s="52">
        <f>1</f>
        <v>1</v>
      </c>
      <c r="I1089" s="36"/>
      <c r="J1089" s="52">
        <v>1</v>
      </c>
      <c r="K1089" s="53">
        <f>0</f>
        <v>0</v>
      </c>
      <c r="L1089" s="53">
        <f>0</f>
        <v>0</v>
      </c>
      <c r="M1089" s="53">
        <f>0</f>
        <v>0</v>
      </c>
      <c r="N1089" s="54">
        <f>SUM(K1089:M1089)</f>
        <v>0</v>
      </c>
      <c r="O1089" s="54">
        <f>ROUND((H1089*K1089),2)</f>
        <v>0</v>
      </c>
      <c r="P1089" s="54">
        <f>ROUND((H1089*L1089),2)</f>
        <v>0</v>
      </c>
      <c r="Q1089" s="54">
        <f>ROUND((H1089*M1089),2)</f>
        <v>0</v>
      </c>
      <c r="R1089" s="54">
        <f>ROUND((H1089*N1089),2)</f>
        <v>0</v>
      </c>
      <c r="S1089" s="54"/>
      <c r="T1089" s="36"/>
      <c r="XDA1089"/>
      <c r="XDB1089"/>
      <c r="XDC1089"/>
      <c r="XDD1089"/>
      <c r="XDE1089"/>
      <c r="XDF1089"/>
      <c r="XDG1089"/>
      <c r="XDH1089"/>
      <c r="XDI1089"/>
      <c r="XDJ1089"/>
      <c r="XDK1089"/>
      <c r="XDL1089"/>
      <c r="XDM1089"/>
      <c r="XDN1089"/>
      <c r="XDO1089"/>
      <c r="XDP1089"/>
      <c r="XDQ1089"/>
      <c r="XDR1089"/>
      <c r="XDS1089"/>
      <c r="XDT1089"/>
      <c r="XDU1089"/>
      <c r="XDV1089"/>
      <c r="XDW1089"/>
      <c r="XDX1089"/>
      <c r="XDY1089"/>
      <c r="XDZ1089"/>
      <c r="XEA1089"/>
      <c r="XEB1089"/>
      <c r="XEC1089"/>
      <c r="XED1089"/>
      <c r="XEE1089"/>
      <c r="XEF1089"/>
      <c r="XEG1089"/>
      <c r="XEH1089"/>
      <c r="XEI1089"/>
      <c r="XEJ1089"/>
      <c r="XEK1089"/>
      <c r="XEL1089"/>
      <c r="XEM1089"/>
      <c r="XEN1089"/>
      <c r="XEO1089"/>
      <c r="XEP1089"/>
      <c r="XEQ1089"/>
      <c r="XER1089"/>
      <c r="XES1089"/>
      <c r="XET1089"/>
      <c r="XEU1089"/>
      <c r="XEV1089"/>
      <c r="XEW1089"/>
      <c r="XEX1089"/>
      <c r="XEY1089"/>
      <c r="XEZ1089"/>
      <c r="XFA1089"/>
      <c r="XFB1089"/>
      <c r="XFC1089"/>
    </row>
    <row r="1090" spans="1:20 16329:16383" s="38" customFormat="1" ht="29.1" customHeight="1" outlineLevel="3" x14ac:dyDescent="0.25">
      <c r="A1090" s="55" t="s">
        <v>2055</v>
      </c>
      <c r="B1090" s="56" t="s">
        <v>2056</v>
      </c>
      <c r="C1090" s="56" t="s">
        <v>2041</v>
      </c>
      <c r="D1090" s="2" t="s">
        <v>2057</v>
      </c>
      <c r="E1090" s="2"/>
      <c r="F1090" s="57"/>
      <c r="G1090" s="56" t="s">
        <v>102</v>
      </c>
      <c r="H1090" s="58"/>
      <c r="I1090" s="36"/>
      <c r="J1090" s="58"/>
      <c r="K1090" s="59"/>
      <c r="L1090" s="59"/>
      <c r="M1090" s="59"/>
      <c r="N1090" s="59"/>
      <c r="O1090" s="59">
        <f>O1091+O1095+O1098</f>
        <v>0</v>
      </c>
      <c r="P1090" s="59">
        <f>P1091+P1095+P1098</f>
        <v>0</v>
      </c>
      <c r="Q1090" s="59">
        <f>Q1091+Q1095+Q1098</f>
        <v>0</v>
      </c>
      <c r="R1090" s="59">
        <f>R1091+R1095+R1098</f>
        <v>0</v>
      </c>
      <c r="S1090" s="59"/>
      <c r="T1090" s="36"/>
      <c r="XDA1090"/>
      <c r="XDB1090"/>
      <c r="XDC1090"/>
      <c r="XDD1090"/>
      <c r="XDE1090"/>
      <c r="XDF1090"/>
      <c r="XDG1090"/>
      <c r="XDH1090"/>
      <c r="XDI1090"/>
      <c r="XDJ1090"/>
      <c r="XDK1090"/>
      <c r="XDL1090"/>
      <c r="XDM1090"/>
      <c r="XDN1090"/>
      <c r="XDO1090"/>
      <c r="XDP1090"/>
      <c r="XDQ1090"/>
      <c r="XDR1090"/>
      <c r="XDS1090"/>
      <c r="XDT1090"/>
      <c r="XDU1090"/>
      <c r="XDV1090"/>
      <c r="XDW1090"/>
      <c r="XDX1090"/>
      <c r="XDY1090"/>
      <c r="XDZ1090"/>
      <c r="XEA1090"/>
      <c r="XEB1090"/>
      <c r="XEC1090"/>
      <c r="XED1090"/>
      <c r="XEE1090"/>
      <c r="XEF1090"/>
      <c r="XEG1090"/>
      <c r="XEH1090"/>
      <c r="XEI1090"/>
      <c r="XEJ1090"/>
      <c r="XEK1090"/>
      <c r="XEL1090"/>
      <c r="XEM1090"/>
      <c r="XEN1090"/>
      <c r="XEO1090"/>
      <c r="XEP1090"/>
      <c r="XEQ1090"/>
      <c r="XER1090"/>
      <c r="XES1090"/>
      <c r="XET1090"/>
      <c r="XEU1090"/>
      <c r="XEV1090"/>
      <c r="XEW1090"/>
      <c r="XEX1090"/>
      <c r="XEY1090"/>
      <c r="XEZ1090"/>
      <c r="XFA1090"/>
      <c r="XFB1090"/>
      <c r="XFC1090"/>
    </row>
    <row r="1091" spans="1:20 16329:16383" s="38" customFormat="1" ht="29.1" customHeight="1" outlineLevel="4" x14ac:dyDescent="0.25">
      <c r="A1091" s="60" t="s">
        <v>2058</v>
      </c>
      <c r="B1091" s="61" t="s">
        <v>2059</v>
      </c>
      <c r="C1091" s="61"/>
      <c r="D1091" s="1" t="s">
        <v>1873</v>
      </c>
      <c r="E1091" s="1"/>
      <c r="F1091" s="62"/>
      <c r="G1091" s="61"/>
      <c r="H1091" s="63"/>
      <c r="I1091" s="36"/>
      <c r="J1091" s="63"/>
      <c r="K1091" s="64"/>
      <c r="L1091" s="64"/>
      <c r="M1091" s="64"/>
      <c r="N1091" s="64"/>
      <c r="O1091" s="64">
        <f>SUM(O1092:O1094)</f>
        <v>0</v>
      </c>
      <c r="P1091" s="64">
        <f>SUM(P1092:P1094)</f>
        <v>0</v>
      </c>
      <c r="Q1091" s="64">
        <f>SUM(Q1092:Q1094)</f>
        <v>0</v>
      </c>
      <c r="R1091" s="64">
        <f>SUM(R1092:R1094)</f>
        <v>0</v>
      </c>
      <c r="S1091" s="64"/>
      <c r="T1091" s="36"/>
      <c r="XDA1091"/>
      <c r="XDB1091"/>
      <c r="XDC1091"/>
      <c r="XDD1091"/>
      <c r="XDE1091"/>
      <c r="XDF1091"/>
      <c r="XDG1091"/>
      <c r="XDH1091"/>
      <c r="XDI1091"/>
      <c r="XDJ1091"/>
      <c r="XDK1091"/>
      <c r="XDL1091"/>
      <c r="XDM1091"/>
      <c r="XDN1091"/>
      <c r="XDO1091"/>
      <c r="XDP1091"/>
      <c r="XDQ1091"/>
      <c r="XDR1091"/>
      <c r="XDS1091"/>
      <c r="XDT1091"/>
      <c r="XDU1091"/>
      <c r="XDV1091"/>
      <c r="XDW1091"/>
      <c r="XDX1091"/>
      <c r="XDY1091"/>
      <c r="XDZ1091"/>
      <c r="XEA1091"/>
      <c r="XEB1091"/>
      <c r="XEC1091"/>
      <c r="XED1091"/>
      <c r="XEE1091"/>
      <c r="XEF1091"/>
      <c r="XEG1091"/>
      <c r="XEH1091"/>
      <c r="XEI1091"/>
      <c r="XEJ1091"/>
      <c r="XEK1091"/>
      <c r="XEL1091"/>
      <c r="XEM1091"/>
      <c r="XEN1091"/>
      <c r="XEO1091"/>
      <c r="XEP1091"/>
      <c r="XEQ1091"/>
      <c r="XER1091"/>
      <c r="XES1091"/>
      <c r="XET1091"/>
      <c r="XEU1091"/>
      <c r="XEV1091"/>
      <c r="XEW1091"/>
      <c r="XEX1091"/>
      <c r="XEY1091"/>
      <c r="XEZ1091"/>
      <c r="XFA1091"/>
      <c r="XFB1091"/>
      <c r="XFC1091"/>
    </row>
    <row r="1092" spans="1:20 16329:16383" s="38" customFormat="1" ht="29.1" customHeight="1" outlineLevel="5" x14ac:dyDescent="0.25">
      <c r="A1092" s="49" t="s">
        <v>2060</v>
      </c>
      <c r="B1092" s="50"/>
      <c r="C1092" s="50"/>
      <c r="D1092" s="3" t="s">
        <v>1875</v>
      </c>
      <c r="E1092" s="3"/>
      <c r="F1092" s="51"/>
      <c r="G1092" s="50" t="s">
        <v>102</v>
      </c>
      <c r="H1092" s="52">
        <f>1</f>
        <v>1</v>
      </c>
      <c r="I1092" s="36"/>
      <c r="J1092" s="52">
        <v>1</v>
      </c>
      <c r="K1092" s="53">
        <f>0</f>
        <v>0</v>
      </c>
      <c r="L1092" s="53">
        <f>0</f>
        <v>0</v>
      </c>
      <c r="M1092" s="53">
        <f>0</f>
        <v>0</v>
      </c>
      <c r="N1092" s="54">
        <f>SUM(K1092:M1092)</f>
        <v>0</v>
      </c>
      <c r="O1092" s="54">
        <f>ROUND((H1092*K1092),2)</f>
        <v>0</v>
      </c>
      <c r="P1092" s="54">
        <f>ROUND((H1092*L1092),2)</f>
        <v>0</v>
      </c>
      <c r="Q1092" s="54">
        <f>ROUND((H1092*M1092),2)</f>
        <v>0</v>
      </c>
      <c r="R1092" s="54">
        <f>ROUND((H1092*N1092),2)</f>
        <v>0</v>
      </c>
      <c r="S1092" s="54"/>
      <c r="T1092" s="36"/>
      <c r="XDA1092"/>
      <c r="XDB1092"/>
      <c r="XDC1092"/>
      <c r="XDD1092"/>
      <c r="XDE1092"/>
      <c r="XDF1092"/>
      <c r="XDG1092"/>
      <c r="XDH1092"/>
      <c r="XDI1092"/>
      <c r="XDJ1092"/>
      <c r="XDK1092"/>
      <c r="XDL1092"/>
      <c r="XDM1092"/>
      <c r="XDN1092"/>
      <c r="XDO1092"/>
      <c r="XDP1092"/>
      <c r="XDQ1092"/>
      <c r="XDR1092"/>
      <c r="XDS1092"/>
      <c r="XDT1092"/>
      <c r="XDU1092"/>
      <c r="XDV1092"/>
      <c r="XDW1092"/>
      <c r="XDX1092"/>
      <c r="XDY1092"/>
      <c r="XDZ1092"/>
      <c r="XEA1092"/>
      <c r="XEB1092"/>
      <c r="XEC1092"/>
      <c r="XED1092"/>
      <c r="XEE1092"/>
      <c r="XEF1092"/>
      <c r="XEG1092"/>
      <c r="XEH1092"/>
      <c r="XEI1092"/>
      <c r="XEJ1092"/>
      <c r="XEK1092"/>
      <c r="XEL1092"/>
      <c r="XEM1092"/>
      <c r="XEN1092"/>
      <c r="XEO1092"/>
      <c r="XEP1092"/>
      <c r="XEQ1092"/>
      <c r="XER1092"/>
      <c r="XES1092"/>
      <c r="XET1092"/>
      <c r="XEU1092"/>
      <c r="XEV1092"/>
      <c r="XEW1092"/>
      <c r="XEX1092"/>
      <c r="XEY1092"/>
      <c r="XEZ1092"/>
      <c r="XFA1092"/>
      <c r="XFB1092"/>
      <c r="XFC1092"/>
    </row>
    <row r="1093" spans="1:20 16329:16383" s="38" customFormat="1" ht="29.1" customHeight="1" outlineLevel="5" x14ac:dyDescent="0.25">
      <c r="A1093" s="49" t="s">
        <v>2061</v>
      </c>
      <c r="B1093" s="50"/>
      <c r="C1093" s="50"/>
      <c r="D1093" s="3" t="s">
        <v>1552</v>
      </c>
      <c r="E1093" s="3"/>
      <c r="F1093" s="51"/>
      <c r="G1093" s="50" t="s">
        <v>102</v>
      </c>
      <c r="H1093" s="52">
        <f>1</f>
        <v>1</v>
      </c>
      <c r="I1093" s="36"/>
      <c r="J1093" s="52">
        <v>1</v>
      </c>
      <c r="K1093" s="53">
        <f>0</f>
        <v>0</v>
      </c>
      <c r="L1093" s="53">
        <f>0</f>
        <v>0</v>
      </c>
      <c r="M1093" s="53">
        <f>0</f>
        <v>0</v>
      </c>
      <c r="N1093" s="54">
        <f>SUM(K1093:M1093)</f>
        <v>0</v>
      </c>
      <c r="O1093" s="54">
        <f>ROUND((H1093*K1093),2)</f>
        <v>0</v>
      </c>
      <c r="P1093" s="54">
        <f>ROUND((H1093*L1093),2)</f>
        <v>0</v>
      </c>
      <c r="Q1093" s="54">
        <f>ROUND((H1093*M1093),2)</f>
        <v>0</v>
      </c>
      <c r="R1093" s="54">
        <f>ROUND((H1093*N1093),2)</f>
        <v>0</v>
      </c>
      <c r="S1093" s="54"/>
      <c r="T1093" s="36"/>
      <c r="XDA1093"/>
      <c r="XDB1093"/>
      <c r="XDC1093"/>
      <c r="XDD1093"/>
      <c r="XDE1093"/>
      <c r="XDF1093"/>
      <c r="XDG1093"/>
      <c r="XDH1093"/>
      <c r="XDI1093"/>
      <c r="XDJ1093"/>
      <c r="XDK1093"/>
      <c r="XDL1093"/>
      <c r="XDM1093"/>
      <c r="XDN1093"/>
      <c r="XDO1093"/>
      <c r="XDP1093"/>
      <c r="XDQ1093"/>
      <c r="XDR1093"/>
      <c r="XDS1093"/>
      <c r="XDT1093"/>
      <c r="XDU1093"/>
      <c r="XDV1093"/>
      <c r="XDW1093"/>
      <c r="XDX1093"/>
      <c r="XDY1093"/>
      <c r="XDZ1093"/>
      <c r="XEA1093"/>
      <c r="XEB1093"/>
      <c r="XEC1093"/>
      <c r="XED1093"/>
      <c r="XEE1093"/>
      <c r="XEF1093"/>
      <c r="XEG1093"/>
      <c r="XEH1093"/>
      <c r="XEI1093"/>
      <c r="XEJ1093"/>
      <c r="XEK1093"/>
      <c r="XEL1093"/>
      <c r="XEM1093"/>
      <c r="XEN1093"/>
      <c r="XEO1093"/>
      <c r="XEP1093"/>
      <c r="XEQ1093"/>
      <c r="XER1093"/>
      <c r="XES1093"/>
      <c r="XET1093"/>
      <c r="XEU1093"/>
      <c r="XEV1093"/>
      <c r="XEW1093"/>
      <c r="XEX1093"/>
      <c r="XEY1093"/>
      <c r="XEZ1093"/>
      <c r="XFA1093"/>
      <c r="XFB1093"/>
      <c r="XFC1093"/>
    </row>
    <row r="1094" spans="1:20 16329:16383" s="38" customFormat="1" ht="29.1" customHeight="1" outlineLevel="5" x14ac:dyDescent="0.25">
      <c r="A1094" s="49" t="s">
        <v>2062</v>
      </c>
      <c r="B1094" s="50"/>
      <c r="C1094" s="50"/>
      <c r="D1094" s="3" t="s">
        <v>1996</v>
      </c>
      <c r="E1094" s="3"/>
      <c r="F1094" s="51"/>
      <c r="G1094" s="50" t="s">
        <v>102</v>
      </c>
      <c r="H1094" s="52">
        <f>1</f>
        <v>1</v>
      </c>
      <c r="I1094" s="36"/>
      <c r="J1094" s="52">
        <v>1</v>
      </c>
      <c r="K1094" s="53">
        <f>0</f>
        <v>0</v>
      </c>
      <c r="L1094" s="53">
        <f>0</f>
        <v>0</v>
      </c>
      <c r="M1094" s="53">
        <f>0</f>
        <v>0</v>
      </c>
      <c r="N1094" s="54">
        <f>SUM(K1094:M1094)</f>
        <v>0</v>
      </c>
      <c r="O1094" s="54">
        <f>ROUND((H1094*K1094),2)</f>
        <v>0</v>
      </c>
      <c r="P1094" s="54">
        <f>ROUND((H1094*L1094),2)</f>
        <v>0</v>
      </c>
      <c r="Q1094" s="54">
        <f>ROUND((H1094*M1094),2)</f>
        <v>0</v>
      </c>
      <c r="R1094" s="54">
        <f>ROUND((H1094*N1094),2)</f>
        <v>0</v>
      </c>
      <c r="S1094" s="54"/>
      <c r="T1094" s="36"/>
      <c r="XDA1094"/>
      <c r="XDB1094"/>
      <c r="XDC1094"/>
      <c r="XDD1094"/>
      <c r="XDE1094"/>
      <c r="XDF1094"/>
      <c r="XDG1094"/>
      <c r="XDH1094"/>
      <c r="XDI1094"/>
      <c r="XDJ1094"/>
      <c r="XDK1094"/>
      <c r="XDL1094"/>
      <c r="XDM1094"/>
      <c r="XDN1094"/>
      <c r="XDO1094"/>
      <c r="XDP1094"/>
      <c r="XDQ1094"/>
      <c r="XDR1094"/>
      <c r="XDS1094"/>
      <c r="XDT1094"/>
      <c r="XDU1094"/>
      <c r="XDV1094"/>
      <c r="XDW1094"/>
      <c r="XDX1094"/>
      <c r="XDY1094"/>
      <c r="XDZ1094"/>
      <c r="XEA1094"/>
      <c r="XEB1094"/>
      <c r="XEC1094"/>
      <c r="XED1094"/>
      <c r="XEE1094"/>
      <c r="XEF1094"/>
      <c r="XEG1094"/>
      <c r="XEH1094"/>
      <c r="XEI1094"/>
      <c r="XEJ1094"/>
      <c r="XEK1094"/>
      <c r="XEL1094"/>
      <c r="XEM1094"/>
      <c r="XEN1094"/>
      <c r="XEO1094"/>
      <c r="XEP1094"/>
      <c r="XEQ1094"/>
      <c r="XER1094"/>
      <c r="XES1094"/>
      <c r="XET1094"/>
      <c r="XEU1094"/>
      <c r="XEV1094"/>
      <c r="XEW1094"/>
      <c r="XEX1094"/>
      <c r="XEY1094"/>
      <c r="XEZ1094"/>
      <c r="XFA1094"/>
      <c r="XFB1094"/>
      <c r="XFC1094"/>
    </row>
    <row r="1095" spans="1:20 16329:16383" s="38" customFormat="1" ht="29.1" customHeight="1" outlineLevel="4" x14ac:dyDescent="0.25">
      <c r="A1095" s="60" t="s">
        <v>2063</v>
      </c>
      <c r="B1095" s="61" t="s">
        <v>2064</v>
      </c>
      <c r="C1095" s="61"/>
      <c r="D1095" s="1" t="s">
        <v>344</v>
      </c>
      <c r="E1095" s="1"/>
      <c r="F1095" s="62"/>
      <c r="G1095" s="61"/>
      <c r="H1095" s="63"/>
      <c r="I1095" s="36"/>
      <c r="J1095" s="63"/>
      <c r="K1095" s="64"/>
      <c r="L1095" s="64"/>
      <c r="M1095" s="64"/>
      <c r="N1095" s="64"/>
      <c r="O1095" s="64">
        <f>O1096+O1097</f>
        <v>0</v>
      </c>
      <c r="P1095" s="64">
        <f>P1096+P1097</f>
        <v>0</v>
      </c>
      <c r="Q1095" s="64">
        <f>Q1096+Q1097</f>
        <v>0</v>
      </c>
      <c r="R1095" s="64">
        <f>R1096+R1097</f>
        <v>0</v>
      </c>
      <c r="S1095" s="64"/>
      <c r="T1095" s="36"/>
      <c r="XDA1095"/>
      <c r="XDB1095"/>
      <c r="XDC1095"/>
      <c r="XDD1095"/>
      <c r="XDE1095"/>
      <c r="XDF1095"/>
      <c r="XDG1095"/>
      <c r="XDH1095"/>
      <c r="XDI1095"/>
      <c r="XDJ1095"/>
      <c r="XDK1095"/>
      <c r="XDL1095"/>
      <c r="XDM1095"/>
      <c r="XDN1095"/>
      <c r="XDO1095"/>
      <c r="XDP1095"/>
      <c r="XDQ1095"/>
      <c r="XDR1095"/>
      <c r="XDS1095"/>
      <c r="XDT1095"/>
      <c r="XDU1095"/>
      <c r="XDV1095"/>
      <c r="XDW1095"/>
      <c r="XDX1095"/>
      <c r="XDY1095"/>
      <c r="XDZ1095"/>
      <c r="XEA1095"/>
      <c r="XEB1095"/>
      <c r="XEC1095"/>
      <c r="XED1095"/>
      <c r="XEE1095"/>
      <c r="XEF1095"/>
      <c r="XEG1095"/>
      <c r="XEH1095"/>
      <c r="XEI1095"/>
      <c r="XEJ1095"/>
      <c r="XEK1095"/>
      <c r="XEL1095"/>
      <c r="XEM1095"/>
      <c r="XEN1095"/>
      <c r="XEO1095"/>
      <c r="XEP1095"/>
      <c r="XEQ1095"/>
      <c r="XER1095"/>
      <c r="XES1095"/>
      <c r="XET1095"/>
      <c r="XEU1095"/>
      <c r="XEV1095"/>
      <c r="XEW1095"/>
      <c r="XEX1095"/>
      <c r="XEY1095"/>
      <c r="XEZ1095"/>
      <c r="XFA1095"/>
      <c r="XFB1095"/>
      <c r="XFC1095"/>
    </row>
    <row r="1096" spans="1:20 16329:16383" s="38" customFormat="1" ht="29.1" customHeight="1" outlineLevel="5" x14ac:dyDescent="0.25">
      <c r="A1096" s="49" t="s">
        <v>2065</v>
      </c>
      <c r="B1096" s="50"/>
      <c r="C1096" s="50"/>
      <c r="D1096" s="3" t="s">
        <v>1884</v>
      </c>
      <c r="E1096" s="3"/>
      <c r="F1096" s="51"/>
      <c r="G1096" s="50" t="s">
        <v>102</v>
      </c>
      <c r="H1096" s="52">
        <f>1</f>
        <v>1</v>
      </c>
      <c r="I1096" s="36"/>
      <c r="J1096" s="52">
        <v>1</v>
      </c>
      <c r="K1096" s="53">
        <f>0</f>
        <v>0</v>
      </c>
      <c r="L1096" s="53">
        <f>0</f>
        <v>0</v>
      </c>
      <c r="M1096" s="53">
        <f>0</f>
        <v>0</v>
      </c>
      <c r="N1096" s="54">
        <f>SUM(K1096:M1096)</f>
        <v>0</v>
      </c>
      <c r="O1096" s="54">
        <f>ROUND((H1096*K1096),2)</f>
        <v>0</v>
      </c>
      <c r="P1096" s="54">
        <f>ROUND((H1096*L1096),2)</f>
        <v>0</v>
      </c>
      <c r="Q1096" s="54">
        <f>ROUND((H1096*M1096),2)</f>
        <v>0</v>
      </c>
      <c r="R1096" s="54">
        <f>ROUND((H1096*N1096),2)</f>
        <v>0</v>
      </c>
      <c r="S1096" s="54"/>
      <c r="T1096" s="36"/>
      <c r="XDA1096"/>
      <c r="XDB1096"/>
      <c r="XDC1096"/>
      <c r="XDD1096"/>
      <c r="XDE1096"/>
      <c r="XDF1096"/>
      <c r="XDG1096"/>
      <c r="XDH1096"/>
      <c r="XDI1096"/>
      <c r="XDJ1096"/>
      <c r="XDK1096"/>
      <c r="XDL1096"/>
      <c r="XDM1096"/>
      <c r="XDN1096"/>
      <c r="XDO1096"/>
      <c r="XDP1096"/>
      <c r="XDQ1096"/>
      <c r="XDR1096"/>
      <c r="XDS1096"/>
      <c r="XDT1096"/>
      <c r="XDU1096"/>
      <c r="XDV1096"/>
      <c r="XDW1096"/>
      <c r="XDX1096"/>
      <c r="XDY1096"/>
      <c r="XDZ1096"/>
      <c r="XEA1096"/>
      <c r="XEB1096"/>
      <c r="XEC1096"/>
      <c r="XED1096"/>
      <c r="XEE1096"/>
      <c r="XEF1096"/>
      <c r="XEG1096"/>
      <c r="XEH1096"/>
      <c r="XEI1096"/>
      <c r="XEJ1096"/>
      <c r="XEK1096"/>
      <c r="XEL1096"/>
      <c r="XEM1096"/>
      <c r="XEN1096"/>
      <c r="XEO1096"/>
      <c r="XEP1096"/>
      <c r="XEQ1096"/>
      <c r="XER1096"/>
      <c r="XES1096"/>
      <c r="XET1096"/>
      <c r="XEU1096"/>
      <c r="XEV1096"/>
      <c r="XEW1096"/>
      <c r="XEX1096"/>
      <c r="XEY1096"/>
      <c r="XEZ1096"/>
      <c r="XFA1096"/>
      <c r="XFB1096"/>
      <c r="XFC1096"/>
    </row>
    <row r="1097" spans="1:20 16329:16383" s="38" customFormat="1" ht="29.1" customHeight="1" outlineLevel="5" x14ac:dyDescent="0.25">
      <c r="A1097" s="49" t="s">
        <v>2066</v>
      </c>
      <c r="B1097" s="50"/>
      <c r="C1097" s="50"/>
      <c r="D1097" s="3" t="s">
        <v>2003</v>
      </c>
      <c r="E1097" s="3"/>
      <c r="F1097" s="51"/>
      <c r="G1097" s="50" t="s">
        <v>102</v>
      </c>
      <c r="H1097" s="52">
        <f>1</f>
        <v>1</v>
      </c>
      <c r="I1097" s="36"/>
      <c r="J1097" s="52">
        <v>1</v>
      </c>
      <c r="K1097" s="53">
        <f>0</f>
        <v>0</v>
      </c>
      <c r="L1097" s="53">
        <f>0</f>
        <v>0</v>
      </c>
      <c r="M1097" s="53">
        <f>0</f>
        <v>0</v>
      </c>
      <c r="N1097" s="54">
        <f>SUM(K1097:M1097)</f>
        <v>0</v>
      </c>
      <c r="O1097" s="54">
        <f>ROUND((H1097*K1097),2)</f>
        <v>0</v>
      </c>
      <c r="P1097" s="54">
        <f>ROUND((H1097*L1097),2)</f>
        <v>0</v>
      </c>
      <c r="Q1097" s="54">
        <f>ROUND((H1097*M1097),2)</f>
        <v>0</v>
      </c>
      <c r="R1097" s="54">
        <f>ROUND((H1097*N1097),2)</f>
        <v>0</v>
      </c>
      <c r="S1097" s="54"/>
      <c r="T1097" s="36"/>
      <c r="XDA1097"/>
      <c r="XDB1097"/>
      <c r="XDC1097"/>
      <c r="XDD1097"/>
      <c r="XDE1097"/>
      <c r="XDF1097"/>
      <c r="XDG1097"/>
      <c r="XDH1097"/>
      <c r="XDI1097"/>
      <c r="XDJ1097"/>
      <c r="XDK1097"/>
      <c r="XDL1097"/>
      <c r="XDM1097"/>
      <c r="XDN1097"/>
      <c r="XDO1097"/>
      <c r="XDP1097"/>
      <c r="XDQ1097"/>
      <c r="XDR1097"/>
      <c r="XDS1097"/>
      <c r="XDT1097"/>
      <c r="XDU1097"/>
      <c r="XDV1097"/>
      <c r="XDW1097"/>
      <c r="XDX1097"/>
      <c r="XDY1097"/>
      <c r="XDZ1097"/>
      <c r="XEA1097"/>
      <c r="XEB1097"/>
      <c r="XEC1097"/>
      <c r="XED1097"/>
      <c r="XEE1097"/>
      <c r="XEF1097"/>
      <c r="XEG1097"/>
      <c r="XEH1097"/>
      <c r="XEI1097"/>
      <c r="XEJ1097"/>
      <c r="XEK1097"/>
      <c r="XEL1097"/>
      <c r="XEM1097"/>
      <c r="XEN1097"/>
      <c r="XEO1097"/>
      <c r="XEP1097"/>
      <c r="XEQ1097"/>
      <c r="XER1097"/>
      <c r="XES1097"/>
      <c r="XET1097"/>
      <c r="XEU1097"/>
      <c r="XEV1097"/>
      <c r="XEW1097"/>
      <c r="XEX1097"/>
      <c r="XEY1097"/>
      <c r="XEZ1097"/>
      <c r="XFA1097"/>
      <c r="XFB1097"/>
      <c r="XFC1097"/>
    </row>
    <row r="1098" spans="1:20 16329:16383" s="38" customFormat="1" ht="29.1" customHeight="1" outlineLevel="4" x14ac:dyDescent="0.25">
      <c r="A1098" s="60" t="s">
        <v>2067</v>
      </c>
      <c r="B1098" s="61" t="s">
        <v>2068</v>
      </c>
      <c r="C1098" s="61"/>
      <c r="D1098" s="1" t="s">
        <v>1899</v>
      </c>
      <c r="E1098" s="1"/>
      <c r="F1098" s="62"/>
      <c r="G1098" s="61"/>
      <c r="H1098" s="63"/>
      <c r="I1098" s="36"/>
      <c r="J1098" s="63"/>
      <c r="K1098" s="64"/>
      <c r="L1098" s="64"/>
      <c r="M1098" s="64"/>
      <c r="N1098" s="64"/>
      <c r="O1098" s="64">
        <f>O1099</f>
        <v>0</v>
      </c>
      <c r="P1098" s="64">
        <f>P1099</f>
        <v>0</v>
      </c>
      <c r="Q1098" s="64">
        <f>Q1099</f>
        <v>0</v>
      </c>
      <c r="R1098" s="64">
        <f>R1099</f>
        <v>0</v>
      </c>
      <c r="S1098" s="64"/>
      <c r="T1098" s="36"/>
      <c r="XDA1098"/>
      <c r="XDB1098"/>
      <c r="XDC1098"/>
      <c r="XDD1098"/>
      <c r="XDE1098"/>
      <c r="XDF1098"/>
      <c r="XDG1098"/>
      <c r="XDH1098"/>
      <c r="XDI1098"/>
      <c r="XDJ1098"/>
      <c r="XDK1098"/>
      <c r="XDL1098"/>
      <c r="XDM1098"/>
      <c r="XDN1098"/>
      <c r="XDO1098"/>
      <c r="XDP1098"/>
      <c r="XDQ1098"/>
      <c r="XDR1098"/>
      <c r="XDS1098"/>
      <c r="XDT1098"/>
      <c r="XDU1098"/>
      <c r="XDV1098"/>
      <c r="XDW1098"/>
      <c r="XDX1098"/>
      <c r="XDY1098"/>
      <c r="XDZ1098"/>
      <c r="XEA1098"/>
      <c r="XEB1098"/>
      <c r="XEC1098"/>
      <c r="XED1098"/>
      <c r="XEE1098"/>
      <c r="XEF1098"/>
      <c r="XEG1098"/>
      <c r="XEH1098"/>
      <c r="XEI1098"/>
      <c r="XEJ1098"/>
      <c r="XEK1098"/>
      <c r="XEL1098"/>
      <c r="XEM1098"/>
      <c r="XEN1098"/>
      <c r="XEO1098"/>
      <c r="XEP1098"/>
      <c r="XEQ1098"/>
      <c r="XER1098"/>
      <c r="XES1098"/>
      <c r="XET1098"/>
      <c r="XEU1098"/>
      <c r="XEV1098"/>
      <c r="XEW1098"/>
      <c r="XEX1098"/>
      <c r="XEY1098"/>
      <c r="XEZ1098"/>
      <c r="XFA1098"/>
      <c r="XFB1098"/>
      <c r="XFC1098"/>
    </row>
    <row r="1099" spans="1:20 16329:16383" s="38" customFormat="1" ht="29.1" customHeight="1" outlineLevel="5" x14ac:dyDescent="0.25">
      <c r="A1099" s="49" t="s">
        <v>2069</v>
      </c>
      <c r="B1099" s="50"/>
      <c r="C1099" s="50"/>
      <c r="D1099" s="3" t="s">
        <v>2007</v>
      </c>
      <c r="E1099" s="3"/>
      <c r="F1099" s="51"/>
      <c r="G1099" s="50" t="s">
        <v>102</v>
      </c>
      <c r="H1099" s="52">
        <f>1</f>
        <v>1</v>
      </c>
      <c r="I1099" s="36"/>
      <c r="J1099" s="52">
        <v>1</v>
      </c>
      <c r="K1099" s="53">
        <f>0</f>
        <v>0</v>
      </c>
      <c r="L1099" s="53">
        <f>0</f>
        <v>0</v>
      </c>
      <c r="M1099" s="53">
        <f>0</f>
        <v>0</v>
      </c>
      <c r="N1099" s="54">
        <f>SUM(K1099:M1099)</f>
        <v>0</v>
      </c>
      <c r="O1099" s="54">
        <f>ROUND((H1099*K1099),2)</f>
        <v>0</v>
      </c>
      <c r="P1099" s="54">
        <f>ROUND((H1099*L1099),2)</f>
        <v>0</v>
      </c>
      <c r="Q1099" s="54">
        <f>ROUND((H1099*M1099),2)</f>
        <v>0</v>
      </c>
      <c r="R1099" s="54">
        <f>ROUND((H1099*N1099),2)</f>
        <v>0</v>
      </c>
      <c r="S1099" s="54"/>
      <c r="T1099" s="36"/>
      <c r="XDA1099"/>
      <c r="XDB1099"/>
      <c r="XDC1099"/>
      <c r="XDD1099"/>
      <c r="XDE1099"/>
      <c r="XDF1099"/>
      <c r="XDG1099"/>
      <c r="XDH1099"/>
      <c r="XDI1099"/>
      <c r="XDJ1099"/>
      <c r="XDK1099"/>
      <c r="XDL1099"/>
      <c r="XDM1099"/>
      <c r="XDN1099"/>
      <c r="XDO1099"/>
      <c r="XDP1099"/>
      <c r="XDQ1099"/>
      <c r="XDR1099"/>
      <c r="XDS1099"/>
      <c r="XDT1099"/>
      <c r="XDU1099"/>
      <c r="XDV1099"/>
      <c r="XDW1099"/>
      <c r="XDX1099"/>
      <c r="XDY1099"/>
      <c r="XDZ1099"/>
      <c r="XEA1099"/>
      <c r="XEB1099"/>
      <c r="XEC1099"/>
      <c r="XED1099"/>
      <c r="XEE1099"/>
      <c r="XEF1099"/>
      <c r="XEG1099"/>
      <c r="XEH1099"/>
      <c r="XEI1099"/>
      <c r="XEJ1099"/>
      <c r="XEK1099"/>
      <c r="XEL1099"/>
      <c r="XEM1099"/>
      <c r="XEN1099"/>
      <c r="XEO1099"/>
      <c r="XEP1099"/>
      <c r="XEQ1099"/>
      <c r="XER1099"/>
      <c r="XES1099"/>
      <c r="XET1099"/>
      <c r="XEU1099"/>
      <c r="XEV1099"/>
      <c r="XEW1099"/>
      <c r="XEX1099"/>
      <c r="XEY1099"/>
      <c r="XEZ1099"/>
      <c r="XFA1099"/>
      <c r="XFB1099"/>
      <c r="XFC1099"/>
    </row>
    <row r="1100" spans="1:20 16329:16383" s="38" customFormat="1" ht="29.1" customHeight="1" outlineLevel="3" x14ac:dyDescent="0.25">
      <c r="A1100" s="55" t="s">
        <v>2070</v>
      </c>
      <c r="B1100" s="56" t="s">
        <v>2071</v>
      </c>
      <c r="C1100" s="56" t="s">
        <v>2010</v>
      </c>
      <c r="D1100" s="2" t="s">
        <v>2072</v>
      </c>
      <c r="E1100" s="2"/>
      <c r="F1100" s="57"/>
      <c r="G1100" s="56" t="s">
        <v>102</v>
      </c>
      <c r="H1100" s="58"/>
      <c r="I1100" s="36"/>
      <c r="J1100" s="58"/>
      <c r="K1100" s="59"/>
      <c r="L1100" s="59"/>
      <c r="M1100" s="59"/>
      <c r="N1100" s="59"/>
      <c r="O1100" s="59">
        <f>O1101+O1105+O1108</f>
        <v>0</v>
      </c>
      <c r="P1100" s="59">
        <f>P1101+P1105+P1108</f>
        <v>0</v>
      </c>
      <c r="Q1100" s="59">
        <f>Q1101+Q1105+Q1108</f>
        <v>0</v>
      </c>
      <c r="R1100" s="59">
        <f>R1101+R1105+R1108</f>
        <v>0</v>
      </c>
      <c r="S1100" s="59"/>
      <c r="T1100" s="36"/>
      <c r="XDA1100"/>
      <c r="XDB1100"/>
      <c r="XDC1100"/>
      <c r="XDD1100"/>
      <c r="XDE1100"/>
      <c r="XDF1100"/>
      <c r="XDG1100"/>
      <c r="XDH1100"/>
      <c r="XDI1100"/>
      <c r="XDJ1100"/>
      <c r="XDK1100"/>
      <c r="XDL1100"/>
      <c r="XDM1100"/>
      <c r="XDN1100"/>
      <c r="XDO1100"/>
      <c r="XDP1100"/>
      <c r="XDQ1100"/>
      <c r="XDR1100"/>
      <c r="XDS1100"/>
      <c r="XDT1100"/>
      <c r="XDU1100"/>
      <c r="XDV1100"/>
      <c r="XDW1100"/>
      <c r="XDX1100"/>
      <c r="XDY1100"/>
      <c r="XDZ1100"/>
      <c r="XEA1100"/>
      <c r="XEB1100"/>
      <c r="XEC1100"/>
      <c r="XED1100"/>
      <c r="XEE1100"/>
      <c r="XEF1100"/>
      <c r="XEG1100"/>
      <c r="XEH1100"/>
      <c r="XEI1100"/>
      <c r="XEJ1100"/>
      <c r="XEK1100"/>
      <c r="XEL1100"/>
      <c r="XEM1100"/>
      <c r="XEN1100"/>
      <c r="XEO1100"/>
      <c r="XEP1100"/>
      <c r="XEQ1100"/>
      <c r="XER1100"/>
      <c r="XES1100"/>
      <c r="XET1100"/>
      <c r="XEU1100"/>
      <c r="XEV1100"/>
      <c r="XEW1100"/>
      <c r="XEX1100"/>
      <c r="XEY1100"/>
      <c r="XEZ1100"/>
      <c r="XFA1100"/>
      <c r="XFB1100"/>
      <c r="XFC1100"/>
    </row>
    <row r="1101" spans="1:20 16329:16383" s="38" customFormat="1" ht="29.1" customHeight="1" outlineLevel="4" x14ac:dyDescent="0.25">
      <c r="A1101" s="60" t="s">
        <v>2073</v>
      </c>
      <c r="B1101" s="61" t="s">
        <v>2074</v>
      </c>
      <c r="C1101" s="61"/>
      <c r="D1101" s="1" t="s">
        <v>1873</v>
      </c>
      <c r="E1101" s="1"/>
      <c r="F1101" s="62"/>
      <c r="G1101" s="61"/>
      <c r="H1101" s="63"/>
      <c r="I1101" s="36"/>
      <c r="J1101" s="63"/>
      <c r="K1101" s="64"/>
      <c r="L1101" s="64"/>
      <c r="M1101" s="64"/>
      <c r="N1101" s="64"/>
      <c r="O1101" s="64">
        <f>SUM(O1102:O1104)</f>
        <v>0</v>
      </c>
      <c r="P1101" s="64">
        <f>SUM(P1102:P1104)</f>
        <v>0</v>
      </c>
      <c r="Q1101" s="64">
        <f>SUM(Q1102:Q1104)</f>
        <v>0</v>
      </c>
      <c r="R1101" s="64">
        <f>SUM(R1102:R1104)</f>
        <v>0</v>
      </c>
      <c r="S1101" s="64"/>
      <c r="T1101" s="36"/>
      <c r="XDA1101"/>
      <c r="XDB1101"/>
      <c r="XDC1101"/>
      <c r="XDD1101"/>
      <c r="XDE1101"/>
      <c r="XDF1101"/>
      <c r="XDG1101"/>
      <c r="XDH1101"/>
      <c r="XDI1101"/>
      <c r="XDJ1101"/>
      <c r="XDK1101"/>
      <c r="XDL1101"/>
      <c r="XDM1101"/>
      <c r="XDN1101"/>
      <c r="XDO1101"/>
      <c r="XDP1101"/>
      <c r="XDQ1101"/>
      <c r="XDR1101"/>
      <c r="XDS1101"/>
      <c r="XDT1101"/>
      <c r="XDU1101"/>
      <c r="XDV1101"/>
      <c r="XDW1101"/>
      <c r="XDX1101"/>
      <c r="XDY1101"/>
      <c r="XDZ1101"/>
      <c r="XEA1101"/>
      <c r="XEB1101"/>
      <c r="XEC1101"/>
      <c r="XED1101"/>
      <c r="XEE1101"/>
      <c r="XEF1101"/>
      <c r="XEG1101"/>
      <c r="XEH1101"/>
      <c r="XEI1101"/>
      <c r="XEJ1101"/>
      <c r="XEK1101"/>
      <c r="XEL1101"/>
      <c r="XEM1101"/>
      <c r="XEN1101"/>
      <c r="XEO1101"/>
      <c r="XEP1101"/>
      <c r="XEQ1101"/>
      <c r="XER1101"/>
      <c r="XES1101"/>
      <c r="XET1101"/>
      <c r="XEU1101"/>
      <c r="XEV1101"/>
      <c r="XEW1101"/>
      <c r="XEX1101"/>
      <c r="XEY1101"/>
      <c r="XEZ1101"/>
      <c r="XFA1101"/>
      <c r="XFB1101"/>
      <c r="XFC1101"/>
    </row>
    <row r="1102" spans="1:20 16329:16383" s="38" customFormat="1" ht="29.1" customHeight="1" outlineLevel="5" x14ac:dyDescent="0.25">
      <c r="A1102" s="49" t="s">
        <v>2075</v>
      </c>
      <c r="B1102" s="50"/>
      <c r="C1102" s="50"/>
      <c r="D1102" s="3" t="s">
        <v>1875</v>
      </c>
      <c r="E1102" s="3"/>
      <c r="F1102" s="51"/>
      <c r="G1102" s="50" t="s">
        <v>102</v>
      </c>
      <c r="H1102" s="52">
        <f>1</f>
        <v>1</v>
      </c>
      <c r="I1102" s="36"/>
      <c r="J1102" s="52">
        <v>1</v>
      </c>
      <c r="K1102" s="53">
        <f>0</f>
        <v>0</v>
      </c>
      <c r="L1102" s="53">
        <f>0</f>
        <v>0</v>
      </c>
      <c r="M1102" s="53">
        <f>0</f>
        <v>0</v>
      </c>
      <c r="N1102" s="54">
        <f>SUM(K1102:M1102)</f>
        <v>0</v>
      </c>
      <c r="O1102" s="54">
        <f>ROUND((H1102*K1102),2)</f>
        <v>0</v>
      </c>
      <c r="P1102" s="54">
        <f>ROUND((H1102*L1102),2)</f>
        <v>0</v>
      </c>
      <c r="Q1102" s="54">
        <f>ROUND((H1102*M1102),2)</f>
        <v>0</v>
      </c>
      <c r="R1102" s="54">
        <f>ROUND((H1102*N1102),2)</f>
        <v>0</v>
      </c>
      <c r="S1102" s="54"/>
      <c r="T1102" s="36"/>
      <c r="XDA1102"/>
      <c r="XDB1102"/>
      <c r="XDC1102"/>
      <c r="XDD1102"/>
      <c r="XDE1102"/>
      <c r="XDF1102"/>
      <c r="XDG1102"/>
      <c r="XDH1102"/>
      <c r="XDI1102"/>
      <c r="XDJ1102"/>
      <c r="XDK1102"/>
      <c r="XDL1102"/>
      <c r="XDM1102"/>
      <c r="XDN1102"/>
      <c r="XDO1102"/>
      <c r="XDP1102"/>
      <c r="XDQ1102"/>
      <c r="XDR1102"/>
      <c r="XDS1102"/>
      <c r="XDT1102"/>
      <c r="XDU1102"/>
      <c r="XDV1102"/>
      <c r="XDW1102"/>
      <c r="XDX1102"/>
      <c r="XDY1102"/>
      <c r="XDZ1102"/>
      <c r="XEA1102"/>
      <c r="XEB1102"/>
      <c r="XEC1102"/>
      <c r="XED1102"/>
      <c r="XEE1102"/>
      <c r="XEF1102"/>
      <c r="XEG1102"/>
      <c r="XEH1102"/>
      <c r="XEI1102"/>
      <c r="XEJ1102"/>
      <c r="XEK1102"/>
      <c r="XEL1102"/>
      <c r="XEM1102"/>
      <c r="XEN1102"/>
      <c r="XEO1102"/>
      <c r="XEP1102"/>
      <c r="XEQ1102"/>
      <c r="XER1102"/>
      <c r="XES1102"/>
      <c r="XET1102"/>
      <c r="XEU1102"/>
      <c r="XEV1102"/>
      <c r="XEW1102"/>
      <c r="XEX1102"/>
      <c r="XEY1102"/>
      <c r="XEZ1102"/>
      <c r="XFA1102"/>
      <c r="XFB1102"/>
      <c r="XFC1102"/>
    </row>
    <row r="1103" spans="1:20 16329:16383" s="38" customFormat="1" ht="29.1" customHeight="1" outlineLevel="5" x14ac:dyDescent="0.25">
      <c r="A1103" s="49" t="s">
        <v>2076</v>
      </c>
      <c r="B1103" s="50"/>
      <c r="C1103" s="50"/>
      <c r="D1103" s="3" t="s">
        <v>1552</v>
      </c>
      <c r="E1103" s="3"/>
      <c r="F1103" s="51"/>
      <c r="G1103" s="50" t="s">
        <v>102</v>
      </c>
      <c r="H1103" s="52">
        <f>1</f>
        <v>1</v>
      </c>
      <c r="I1103" s="36"/>
      <c r="J1103" s="52">
        <v>1</v>
      </c>
      <c r="K1103" s="53">
        <f>0</f>
        <v>0</v>
      </c>
      <c r="L1103" s="53">
        <f>0</f>
        <v>0</v>
      </c>
      <c r="M1103" s="53">
        <f>0</f>
        <v>0</v>
      </c>
      <c r="N1103" s="54">
        <f>SUM(K1103:M1103)</f>
        <v>0</v>
      </c>
      <c r="O1103" s="54">
        <f>ROUND((H1103*K1103),2)</f>
        <v>0</v>
      </c>
      <c r="P1103" s="54">
        <f>ROUND((H1103*L1103),2)</f>
        <v>0</v>
      </c>
      <c r="Q1103" s="54">
        <f>ROUND((H1103*M1103),2)</f>
        <v>0</v>
      </c>
      <c r="R1103" s="54">
        <f>ROUND((H1103*N1103),2)</f>
        <v>0</v>
      </c>
      <c r="S1103" s="54"/>
      <c r="T1103" s="36"/>
      <c r="XDA1103"/>
      <c r="XDB1103"/>
      <c r="XDC1103"/>
      <c r="XDD1103"/>
      <c r="XDE1103"/>
      <c r="XDF1103"/>
      <c r="XDG1103"/>
      <c r="XDH1103"/>
      <c r="XDI1103"/>
      <c r="XDJ1103"/>
      <c r="XDK1103"/>
      <c r="XDL1103"/>
      <c r="XDM1103"/>
      <c r="XDN1103"/>
      <c r="XDO1103"/>
      <c r="XDP1103"/>
      <c r="XDQ1103"/>
      <c r="XDR1103"/>
      <c r="XDS1103"/>
      <c r="XDT1103"/>
      <c r="XDU1103"/>
      <c r="XDV1103"/>
      <c r="XDW1103"/>
      <c r="XDX1103"/>
      <c r="XDY1103"/>
      <c r="XDZ1103"/>
      <c r="XEA1103"/>
      <c r="XEB1103"/>
      <c r="XEC1103"/>
      <c r="XED1103"/>
      <c r="XEE1103"/>
      <c r="XEF1103"/>
      <c r="XEG1103"/>
      <c r="XEH1103"/>
      <c r="XEI1103"/>
      <c r="XEJ1103"/>
      <c r="XEK1103"/>
      <c r="XEL1103"/>
      <c r="XEM1103"/>
      <c r="XEN1103"/>
      <c r="XEO1103"/>
      <c r="XEP1103"/>
      <c r="XEQ1103"/>
      <c r="XER1103"/>
      <c r="XES1103"/>
      <c r="XET1103"/>
      <c r="XEU1103"/>
      <c r="XEV1103"/>
      <c r="XEW1103"/>
      <c r="XEX1103"/>
      <c r="XEY1103"/>
      <c r="XEZ1103"/>
      <c r="XFA1103"/>
      <c r="XFB1103"/>
      <c r="XFC1103"/>
    </row>
    <row r="1104" spans="1:20 16329:16383" s="38" customFormat="1" ht="29.1" customHeight="1" outlineLevel="5" x14ac:dyDescent="0.25">
      <c r="A1104" s="49" t="s">
        <v>2077</v>
      </c>
      <c r="B1104" s="50"/>
      <c r="C1104" s="50"/>
      <c r="D1104" s="3" t="s">
        <v>1996</v>
      </c>
      <c r="E1104" s="3"/>
      <c r="F1104" s="51"/>
      <c r="G1104" s="50" t="s">
        <v>102</v>
      </c>
      <c r="H1104" s="52">
        <f>1</f>
        <v>1</v>
      </c>
      <c r="I1104" s="36"/>
      <c r="J1104" s="52">
        <v>1</v>
      </c>
      <c r="K1104" s="53">
        <f>0</f>
        <v>0</v>
      </c>
      <c r="L1104" s="53">
        <f>0</f>
        <v>0</v>
      </c>
      <c r="M1104" s="53">
        <f>0</f>
        <v>0</v>
      </c>
      <c r="N1104" s="54">
        <f>SUM(K1104:M1104)</f>
        <v>0</v>
      </c>
      <c r="O1104" s="54">
        <f>ROUND((H1104*K1104),2)</f>
        <v>0</v>
      </c>
      <c r="P1104" s="54">
        <f>ROUND((H1104*L1104),2)</f>
        <v>0</v>
      </c>
      <c r="Q1104" s="54">
        <f>ROUND((H1104*M1104),2)</f>
        <v>0</v>
      </c>
      <c r="R1104" s="54">
        <f>ROUND((H1104*N1104),2)</f>
        <v>0</v>
      </c>
      <c r="S1104" s="54"/>
      <c r="T1104" s="36"/>
      <c r="XDA1104"/>
      <c r="XDB1104"/>
      <c r="XDC1104"/>
      <c r="XDD1104"/>
      <c r="XDE1104"/>
      <c r="XDF1104"/>
      <c r="XDG1104"/>
      <c r="XDH1104"/>
      <c r="XDI1104"/>
      <c r="XDJ1104"/>
      <c r="XDK1104"/>
      <c r="XDL1104"/>
      <c r="XDM1104"/>
      <c r="XDN1104"/>
      <c r="XDO1104"/>
      <c r="XDP1104"/>
      <c r="XDQ1104"/>
      <c r="XDR1104"/>
      <c r="XDS1104"/>
      <c r="XDT1104"/>
      <c r="XDU1104"/>
      <c r="XDV1104"/>
      <c r="XDW1104"/>
      <c r="XDX1104"/>
      <c r="XDY1104"/>
      <c r="XDZ1104"/>
      <c r="XEA1104"/>
      <c r="XEB1104"/>
      <c r="XEC1104"/>
      <c r="XED1104"/>
      <c r="XEE1104"/>
      <c r="XEF1104"/>
      <c r="XEG1104"/>
      <c r="XEH1104"/>
      <c r="XEI1104"/>
      <c r="XEJ1104"/>
      <c r="XEK1104"/>
      <c r="XEL1104"/>
      <c r="XEM1104"/>
      <c r="XEN1104"/>
      <c r="XEO1104"/>
      <c r="XEP1104"/>
      <c r="XEQ1104"/>
      <c r="XER1104"/>
      <c r="XES1104"/>
      <c r="XET1104"/>
      <c r="XEU1104"/>
      <c r="XEV1104"/>
      <c r="XEW1104"/>
      <c r="XEX1104"/>
      <c r="XEY1104"/>
      <c r="XEZ1104"/>
      <c r="XFA1104"/>
      <c r="XFB1104"/>
      <c r="XFC1104"/>
    </row>
    <row r="1105" spans="1:20 16329:16383" s="38" customFormat="1" ht="29.1" customHeight="1" outlineLevel="4" x14ac:dyDescent="0.25">
      <c r="A1105" s="60" t="s">
        <v>2078</v>
      </c>
      <c r="B1105" s="61" t="s">
        <v>2079</v>
      </c>
      <c r="C1105" s="61"/>
      <c r="D1105" s="1" t="s">
        <v>344</v>
      </c>
      <c r="E1105" s="1"/>
      <c r="F1105" s="62"/>
      <c r="G1105" s="61"/>
      <c r="H1105" s="63"/>
      <c r="I1105" s="36"/>
      <c r="J1105" s="63"/>
      <c r="K1105" s="64"/>
      <c r="L1105" s="64"/>
      <c r="M1105" s="64"/>
      <c r="N1105" s="64"/>
      <c r="O1105" s="64">
        <f>O1106+O1107</f>
        <v>0</v>
      </c>
      <c r="P1105" s="64">
        <f>P1106+P1107</f>
        <v>0</v>
      </c>
      <c r="Q1105" s="64">
        <f>Q1106+Q1107</f>
        <v>0</v>
      </c>
      <c r="R1105" s="64">
        <f>R1106+R1107</f>
        <v>0</v>
      </c>
      <c r="S1105" s="64"/>
      <c r="T1105" s="36"/>
      <c r="XDA1105"/>
      <c r="XDB1105"/>
      <c r="XDC1105"/>
      <c r="XDD1105"/>
      <c r="XDE1105"/>
      <c r="XDF1105"/>
      <c r="XDG1105"/>
      <c r="XDH1105"/>
      <c r="XDI1105"/>
      <c r="XDJ1105"/>
      <c r="XDK1105"/>
      <c r="XDL1105"/>
      <c r="XDM1105"/>
      <c r="XDN1105"/>
      <c r="XDO1105"/>
      <c r="XDP1105"/>
      <c r="XDQ1105"/>
      <c r="XDR1105"/>
      <c r="XDS1105"/>
      <c r="XDT1105"/>
      <c r="XDU1105"/>
      <c r="XDV1105"/>
      <c r="XDW1105"/>
      <c r="XDX1105"/>
      <c r="XDY1105"/>
      <c r="XDZ1105"/>
      <c r="XEA1105"/>
      <c r="XEB1105"/>
      <c r="XEC1105"/>
      <c r="XED1105"/>
      <c r="XEE1105"/>
      <c r="XEF1105"/>
      <c r="XEG1105"/>
      <c r="XEH1105"/>
      <c r="XEI1105"/>
      <c r="XEJ1105"/>
      <c r="XEK1105"/>
      <c r="XEL1105"/>
      <c r="XEM1105"/>
      <c r="XEN1105"/>
      <c r="XEO1105"/>
      <c r="XEP1105"/>
      <c r="XEQ1105"/>
      <c r="XER1105"/>
      <c r="XES1105"/>
      <c r="XET1105"/>
      <c r="XEU1105"/>
      <c r="XEV1105"/>
      <c r="XEW1105"/>
      <c r="XEX1105"/>
      <c r="XEY1105"/>
      <c r="XEZ1105"/>
      <c r="XFA1105"/>
      <c r="XFB1105"/>
      <c r="XFC1105"/>
    </row>
    <row r="1106" spans="1:20 16329:16383" s="38" customFormat="1" ht="29.1" customHeight="1" outlineLevel="5" x14ac:dyDescent="0.25">
      <c r="A1106" s="49" t="s">
        <v>2080</v>
      </c>
      <c r="B1106" s="50"/>
      <c r="C1106" s="50"/>
      <c r="D1106" s="3" t="s">
        <v>1884</v>
      </c>
      <c r="E1106" s="3"/>
      <c r="F1106" s="51"/>
      <c r="G1106" s="50" t="s">
        <v>102</v>
      </c>
      <c r="H1106" s="52">
        <f>1</f>
        <v>1</v>
      </c>
      <c r="I1106" s="36"/>
      <c r="J1106" s="52">
        <v>1</v>
      </c>
      <c r="K1106" s="53">
        <f>0</f>
        <v>0</v>
      </c>
      <c r="L1106" s="53">
        <f>0</f>
        <v>0</v>
      </c>
      <c r="M1106" s="53">
        <f>0</f>
        <v>0</v>
      </c>
      <c r="N1106" s="54">
        <f>SUM(K1106:M1106)</f>
        <v>0</v>
      </c>
      <c r="O1106" s="54">
        <f>ROUND((H1106*K1106),2)</f>
        <v>0</v>
      </c>
      <c r="P1106" s="54">
        <f>ROUND((H1106*L1106),2)</f>
        <v>0</v>
      </c>
      <c r="Q1106" s="54">
        <f>ROUND((H1106*M1106),2)</f>
        <v>0</v>
      </c>
      <c r="R1106" s="54">
        <f>ROUND((H1106*N1106),2)</f>
        <v>0</v>
      </c>
      <c r="S1106" s="54"/>
      <c r="T1106" s="36"/>
      <c r="XDA1106"/>
      <c r="XDB1106"/>
      <c r="XDC1106"/>
      <c r="XDD1106"/>
      <c r="XDE1106"/>
      <c r="XDF1106"/>
      <c r="XDG1106"/>
      <c r="XDH1106"/>
      <c r="XDI1106"/>
      <c r="XDJ1106"/>
      <c r="XDK1106"/>
      <c r="XDL1106"/>
      <c r="XDM1106"/>
      <c r="XDN1106"/>
      <c r="XDO1106"/>
      <c r="XDP1106"/>
      <c r="XDQ1106"/>
      <c r="XDR1106"/>
      <c r="XDS1106"/>
      <c r="XDT1106"/>
      <c r="XDU1106"/>
      <c r="XDV1106"/>
      <c r="XDW1106"/>
      <c r="XDX1106"/>
      <c r="XDY1106"/>
      <c r="XDZ1106"/>
      <c r="XEA1106"/>
      <c r="XEB1106"/>
      <c r="XEC1106"/>
      <c r="XED1106"/>
      <c r="XEE1106"/>
      <c r="XEF1106"/>
      <c r="XEG1106"/>
      <c r="XEH1106"/>
      <c r="XEI1106"/>
      <c r="XEJ1106"/>
      <c r="XEK1106"/>
      <c r="XEL1106"/>
      <c r="XEM1106"/>
      <c r="XEN1106"/>
      <c r="XEO1106"/>
      <c r="XEP1106"/>
      <c r="XEQ1106"/>
      <c r="XER1106"/>
      <c r="XES1106"/>
      <c r="XET1106"/>
      <c r="XEU1106"/>
      <c r="XEV1106"/>
      <c r="XEW1106"/>
      <c r="XEX1106"/>
      <c r="XEY1106"/>
      <c r="XEZ1106"/>
      <c r="XFA1106"/>
      <c r="XFB1106"/>
      <c r="XFC1106"/>
    </row>
    <row r="1107" spans="1:20 16329:16383" s="38" customFormat="1" ht="29.1" customHeight="1" outlineLevel="5" x14ac:dyDescent="0.25">
      <c r="A1107" s="49" t="s">
        <v>2081</v>
      </c>
      <c r="B1107" s="50"/>
      <c r="C1107" s="50"/>
      <c r="D1107" s="3" t="s">
        <v>2003</v>
      </c>
      <c r="E1107" s="3"/>
      <c r="F1107" s="51"/>
      <c r="G1107" s="50" t="s">
        <v>102</v>
      </c>
      <c r="H1107" s="52">
        <f>1</f>
        <v>1</v>
      </c>
      <c r="I1107" s="36"/>
      <c r="J1107" s="52">
        <v>1</v>
      </c>
      <c r="K1107" s="53">
        <f>0</f>
        <v>0</v>
      </c>
      <c r="L1107" s="53">
        <f>0</f>
        <v>0</v>
      </c>
      <c r="M1107" s="53">
        <f>0</f>
        <v>0</v>
      </c>
      <c r="N1107" s="54">
        <f>SUM(K1107:M1107)</f>
        <v>0</v>
      </c>
      <c r="O1107" s="54">
        <f>ROUND((H1107*K1107),2)</f>
        <v>0</v>
      </c>
      <c r="P1107" s="54">
        <f>ROUND((H1107*L1107),2)</f>
        <v>0</v>
      </c>
      <c r="Q1107" s="54">
        <f>ROUND((H1107*M1107),2)</f>
        <v>0</v>
      </c>
      <c r="R1107" s="54">
        <f>ROUND((H1107*N1107),2)</f>
        <v>0</v>
      </c>
      <c r="S1107" s="54"/>
      <c r="T1107" s="36"/>
      <c r="XDA1107"/>
      <c r="XDB1107"/>
      <c r="XDC1107"/>
      <c r="XDD1107"/>
      <c r="XDE1107"/>
      <c r="XDF1107"/>
      <c r="XDG1107"/>
      <c r="XDH1107"/>
      <c r="XDI1107"/>
      <c r="XDJ1107"/>
      <c r="XDK1107"/>
      <c r="XDL1107"/>
      <c r="XDM1107"/>
      <c r="XDN1107"/>
      <c r="XDO1107"/>
      <c r="XDP1107"/>
      <c r="XDQ1107"/>
      <c r="XDR1107"/>
      <c r="XDS1107"/>
      <c r="XDT1107"/>
      <c r="XDU1107"/>
      <c r="XDV1107"/>
      <c r="XDW1107"/>
      <c r="XDX1107"/>
      <c r="XDY1107"/>
      <c r="XDZ1107"/>
      <c r="XEA1107"/>
      <c r="XEB1107"/>
      <c r="XEC1107"/>
      <c r="XED1107"/>
      <c r="XEE1107"/>
      <c r="XEF1107"/>
      <c r="XEG1107"/>
      <c r="XEH1107"/>
      <c r="XEI1107"/>
      <c r="XEJ1107"/>
      <c r="XEK1107"/>
      <c r="XEL1107"/>
      <c r="XEM1107"/>
      <c r="XEN1107"/>
      <c r="XEO1107"/>
      <c r="XEP1107"/>
      <c r="XEQ1107"/>
      <c r="XER1107"/>
      <c r="XES1107"/>
      <c r="XET1107"/>
      <c r="XEU1107"/>
      <c r="XEV1107"/>
      <c r="XEW1107"/>
      <c r="XEX1107"/>
      <c r="XEY1107"/>
      <c r="XEZ1107"/>
      <c r="XFA1107"/>
      <c r="XFB1107"/>
      <c r="XFC1107"/>
    </row>
    <row r="1108" spans="1:20 16329:16383" s="38" customFormat="1" ht="29.1" customHeight="1" outlineLevel="4" x14ac:dyDescent="0.25">
      <c r="A1108" s="60" t="s">
        <v>2082</v>
      </c>
      <c r="B1108" s="61" t="s">
        <v>2083</v>
      </c>
      <c r="C1108" s="61"/>
      <c r="D1108" s="1" t="s">
        <v>1899</v>
      </c>
      <c r="E1108" s="1"/>
      <c r="F1108" s="62"/>
      <c r="G1108" s="61"/>
      <c r="H1108" s="63"/>
      <c r="I1108" s="36"/>
      <c r="J1108" s="63"/>
      <c r="K1108" s="64"/>
      <c r="L1108" s="64"/>
      <c r="M1108" s="64"/>
      <c r="N1108" s="64"/>
      <c r="O1108" s="64">
        <f>O1109</f>
        <v>0</v>
      </c>
      <c r="P1108" s="64">
        <f>P1109</f>
        <v>0</v>
      </c>
      <c r="Q1108" s="64">
        <f>Q1109</f>
        <v>0</v>
      </c>
      <c r="R1108" s="64">
        <f>R1109</f>
        <v>0</v>
      </c>
      <c r="S1108" s="64"/>
      <c r="T1108" s="36"/>
      <c r="XDA1108"/>
      <c r="XDB1108"/>
      <c r="XDC1108"/>
      <c r="XDD1108"/>
      <c r="XDE1108"/>
      <c r="XDF1108"/>
      <c r="XDG1108"/>
      <c r="XDH1108"/>
      <c r="XDI1108"/>
      <c r="XDJ1108"/>
      <c r="XDK1108"/>
      <c r="XDL1108"/>
      <c r="XDM1108"/>
      <c r="XDN1108"/>
      <c r="XDO1108"/>
      <c r="XDP1108"/>
      <c r="XDQ1108"/>
      <c r="XDR1108"/>
      <c r="XDS1108"/>
      <c r="XDT1108"/>
      <c r="XDU1108"/>
      <c r="XDV1108"/>
      <c r="XDW1108"/>
      <c r="XDX1108"/>
      <c r="XDY1108"/>
      <c r="XDZ1108"/>
      <c r="XEA1108"/>
      <c r="XEB1108"/>
      <c r="XEC1108"/>
      <c r="XED1108"/>
      <c r="XEE1108"/>
      <c r="XEF1108"/>
      <c r="XEG1108"/>
      <c r="XEH1108"/>
      <c r="XEI1108"/>
      <c r="XEJ1108"/>
      <c r="XEK1108"/>
      <c r="XEL1108"/>
      <c r="XEM1108"/>
      <c r="XEN1108"/>
      <c r="XEO1108"/>
      <c r="XEP1108"/>
      <c r="XEQ1108"/>
      <c r="XER1108"/>
      <c r="XES1108"/>
      <c r="XET1108"/>
      <c r="XEU1108"/>
      <c r="XEV1108"/>
      <c r="XEW1108"/>
      <c r="XEX1108"/>
      <c r="XEY1108"/>
      <c r="XEZ1108"/>
      <c r="XFA1108"/>
      <c r="XFB1108"/>
      <c r="XFC1108"/>
    </row>
    <row r="1109" spans="1:20 16329:16383" s="38" customFormat="1" ht="29.1" customHeight="1" outlineLevel="5" x14ac:dyDescent="0.25">
      <c r="A1109" s="49" t="s">
        <v>2084</v>
      </c>
      <c r="B1109" s="50"/>
      <c r="C1109" s="50"/>
      <c r="D1109" s="3" t="s">
        <v>2007</v>
      </c>
      <c r="E1109" s="3"/>
      <c r="F1109" s="51"/>
      <c r="G1109" s="50" t="s">
        <v>102</v>
      </c>
      <c r="H1109" s="52">
        <f>1</f>
        <v>1</v>
      </c>
      <c r="I1109" s="36"/>
      <c r="J1109" s="52">
        <v>1</v>
      </c>
      <c r="K1109" s="53">
        <f>0</f>
        <v>0</v>
      </c>
      <c r="L1109" s="53">
        <f>0</f>
        <v>0</v>
      </c>
      <c r="M1109" s="53">
        <f>0</f>
        <v>0</v>
      </c>
      <c r="N1109" s="54">
        <f>SUM(K1109:M1109)</f>
        <v>0</v>
      </c>
      <c r="O1109" s="54">
        <f>ROUND((H1109*K1109),2)</f>
        <v>0</v>
      </c>
      <c r="P1109" s="54">
        <f>ROUND((H1109*L1109),2)</f>
        <v>0</v>
      </c>
      <c r="Q1109" s="54">
        <f>ROUND((H1109*M1109),2)</f>
        <v>0</v>
      </c>
      <c r="R1109" s="54">
        <f>ROUND((H1109*N1109),2)</f>
        <v>0</v>
      </c>
      <c r="S1109" s="54"/>
      <c r="T1109" s="36"/>
      <c r="XDA1109"/>
      <c r="XDB1109"/>
      <c r="XDC1109"/>
      <c r="XDD1109"/>
      <c r="XDE1109"/>
      <c r="XDF1109"/>
      <c r="XDG1109"/>
      <c r="XDH1109"/>
      <c r="XDI1109"/>
      <c r="XDJ1109"/>
      <c r="XDK1109"/>
      <c r="XDL1109"/>
      <c r="XDM1109"/>
      <c r="XDN1109"/>
      <c r="XDO1109"/>
      <c r="XDP1109"/>
      <c r="XDQ1109"/>
      <c r="XDR1109"/>
      <c r="XDS1109"/>
      <c r="XDT1109"/>
      <c r="XDU1109"/>
      <c r="XDV1109"/>
      <c r="XDW1109"/>
      <c r="XDX1109"/>
      <c r="XDY1109"/>
      <c r="XDZ1109"/>
      <c r="XEA1109"/>
      <c r="XEB1109"/>
      <c r="XEC1109"/>
      <c r="XED1109"/>
      <c r="XEE1109"/>
      <c r="XEF1109"/>
      <c r="XEG1109"/>
      <c r="XEH1109"/>
      <c r="XEI1109"/>
      <c r="XEJ1109"/>
      <c r="XEK1109"/>
      <c r="XEL1109"/>
      <c r="XEM1109"/>
      <c r="XEN1109"/>
      <c r="XEO1109"/>
      <c r="XEP1109"/>
      <c r="XEQ1109"/>
      <c r="XER1109"/>
      <c r="XES1109"/>
      <c r="XET1109"/>
      <c r="XEU1109"/>
      <c r="XEV1109"/>
      <c r="XEW1109"/>
      <c r="XEX1109"/>
      <c r="XEY1109"/>
      <c r="XEZ1109"/>
      <c r="XFA1109"/>
      <c r="XFB1109"/>
      <c r="XFC1109"/>
    </row>
    <row r="1110" spans="1:20 16329:16383" s="38" customFormat="1" ht="29.1" customHeight="1" outlineLevel="3" x14ac:dyDescent="0.25">
      <c r="A1110" s="55" t="s">
        <v>2085</v>
      </c>
      <c r="B1110" s="56" t="s">
        <v>2086</v>
      </c>
      <c r="C1110" s="56" t="s">
        <v>2087</v>
      </c>
      <c r="D1110" s="2" t="s">
        <v>2088</v>
      </c>
      <c r="E1110" s="2"/>
      <c r="F1110" s="57"/>
      <c r="G1110" s="56" t="s">
        <v>102</v>
      </c>
      <c r="H1110" s="58"/>
      <c r="I1110" s="36"/>
      <c r="J1110" s="58"/>
      <c r="K1110" s="59"/>
      <c r="L1110" s="59"/>
      <c r="M1110" s="59"/>
      <c r="N1110" s="59"/>
      <c r="O1110" s="59">
        <f>O1111+O1115+O1120</f>
        <v>0</v>
      </c>
      <c r="P1110" s="59">
        <f>P1111+P1115+P1120</f>
        <v>0</v>
      </c>
      <c r="Q1110" s="59">
        <f>Q1111+Q1115+Q1120</f>
        <v>0</v>
      </c>
      <c r="R1110" s="59">
        <f>R1111+R1115+R1120</f>
        <v>0</v>
      </c>
      <c r="S1110" s="59"/>
      <c r="T1110" s="36"/>
      <c r="XDA1110"/>
      <c r="XDB1110"/>
      <c r="XDC1110"/>
      <c r="XDD1110"/>
      <c r="XDE1110"/>
      <c r="XDF1110"/>
      <c r="XDG1110"/>
      <c r="XDH1110"/>
      <c r="XDI1110"/>
      <c r="XDJ1110"/>
      <c r="XDK1110"/>
      <c r="XDL1110"/>
      <c r="XDM1110"/>
      <c r="XDN1110"/>
      <c r="XDO1110"/>
      <c r="XDP1110"/>
      <c r="XDQ1110"/>
      <c r="XDR1110"/>
      <c r="XDS1110"/>
      <c r="XDT1110"/>
      <c r="XDU1110"/>
      <c r="XDV1110"/>
      <c r="XDW1110"/>
      <c r="XDX1110"/>
      <c r="XDY1110"/>
      <c r="XDZ1110"/>
      <c r="XEA1110"/>
      <c r="XEB1110"/>
      <c r="XEC1110"/>
      <c r="XED1110"/>
      <c r="XEE1110"/>
      <c r="XEF1110"/>
      <c r="XEG1110"/>
      <c r="XEH1110"/>
      <c r="XEI1110"/>
      <c r="XEJ1110"/>
      <c r="XEK1110"/>
      <c r="XEL1110"/>
      <c r="XEM1110"/>
      <c r="XEN1110"/>
      <c r="XEO1110"/>
      <c r="XEP1110"/>
      <c r="XEQ1110"/>
      <c r="XER1110"/>
      <c r="XES1110"/>
      <c r="XET1110"/>
      <c r="XEU1110"/>
      <c r="XEV1110"/>
      <c r="XEW1110"/>
      <c r="XEX1110"/>
      <c r="XEY1110"/>
      <c r="XEZ1110"/>
      <c r="XFA1110"/>
      <c r="XFB1110"/>
      <c r="XFC1110"/>
    </row>
    <row r="1111" spans="1:20 16329:16383" s="38" customFormat="1" ht="29.1" customHeight="1" outlineLevel="4" x14ac:dyDescent="0.25">
      <c r="A1111" s="60" t="s">
        <v>2089</v>
      </c>
      <c r="B1111" s="61" t="s">
        <v>2090</v>
      </c>
      <c r="C1111" s="61"/>
      <c r="D1111" s="1" t="s">
        <v>1873</v>
      </c>
      <c r="E1111" s="1"/>
      <c r="F1111" s="62"/>
      <c r="G1111" s="61"/>
      <c r="H1111" s="63"/>
      <c r="I1111" s="36"/>
      <c r="J1111" s="63"/>
      <c r="K1111" s="64"/>
      <c r="L1111" s="64"/>
      <c r="M1111" s="64"/>
      <c r="N1111" s="64"/>
      <c r="O1111" s="64">
        <f>SUM(O1112:O1114)</f>
        <v>0</v>
      </c>
      <c r="P1111" s="64">
        <f>SUM(P1112:P1114)</f>
        <v>0</v>
      </c>
      <c r="Q1111" s="64">
        <f>SUM(Q1112:Q1114)</f>
        <v>0</v>
      </c>
      <c r="R1111" s="64">
        <f>SUM(R1112:R1114)</f>
        <v>0</v>
      </c>
      <c r="S1111" s="64"/>
      <c r="T1111" s="36"/>
      <c r="XDA1111"/>
      <c r="XDB1111"/>
      <c r="XDC1111"/>
      <c r="XDD1111"/>
      <c r="XDE1111"/>
      <c r="XDF1111"/>
      <c r="XDG1111"/>
      <c r="XDH1111"/>
      <c r="XDI1111"/>
      <c r="XDJ1111"/>
      <c r="XDK1111"/>
      <c r="XDL1111"/>
      <c r="XDM1111"/>
      <c r="XDN1111"/>
      <c r="XDO1111"/>
      <c r="XDP1111"/>
      <c r="XDQ1111"/>
      <c r="XDR1111"/>
      <c r="XDS1111"/>
      <c r="XDT1111"/>
      <c r="XDU1111"/>
      <c r="XDV1111"/>
      <c r="XDW1111"/>
      <c r="XDX1111"/>
      <c r="XDY1111"/>
      <c r="XDZ1111"/>
      <c r="XEA1111"/>
      <c r="XEB1111"/>
      <c r="XEC1111"/>
      <c r="XED1111"/>
      <c r="XEE1111"/>
      <c r="XEF1111"/>
      <c r="XEG1111"/>
      <c r="XEH1111"/>
      <c r="XEI1111"/>
      <c r="XEJ1111"/>
      <c r="XEK1111"/>
      <c r="XEL1111"/>
      <c r="XEM1111"/>
      <c r="XEN1111"/>
      <c r="XEO1111"/>
      <c r="XEP1111"/>
      <c r="XEQ1111"/>
      <c r="XER1111"/>
      <c r="XES1111"/>
      <c r="XET1111"/>
      <c r="XEU1111"/>
      <c r="XEV1111"/>
      <c r="XEW1111"/>
      <c r="XEX1111"/>
      <c r="XEY1111"/>
      <c r="XEZ1111"/>
      <c r="XFA1111"/>
      <c r="XFB1111"/>
      <c r="XFC1111"/>
    </row>
    <row r="1112" spans="1:20 16329:16383" s="38" customFormat="1" ht="29.1" customHeight="1" outlineLevel="5" x14ac:dyDescent="0.25">
      <c r="A1112" s="49" t="s">
        <v>2091</v>
      </c>
      <c r="B1112" s="50"/>
      <c r="C1112" s="50"/>
      <c r="D1112" s="3" t="s">
        <v>1875</v>
      </c>
      <c r="E1112" s="3"/>
      <c r="F1112" s="51"/>
      <c r="G1112" s="50" t="s">
        <v>102</v>
      </c>
      <c r="H1112" s="52">
        <f>1</f>
        <v>1</v>
      </c>
      <c r="I1112" s="36"/>
      <c r="J1112" s="52">
        <v>1</v>
      </c>
      <c r="K1112" s="53">
        <f>0</f>
        <v>0</v>
      </c>
      <c r="L1112" s="53">
        <f>0</f>
        <v>0</v>
      </c>
      <c r="M1112" s="53">
        <f>0</f>
        <v>0</v>
      </c>
      <c r="N1112" s="54">
        <f>SUM(K1112:M1112)</f>
        <v>0</v>
      </c>
      <c r="O1112" s="54">
        <f>ROUND((H1112*K1112),2)</f>
        <v>0</v>
      </c>
      <c r="P1112" s="54">
        <f>ROUND((H1112*L1112),2)</f>
        <v>0</v>
      </c>
      <c r="Q1112" s="54">
        <f>ROUND((H1112*M1112),2)</f>
        <v>0</v>
      </c>
      <c r="R1112" s="54">
        <f>ROUND((H1112*N1112),2)</f>
        <v>0</v>
      </c>
      <c r="S1112" s="54"/>
      <c r="T1112" s="36"/>
      <c r="XDA1112"/>
      <c r="XDB1112"/>
      <c r="XDC1112"/>
      <c r="XDD1112"/>
      <c r="XDE1112"/>
      <c r="XDF1112"/>
      <c r="XDG1112"/>
      <c r="XDH1112"/>
      <c r="XDI1112"/>
      <c r="XDJ1112"/>
      <c r="XDK1112"/>
      <c r="XDL1112"/>
      <c r="XDM1112"/>
      <c r="XDN1112"/>
      <c r="XDO1112"/>
      <c r="XDP1112"/>
      <c r="XDQ1112"/>
      <c r="XDR1112"/>
      <c r="XDS1112"/>
      <c r="XDT1112"/>
      <c r="XDU1112"/>
      <c r="XDV1112"/>
      <c r="XDW1112"/>
      <c r="XDX1112"/>
      <c r="XDY1112"/>
      <c r="XDZ1112"/>
      <c r="XEA1112"/>
      <c r="XEB1112"/>
      <c r="XEC1112"/>
      <c r="XED1112"/>
      <c r="XEE1112"/>
      <c r="XEF1112"/>
      <c r="XEG1112"/>
      <c r="XEH1112"/>
      <c r="XEI1112"/>
      <c r="XEJ1112"/>
      <c r="XEK1112"/>
      <c r="XEL1112"/>
      <c r="XEM1112"/>
      <c r="XEN1112"/>
      <c r="XEO1112"/>
      <c r="XEP1112"/>
      <c r="XEQ1112"/>
      <c r="XER1112"/>
      <c r="XES1112"/>
      <c r="XET1112"/>
      <c r="XEU1112"/>
      <c r="XEV1112"/>
      <c r="XEW1112"/>
      <c r="XEX1112"/>
      <c r="XEY1112"/>
      <c r="XEZ1112"/>
      <c r="XFA1112"/>
      <c r="XFB1112"/>
      <c r="XFC1112"/>
    </row>
    <row r="1113" spans="1:20 16329:16383" s="38" customFormat="1" ht="29.1" customHeight="1" outlineLevel="5" x14ac:dyDescent="0.25">
      <c r="A1113" s="49" t="s">
        <v>2092</v>
      </c>
      <c r="B1113" s="50"/>
      <c r="C1113" s="50"/>
      <c r="D1113" s="3" t="s">
        <v>2093</v>
      </c>
      <c r="E1113" s="3"/>
      <c r="F1113" s="51"/>
      <c r="G1113" s="50" t="s">
        <v>102</v>
      </c>
      <c r="H1113" s="52">
        <f>1</f>
        <v>1</v>
      </c>
      <c r="I1113" s="36"/>
      <c r="J1113" s="52">
        <v>1</v>
      </c>
      <c r="K1113" s="53">
        <f>0</f>
        <v>0</v>
      </c>
      <c r="L1113" s="53">
        <f>0</f>
        <v>0</v>
      </c>
      <c r="M1113" s="53">
        <f>0</f>
        <v>0</v>
      </c>
      <c r="N1113" s="54">
        <f>SUM(K1113:M1113)</f>
        <v>0</v>
      </c>
      <c r="O1113" s="54">
        <f>ROUND((H1113*K1113),2)</f>
        <v>0</v>
      </c>
      <c r="P1113" s="54">
        <f>ROUND((H1113*L1113),2)</f>
        <v>0</v>
      </c>
      <c r="Q1113" s="54">
        <f>ROUND((H1113*M1113),2)</f>
        <v>0</v>
      </c>
      <c r="R1113" s="54">
        <f>ROUND((H1113*N1113),2)</f>
        <v>0</v>
      </c>
      <c r="S1113" s="54"/>
      <c r="T1113" s="36"/>
      <c r="XDA1113"/>
      <c r="XDB1113"/>
      <c r="XDC1113"/>
      <c r="XDD1113"/>
      <c r="XDE1113"/>
      <c r="XDF1113"/>
      <c r="XDG1113"/>
      <c r="XDH1113"/>
      <c r="XDI1113"/>
      <c r="XDJ1113"/>
      <c r="XDK1113"/>
      <c r="XDL1113"/>
      <c r="XDM1113"/>
      <c r="XDN1113"/>
      <c r="XDO1113"/>
      <c r="XDP1113"/>
      <c r="XDQ1113"/>
      <c r="XDR1113"/>
      <c r="XDS1113"/>
      <c r="XDT1113"/>
      <c r="XDU1113"/>
      <c r="XDV1113"/>
      <c r="XDW1113"/>
      <c r="XDX1113"/>
      <c r="XDY1113"/>
      <c r="XDZ1113"/>
      <c r="XEA1113"/>
      <c r="XEB1113"/>
      <c r="XEC1113"/>
      <c r="XED1113"/>
      <c r="XEE1113"/>
      <c r="XEF1113"/>
      <c r="XEG1113"/>
      <c r="XEH1113"/>
      <c r="XEI1113"/>
      <c r="XEJ1113"/>
      <c r="XEK1113"/>
      <c r="XEL1113"/>
      <c r="XEM1113"/>
      <c r="XEN1113"/>
      <c r="XEO1113"/>
      <c r="XEP1113"/>
      <c r="XEQ1113"/>
      <c r="XER1113"/>
      <c r="XES1113"/>
      <c r="XET1113"/>
      <c r="XEU1113"/>
      <c r="XEV1113"/>
      <c r="XEW1113"/>
      <c r="XEX1113"/>
      <c r="XEY1113"/>
      <c r="XEZ1113"/>
      <c r="XFA1113"/>
      <c r="XFB1113"/>
      <c r="XFC1113"/>
    </row>
    <row r="1114" spans="1:20 16329:16383" s="38" customFormat="1" ht="29.1" customHeight="1" outlineLevel="5" x14ac:dyDescent="0.25">
      <c r="A1114" s="49" t="s">
        <v>2094</v>
      </c>
      <c r="B1114" s="50"/>
      <c r="C1114" s="50"/>
      <c r="D1114" s="3" t="s">
        <v>2095</v>
      </c>
      <c r="E1114" s="3"/>
      <c r="F1114" s="51"/>
      <c r="G1114" s="50" t="s">
        <v>102</v>
      </c>
      <c r="H1114" s="52">
        <f>1</f>
        <v>1</v>
      </c>
      <c r="I1114" s="36"/>
      <c r="J1114" s="52">
        <v>1</v>
      </c>
      <c r="K1114" s="53">
        <f>0</f>
        <v>0</v>
      </c>
      <c r="L1114" s="53">
        <f>0</f>
        <v>0</v>
      </c>
      <c r="M1114" s="53">
        <f>0</f>
        <v>0</v>
      </c>
      <c r="N1114" s="54">
        <f>SUM(K1114:M1114)</f>
        <v>0</v>
      </c>
      <c r="O1114" s="54">
        <f>ROUND((H1114*K1114),2)</f>
        <v>0</v>
      </c>
      <c r="P1114" s="54">
        <f>ROUND((H1114*L1114),2)</f>
        <v>0</v>
      </c>
      <c r="Q1114" s="54">
        <f>ROUND((H1114*M1114),2)</f>
        <v>0</v>
      </c>
      <c r="R1114" s="54">
        <f>ROUND((H1114*N1114),2)</f>
        <v>0</v>
      </c>
      <c r="S1114" s="54"/>
      <c r="T1114" s="36"/>
      <c r="XDA1114"/>
      <c r="XDB1114"/>
      <c r="XDC1114"/>
      <c r="XDD1114"/>
      <c r="XDE1114"/>
      <c r="XDF1114"/>
      <c r="XDG1114"/>
      <c r="XDH1114"/>
      <c r="XDI1114"/>
      <c r="XDJ1114"/>
      <c r="XDK1114"/>
      <c r="XDL1114"/>
      <c r="XDM1114"/>
      <c r="XDN1114"/>
      <c r="XDO1114"/>
      <c r="XDP1114"/>
      <c r="XDQ1114"/>
      <c r="XDR1114"/>
      <c r="XDS1114"/>
      <c r="XDT1114"/>
      <c r="XDU1114"/>
      <c r="XDV1114"/>
      <c r="XDW1114"/>
      <c r="XDX1114"/>
      <c r="XDY1114"/>
      <c r="XDZ1114"/>
      <c r="XEA1114"/>
      <c r="XEB1114"/>
      <c r="XEC1114"/>
      <c r="XED1114"/>
      <c r="XEE1114"/>
      <c r="XEF1114"/>
      <c r="XEG1114"/>
      <c r="XEH1114"/>
      <c r="XEI1114"/>
      <c r="XEJ1114"/>
      <c r="XEK1114"/>
      <c r="XEL1114"/>
      <c r="XEM1114"/>
      <c r="XEN1114"/>
      <c r="XEO1114"/>
      <c r="XEP1114"/>
      <c r="XEQ1114"/>
      <c r="XER1114"/>
      <c r="XES1114"/>
      <c r="XET1114"/>
      <c r="XEU1114"/>
      <c r="XEV1114"/>
      <c r="XEW1114"/>
      <c r="XEX1114"/>
      <c r="XEY1114"/>
      <c r="XEZ1114"/>
      <c r="XFA1114"/>
      <c r="XFB1114"/>
      <c r="XFC1114"/>
    </row>
    <row r="1115" spans="1:20 16329:16383" s="38" customFormat="1" ht="29.1" customHeight="1" outlineLevel="4" x14ac:dyDescent="0.25">
      <c r="A1115" s="60" t="s">
        <v>2096</v>
      </c>
      <c r="B1115" s="61" t="s">
        <v>2097</v>
      </c>
      <c r="C1115" s="61"/>
      <c r="D1115" s="1" t="s">
        <v>344</v>
      </c>
      <c r="E1115" s="1"/>
      <c r="F1115" s="62"/>
      <c r="G1115" s="61"/>
      <c r="H1115" s="63"/>
      <c r="I1115" s="36"/>
      <c r="J1115" s="63"/>
      <c r="K1115" s="64"/>
      <c r="L1115" s="64"/>
      <c r="M1115" s="64"/>
      <c r="N1115" s="64"/>
      <c r="O1115" s="64">
        <f>SUM(O1116:O1119)</f>
        <v>0</v>
      </c>
      <c r="P1115" s="64">
        <f>SUM(P1116:P1119)</f>
        <v>0</v>
      </c>
      <c r="Q1115" s="64">
        <f>SUM(Q1116:Q1119)</f>
        <v>0</v>
      </c>
      <c r="R1115" s="64">
        <f>SUM(R1116:R1119)</f>
        <v>0</v>
      </c>
      <c r="S1115" s="64"/>
      <c r="T1115" s="36"/>
      <c r="XDA1115"/>
      <c r="XDB1115"/>
      <c r="XDC1115"/>
      <c r="XDD1115"/>
      <c r="XDE1115"/>
      <c r="XDF1115"/>
      <c r="XDG1115"/>
      <c r="XDH1115"/>
      <c r="XDI1115"/>
      <c r="XDJ1115"/>
      <c r="XDK1115"/>
      <c r="XDL1115"/>
      <c r="XDM1115"/>
      <c r="XDN1115"/>
      <c r="XDO1115"/>
      <c r="XDP1115"/>
      <c r="XDQ1115"/>
      <c r="XDR1115"/>
      <c r="XDS1115"/>
      <c r="XDT1115"/>
      <c r="XDU1115"/>
      <c r="XDV1115"/>
      <c r="XDW1115"/>
      <c r="XDX1115"/>
      <c r="XDY1115"/>
      <c r="XDZ1115"/>
      <c r="XEA1115"/>
      <c r="XEB1115"/>
      <c r="XEC1115"/>
      <c r="XED1115"/>
      <c r="XEE1115"/>
      <c r="XEF1115"/>
      <c r="XEG1115"/>
      <c r="XEH1115"/>
      <c r="XEI1115"/>
      <c r="XEJ1115"/>
      <c r="XEK1115"/>
      <c r="XEL1115"/>
      <c r="XEM1115"/>
      <c r="XEN1115"/>
      <c r="XEO1115"/>
      <c r="XEP1115"/>
      <c r="XEQ1115"/>
      <c r="XER1115"/>
      <c r="XES1115"/>
      <c r="XET1115"/>
      <c r="XEU1115"/>
      <c r="XEV1115"/>
      <c r="XEW1115"/>
      <c r="XEX1115"/>
      <c r="XEY1115"/>
      <c r="XEZ1115"/>
      <c r="XFA1115"/>
      <c r="XFB1115"/>
      <c r="XFC1115"/>
    </row>
    <row r="1116" spans="1:20 16329:16383" s="38" customFormat="1" ht="29.1" customHeight="1" outlineLevel="5" x14ac:dyDescent="0.25">
      <c r="A1116" s="49" t="s">
        <v>2098</v>
      </c>
      <c r="B1116" s="50"/>
      <c r="C1116" s="50"/>
      <c r="D1116" s="3" t="s">
        <v>1884</v>
      </c>
      <c r="E1116" s="3"/>
      <c r="F1116" s="51"/>
      <c r="G1116" s="50" t="s">
        <v>102</v>
      </c>
      <c r="H1116" s="52">
        <f>1</f>
        <v>1</v>
      </c>
      <c r="I1116" s="36"/>
      <c r="J1116" s="52">
        <v>1</v>
      </c>
      <c r="K1116" s="53">
        <f>0</f>
        <v>0</v>
      </c>
      <c r="L1116" s="53">
        <f>0</f>
        <v>0</v>
      </c>
      <c r="M1116" s="53">
        <f>0</f>
        <v>0</v>
      </c>
      <c r="N1116" s="54">
        <f>SUM(K1116:M1116)</f>
        <v>0</v>
      </c>
      <c r="O1116" s="54">
        <f>ROUND((H1116*K1116),2)</f>
        <v>0</v>
      </c>
      <c r="P1116" s="54">
        <f>ROUND((H1116*L1116),2)</f>
        <v>0</v>
      </c>
      <c r="Q1116" s="54">
        <f>ROUND((H1116*M1116),2)</f>
        <v>0</v>
      </c>
      <c r="R1116" s="54">
        <f>ROUND((H1116*N1116),2)</f>
        <v>0</v>
      </c>
      <c r="S1116" s="54"/>
      <c r="T1116" s="36"/>
      <c r="XDA1116"/>
      <c r="XDB1116"/>
      <c r="XDC1116"/>
      <c r="XDD1116"/>
      <c r="XDE1116"/>
      <c r="XDF1116"/>
      <c r="XDG1116"/>
      <c r="XDH1116"/>
      <c r="XDI1116"/>
      <c r="XDJ1116"/>
      <c r="XDK1116"/>
      <c r="XDL1116"/>
      <c r="XDM1116"/>
      <c r="XDN1116"/>
      <c r="XDO1116"/>
      <c r="XDP1116"/>
      <c r="XDQ1116"/>
      <c r="XDR1116"/>
      <c r="XDS1116"/>
      <c r="XDT1116"/>
      <c r="XDU1116"/>
      <c r="XDV1116"/>
      <c r="XDW1116"/>
      <c r="XDX1116"/>
      <c r="XDY1116"/>
      <c r="XDZ1116"/>
      <c r="XEA1116"/>
      <c r="XEB1116"/>
      <c r="XEC1116"/>
      <c r="XED1116"/>
      <c r="XEE1116"/>
      <c r="XEF1116"/>
      <c r="XEG1116"/>
      <c r="XEH1116"/>
      <c r="XEI1116"/>
      <c r="XEJ1116"/>
      <c r="XEK1116"/>
      <c r="XEL1116"/>
      <c r="XEM1116"/>
      <c r="XEN1116"/>
      <c r="XEO1116"/>
      <c r="XEP1116"/>
      <c r="XEQ1116"/>
      <c r="XER1116"/>
      <c r="XES1116"/>
      <c r="XET1116"/>
      <c r="XEU1116"/>
      <c r="XEV1116"/>
      <c r="XEW1116"/>
      <c r="XEX1116"/>
      <c r="XEY1116"/>
      <c r="XEZ1116"/>
      <c r="XFA1116"/>
      <c r="XFB1116"/>
      <c r="XFC1116"/>
    </row>
    <row r="1117" spans="1:20 16329:16383" s="38" customFormat="1" ht="29.1" customHeight="1" outlineLevel="5" x14ac:dyDescent="0.25">
      <c r="A1117" s="49" t="s">
        <v>2099</v>
      </c>
      <c r="B1117" s="50"/>
      <c r="C1117" s="50"/>
      <c r="D1117" s="3" t="s">
        <v>2100</v>
      </c>
      <c r="E1117" s="3"/>
      <c r="F1117" s="51"/>
      <c r="G1117" s="50" t="s">
        <v>102</v>
      </c>
      <c r="H1117" s="52">
        <f>1</f>
        <v>1</v>
      </c>
      <c r="I1117" s="36"/>
      <c r="J1117" s="52">
        <v>1</v>
      </c>
      <c r="K1117" s="53">
        <f>0</f>
        <v>0</v>
      </c>
      <c r="L1117" s="53">
        <f>0</f>
        <v>0</v>
      </c>
      <c r="M1117" s="53">
        <f>0</f>
        <v>0</v>
      </c>
      <c r="N1117" s="54">
        <f>SUM(K1117:M1117)</f>
        <v>0</v>
      </c>
      <c r="O1117" s="54">
        <f>ROUND((H1117*K1117),2)</f>
        <v>0</v>
      </c>
      <c r="P1117" s="54">
        <f>ROUND((H1117*L1117),2)</f>
        <v>0</v>
      </c>
      <c r="Q1117" s="54">
        <f>ROUND((H1117*M1117),2)</f>
        <v>0</v>
      </c>
      <c r="R1117" s="54">
        <f>ROUND((H1117*N1117),2)</f>
        <v>0</v>
      </c>
      <c r="S1117" s="54"/>
      <c r="T1117" s="36"/>
      <c r="XDA1117"/>
      <c r="XDB1117"/>
      <c r="XDC1117"/>
      <c r="XDD1117"/>
      <c r="XDE1117"/>
      <c r="XDF1117"/>
      <c r="XDG1117"/>
      <c r="XDH1117"/>
      <c r="XDI1117"/>
      <c r="XDJ1117"/>
      <c r="XDK1117"/>
      <c r="XDL1117"/>
      <c r="XDM1117"/>
      <c r="XDN1117"/>
      <c r="XDO1117"/>
      <c r="XDP1117"/>
      <c r="XDQ1117"/>
      <c r="XDR1117"/>
      <c r="XDS1117"/>
      <c r="XDT1117"/>
      <c r="XDU1117"/>
      <c r="XDV1117"/>
      <c r="XDW1117"/>
      <c r="XDX1117"/>
      <c r="XDY1117"/>
      <c r="XDZ1117"/>
      <c r="XEA1117"/>
      <c r="XEB1117"/>
      <c r="XEC1117"/>
      <c r="XED1117"/>
      <c r="XEE1117"/>
      <c r="XEF1117"/>
      <c r="XEG1117"/>
      <c r="XEH1117"/>
      <c r="XEI1117"/>
      <c r="XEJ1117"/>
      <c r="XEK1117"/>
      <c r="XEL1117"/>
      <c r="XEM1117"/>
      <c r="XEN1117"/>
      <c r="XEO1117"/>
      <c r="XEP1117"/>
      <c r="XEQ1117"/>
      <c r="XER1117"/>
      <c r="XES1117"/>
      <c r="XET1117"/>
      <c r="XEU1117"/>
      <c r="XEV1117"/>
      <c r="XEW1117"/>
      <c r="XEX1117"/>
      <c r="XEY1117"/>
      <c r="XEZ1117"/>
      <c r="XFA1117"/>
      <c r="XFB1117"/>
      <c r="XFC1117"/>
    </row>
    <row r="1118" spans="1:20 16329:16383" s="38" customFormat="1" ht="29.1" customHeight="1" outlineLevel="5" x14ac:dyDescent="0.25">
      <c r="A1118" s="49" t="s">
        <v>2101</v>
      </c>
      <c r="B1118" s="50"/>
      <c r="C1118" s="50"/>
      <c r="D1118" s="3" t="s">
        <v>1890</v>
      </c>
      <c r="E1118" s="3"/>
      <c r="F1118" s="51"/>
      <c r="G1118" s="50" t="s">
        <v>102</v>
      </c>
      <c r="H1118" s="52">
        <f>1</f>
        <v>1</v>
      </c>
      <c r="I1118" s="36"/>
      <c r="J1118" s="52">
        <v>1</v>
      </c>
      <c r="K1118" s="53">
        <f>0</f>
        <v>0</v>
      </c>
      <c r="L1118" s="53">
        <f>0</f>
        <v>0</v>
      </c>
      <c r="M1118" s="53">
        <f>0</f>
        <v>0</v>
      </c>
      <c r="N1118" s="54">
        <f>SUM(K1118:M1118)</f>
        <v>0</v>
      </c>
      <c r="O1118" s="54">
        <f>ROUND((H1118*K1118),2)</f>
        <v>0</v>
      </c>
      <c r="P1118" s="54">
        <f>ROUND((H1118*L1118),2)</f>
        <v>0</v>
      </c>
      <c r="Q1118" s="54">
        <f>ROUND((H1118*M1118),2)</f>
        <v>0</v>
      </c>
      <c r="R1118" s="54">
        <f>ROUND((H1118*N1118),2)</f>
        <v>0</v>
      </c>
      <c r="S1118" s="54"/>
      <c r="T1118" s="36"/>
      <c r="XDA1118"/>
      <c r="XDB1118"/>
      <c r="XDC1118"/>
      <c r="XDD1118"/>
      <c r="XDE1118"/>
      <c r="XDF1118"/>
      <c r="XDG1118"/>
      <c r="XDH1118"/>
      <c r="XDI1118"/>
      <c r="XDJ1118"/>
      <c r="XDK1118"/>
      <c r="XDL1118"/>
      <c r="XDM1118"/>
      <c r="XDN1118"/>
      <c r="XDO1118"/>
      <c r="XDP1118"/>
      <c r="XDQ1118"/>
      <c r="XDR1118"/>
      <c r="XDS1118"/>
      <c r="XDT1118"/>
      <c r="XDU1118"/>
      <c r="XDV1118"/>
      <c r="XDW1118"/>
      <c r="XDX1118"/>
      <c r="XDY1118"/>
      <c r="XDZ1118"/>
      <c r="XEA1118"/>
      <c r="XEB1118"/>
      <c r="XEC1118"/>
      <c r="XED1118"/>
      <c r="XEE1118"/>
      <c r="XEF1118"/>
      <c r="XEG1118"/>
      <c r="XEH1118"/>
      <c r="XEI1118"/>
      <c r="XEJ1118"/>
      <c r="XEK1118"/>
      <c r="XEL1118"/>
      <c r="XEM1118"/>
      <c r="XEN1118"/>
      <c r="XEO1118"/>
      <c r="XEP1118"/>
      <c r="XEQ1118"/>
      <c r="XER1118"/>
      <c r="XES1118"/>
      <c r="XET1118"/>
      <c r="XEU1118"/>
      <c r="XEV1118"/>
      <c r="XEW1118"/>
      <c r="XEX1118"/>
      <c r="XEY1118"/>
      <c r="XEZ1118"/>
      <c r="XFA1118"/>
      <c r="XFB1118"/>
      <c r="XFC1118"/>
    </row>
    <row r="1119" spans="1:20 16329:16383" s="38" customFormat="1" ht="29.1" customHeight="1" outlineLevel="5" x14ac:dyDescent="0.25">
      <c r="A1119" s="49" t="s">
        <v>2102</v>
      </c>
      <c r="B1119" s="50"/>
      <c r="C1119" s="50"/>
      <c r="D1119" s="3" t="s">
        <v>2103</v>
      </c>
      <c r="E1119" s="3"/>
      <c r="F1119" s="51"/>
      <c r="G1119" s="50" t="s">
        <v>102</v>
      </c>
      <c r="H1119" s="52">
        <f>1</f>
        <v>1</v>
      </c>
      <c r="I1119" s="36"/>
      <c r="J1119" s="52">
        <v>1</v>
      </c>
      <c r="K1119" s="53">
        <f>0</f>
        <v>0</v>
      </c>
      <c r="L1119" s="53">
        <f>0</f>
        <v>0</v>
      </c>
      <c r="M1119" s="53">
        <f>0</f>
        <v>0</v>
      </c>
      <c r="N1119" s="54">
        <f>SUM(K1119:M1119)</f>
        <v>0</v>
      </c>
      <c r="O1119" s="54">
        <f>ROUND((H1119*K1119),2)</f>
        <v>0</v>
      </c>
      <c r="P1119" s="54">
        <f>ROUND((H1119*L1119),2)</f>
        <v>0</v>
      </c>
      <c r="Q1119" s="54">
        <f>ROUND((H1119*M1119),2)</f>
        <v>0</v>
      </c>
      <c r="R1119" s="54">
        <f>ROUND((H1119*N1119),2)</f>
        <v>0</v>
      </c>
      <c r="S1119" s="54"/>
      <c r="T1119" s="36"/>
      <c r="XDA1119"/>
      <c r="XDB1119"/>
      <c r="XDC1119"/>
      <c r="XDD1119"/>
      <c r="XDE1119"/>
      <c r="XDF1119"/>
      <c r="XDG1119"/>
      <c r="XDH1119"/>
      <c r="XDI1119"/>
      <c r="XDJ1119"/>
      <c r="XDK1119"/>
      <c r="XDL1119"/>
      <c r="XDM1119"/>
      <c r="XDN1119"/>
      <c r="XDO1119"/>
      <c r="XDP1119"/>
      <c r="XDQ1119"/>
      <c r="XDR1119"/>
      <c r="XDS1119"/>
      <c r="XDT1119"/>
      <c r="XDU1119"/>
      <c r="XDV1119"/>
      <c r="XDW1119"/>
      <c r="XDX1119"/>
      <c r="XDY1119"/>
      <c r="XDZ1119"/>
      <c r="XEA1119"/>
      <c r="XEB1119"/>
      <c r="XEC1119"/>
      <c r="XED1119"/>
      <c r="XEE1119"/>
      <c r="XEF1119"/>
      <c r="XEG1119"/>
      <c r="XEH1119"/>
      <c r="XEI1119"/>
      <c r="XEJ1119"/>
      <c r="XEK1119"/>
      <c r="XEL1119"/>
      <c r="XEM1119"/>
      <c r="XEN1119"/>
      <c r="XEO1119"/>
      <c r="XEP1119"/>
      <c r="XEQ1119"/>
      <c r="XER1119"/>
      <c r="XES1119"/>
      <c r="XET1119"/>
      <c r="XEU1119"/>
      <c r="XEV1119"/>
      <c r="XEW1119"/>
      <c r="XEX1119"/>
      <c r="XEY1119"/>
      <c r="XEZ1119"/>
      <c r="XFA1119"/>
      <c r="XFB1119"/>
      <c r="XFC1119"/>
    </row>
    <row r="1120" spans="1:20 16329:16383" s="38" customFormat="1" ht="29.1" customHeight="1" outlineLevel="4" x14ac:dyDescent="0.25">
      <c r="A1120" s="60" t="s">
        <v>2104</v>
      </c>
      <c r="B1120" s="61" t="s">
        <v>2105</v>
      </c>
      <c r="C1120" s="61"/>
      <c r="D1120" s="1" t="s">
        <v>1899</v>
      </c>
      <c r="E1120" s="1"/>
      <c r="F1120" s="62"/>
      <c r="G1120" s="61"/>
      <c r="H1120" s="63"/>
      <c r="I1120" s="36"/>
      <c r="J1120" s="63"/>
      <c r="K1120" s="64"/>
      <c r="L1120" s="64"/>
      <c r="M1120" s="64"/>
      <c r="N1120" s="64"/>
      <c r="O1120" s="64">
        <f>O1121</f>
        <v>0</v>
      </c>
      <c r="P1120" s="64">
        <f>P1121</f>
        <v>0</v>
      </c>
      <c r="Q1120" s="64">
        <f>Q1121</f>
        <v>0</v>
      </c>
      <c r="R1120" s="64">
        <f>R1121</f>
        <v>0</v>
      </c>
      <c r="S1120" s="64"/>
      <c r="T1120" s="36"/>
      <c r="XDA1120"/>
      <c r="XDB1120"/>
      <c r="XDC1120"/>
      <c r="XDD1120"/>
      <c r="XDE1120"/>
      <c r="XDF1120"/>
      <c r="XDG1120"/>
      <c r="XDH1120"/>
      <c r="XDI1120"/>
      <c r="XDJ1120"/>
      <c r="XDK1120"/>
      <c r="XDL1120"/>
      <c r="XDM1120"/>
      <c r="XDN1120"/>
      <c r="XDO1120"/>
      <c r="XDP1120"/>
      <c r="XDQ1120"/>
      <c r="XDR1120"/>
      <c r="XDS1120"/>
      <c r="XDT1120"/>
      <c r="XDU1120"/>
      <c r="XDV1120"/>
      <c r="XDW1120"/>
      <c r="XDX1120"/>
      <c r="XDY1120"/>
      <c r="XDZ1120"/>
      <c r="XEA1120"/>
      <c r="XEB1120"/>
      <c r="XEC1120"/>
      <c r="XED1120"/>
      <c r="XEE1120"/>
      <c r="XEF1120"/>
      <c r="XEG1120"/>
      <c r="XEH1120"/>
      <c r="XEI1120"/>
      <c r="XEJ1120"/>
      <c r="XEK1120"/>
      <c r="XEL1120"/>
      <c r="XEM1120"/>
      <c r="XEN1120"/>
      <c r="XEO1120"/>
      <c r="XEP1120"/>
      <c r="XEQ1120"/>
      <c r="XER1120"/>
      <c r="XES1120"/>
      <c r="XET1120"/>
      <c r="XEU1120"/>
      <c r="XEV1120"/>
      <c r="XEW1120"/>
      <c r="XEX1120"/>
      <c r="XEY1120"/>
      <c r="XEZ1120"/>
      <c r="XFA1120"/>
      <c r="XFB1120"/>
      <c r="XFC1120"/>
    </row>
    <row r="1121" spans="1:20 16329:16383" s="38" customFormat="1" ht="29.1" customHeight="1" outlineLevel="5" x14ac:dyDescent="0.25">
      <c r="A1121" s="49" t="s">
        <v>2106</v>
      </c>
      <c r="B1121" s="50"/>
      <c r="C1121" s="50"/>
      <c r="D1121" s="3" t="s">
        <v>2107</v>
      </c>
      <c r="E1121" s="3"/>
      <c r="F1121" s="51"/>
      <c r="G1121" s="50" t="s">
        <v>102</v>
      </c>
      <c r="H1121" s="52">
        <f>1</f>
        <v>1</v>
      </c>
      <c r="I1121" s="36"/>
      <c r="J1121" s="52">
        <v>1</v>
      </c>
      <c r="K1121" s="53">
        <f>0</f>
        <v>0</v>
      </c>
      <c r="L1121" s="53">
        <f>0</f>
        <v>0</v>
      </c>
      <c r="M1121" s="53">
        <f>0</f>
        <v>0</v>
      </c>
      <c r="N1121" s="54">
        <f>SUM(K1121:M1121)</f>
        <v>0</v>
      </c>
      <c r="O1121" s="54">
        <f>ROUND((H1121*K1121),2)</f>
        <v>0</v>
      </c>
      <c r="P1121" s="54">
        <f>ROUND((H1121*L1121),2)</f>
        <v>0</v>
      </c>
      <c r="Q1121" s="54">
        <f>ROUND((H1121*M1121),2)</f>
        <v>0</v>
      </c>
      <c r="R1121" s="54">
        <f>ROUND((H1121*N1121),2)</f>
        <v>0</v>
      </c>
      <c r="S1121" s="54"/>
      <c r="T1121" s="36"/>
      <c r="XDA1121"/>
      <c r="XDB1121"/>
      <c r="XDC1121"/>
      <c r="XDD1121"/>
      <c r="XDE1121"/>
      <c r="XDF1121"/>
      <c r="XDG1121"/>
      <c r="XDH1121"/>
      <c r="XDI1121"/>
      <c r="XDJ1121"/>
      <c r="XDK1121"/>
      <c r="XDL1121"/>
      <c r="XDM1121"/>
      <c r="XDN1121"/>
      <c r="XDO1121"/>
      <c r="XDP1121"/>
      <c r="XDQ1121"/>
      <c r="XDR1121"/>
      <c r="XDS1121"/>
      <c r="XDT1121"/>
      <c r="XDU1121"/>
      <c r="XDV1121"/>
      <c r="XDW1121"/>
      <c r="XDX1121"/>
      <c r="XDY1121"/>
      <c r="XDZ1121"/>
      <c r="XEA1121"/>
      <c r="XEB1121"/>
      <c r="XEC1121"/>
      <c r="XED1121"/>
      <c r="XEE1121"/>
      <c r="XEF1121"/>
      <c r="XEG1121"/>
      <c r="XEH1121"/>
      <c r="XEI1121"/>
      <c r="XEJ1121"/>
      <c r="XEK1121"/>
      <c r="XEL1121"/>
      <c r="XEM1121"/>
      <c r="XEN1121"/>
      <c r="XEO1121"/>
      <c r="XEP1121"/>
      <c r="XEQ1121"/>
      <c r="XER1121"/>
      <c r="XES1121"/>
      <c r="XET1121"/>
      <c r="XEU1121"/>
      <c r="XEV1121"/>
      <c r="XEW1121"/>
      <c r="XEX1121"/>
      <c r="XEY1121"/>
      <c r="XEZ1121"/>
      <c r="XFA1121"/>
      <c r="XFB1121"/>
      <c r="XFC1121"/>
    </row>
    <row r="1122" spans="1:20 16329:16383" s="38" customFormat="1" ht="29.1" customHeight="1" outlineLevel="3" x14ac:dyDescent="0.25">
      <c r="A1122" s="55" t="s">
        <v>2108</v>
      </c>
      <c r="B1122" s="56" t="s">
        <v>2109</v>
      </c>
      <c r="C1122" s="56" t="s">
        <v>2041</v>
      </c>
      <c r="D1122" s="2" t="s">
        <v>2110</v>
      </c>
      <c r="E1122" s="2"/>
      <c r="F1122" s="57"/>
      <c r="G1122" s="56" t="s">
        <v>102</v>
      </c>
      <c r="H1122" s="58"/>
      <c r="I1122" s="36"/>
      <c r="J1122" s="58"/>
      <c r="K1122" s="59"/>
      <c r="L1122" s="59"/>
      <c r="M1122" s="59"/>
      <c r="N1122" s="59"/>
      <c r="O1122" s="59">
        <f>O1123+O1128+O1132</f>
        <v>0</v>
      </c>
      <c r="P1122" s="59">
        <f>P1123+P1128+P1132</f>
        <v>0</v>
      </c>
      <c r="Q1122" s="59">
        <f>Q1123+Q1128+Q1132</f>
        <v>0</v>
      </c>
      <c r="R1122" s="59">
        <f>R1123+R1128+R1132</f>
        <v>0</v>
      </c>
      <c r="S1122" s="59"/>
      <c r="T1122" s="36"/>
      <c r="XDA1122"/>
      <c r="XDB1122"/>
      <c r="XDC1122"/>
      <c r="XDD1122"/>
      <c r="XDE1122"/>
      <c r="XDF1122"/>
      <c r="XDG1122"/>
      <c r="XDH1122"/>
      <c r="XDI1122"/>
      <c r="XDJ1122"/>
      <c r="XDK1122"/>
      <c r="XDL1122"/>
      <c r="XDM1122"/>
      <c r="XDN1122"/>
      <c r="XDO1122"/>
      <c r="XDP1122"/>
      <c r="XDQ1122"/>
      <c r="XDR1122"/>
      <c r="XDS1122"/>
      <c r="XDT1122"/>
      <c r="XDU1122"/>
      <c r="XDV1122"/>
      <c r="XDW1122"/>
      <c r="XDX1122"/>
      <c r="XDY1122"/>
      <c r="XDZ1122"/>
      <c r="XEA1122"/>
      <c r="XEB1122"/>
      <c r="XEC1122"/>
      <c r="XED1122"/>
      <c r="XEE1122"/>
      <c r="XEF1122"/>
      <c r="XEG1122"/>
      <c r="XEH1122"/>
      <c r="XEI1122"/>
      <c r="XEJ1122"/>
      <c r="XEK1122"/>
      <c r="XEL1122"/>
      <c r="XEM1122"/>
      <c r="XEN1122"/>
      <c r="XEO1122"/>
      <c r="XEP1122"/>
      <c r="XEQ1122"/>
      <c r="XER1122"/>
      <c r="XES1122"/>
      <c r="XET1122"/>
      <c r="XEU1122"/>
      <c r="XEV1122"/>
      <c r="XEW1122"/>
      <c r="XEX1122"/>
      <c r="XEY1122"/>
      <c r="XEZ1122"/>
      <c r="XFA1122"/>
      <c r="XFB1122"/>
      <c r="XFC1122"/>
    </row>
    <row r="1123" spans="1:20 16329:16383" s="38" customFormat="1" ht="29.1" customHeight="1" outlineLevel="4" x14ac:dyDescent="0.25">
      <c r="A1123" s="60" t="s">
        <v>2111</v>
      </c>
      <c r="B1123" s="61" t="s">
        <v>2112</v>
      </c>
      <c r="C1123" s="61"/>
      <c r="D1123" s="1" t="s">
        <v>1873</v>
      </c>
      <c r="E1123" s="1"/>
      <c r="F1123" s="62"/>
      <c r="G1123" s="61"/>
      <c r="H1123" s="63"/>
      <c r="I1123" s="36"/>
      <c r="J1123" s="63"/>
      <c r="K1123" s="64"/>
      <c r="L1123" s="64"/>
      <c r="M1123" s="64"/>
      <c r="N1123" s="64"/>
      <c r="O1123" s="64">
        <f>SUM(O1124:O1127)</f>
        <v>0</v>
      </c>
      <c r="P1123" s="64">
        <f>SUM(P1124:P1127)</f>
        <v>0</v>
      </c>
      <c r="Q1123" s="64">
        <f>SUM(Q1124:Q1127)</f>
        <v>0</v>
      </c>
      <c r="R1123" s="64">
        <f>SUM(R1124:R1127)</f>
        <v>0</v>
      </c>
      <c r="S1123" s="64"/>
      <c r="T1123" s="36"/>
      <c r="XDA1123"/>
      <c r="XDB1123"/>
      <c r="XDC1123"/>
      <c r="XDD1123"/>
      <c r="XDE1123"/>
      <c r="XDF1123"/>
      <c r="XDG1123"/>
      <c r="XDH1123"/>
      <c r="XDI1123"/>
      <c r="XDJ1123"/>
      <c r="XDK1123"/>
      <c r="XDL1123"/>
      <c r="XDM1123"/>
      <c r="XDN1123"/>
      <c r="XDO1123"/>
      <c r="XDP1123"/>
      <c r="XDQ1123"/>
      <c r="XDR1123"/>
      <c r="XDS1123"/>
      <c r="XDT1123"/>
      <c r="XDU1123"/>
      <c r="XDV1123"/>
      <c r="XDW1123"/>
      <c r="XDX1123"/>
      <c r="XDY1123"/>
      <c r="XDZ1123"/>
      <c r="XEA1123"/>
      <c r="XEB1123"/>
      <c r="XEC1123"/>
      <c r="XED1123"/>
      <c r="XEE1123"/>
      <c r="XEF1123"/>
      <c r="XEG1123"/>
      <c r="XEH1123"/>
      <c r="XEI1123"/>
      <c r="XEJ1123"/>
      <c r="XEK1123"/>
      <c r="XEL1123"/>
      <c r="XEM1123"/>
      <c r="XEN1123"/>
      <c r="XEO1123"/>
      <c r="XEP1123"/>
      <c r="XEQ1123"/>
      <c r="XER1123"/>
      <c r="XES1123"/>
      <c r="XET1123"/>
      <c r="XEU1123"/>
      <c r="XEV1123"/>
      <c r="XEW1123"/>
      <c r="XEX1123"/>
      <c r="XEY1123"/>
      <c r="XEZ1123"/>
      <c r="XFA1123"/>
      <c r="XFB1123"/>
      <c r="XFC1123"/>
    </row>
    <row r="1124" spans="1:20 16329:16383" s="38" customFormat="1" ht="29.1" customHeight="1" outlineLevel="5" x14ac:dyDescent="0.25">
      <c r="A1124" s="49" t="s">
        <v>2113</v>
      </c>
      <c r="B1124" s="50"/>
      <c r="C1124" s="50"/>
      <c r="D1124" s="3" t="s">
        <v>1968</v>
      </c>
      <c r="E1124" s="3"/>
      <c r="F1124" s="51"/>
      <c r="G1124" s="50" t="s">
        <v>102</v>
      </c>
      <c r="H1124" s="52">
        <f>1</f>
        <v>1</v>
      </c>
      <c r="I1124" s="36"/>
      <c r="J1124" s="52">
        <v>1</v>
      </c>
      <c r="K1124" s="53">
        <f>0</f>
        <v>0</v>
      </c>
      <c r="L1124" s="53">
        <f>0</f>
        <v>0</v>
      </c>
      <c r="M1124" s="53">
        <f>0</f>
        <v>0</v>
      </c>
      <c r="N1124" s="54">
        <f>SUM(K1124:M1124)</f>
        <v>0</v>
      </c>
      <c r="O1124" s="54">
        <f>ROUND((H1124*K1124),2)</f>
        <v>0</v>
      </c>
      <c r="P1124" s="54">
        <f>ROUND((H1124*L1124),2)</f>
        <v>0</v>
      </c>
      <c r="Q1124" s="54">
        <f>ROUND((H1124*M1124),2)</f>
        <v>0</v>
      </c>
      <c r="R1124" s="54">
        <f>ROUND((H1124*N1124),2)</f>
        <v>0</v>
      </c>
      <c r="S1124" s="54"/>
      <c r="T1124" s="36"/>
      <c r="XDA1124"/>
      <c r="XDB1124"/>
      <c r="XDC1124"/>
      <c r="XDD1124"/>
      <c r="XDE1124"/>
      <c r="XDF1124"/>
      <c r="XDG1124"/>
      <c r="XDH1124"/>
      <c r="XDI1124"/>
      <c r="XDJ1124"/>
      <c r="XDK1124"/>
      <c r="XDL1124"/>
      <c r="XDM1124"/>
      <c r="XDN1124"/>
      <c r="XDO1124"/>
      <c r="XDP1124"/>
      <c r="XDQ1124"/>
      <c r="XDR1124"/>
      <c r="XDS1124"/>
      <c r="XDT1124"/>
      <c r="XDU1124"/>
      <c r="XDV1124"/>
      <c r="XDW1124"/>
      <c r="XDX1124"/>
      <c r="XDY1124"/>
      <c r="XDZ1124"/>
      <c r="XEA1124"/>
      <c r="XEB1124"/>
      <c r="XEC1124"/>
      <c r="XED1124"/>
      <c r="XEE1124"/>
      <c r="XEF1124"/>
      <c r="XEG1124"/>
      <c r="XEH1124"/>
      <c r="XEI1124"/>
      <c r="XEJ1124"/>
      <c r="XEK1124"/>
      <c r="XEL1124"/>
      <c r="XEM1124"/>
      <c r="XEN1124"/>
      <c r="XEO1124"/>
      <c r="XEP1124"/>
      <c r="XEQ1124"/>
      <c r="XER1124"/>
      <c r="XES1124"/>
      <c r="XET1124"/>
      <c r="XEU1124"/>
      <c r="XEV1124"/>
      <c r="XEW1124"/>
      <c r="XEX1124"/>
      <c r="XEY1124"/>
      <c r="XEZ1124"/>
      <c r="XFA1124"/>
      <c r="XFB1124"/>
      <c r="XFC1124"/>
    </row>
    <row r="1125" spans="1:20 16329:16383" s="38" customFormat="1" ht="29.1" customHeight="1" outlineLevel="5" x14ac:dyDescent="0.25">
      <c r="A1125" s="49" t="s">
        <v>2114</v>
      </c>
      <c r="B1125" s="50"/>
      <c r="C1125" s="50"/>
      <c r="D1125" s="3" t="s">
        <v>1970</v>
      </c>
      <c r="E1125" s="3"/>
      <c r="F1125" s="51"/>
      <c r="G1125" s="50" t="s">
        <v>102</v>
      </c>
      <c r="H1125" s="52">
        <f>1</f>
        <v>1</v>
      </c>
      <c r="I1125" s="36"/>
      <c r="J1125" s="52">
        <v>1</v>
      </c>
      <c r="K1125" s="53">
        <f>0</f>
        <v>0</v>
      </c>
      <c r="L1125" s="53">
        <f>0</f>
        <v>0</v>
      </c>
      <c r="M1125" s="53">
        <f>0</f>
        <v>0</v>
      </c>
      <c r="N1125" s="54">
        <f>SUM(K1125:M1125)</f>
        <v>0</v>
      </c>
      <c r="O1125" s="54">
        <f>ROUND((H1125*K1125),2)</f>
        <v>0</v>
      </c>
      <c r="P1125" s="54">
        <f>ROUND((H1125*L1125),2)</f>
        <v>0</v>
      </c>
      <c r="Q1125" s="54">
        <f>ROUND((H1125*M1125),2)</f>
        <v>0</v>
      </c>
      <c r="R1125" s="54">
        <f>ROUND((H1125*N1125),2)</f>
        <v>0</v>
      </c>
      <c r="S1125" s="54"/>
      <c r="T1125" s="36"/>
      <c r="XDA1125"/>
      <c r="XDB1125"/>
      <c r="XDC1125"/>
      <c r="XDD1125"/>
      <c r="XDE1125"/>
      <c r="XDF1125"/>
      <c r="XDG1125"/>
      <c r="XDH1125"/>
      <c r="XDI1125"/>
      <c r="XDJ1125"/>
      <c r="XDK1125"/>
      <c r="XDL1125"/>
      <c r="XDM1125"/>
      <c r="XDN1125"/>
      <c r="XDO1125"/>
      <c r="XDP1125"/>
      <c r="XDQ1125"/>
      <c r="XDR1125"/>
      <c r="XDS1125"/>
      <c r="XDT1125"/>
      <c r="XDU1125"/>
      <c r="XDV1125"/>
      <c r="XDW1125"/>
      <c r="XDX1125"/>
      <c r="XDY1125"/>
      <c r="XDZ1125"/>
      <c r="XEA1125"/>
      <c r="XEB1125"/>
      <c r="XEC1125"/>
      <c r="XED1125"/>
      <c r="XEE1125"/>
      <c r="XEF1125"/>
      <c r="XEG1125"/>
      <c r="XEH1125"/>
      <c r="XEI1125"/>
      <c r="XEJ1125"/>
      <c r="XEK1125"/>
      <c r="XEL1125"/>
      <c r="XEM1125"/>
      <c r="XEN1125"/>
      <c r="XEO1125"/>
      <c r="XEP1125"/>
      <c r="XEQ1125"/>
      <c r="XER1125"/>
      <c r="XES1125"/>
      <c r="XET1125"/>
      <c r="XEU1125"/>
      <c r="XEV1125"/>
      <c r="XEW1125"/>
      <c r="XEX1125"/>
      <c r="XEY1125"/>
      <c r="XEZ1125"/>
      <c r="XFA1125"/>
      <c r="XFB1125"/>
      <c r="XFC1125"/>
    </row>
    <row r="1126" spans="1:20 16329:16383" s="38" customFormat="1" ht="29.1" customHeight="1" outlineLevel="5" x14ac:dyDescent="0.25">
      <c r="A1126" s="49" t="s">
        <v>2115</v>
      </c>
      <c r="B1126" s="50"/>
      <c r="C1126" s="50"/>
      <c r="D1126" s="3" t="s">
        <v>1972</v>
      </c>
      <c r="E1126" s="3"/>
      <c r="F1126" s="51"/>
      <c r="G1126" s="50" t="s">
        <v>102</v>
      </c>
      <c r="H1126" s="52">
        <f>1</f>
        <v>1</v>
      </c>
      <c r="I1126" s="36"/>
      <c r="J1126" s="52">
        <v>1</v>
      </c>
      <c r="K1126" s="53">
        <f>0</f>
        <v>0</v>
      </c>
      <c r="L1126" s="53">
        <f>0</f>
        <v>0</v>
      </c>
      <c r="M1126" s="53">
        <f>0</f>
        <v>0</v>
      </c>
      <c r="N1126" s="54">
        <f>SUM(K1126:M1126)</f>
        <v>0</v>
      </c>
      <c r="O1126" s="54">
        <f>ROUND((H1126*K1126),2)</f>
        <v>0</v>
      </c>
      <c r="P1126" s="54">
        <f>ROUND((H1126*L1126),2)</f>
        <v>0</v>
      </c>
      <c r="Q1126" s="54">
        <f>ROUND((H1126*M1126),2)</f>
        <v>0</v>
      </c>
      <c r="R1126" s="54">
        <f>ROUND((H1126*N1126),2)</f>
        <v>0</v>
      </c>
      <c r="S1126" s="54"/>
      <c r="T1126" s="36"/>
      <c r="XDA1126"/>
      <c r="XDB1126"/>
      <c r="XDC1126"/>
      <c r="XDD1126"/>
      <c r="XDE1126"/>
      <c r="XDF1126"/>
      <c r="XDG1126"/>
      <c r="XDH1126"/>
      <c r="XDI1126"/>
      <c r="XDJ1126"/>
      <c r="XDK1126"/>
      <c r="XDL1126"/>
      <c r="XDM1126"/>
      <c r="XDN1126"/>
      <c r="XDO1126"/>
      <c r="XDP1126"/>
      <c r="XDQ1126"/>
      <c r="XDR1126"/>
      <c r="XDS1126"/>
      <c r="XDT1126"/>
      <c r="XDU1126"/>
      <c r="XDV1126"/>
      <c r="XDW1126"/>
      <c r="XDX1126"/>
      <c r="XDY1126"/>
      <c r="XDZ1126"/>
      <c r="XEA1126"/>
      <c r="XEB1126"/>
      <c r="XEC1126"/>
      <c r="XED1126"/>
      <c r="XEE1126"/>
      <c r="XEF1126"/>
      <c r="XEG1126"/>
      <c r="XEH1126"/>
      <c r="XEI1126"/>
      <c r="XEJ1126"/>
      <c r="XEK1126"/>
      <c r="XEL1126"/>
      <c r="XEM1126"/>
      <c r="XEN1126"/>
      <c r="XEO1126"/>
      <c r="XEP1126"/>
      <c r="XEQ1126"/>
      <c r="XER1126"/>
      <c r="XES1126"/>
      <c r="XET1126"/>
      <c r="XEU1126"/>
      <c r="XEV1126"/>
      <c r="XEW1126"/>
      <c r="XEX1126"/>
      <c r="XEY1126"/>
      <c r="XEZ1126"/>
      <c r="XFA1126"/>
      <c r="XFB1126"/>
      <c r="XFC1126"/>
    </row>
    <row r="1127" spans="1:20 16329:16383" s="38" customFormat="1" ht="29.1" customHeight="1" outlineLevel="5" x14ac:dyDescent="0.25">
      <c r="A1127" s="49" t="s">
        <v>2116</v>
      </c>
      <c r="B1127" s="50"/>
      <c r="C1127" s="50"/>
      <c r="D1127" s="3" t="s">
        <v>1937</v>
      </c>
      <c r="E1127" s="3"/>
      <c r="F1127" s="51"/>
      <c r="G1127" s="50" t="s">
        <v>194</v>
      </c>
      <c r="H1127" s="52">
        <f>1</f>
        <v>1</v>
      </c>
      <c r="I1127" s="36"/>
      <c r="J1127" s="52">
        <v>1</v>
      </c>
      <c r="K1127" s="53">
        <f>0</f>
        <v>0</v>
      </c>
      <c r="L1127" s="53">
        <f>0</f>
        <v>0</v>
      </c>
      <c r="M1127" s="53">
        <f>0</f>
        <v>0</v>
      </c>
      <c r="N1127" s="54">
        <f>SUM(K1127:M1127)</f>
        <v>0</v>
      </c>
      <c r="O1127" s="54">
        <f>ROUND((H1127*K1127),2)</f>
        <v>0</v>
      </c>
      <c r="P1127" s="54">
        <f>ROUND((H1127*L1127),2)</f>
        <v>0</v>
      </c>
      <c r="Q1127" s="54">
        <f>ROUND((H1127*M1127),2)</f>
        <v>0</v>
      </c>
      <c r="R1127" s="54">
        <f>ROUND((H1127*N1127),2)</f>
        <v>0</v>
      </c>
      <c r="S1127" s="54"/>
      <c r="T1127" s="36"/>
      <c r="XDA1127"/>
      <c r="XDB1127"/>
      <c r="XDC1127"/>
      <c r="XDD1127"/>
      <c r="XDE1127"/>
      <c r="XDF1127"/>
      <c r="XDG1127"/>
      <c r="XDH1127"/>
      <c r="XDI1127"/>
      <c r="XDJ1127"/>
      <c r="XDK1127"/>
      <c r="XDL1127"/>
      <c r="XDM1127"/>
      <c r="XDN1127"/>
      <c r="XDO1127"/>
      <c r="XDP1127"/>
      <c r="XDQ1127"/>
      <c r="XDR1127"/>
      <c r="XDS1127"/>
      <c r="XDT1127"/>
      <c r="XDU1127"/>
      <c r="XDV1127"/>
      <c r="XDW1127"/>
      <c r="XDX1127"/>
      <c r="XDY1127"/>
      <c r="XDZ1127"/>
      <c r="XEA1127"/>
      <c r="XEB1127"/>
      <c r="XEC1127"/>
      <c r="XED1127"/>
      <c r="XEE1127"/>
      <c r="XEF1127"/>
      <c r="XEG1127"/>
      <c r="XEH1127"/>
      <c r="XEI1127"/>
      <c r="XEJ1127"/>
      <c r="XEK1127"/>
      <c r="XEL1127"/>
      <c r="XEM1127"/>
      <c r="XEN1127"/>
      <c r="XEO1127"/>
      <c r="XEP1127"/>
      <c r="XEQ1127"/>
      <c r="XER1127"/>
      <c r="XES1127"/>
      <c r="XET1127"/>
      <c r="XEU1127"/>
      <c r="XEV1127"/>
      <c r="XEW1127"/>
      <c r="XEX1127"/>
      <c r="XEY1127"/>
      <c r="XEZ1127"/>
      <c r="XFA1127"/>
      <c r="XFB1127"/>
      <c r="XFC1127"/>
    </row>
    <row r="1128" spans="1:20 16329:16383" s="38" customFormat="1" ht="29.1" customHeight="1" outlineLevel="4" x14ac:dyDescent="0.25">
      <c r="A1128" s="60" t="s">
        <v>2117</v>
      </c>
      <c r="B1128" s="61" t="s">
        <v>2118</v>
      </c>
      <c r="C1128" s="61"/>
      <c r="D1128" s="1" t="s">
        <v>344</v>
      </c>
      <c r="E1128" s="1"/>
      <c r="F1128" s="62"/>
      <c r="G1128" s="61"/>
      <c r="H1128" s="63"/>
      <c r="I1128" s="36"/>
      <c r="J1128" s="63"/>
      <c r="K1128" s="64"/>
      <c r="L1128" s="64"/>
      <c r="M1128" s="64"/>
      <c r="N1128" s="64"/>
      <c r="O1128" s="64">
        <f>SUM(O1129:O1131)</f>
        <v>0</v>
      </c>
      <c r="P1128" s="64">
        <f>SUM(P1129:P1131)</f>
        <v>0</v>
      </c>
      <c r="Q1128" s="64">
        <f>SUM(Q1129:Q1131)</f>
        <v>0</v>
      </c>
      <c r="R1128" s="64">
        <f>SUM(R1129:R1131)</f>
        <v>0</v>
      </c>
      <c r="S1128" s="64"/>
      <c r="T1128" s="36"/>
      <c r="XDA1128"/>
      <c r="XDB1128"/>
      <c r="XDC1128"/>
      <c r="XDD1128"/>
      <c r="XDE1128"/>
      <c r="XDF1128"/>
      <c r="XDG1128"/>
      <c r="XDH1128"/>
      <c r="XDI1128"/>
      <c r="XDJ1128"/>
      <c r="XDK1128"/>
      <c r="XDL1128"/>
      <c r="XDM1128"/>
      <c r="XDN1128"/>
      <c r="XDO1128"/>
      <c r="XDP1128"/>
      <c r="XDQ1128"/>
      <c r="XDR1128"/>
      <c r="XDS1128"/>
      <c r="XDT1128"/>
      <c r="XDU1128"/>
      <c r="XDV1128"/>
      <c r="XDW1128"/>
      <c r="XDX1128"/>
      <c r="XDY1128"/>
      <c r="XDZ1128"/>
      <c r="XEA1128"/>
      <c r="XEB1128"/>
      <c r="XEC1128"/>
      <c r="XED1128"/>
      <c r="XEE1128"/>
      <c r="XEF1128"/>
      <c r="XEG1128"/>
      <c r="XEH1128"/>
      <c r="XEI1128"/>
      <c r="XEJ1128"/>
      <c r="XEK1128"/>
      <c r="XEL1128"/>
      <c r="XEM1128"/>
      <c r="XEN1128"/>
      <c r="XEO1128"/>
      <c r="XEP1128"/>
      <c r="XEQ1128"/>
      <c r="XER1128"/>
      <c r="XES1128"/>
      <c r="XET1128"/>
      <c r="XEU1128"/>
      <c r="XEV1128"/>
      <c r="XEW1128"/>
      <c r="XEX1128"/>
      <c r="XEY1128"/>
      <c r="XEZ1128"/>
      <c r="XFA1128"/>
      <c r="XFB1128"/>
      <c r="XFC1128"/>
    </row>
    <row r="1129" spans="1:20 16329:16383" s="38" customFormat="1" ht="29.1" customHeight="1" outlineLevel="5" x14ac:dyDescent="0.25">
      <c r="A1129" s="49" t="s">
        <v>2119</v>
      </c>
      <c r="B1129" s="50"/>
      <c r="C1129" s="50"/>
      <c r="D1129" s="3" t="s">
        <v>1884</v>
      </c>
      <c r="E1129" s="3"/>
      <c r="F1129" s="51"/>
      <c r="G1129" s="50" t="s">
        <v>102</v>
      </c>
      <c r="H1129" s="52">
        <f>1</f>
        <v>1</v>
      </c>
      <c r="I1129" s="36"/>
      <c r="J1129" s="52">
        <v>1</v>
      </c>
      <c r="K1129" s="53">
        <f>0</f>
        <v>0</v>
      </c>
      <c r="L1129" s="53">
        <f>0</f>
        <v>0</v>
      </c>
      <c r="M1129" s="53">
        <f>0</f>
        <v>0</v>
      </c>
      <c r="N1129" s="54">
        <f>SUM(K1129:M1129)</f>
        <v>0</v>
      </c>
      <c r="O1129" s="54">
        <f>ROUND((H1129*K1129),2)</f>
        <v>0</v>
      </c>
      <c r="P1129" s="54">
        <f>ROUND((H1129*L1129),2)</f>
        <v>0</v>
      </c>
      <c r="Q1129" s="54">
        <f>ROUND((H1129*M1129),2)</f>
        <v>0</v>
      </c>
      <c r="R1129" s="54">
        <f>ROUND((H1129*N1129),2)</f>
        <v>0</v>
      </c>
      <c r="S1129" s="54"/>
      <c r="T1129" s="36"/>
      <c r="XDA1129"/>
      <c r="XDB1129"/>
      <c r="XDC1129"/>
      <c r="XDD1129"/>
      <c r="XDE1129"/>
      <c r="XDF1129"/>
      <c r="XDG1129"/>
      <c r="XDH1129"/>
      <c r="XDI1129"/>
      <c r="XDJ1129"/>
      <c r="XDK1129"/>
      <c r="XDL1129"/>
      <c r="XDM1129"/>
      <c r="XDN1129"/>
      <c r="XDO1129"/>
      <c r="XDP1129"/>
      <c r="XDQ1129"/>
      <c r="XDR1129"/>
      <c r="XDS1129"/>
      <c r="XDT1129"/>
      <c r="XDU1129"/>
      <c r="XDV1129"/>
      <c r="XDW1129"/>
      <c r="XDX1129"/>
      <c r="XDY1129"/>
      <c r="XDZ1129"/>
      <c r="XEA1129"/>
      <c r="XEB1129"/>
      <c r="XEC1129"/>
      <c r="XED1129"/>
      <c r="XEE1129"/>
      <c r="XEF1129"/>
      <c r="XEG1129"/>
      <c r="XEH1129"/>
      <c r="XEI1129"/>
      <c r="XEJ1129"/>
      <c r="XEK1129"/>
      <c r="XEL1129"/>
      <c r="XEM1129"/>
      <c r="XEN1129"/>
      <c r="XEO1129"/>
      <c r="XEP1129"/>
      <c r="XEQ1129"/>
      <c r="XER1129"/>
      <c r="XES1129"/>
      <c r="XET1129"/>
      <c r="XEU1129"/>
      <c r="XEV1129"/>
      <c r="XEW1129"/>
      <c r="XEX1129"/>
      <c r="XEY1129"/>
      <c r="XEZ1129"/>
      <c r="XFA1129"/>
      <c r="XFB1129"/>
      <c r="XFC1129"/>
    </row>
    <row r="1130" spans="1:20 16329:16383" s="38" customFormat="1" ht="29.1" customHeight="1" outlineLevel="5" x14ac:dyDescent="0.25">
      <c r="A1130" s="49" t="s">
        <v>2120</v>
      </c>
      <c r="B1130" s="50"/>
      <c r="C1130" s="50"/>
      <c r="D1130" s="3" t="s">
        <v>1955</v>
      </c>
      <c r="E1130" s="3"/>
      <c r="F1130" s="51"/>
      <c r="G1130" s="50" t="s">
        <v>102</v>
      </c>
      <c r="H1130" s="52">
        <f>1</f>
        <v>1</v>
      </c>
      <c r="I1130" s="36"/>
      <c r="J1130" s="52">
        <v>1</v>
      </c>
      <c r="K1130" s="53">
        <f>0</f>
        <v>0</v>
      </c>
      <c r="L1130" s="53">
        <f>0</f>
        <v>0</v>
      </c>
      <c r="M1130" s="53">
        <f>0</f>
        <v>0</v>
      </c>
      <c r="N1130" s="54">
        <f>SUM(K1130:M1130)</f>
        <v>0</v>
      </c>
      <c r="O1130" s="54">
        <f>ROUND((H1130*K1130),2)</f>
        <v>0</v>
      </c>
      <c r="P1130" s="54">
        <f>ROUND((H1130*L1130),2)</f>
        <v>0</v>
      </c>
      <c r="Q1130" s="54">
        <f>ROUND((H1130*M1130),2)</f>
        <v>0</v>
      </c>
      <c r="R1130" s="54">
        <f>ROUND((H1130*N1130),2)</f>
        <v>0</v>
      </c>
      <c r="S1130" s="54"/>
      <c r="T1130" s="36"/>
      <c r="XDA1130"/>
      <c r="XDB1130"/>
      <c r="XDC1130"/>
      <c r="XDD1130"/>
      <c r="XDE1130"/>
      <c r="XDF1130"/>
      <c r="XDG1130"/>
      <c r="XDH1130"/>
      <c r="XDI1130"/>
      <c r="XDJ1130"/>
      <c r="XDK1130"/>
      <c r="XDL1130"/>
      <c r="XDM1130"/>
      <c r="XDN1130"/>
      <c r="XDO1130"/>
      <c r="XDP1130"/>
      <c r="XDQ1130"/>
      <c r="XDR1130"/>
      <c r="XDS1130"/>
      <c r="XDT1130"/>
      <c r="XDU1130"/>
      <c r="XDV1130"/>
      <c r="XDW1130"/>
      <c r="XDX1130"/>
      <c r="XDY1130"/>
      <c r="XDZ1130"/>
      <c r="XEA1130"/>
      <c r="XEB1130"/>
      <c r="XEC1130"/>
      <c r="XED1130"/>
      <c r="XEE1130"/>
      <c r="XEF1130"/>
      <c r="XEG1130"/>
      <c r="XEH1130"/>
      <c r="XEI1130"/>
      <c r="XEJ1130"/>
      <c r="XEK1130"/>
      <c r="XEL1130"/>
      <c r="XEM1130"/>
      <c r="XEN1130"/>
      <c r="XEO1130"/>
      <c r="XEP1130"/>
      <c r="XEQ1130"/>
      <c r="XER1130"/>
      <c r="XES1130"/>
      <c r="XET1130"/>
      <c r="XEU1130"/>
      <c r="XEV1130"/>
      <c r="XEW1130"/>
      <c r="XEX1130"/>
      <c r="XEY1130"/>
      <c r="XEZ1130"/>
      <c r="XFA1130"/>
      <c r="XFB1130"/>
      <c r="XFC1130"/>
    </row>
    <row r="1131" spans="1:20 16329:16383" s="38" customFormat="1" ht="29.1" customHeight="1" outlineLevel="5" x14ac:dyDescent="0.25">
      <c r="A1131" s="49" t="s">
        <v>2121</v>
      </c>
      <c r="B1131" s="50"/>
      <c r="C1131" s="50"/>
      <c r="D1131" s="3" t="s">
        <v>1957</v>
      </c>
      <c r="E1131" s="3"/>
      <c r="F1131" s="51"/>
      <c r="G1131" s="50" t="s">
        <v>102</v>
      </c>
      <c r="H1131" s="52">
        <f>1</f>
        <v>1</v>
      </c>
      <c r="I1131" s="36"/>
      <c r="J1131" s="52">
        <v>1</v>
      </c>
      <c r="K1131" s="53">
        <f>0</f>
        <v>0</v>
      </c>
      <c r="L1131" s="53">
        <f>0</f>
        <v>0</v>
      </c>
      <c r="M1131" s="53">
        <f>0</f>
        <v>0</v>
      </c>
      <c r="N1131" s="54">
        <f>SUM(K1131:M1131)</f>
        <v>0</v>
      </c>
      <c r="O1131" s="54">
        <f>ROUND((H1131*K1131),2)</f>
        <v>0</v>
      </c>
      <c r="P1131" s="54">
        <f>ROUND((H1131*L1131),2)</f>
        <v>0</v>
      </c>
      <c r="Q1131" s="54">
        <f>ROUND((H1131*M1131),2)</f>
        <v>0</v>
      </c>
      <c r="R1131" s="54">
        <f>ROUND((H1131*N1131),2)</f>
        <v>0</v>
      </c>
      <c r="S1131" s="54"/>
      <c r="T1131" s="36"/>
      <c r="XDA1131"/>
      <c r="XDB1131"/>
      <c r="XDC1131"/>
      <c r="XDD1131"/>
      <c r="XDE1131"/>
      <c r="XDF1131"/>
      <c r="XDG1131"/>
      <c r="XDH1131"/>
      <c r="XDI1131"/>
      <c r="XDJ1131"/>
      <c r="XDK1131"/>
      <c r="XDL1131"/>
      <c r="XDM1131"/>
      <c r="XDN1131"/>
      <c r="XDO1131"/>
      <c r="XDP1131"/>
      <c r="XDQ1131"/>
      <c r="XDR1131"/>
      <c r="XDS1131"/>
      <c r="XDT1131"/>
      <c r="XDU1131"/>
      <c r="XDV1131"/>
      <c r="XDW1131"/>
      <c r="XDX1131"/>
      <c r="XDY1131"/>
      <c r="XDZ1131"/>
      <c r="XEA1131"/>
      <c r="XEB1131"/>
      <c r="XEC1131"/>
      <c r="XED1131"/>
      <c r="XEE1131"/>
      <c r="XEF1131"/>
      <c r="XEG1131"/>
      <c r="XEH1131"/>
      <c r="XEI1131"/>
      <c r="XEJ1131"/>
      <c r="XEK1131"/>
      <c r="XEL1131"/>
      <c r="XEM1131"/>
      <c r="XEN1131"/>
      <c r="XEO1131"/>
      <c r="XEP1131"/>
      <c r="XEQ1131"/>
      <c r="XER1131"/>
      <c r="XES1131"/>
      <c r="XET1131"/>
      <c r="XEU1131"/>
      <c r="XEV1131"/>
      <c r="XEW1131"/>
      <c r="XEX1131"/>
      <c r="XEY1131"/>
      <c r="XEZ1131"/>
      <c r="XFA1131"/>
      <c r="XFB1131"/>
      <c r="XFC1131"/>
    </row>
    <row r="1132" spans="1:20 16329:16383" s="38" customFormat="1" ht="29.1" customHeight="1" outlineLevel="4" x14ac:dyDescent="0.25">
      <c r="A1132" s="60" t="s">
        <v>2122</v>
      </c>
      <c r="B1132" s="61" t="s">
        <v>2123</v>
      </c>
      <c r="C1132" s="61"/>
      <c r="D1132" s="1" t="s">
        <v>1899</v>
      </c>
      <c r="E1132" s="1"/>
      <c r="F1132" s="62"/>
      <c r="G1132" s="61"/>
      <c r="H1132" s="63"/>
      <c r="I1132" s="36"/>
      <c r="J1132" s="63"/>
      <c r="K1132" s="64"/>
      <c r="L1132" s="64"/>
      <c r="M1132" s="64"/>
      <c r="N1132" s="64"/>
      <c r="O1132" s="64">
        <f>O1133+O1134</f>
        <v>0</v>
      </c>
      <c r="P1132" s="64">
        <f>P1133+P1134</f>
        <v>0</v>
      </c>
      <c r="Q1132" s="64">
        <f>Q1133+Q1134</f>
        <v>0</v>
      </c>
      <c r="R1132" s="64">
        <f>R1133+R1134</f>
        <v>0</v>
      </c>
      <c r="S1132" s="64"/>
      <c r="T1132" s="36"/>
      <c r="XDA1132"/>
      <c r="XDB1132"/>
      <c r="XDC1132"/>
      <c r="XDD1132"/>
      <c r="XDE1132"/>
      <c r="XDF1132"/>
      <c r="XDG1132"/>
      <c r="XDH1132"/>
      <c r="XDI1132"/>
      <c r="XDJ1132"/>
      <c r="XDK1132"/>
      <c r="XDL1132"/>
      <c r="XDM1132"/>
      <c r="XDN1132"/>
      <c r="XDO1132"/>
      <c r="XDP1132"/>
      <c r="XDQ1132"/>
      <c r="XDR1132"/>
      <c r="XDS1132"/>
      <c r="XDT1132"/>
      <c r="XDU1132"/>
      <c r="XDV1132"/>
      <c r="XDW1132"/>
      <c r="XDX1132"/>
      <c r="XDY1132"/>
      <c r="XDZ1132"/>
      <c r="XEA1132"/>
      <c r="XEB1132"/>
      <c r="XEC1132"/>
      <c r="XED1132"/>
      <c r="XEE1132"/>
      <c r="XEF1132"/>
      <c r="XEG1132"/>
      <c r="XEH1132"/>
      <c r="XEI1132"/>
      <c r="XEJ1132"/>
      <c r="XEK1132"/>
      <c r="XEL1132"/>
      <c r="XEM1132"/>
      <c r="XEN1132"/>
      <c r="XEO1132"/>
      <c r="XEP1132"/>
      <c r="XEQ1132"/>
      <c r="XER1132"/>
      <c r="XES1132"/>
      <c r="XET1132"/>
      <c r="XEU1132"/>
      <c r="XEV1132"/>
      <c r="XEW1132"/>
      <c r="XEX1132"/>
      <c r="XEY1132"/>
      <c r="XEZ1132"/>
      <c r="XFA1132"/>
      <c r="XFB1132"/>
      <c r="XFC1132"/>
    </row>
    <row r="1133" spans="1:20 16329:16383" s="38" customFormat="1" ht="29.1" customHeight="1" outlineLevel="5" x14ac:dyDescent="0.25">
      <c r="A1133" s="49" t="s">
        <v>2124</v>
      </c>
      <c r="B1133" s="50"/>
      <c r="C1133" s="50"/>
      <c r="D1133" s="3" t="s">
        <v>1884</v>
      </c>
      <c r="E1133" s="3"/>
      <c r="F1133" s="51"/>
      <c r="G1133" s="50" t="s">
        <v>102</v>
      </c>
      <c r="H1133" s="52">
        <f>1</f>
        <v>1</v>
      </c>
      <c r="I1133" s="36"/>
      <c r="J1133" s="52">
        <v>1</v>
      </c>
      <c r="K1133" s="53">
        <f>0</f>
        <v>0</v>
      </c>
      <c r="L1133" s="53">
        <f>0</f>
        <v>0</v>
      </c>
      <c r="M1133" s="53">
        <f>0</f>
        <v>0</v>
      </c>
      <c r="N1133" s="54">
        <f>SUM(K1133:M1133)</f>
        <v>0</v>
      </c>
      <c r="O1133" s="54">
        <f>ROUND((H1133*K1133),2)</f>
        <v>0</v>
      </c>
      <c r="P1133" s="54">
        <f>ROUND((H1133*L1133),2)</f>
        <v>0</v>
      </c>
      <c r="Q1133" s="54">
        <f>ROUND((H1133*M1133),2)</f>
        <v>0</v>
      </c>
      <c r="R1133" s="54">
        <f>ROUND((H1133*N1133),2)</f>
        <v>0</v>
      </c>
      <c r="S1133" s="54"/>
      <c r="T1133" s="36"/>
      <c r="XDA1133"/>
      <c r="XDB1133"/>
      <c r="XDC1133"/>
      <c r="XDD1133"/>
      <c r="XDE1133"/>
      <c r="XDF1133"/>
      <c r="XDG1133"/>
      <c r="XDH1133"/>
      <c r="XDI1133"/>
      <c r="XDJ1133"/>
      <c r="XDK1133"/>
      <c r="XDL1133"/>
      <c r="XDM1133"/>
      <c r="XDN1133"/>
      <c r="XDO1133"/>
      <c r="XDP1133"/>
      <c r="XDQ1133"/>
      <c r="XDR1133"/>
      <c r="XDS1133"/>
      <c r="XDT1133"/>
      <c r="XDU1133"/>
      <c r="XDV1133"/>
      <c r="XDW1133"/>
      <c r="XDX1133"/>
      <c r="XDY1133"/>
      <c r="XDZ1133"/>
      <c r="XEA1133"/>
      <c r="XEB1133"/>
      <c r="XEC1133"/>
      <c r="XED1133"/>
      <c r="XEE1133"/>
      <c r="XEF1133"/>
      <c r="XEG1133"/>
      <c r="XEH1133"/>
      <c r="XEI1133"/>
      <c r="XEJ1133"/>
      <c r="XEK1133"/>
      <c r="XEL1133"/>
      <c r="XEM1133"/>
      <c r="XEN1133"/>
      <c r="XEO1133"/>
      <c r="XEP1133"/>
      <c r="XEQ1133"/>
      <c r="XER1133"/>
      <c r="XES1133"/>
      <c r="XET1133"/>
      <c r="XEU1133"/>
      <c r="XEV1133"/>
      <c r="XEW1133"/>
      <c r="XEX1133"/>
      <c r="XEY1133"/>
      <c r="XEZ1133"/>
      <c r="XFA1133"/>
      <c r="XFB1133"/>
      <c r="XFC1133"/>
    </row>
    <row r="1134" spans="1:20 16329:16383" s="38" customFormat="1" ht="29.1" customHeight="1" outlineLevel="5" x14ac:dyDescent="0.25">
      <c r="A1134" s="49" t="s">
        <v>2125</v>
      </c>
      <c r="B1134" s="50"/>
      <c r="C1134" s="50"/>
      <c r="D1134" s="3" t="s">
        <v>2126</v>
      </c>
      <c r="E1134" s="3"/>
      <c r="F1134" s="51"/>
      <c r="G1134" s="50" t="s">
        <v>102</v>
      </c>
      <c r="H1134" s="52">
        <f>1</f>
        <v>1</v>
      </c>
      <c r="I1134" s="36"/>
      <c r="J1134" s="52">
        <v>1</v>
      </c>
      <c r="K1134" s="53">
        <f>0</f>
        <v>0</v>
      </c>
      <c r="L1134" s="53">
        <f>0</f>
        <v>0</v>
      </c>
      <c r="M1134" s="53">
        <f>0</f>
        <v>0</v>
      </c>
      <c r="N1134" s="54">
        <f>SUM(K1134:M1134)</f>
        <v>0</v>
      </c>
      <c r="O1134" s="54">
        <f>ROUND((H1134*K1134),2)</f>
        <v>0</v>
      </c>
      <c r="P1134" s="54">
        <f>ROUND((H1134*L1134),2)</f>
        <v>0</v>
      </c>
      <c r="Q1134" s="54">
        <f>ROUND((H1134*M1134),2)</f>
        <v>0</v>
      </c>
      <c r="R1134" s="54">
        <f>ROUND((H1134*N1134),2)</f>
        <v>0</v>
      </c>
      <c r="S1134" s="54"/>
      <c r="T1134" s="36"/>
      <c r="XDA1134"/>
      <c r="XDB1134"/>
      <c r="XDC1134"/>
      <c r="XDD1134"/>
      <c r="XDE1134"/>
      <c r="XDF1134"/>
      <c r="XDG1134"/>
      <c r="XDH1134"/>
      <c r="XDI1134"/>
      <c r="XDJ1134"/>
      <c r="XDK1134"/>
      <c r="XDL1134"/>
      <c r="XDM1134"/>
      <c r="XDN1134"/>
      <c r="XDO1134"/>
      <c r="XDP1134"/>
      <c r="XDQ1134"/>
      <c r="XDR1134"/>
      <c r="XDS1134"/>
      <c r="XDT1134"/>
      <c r="XDU1134"/>
      <c r="XDV1134"/>
      <c r="XDW1134"/>
      <c r="XDX1134"/>
      <c r="XDY1134"/>
      <c r="XDZ1134"/>
      <c r="XEA1134"/>
      <c r="XEB1134"/>
      <c r="XEC1134"/>
      <c r="XED1134"/>
      <c r="XEE1134"/>
      <c r="XEF1134"/>
      <c r="XEG1134"/>
      <c r="XEH1134"/>
      <c r="XEI1134"/>
      <c r="XEJ1134"/>
      <c r="XEK1134"/>
      <c r="XEL1134"/>
      <c r="XEM1134"/>
      <c r="XEN1134"/>
      <c r="XEO1134"/>
      <c r="XEP1134"/>
      <c r="XEQ1134"/>
      <c r="XER1134"/>
      <c r="XES1134"/>
      <c r="XET1134"/>
      <c r="XEU1134"/>
      <c r="XEV1134"/>
      <c r="XEW1134"/>
      <c r="XEX1134"/>
      <c r="XEY1134"/>
      <c r="XEZ1134"/>
      <c r="XFA1134"/>
      <c r="XFB1134"/>
      <c r="XFC1134"/>
    </row>
    <row r="1135" spans="1:20 16329:16383" s="38" customFormat="1" ht="29.1" customHeight="1" outlineLevel="2" x14ac:dyDescent="0.25">
      <c r="A1135" s="44" t="s">
        <v>2127</v>
      </c>
      <c r="B1135" s="45" t="s">
        <v>2128</v>
      </c>
      <c r="C1135" s="45" t="s">
        <v>2129</v>
      </c>
      <c r="D1135" s="4" t="s">
        <v>2130</v>
      </c>
      <c r="E1135" s="4"/>
      <c r="F1135" s="46"/>
      <c r="G1135" s="45" t="s">
        <v>102</v>
      </c>
      <c r="H1135" s="47"/>
      <c r="I1135" s="36"/>
      <c r="J1135" s="47"/>
      <c r="K1135" s="48"/>
      <c r="L1135" s="48"/>
      <c r="M1135" s="48"/>
      <c r="N1135" s="48"/>
      <c r="O1135" s="48">
        <f>O1136+O1423+O1515+O1638+O1746</f>
        <v>0</v>
      </c>
      <c r="P1135" s="48">
        <f>P1136+P1423+P1515+P1638+P1746</f>
        <v>0</v>
      </c>
      <c r="Q1135" s="48">
        <f>Q1136+Q1423+Q1515+Q1638+Q1746</f>
        <v>0</v>
      </c>
      <c r="R1135" s="48">
        <f>R1136+R1423+R1515+R1638+R1746</f>
        <v>0</v>
      </c>
      <c r="S1135" s="48"/>
      <c r="T1135" s="36"/>
      <c r="XDA1135"/>
      <c r="XDB1135"/>
      <c r="XDC1135"/>
      <c r="XDD1135"/>
      <c r="XDE1135"/>
      <c r="XDF1135"/>
      <c r="XDG1135"/>
      <c r="XDH1135"/>
      <c r="XDI1135"/>
      <c r="XDJ1135"/>
      <c r="XDK1135"/>
      <c r="XDL1135"/>
      <c r="XDM1135"/>
      <c r="XDN1135"/>
      <c r="XDO1135"/>
      <c r="XDP1135"/>
      <c r="XDQ1135"/>
      <c r="XDR1135"/>
      <c r="XDS1135"/>
      <c r="XDT1135"/>
      <c r="XDU1135"/>
      <c r="XDV1135"/>
      <c r="XDW1135"/>
      <c r="XDX1135"/>
      <c r="XDY1135"/>
      <c r="XDZ1135"/>
      <c r="XEA1135"/>
      <c r="XEB1135"/>
      <c r="XEC1135"/>
      <c r="XED1135"/>
      <c r="XEE1135"/>
      <c r="XEF1135"/>
      <c r="XEG1135"/>
      <c r="XEH1135"/>
      <c r="XEI1135"/>
      <c r="XEJ1135"/>
      <c r="XEK1135"/>
      <c r="XEL1135"/>
      <c r="XEM1135"/>
      <c r="XEN1135"/>
      <c r="XEO1135"/>
      <c r="XEP1135"/>
      <c r="XEQ1135"/>
      <c r="XER1135"/>
      <c r="XES1135"/>
      <c r="XET1135"/>
      <c r="XEU1135"/>
      <c r="XEV1135"/>
      <c r="XEW1135"/>
      <c r="XEX1135"/>
      <c r="XEY1135"/>
      <c r="XEZ1135"/>
      <c r="XFA1135"/>
      <c r="XFB1135"/>
      <c r="XFC1135"/>
    </row>
    <row r="1136" spans="1:20 16329:16383" s="38" customFormat="1" ht="29.1" customHeight="1" outlineLevel="3" x14ac:dyDescent="0.25">
      <c r="A1136" s="55" t="s">
        <v>2131</v>
      </c>
      <c r="B1136" s="56" t="s">
        <v>2132</v>
      </c>
      <c r="C1136" s="56"/>
      <c r="D1136" s="2" t="s">
        <v>2133</v>
      </c>
      <c r="E1136" s="2"/>
      <c r="F1136" s="57"/>
      <c r="G1136" s="56"/>
      <c r="H1136" s="58"/>
      <c r="I1136" s="36"/>
      <c r="J1136" s="58"/>
      <c r="K1136" s="59"/>
      <c r="L1136" s="59"/>
      <c r="M1136" s="59"/>
      <c r="N1136" s="59"/>
      <c r="O1136" s="59">
        <f>O1137+O1153+O1169+O1215+O1263+O1274+O1286+O1298+O1329+O1361+O1392</f>
        <v>0</v>
      </c>
      <c r="P1136" s="59">
        <f>P1137+P1153+P1169+P1215+P1263+P1274+P1286+P1298+P1329+P1361+P1392</f>
        <v>0</v>
      </c>
      <c r="Q1136" s="59">
        <f>Q1137+Q1153+Q1169+Q1215+Q1263+Q1274+Q1286+Q1298+Q1329+Q1361+Q1392</f>
        <v>0</v>
      </c>
      <c r="R1136" s="59">
        <f>R1137+R1153+R1169+R1215+R1263+R1274+R1286+R1298+R1329+R1361+R1392</f>
        <v>0</v>
      </c>
      <c r="S1136" s="59"/>
      <c r="T1136" s="36"/>
      <c r="XDA1136"/>
      <c r="XDB1136"/>
      <c r="XDC1136"/>
      <c r="XDD1136"/>
      <c r="XDE1136"/>
      <c r="XDF1136"/>
      <c r="XDG1136"/>
      <c r="XDH1136"/>
      <c r="XDI1136"/>
      <c r="XDJ1136"/>
      <c r="XDK1136"/>
      <c r="XDL1136"/>
      <c r="XDM1136"/>
      <c r="XDN1136"/>
      <c r="XDO1136"/>
      <c r="XDP1136"/>
      <c r="XDQ1136"/>
      <c r="XDR1136"/>
      <c r="XDS1136"/>
      <c r="XDT1136"/>
      <c r="XDU1136"/>
      <c r="XDV1136"/>
      <c r="XDW1136"/>
      <c r="XDX1136"/>
      <c r="XDY1136"/>
      <c r="XDZ1136"/>
      <c r="XEA1136"/>
      <c r="XEB1136"/>
      <c r="XEC1136"/>
      <c r="XED1136"/>
      <c r="XEE1136"/>
      <c r="XEF1136"/>
      <c r="XEG1136"/>
      <c r="XEH1136"/>
      <c r="XEI1136"/>
      <c r="XEJ1136"/>
      <c r="XEK1136"/>
      <c r="XEL1136"/>
      <c r="XEM1136"/>
      <c r="XEN1136"/>
      <c r="XEO1136"/>
      <c r="XEP1136"/>
      <c r="XEQ1136"/>
      <c r="XER1136"/>
      <c r="XES1136"/>
      <c r="XET1136"/>
      <c r="XEU1136"/>
      <c r="XEV1136"/>
      <c r="XEW1136"/>
      <c r="XEX1136"/>
      <c r="XEY1136"/>
      <c r="XEZ1136"/>
      <c r="XFA1136"/>
      <c r="XFB1136"/>
      <c r="XFC1136"/>
    </row>
    <row r="1137" spans="1:20 16329:16383" s="38" customFormat="1" ht="29.1" customHeight="1" outlineLevel="4" x14ac:dyDescent="0.25">
      <c r="A1137" s="60" t="s">
        <v>2134</v>
      </c>
      <c r="B1137" s="61" t="s">
        <v>2135</v>
      </c>
      <c r="C1137" s="61" t="s">
        <v>1869</v>
      </c>
      <c r="D1137" s="1" t="s">
        <v>1906</v>
      </c>
      <c r="E1137" s="1"/>
      <c r="F1137" s="62"/>
      <c r="G1137" s="61" t="s">
        <v>102</v>
      </c>
      <c r="H1137" s="63"/>
      <c r="I1137" s="36"/>
      <c r="J1137" s="63"/>
      <c r="K1137" s="64"/>
      <c r="L1137" s="64"/>
      <c r="M1137" s="64"/>
      <c r="N1137" s="64"/>
      <c r="O1137" s="64">
        <f>O1138+O1144+O1150</f>
        <v>0</v>
      </c>
      <c r="P1137" s="64">
        <f>P1138+P1144+P1150</f>
        <v>0</v>
      </c>
      <c r="Q1137" s="64">
        <f>Q1138+Q1144+Q1150</f>
        <v>0</v>
      </c>
      <c r="R1137" s="64">
        <f>R1138+R1144+R1150</f>
        <v>0</v>
      </c>
      <c r="S1137" s="64"/>
      <c r="T1137" s="36"/>
      <c r="XDA1137"/>
      <c r="XDB1137"/>
      <c r="XDC1137"/>
      <c r="XDD1137"/>
      <c r="XDE1137"/>
      <c r="XDF1137"/>
      <c r="XDG1137"/>
      <c r="XDH1137"/>
      <c r="XDI1137"/>
      <c r="XDJ1137"/>
      <c r="XDK1137"/>
      <c r="XDL1137"/>
      <c r="XDM1137"/>
      <c r="XDN1137"/>
      <c r="XDO1137"/>
      <c r="XDP1137"/>
      <c r="XDQ1137"/>
      <c r="XDR1137"/>
      <c r="XDS1137"/>
      <c r="XDT1137"/>
      <c r="XDU1137"/>
      <c r="XDV1137"/>
      <c r="XDW1137"/>
      <c r="XDX1137"/>
      <c r="XDY1137"/>
      <c r="XDZ1137"/>
      <c r="XEA1137"/>
      <c r="XEB1137"/>
      <c r="XEC1137"/>
      <c r="XED1137"/>
      <c r="XEE1137"/>
      <c r="XEF1137"/>
      <c r="XEG1137"/>
      <c r="XEH1137"/>
      <c r="XEI1137"/>
      <c r="XEJ1137"/>
      <c r="XEK1137"/>
      <c r="XEL1137"/>
      <c r="XEM1137"/>
      <c r="XEN1137"/>
      <c r="XEO1137"/>
      <c r="XEP1137"/>
      <c r="XEQ1137"/>
      <c r="XER1137"/>
      <c r="XES1137"/>
      <c r="XET1137"/>
      <c r="XEU1137"/>
      <c r="XEV1137"/>
      <c r="XEW1137"/>
      <c r="XEX1137"/>
      <c r="XEY1137"/>
      <c r="XEZ1137"/>
      <c r="XFA1137"/>
      <c r="XFB1137"/>
      <c r="XFC1137"/>
    </row>
    <row r="1138" spans="1:20 16329:16383" s="38" customFormat="1" ht="29.1" customHeight="1" outlineLevel="5" x14ac:dyDescent="0.25">
      <c r="A1138" s="65" t="s">
        <v>2136</v>
      </c>
      <c r="B1138" s="66" t="s">
        <v>2137</v>
      </c>
      <c r="C1138" s="66"/>
      <c r="D1138" s="98" t="s">
        <v>1873</v>
      </c>
      <c r="E1138" s="98"/>
      <c r="F1138" s="67"/>
      <c r="G1138" s="66"/>
      <c r="H1138" s="68"/>
      <c r="I1138" s="36"/>
      <c r="J1138" s="68"/>
      <c r="K1138" s="69"/>
      <c r="L1138" s="69"/>
      <c r="M1138" s="69"/>
      <c r="N1138" s="69"/>
      <c r="O1138" s="69">
        <f>SUM(O1139:O1143)</f>
        <v>0</v>
      </c>
      <c r="P1138" s="69">
        <f>SUM(P1139:P1143)</f>
        <v>0</v>
      </c>
      <c r="Q1138" s="69">
        <f>SUM(Q1139:Q1143)</f>
        <v>0</v>
      </c>
      <c r="R1138" s="69">
        <f>SUM(R1139:R1143)</f>
        <v>0</v>
      </c>
      <c r="S1138" s="69"/>
      <c r="T1138" s="36"/>
      <c r="XDA1138"/>
      <c r="XDB1138"/>
      <c r="XDC1138"/>
      <c r="XDD1138"/>
      <c r="XDE1138"/>
      <c r="XDF1138"/>
      <c r="XDG1138"/>
      <c r="XDH1138"/>
      <c r="XDI1138"/>
      <c r="XDJ1138"/>
      <c r="XDK1138"/>
      <c r="XDL1138"/>
      <c r="XDM1138"/>
      <c r="XDN1138"/>
      <c r="XDO1138"/>
      <c r="XDP1138"/>
      <c r="XDQ1138"/>
      <c r="XDR1138"/>
      <c r="XDS1138"/>
      <c r="XDT1138"/>
      <c r="XDU1138"/>
      <c r="XDV1138"/>
      <c r="XDW1138"/>
      <c r="XDX1138"/>
      <c r="XDY1138"/>
      <c r="XDZ1138"/>
      <c r="XEA1138"/>
      <c r="XEB1138"/>
      <c r="XEC1138"/>
      <c r="XED1138"/>
      <c r="XEE1138"/>
      <c r="XEF1138"/>
      <c r="XEG1138"/>
      <c r="XEH1138"/>
      <c r="XEI1138"/>
      <c r="XEJ1138"/>
      <c r="XEK1138"/>
      <c r="XEL1138"/>
      <c r="XEM1138"/>
      <c r="XEN1138"/>
      <c r="XEO1138"/>
      <c r="XEP1138"/>
      <c r="XEQ1138"/>
      <c r="XER1138"/>
      <c r="XES1138"/>
      <c r="XET1138"/>
      <c r="XEU1138"/>
      <c r="XEV1138"/>
      <c r="XEW1138"/>
      <c r="XEX1138"/>
      <c r="XEY1138"/>
      <c r="XEZ1138"/>
      <c r="XFA1138"/>
      <c r="XFB1138"/>
      <c r="XFC1138"/>
    </row>
    <row r="1139" spans="1:20 16329:16383" s="38" customFormat="1" ht="29.1" customHeight="1" outlineLevel="6" x14ac:dyDescent="0.25">
      <c r="A1139" s="49" t="s">
        <v>2138</v>
      </c>
      <c r="B1139" s="50"/>
      <c r="C1139" s="50"/>
      <c r="D1139" s="3" t="s">
        <v>1875</v>
      </c>
      <c r="E1139" s="3"/>
      <c r="F1139" s="51"/>
      <c r="G1139" s="50" t="s">
        <v>102</v>
      </c>
      <c r="H1139" s="52">
        <f>1</f>
        <v>1</v>
      </c>
      <c r="I1139" s="36"/>
      <c r="J1139" s="52">
        <v>1</v>
      </c>
      <c r="K1139" s="53">
        <f>0</f>
        <v>0</v>
      </c>
      <c r="L1139" s="53">
        <f>0</f>
        <v>0</v>
      </c>
      <c r="M1139" s="53">
        <f>0</f>
        <v>0</v>
      </c>
      <c r="N1139" s="54">
        <f>SUM(K1139:M1139)</f>
        <v>0</v>
      </c>
      <c r="O1139" s="54">
        <f>ROUND((H1139*K1139),2)</f>
        <v>0</v>
      </c>
      <c r="P1139" s="54">
        <f>ROUND((H1139*L1139),2)</f>
        <v>0</v>
      </c>
      <c r="Q1139" s="54">
        <f>ROUND((H1139*M1139),2)</f>
        <v>0</v>
      </c>
      <c r="R1139" s="54">
        <f>ROUND((H1139*N1139),2)</f>
        <v>0</v>
      </c>
      <c r="S1139" s="54"/>
      <c r="T1139" s="36"/>
      <c r="XDA1139"/>
      <c r="XDB1139"/>
      <c r="XDC1139"/>
      <c r="XDD1139"/>
      <c r="XDE1139"/>
      <c r="XDF1139"/>
      <c r="XDG1139"/>
      <c r="XDH1139"/>
      <c r="XDI1139"/>
      <c r="XDJ1139"/>
      <c r="XDK1139"/>
      <c r="XDL1139"/>
      <c r="XDM1139"/>
      <c r="XDN1139"/>
      <c r="XDO1139"/>
      <c r="XDP1139"/>
      <c r="XDQ1139"/>
      <c r="XDR1139"/>
      <c r="XDS1139"/>
      <c r="XDT1139"/>
      <c r="XDU1139"/>
      <c r="XDV1139"/>
      <c r="XDW1139"/>
      <c r="XDX1139"/>
      <c r="XDY1139"/>
      <c r="XDZ1139"/>
      <c r="XEA1139"/>
      <c r="XEB1139"/>
      <c r="XEC1139"/>
      <c r="XED1139"/>
      <c r="XEE1139"/>
      <c r="XEF1139"/>
      <c r="XEG1139"/>
      <c r="XEH1139"/>
      <c r="XEI1139"/>
      <c r="XEJ1139"/>
      <c r="XEK1139"/>
      <c r="XEL1139"/>
      <c r="XEM1139"/>
      <c r="XEN1139"/>
      <c r="XEO1139"/>
      <c r="XEP1139"/>
      <c r="XEQ1139"/>
      <c r="XER1139"/>
      <c r="XES1139"/>
      <c r="XET1139"/>
      <c r="XEU1139"/>
      <c r="XEV1139"/>
      <c r="XEW1139"/>
      <c r="XEX1139"/>
      <c r="XEY1139"/>
      <c r="XEZ1139"/>
      <c r="XFA1139"/>
      <c r="XFB1139"/>
      <c r="XFC1139"/>
    </row>
    <row r="1140" spans="1:20 16329:16383" s="38" customFormat="1" ht="29.1" customHeight="1" outlineLevel="6" x14ac:dyDescent="0.25">
      <c r="A1140" s="49" t="s">
        <v>2139</v>
      </c>
      <c r="B1140" s="50"/>
      <c r="C1140" s="50"/>
      <c r="D1140" s="3" t="s">
        <v>1552</v>
      </c>
      <c r="E1140" s="3"/>
      <c r="F1140" s="51"/>
      <c r="G1140" s="50" t="s">
        <v>102</v>
      </c>
      <c r="H1140" s="52">
        <f>1</f>
        <v>1</v>
      </c>
      <c r="I1140" s="36"/>
      <c r="J1140" s="52">
        <v>1</v>
      </c>
      <c r="K1140" s="53">
        <f>0</f>
        <v>0</v>
      </c>
      <c r="L1140" s="53">
        <f>0</f>
        <v>0</v>
      </c>
      <c r="M1140" s="53">
        <f>0</f>
        <v>0</v>
      </c>
      <c r="N1140" s="54">
        <f>SUM(K1140:M1140)</f>
        <v>0</v>
      </c>
      <c r="O1140" s="54">
        <f>ROUND((H1140*K1140),2)</f>
        <v>0</v>
      </c>
      <c r="P1140" s="54">
        <f>ROUND((H1140*L1140),2)</f>
        <v>0</v>
      </c>
      <c r="Q1140" s="54">
        <f>ROUND((H1140*M1140),2)</f>
        <v>0</v>
      </c>
      <c r="R1140" s="54">
        <f>ROUND((H1140*N1140),2)</f>
        <v>0</v>
      </c>
      <c r="S1140" s="54"/>
      <c r="T1140" s="36"/>
      <c r="XDA1140"/>
      <c r="XDB1140"/>
      <c r="XDC1140"/>
      <c r="XDD1140"/>
      <c r="XDE1140"/>
      <c r="XDF1140"/>
      <c r="XDG1140"/>
      <c r="XDH1140"/>
      <c r="XDI1140"/>
      <c r="XDJ1140"/>
      <c r="XDK1140"/>
      <c r="XDL1140"/>
      <c r="XDM1140"/>
      <c r="XDN1140"/>
      <c r="XDO1140"/>
      <c r="XDP1140"/>
      <c r="XDQ1140"/>
      <c r="XDR1140"/>
      <c r="XDS1140"/>
      <c r="XDT1140"/>
      <c r="XDU1140"/>
      <c r="XDV1140"/>
      <c r="XDW1140"/>
      <c r="XDX1140"/>
      <c r="XDY1140"/>
      <c r="XDZ1140"/>
      <c r="XEA1140"/>
      <c r="XEB1140"/>
      <c r="XEC1140"/>
      <c r="XED1140"/>
      <c r="XEE1140"/>
      <c r="XEF1140"/>
      <c r="XEG1140"/>
      <c r="XEH1140"/>
      <c r="XEI1140"/>
      <c r="XEJ1140"/>
      <c r="XEK1140"/>
      <c r="XEL1140"/>
      <c r="XEM1140"/>
      <c r="XEN1140"/>
      <c r="XEO1140"/>
      <c r="XEP1140"/>
      <c r="XEQ1140"/>
      <c r="XER1140"/>
      <c r="XES1140"/>
      <c r="XET1140"/>
      <c r="XEU1140"/>
      <c r="XEV1140"/>
      <c r="XEW1140"/>
      <c r="XEX1140"/>
      <c r="XEY1140"/>
      <c r="XEZ1140"/>
      <c r="XFA1140"/>
      <c r="XFB1140"/>
      <c r="XFC1140"/>
    </row>
    <row r="1141" spans="1:20 16329:16383" s="38" customFormat="1" ht="29.1" customHeight="1" outlineLevel="6" x14ac:dyDescent="0.25">
      <c r="A1141" s="49" t="s">
        <v>2140</v>
      </c>
      <c r="B1141" s="50"/>
      <c r="C1141" s="50"/>
      <c r="D1141" s="3" t="s">
        <v>1878</v>
      </c>
      <c r="E1141" s="3"/>
      <c r="F1141" s="51"/>
      <c r="G1141" s="50" t="s">
        <v>102</v>
      </c>
      <c r="H1141" s="52">
        <f>1</f>
        <v>1</v>
      </c>
      <c r="I1141" s="36"/>
      <c r="J1141" s="52">
        <v>1</v>
      </c>
      <c r="K1141" s="53">
        <f>0</f>
        <v>0</v>
      </c>
      <c r="L1141" s="53">
        <f>0</f>
        <v>0</v>
      </c>
      <c r="M1141" s="53">
        <f>0</f>
        <v>0</v>
      </c>
      <c r="N1141" s="54">
        <f>SUM(K1141:M1141)</f>
        <v>0</v>
      </c>
      <c r="O1141" s="54">
        <f>ROUND((H1141*K1141),2)</f>
        <v>0</v>
      </c>
      <c r="P1141" s="54">
        <f>ROUND((H1141*L1141),2)</f>
        <v>0</v>
      </c>
      <c r="Q1141" s="54">
        <f>ROUND((H1141*M1141),2)</f>
        <v>0</v>
      </c>
      <c r="R1141" s="54">
        <f>ROUND((H1141*N1141),2)</f>
        <v>0</v>
      </c>
      <c r="S1141" s="54"/>
      <c r="T1141" s="36"/>
      <c r="XDA1141"/>
      <c r="XDB1141"/>
      <c r="XDC1141"/>
      <c r="XDD1141"/>
      <c r="XDE1141"/>
      <c r="XDF1141"/>
      <c r="XDG1141"/>
      <c r="XDH1141"/>
      <c r="XDI1141"/>
      <c r="XDJ1141"/>
      <c r="XDK1141"/>
      <c r="XDL1141"/>
      <c r="XDM1141"/>
      <c r="XDN1141"/>
      <c r="XDO1141"/>
      <c r="XDP1141"/>
      <c r="XDQ1141"/>
      <c r="XDR1141"/>
      <c r="XDS1141"/>
      <c r="XDT1141"/>
      <c r="XDU1141"/>
      <c r="XDV1141"/>
      <c r="XDW1141"/>
      <c r="XDX1141"/>
      <c r="XDY1141"/>
      <c r="XDZ1141"/>
      <c r="XEA1141"/>
      <c r="XEB1141"/>
      <c r="XEC1141"/>
      <c r="XED1141"/>
      <c r="XEE1141"/>
      <c r="XEF1141"/>
      <c r="XEG1141"/>
      <c r="XEH1141"/>
      <c r="XEI1141"/>
      <c r="XEJ1141"/>
      <c r="XEK1141"/>
      <c r="XEL1141"/>
      <c r="XEM1141"/>
      <c r="XEN1141"/>
      <c r="XEO1141"/>
      <c r="XEP1141"/>
      <c r="XEQ1141"/>
      <c r="XER1141"/>
      <c r="XES1141"/>
      <c r="XET1141"/>
      <c r="XEU1141"/>
      <c r="XEV1141"/>
      <c r="XEW1141"/>
      <c r="XEX1141"/>
      <c r="XEY1141"/>
      <c r="XEZ1141"/>
      <c r="XFA1141"/>
      <c r="XFB1141"/>
      <c r="XFC1141"/>
    </row>
    <row r="1142" spans="1:20 16329:16383" s="38" customFormat="1" ht="29.1" customHeight="1" outlineLevel="6" x14ac:dyDescent="0.25">
      <c r="A1142" s="49" t="s">
        <v>2141</v>
      </c>
      <c r="B1142" s="50"/>
      <c r="C1142" s="50"/>
      <c r="D1142" s="3" t="s">
        <v>1880</v>
      </c>
      <c r="E1142" s="3"/>
      <c r="F1142" s="51"/>
      <c r="G1142" s="50" t="s">
        <v>102</v>
      </c>
      <c r="H1142" s="52">
        <f>1</f>
        <v>1</v>
      </c>
      <c r="I1142" s="36"/>
      <c r="J1142" s="52">
        <v>1</v>
      </c>
      <c r="K1142" s="53">
        <f>0</f>
        <v>0</v>
      </c>
      <c r="L1142" s="53">
        <f>0</f>
        <v>0</v>
      </c>
      <c r="M1142" s="53">
        <f>0</f>
        <v>0</v>
      </c>
      <c r="N1142" s="54">
        <f>SUM(K1142:M1142)</f>
        <v>0</v>
      </c>
      <c r="O1142" s="54">
        <f>ROUND((H1142*K1142),2)</f>
        <v>0</v>
      </c>
      <c r="P1142" s="54">
        <f>ROUND((H1142*L1142),2)</f>
        <v>0</v>
      </c>
      <c r="Q1142" s="54">
        <f>ROUND((H1142*M1142),2)</f>
        <v>0</v>
      </c>
      <c r="R1142" s="54">
        <f>ROUND((H1142*N1142),2)</f>
        <v>0</v>
      </c>
      <c r="S1142" s="54"/>
      <c r="T1142" s="36"/>
      <c r="XDA1142"/>
      <c r="XDB1142"/>
      <c r="XDC1142"/>
      <c r="XDD1142"/>
      <c r="XDE1142"/>
      <c r="XDF1142"/>
      <c r="XDG1142"/>
      <c r="XDH1142"/>
      <c r="XDI1142"/>
      <c r="XDJ1142"/>
      <c r="XDK1142"/>
      <c r="XDL1142"/>
      <c r="XDM1142"/>
      <c r="XDN1142"/>
      <c r="XDO1142"/>
      <c r="XDP1142"/>
      <c r="XDQ1142"/>
      <c r="XDR1142"/>
      <c r="XDS1142"/>
      <c r="XDT1142"/>
      <c r="XDU1142"/>
      <c r="XDV1142"/>
      <c r="XDW1142"/>
      <c r="XDX1142"/>
      <c r="XDY1142"/>
      <c r="XDZ1142"/>
      <c r="XEA1142"/>
      <c r="XEB1142"/>
      <c r="XEC1142"/>
      <c r="XED1142"/>
      <c r="XEE1142"/>
      <c r="XEF1142"/>
      <c r="XEG1142"/>
      <c r="XEH1142"/>
      <c r="XEI1142"/>
      <c r="XEJ1142"/>
      <c r="XEK1142"/>
      <c r="XEL1142"/>
      <c r="XEM1142"/>
      <c r="XEN1142"/>
      <c r="XEO1142"/>
      <c r="XEP1142"/>
      <c r="XEQ1142"/>
      <c r="XER1142"/>
      <c r="XES1142"/>
      <c r="XET1142"/>
      <c r="XEU1142"/>
      <c r="XEV1142"/>
      <c r="XEW1142"/>
      <c r="XEX1142"/>
      <c r="XEY1142"/>
      <c r="XEZ1142"/>
      <c r="XFA1142"/>
      <c r="XFB1142"/>
      <c r="XFC1142"/>
    </row>
    <row r="1143" spans="1:20 16329:16383" s="38" customFormat="1" ht="29.1" customHeight="1" outlineLevel="6" x14ac:dyDescent="0.25">
      <c r="A1143" s="49" t="s">
        <v>2142</v>
      </c>
      <c r="B1143" s="50"/>
      <c r="C1143" s="50"/>
      <c r="D1143" s="3" t="s">
        <v>2143</v>
      </c>
      <c r="E1143" s="3"/>
      <c r="F1143" s="51"/>
      <c r="G1143" s="50" t="s">
        <v>194</v>
      </c>
      <c r="H1143" s="52">
        <f>1</f>
        <v>1</v>
      </c>
      <c r="I1143" s="36"/>
      <c r="J1143" s="52">
        <v>1</v>
      </c>
      <c r="K1143" s="53">
        <f>0</f>
        <v>0</v>
      </c>
      <c r="L1143" s="53">
        <f>0</f>
        <v>0</v>
      </c>
      <c r="M1143" s="53">
        <f>0</f>
        <v>0</v>
      </c>
      <c r="N1143" s="54">
        <f>SUM(K1143:M1143)</f>
        <v>0</v>
      </c>
      <c r="O1143" s="54">
        <f>ROUND((H1143*K1143),2)</f>
        <v>0</v>
      </c>
      <c r="P1143" s="54">
        <f>ROUND((H1143*L1143),2)</f>
        <v>0</v>
      </c>
      <c r="Q1143" s="54">
        <f>ROUND((H1143*M1143),2)</f>
        <v>0</v>
      </c>
      <c r="R1143" s="54">
        <f>ROUND((H1143*N1143),2)</f>
        <v>0</v>
      </c>
      <c r="S1143" s="54"/>
      <c r="T1143" s="36"/>
      <c r="XDA1143"/>
      <c r="XDB1143"/>
      <c r="XDC1143"/>
      <c r="XDD1143"/>
      <c r="XDE1143"/>
      <c r="XDF1143"/>
      <c r="XDG1143"/>
      <c r="XDH1143"/>
      <c r="XDI1143"/>
      <c r="XDJ1143"/>
      <c r="XDK1143"/>
      <c r="XDL1143"/>
      <c r="XDM1143"/>
      <c r="XDN1143"/>
      <c r="XDO1143"/>
      <c r="XDP1143"/>
      <c r="XDQ1143"/>
      <c r="XDR1143"/>
      <c r="XDS1143"/>
      <c r="XDT1143"/>
      <c r="XDU1143"/>
      <c r="XDV1143"/>
      <c r="XDW1143"/>
      <c r="XDX1143"/>
      <c r="XDY1143"/>
      <c r="XDZ1143"/>
      <c r="XEA1143"/>
      <c r="XEB1143"/>
      <c r="XEC1143"/>
      <c r="XED1143"/>
      <c r="XEE1143"/>
      <c r="XEF1143"/>
      <c r="XEG1143"/>
      <c r="XEH1143"/>
      <c r="XEI1143"/>
      <c r="XEJ1143"/>
      <c r="XEK1143"/>
      <c r="XEL1143"/>
      <c r="XEM1143"/>
      <c r="XEN1143"/>
      <c r="XEO1143"/>
      <c r="XEP1143"/>
      <c r="XEQ1143"/>
      <c r="XER1143"/>
      <c r="XES1143"/>
      <c r="XET1143"/>
      <c r="XEU1143"/>
      <c r="XEV1143"/>
      <c r="XEW1143"/>
      <c r="XEX1143"/>
      <c r="XEY1143"/>
      <c r="XEZ1143"/>
      <c r="XFA1143"/>
      <c r="XFB1143"/>
      <c r="XFC1143"/>
    </row>
    <row r="1144" spans="1:20 16329:16383" s="38" customFormat="1" ht="29.1" customHeight="1" outlineLevel="5" x14ac:dyDescent="0.25">
      <c r="A1144" s="65" t="s">
        <v>2144</v>
      </c>
      <c r="B1144" s="66" t="s">
        <v>2145</v>
      </c>
      <c r="C1144" s="66"/>
      <c r="D1144" s="98" t="s">
        <v>344</v>
      </c>
      <c r="E1144" s="98"/>
      <c r="F1144" s="67"/>
      <c r="G1144" s="66"/>
      <c r="H1144" s="68"/>
      <c r="I1144" s="36"/>
      <c r="J1144" s="68"/>
      <c r="K1144" s="69"/>
      <c r="L1144" s="69"/>
      <c r="M1144" s="69"/>
      <c r="N1144" s="69"/>
      <c r="O1144" s="69">
        <f>SUM(O1145:O1149)</f>
        <v>0</v>
      </c>
      <c r="P1144" s="69">
        <f>SUM(P1145:P1149)</f>
        <v>0</v>
      </c>
      <c r="Q1144" s="69">
        <f>SUM(Q1145:Q1149)</f>
        <v>0</v>
      </c>
      <c r="R1144" s="69">
        <f>SUM(R1145:R1149)</f>
        <v>0</v>
      </c>
      <c r="S1144" s="69"/>
      <c r="T1144" s="36"/>
      <c r="XDA1144"/>
      <c r="XDB1144"/>
      <c r="XDC1144"/>
      <c r="XDD1144"/>
      <c r="XDE1144"/>
      <c r="XDF1144"/>
      <c r="XDG1144"/>
      <c r="XDH1144"/>
      <c r="XDI1144"/>
      <c r="XDJ1144"/>
      <c r="XDK1144"/>
      <c r="XDL1144"/>
      <c r="XDM1144"/>
      <c r="XDN1144"/>
      <c r="XDO1144"/>
      <c r="XDP1144"/>
      <c r="XDQ1144"/>
      <c r="XDR1144"/>
      <c r="XDS1144"/>
      <c r="XDT1144"/>
      <c r="XDU1144"/>
      <c r="XDV1144"/>
      <c r="XDW1144"/>
      <c r="XDX1144"/>
      <c r="XDY1144"/>
      <c r="XDZ1144"/>
      <c r="XEA1144"/>
      <c r="XEB1144"/>
      <c r="XEC1144"/>
      <c r="XED1144"/>
      <c r="XEE1144"/>
      <c r="XEF1144"/>
      <c r="XEG1144"/>
      <c r="XEH1144"/>
      <c r="XEI1144"/>
      <c r="XEJ1144"/>
      <c r="XEK1144"/>
      <c r="XEL1144"/>
      <c r="XEM1144"/>
      <c r="XEN1144"/>
      <c r="XEO1144"/>
      <c r="XEP1144"/>
      <c r="XEQ1144"/>
      <c r="XER1144"/>
      <c r="XES1144"/>
      <c r="XET1144"/>
      <c r="XEU1144"/>
      <c r="XEV1144"/>
      <c r="XEW1144"/>
      <c r="XEX1144"/>
      <c r="XEY1144"/>
      <c r="XEZ1144"/>
      <c r="XFA1144"/>
      <c r="XFB1144"/>
      <c r="XFC1144"/>
    </row>
    <row r="1145" spans="1:20 16329:16383" s="38" customFormat="1" ht="29.1" customHeight="1" outlineLevel="6" x14ac:dyDescent="0.25">
      <c r="A1145" s="49" t="s">
        <v>2146</v>
      </c>
      <c r="B1145" s="50"/>
      <c r="C1145" s="50"/>
      <c r="D1145" s="3" t="s">
        <v>1884</v>
      </c>
      <c r="E1145" s="3"/>
      <c r="F1145" s="51"/>
      <c r="G1145" s="50" t="s">
        <v>102</v>
      </c>
      <c r="H1145" s="52">
        <f>1</f>
        <v>1</v>
      </c>
      <c r="I1145" s="36"/>
      <c r="J1145" s="52">
        <v>1</v>
      </c>
      <c r="K1145" s="53">
        <f>0</f>
        <v>0</v>
      </c>
      <c r="L1145" s="53">
        <f>0</f>
        <v>0</v>
      </c>
      <c r="M1145" s="53">
        <f>0</f>
        <v>0</v>
      </c>
      <c r="N1145" s="54">
        <f>SUM(K1145:M1145)</f>
        <v>0</v>
      </c>
      <c r="O1145" s="54">
        <f>ROUND((H1145*K1145),2)</f>
        <v>0</v>
      </c>
      <c r="P1145" s="54">
        <f>ROUND((H1145*L1145),2)</f>
        <v>0</v>
      </c>
      <c r="Q1145" s="54">
        <f>ROUND((H1145*M1145),2)</f>
        <v>0</v>
      </c>
      <c r="R1145" s="54">
        <f>ROUND((H1145*N1145),2)</f>
        <v>0</v>
      </c>
      <c r="S1145" s="54"/>
      <c r="T1145" s="36"/>
      <c r="XDA1145"/>
      <c r="XDB1145"/>
      <c r="XDC1145"/>
      <c r="XDD1145"/>
      <c r="XDE1145"/>
      <c r="XDF1145"/>
      <c r="XDG1145"/>
      <c r="XDH1145"/>
      <c r="XDI1145"/>
      <c r="XDJ1145"/>
      <c r="XDK1145"/>
      <c r="XDL1145"/>
      <c r="XDM1145"/>
      <c r="XDN1145"/>
      <c r="XDO1145"/>
      <c r="XDP1145"/>
      <c r="XDQ1145"/>
      <c r="XDR1145"/>
      <c r="XDS1145"/>
      <c r="XDT1145"/>
      <c r="XDU1145"/>
      <c r="XDV1145"/>
      <c r="XDW1145"/>
      <c r="XDX1145"/>
      <c r="XDY1145"/>
      <c r="XDZ1145"/>
      <c r="XEA1145"/>
      <c r="XEB1145"/>
      <c r="XEC1145"/>
      <c r="XED1145"/>
      <c r="XEE1145"/>
      <c r="XEF1145"/>
      <c r="XEG1145"/>
      <c r="XEH1145"/>
      <c r="XEI1145"/>
      <c r="XEJ1145"/>
      <c r="XEK1145"/>
      <c r="XEL1145"/>
      <c r="XEM1145"/>
      <c r="XEN1145"/>
      <c r="XEO1145"/>
      <c r="XEP1145"/>
      <c r="XEQ1145"/>
      <c r="XER1145"/>
      <c r="XES1145"/>
      <c r="XET1145"/>
      <c r="XEU1145"/>
      <c r="XEV1145"/>
      <c r="XEW1145"/>
      <c r="XEX1145"/>
      <c r="XEY1145"/>
      <c r="XEZ1145"/>
      <c r="XFA1145"/>
      <c r="XFB1145"/>
      <c r="XFC1145"/>
    </row>
    <row r="1146" spans="1:20 16329:16383" s="38" customFormat="1" ht="29.1" customHeight="1" outlineLevel="6" x14ac:dyDescent="0.25">
      <c r="A1146" s="49" t="s">
        <v>2147</v>
      </c>
      <c r="B1146" s="50"/>
      <c r="C1146" s="50"/>
      <c r="D1146" s="3" t="s">
        <v>1886</v>
      </c>
      <c r="E1146" s="3"/>
      <c r="F1146" s="51"/>
      <c r="G1146" s="50" t="s">
        <v>102</v>
      </c>
      <c r="H1146" s="52">
        <f>1</f>
        <v>1</v>
      </c>
      <c r="I1146" s="36"/>
      <c r="J1146" s="52">
        <v>1</v>
      </c>
      <c r="K1146" s="53">
        <f>0</f>
        <v>0</v>
      </c>
      <c r="L1146" s="53">
        <f>0</f>
        <v>0</v>
      </c>
      <c r="M1146" s="53">
        <f>0</f>
        <v>0</v>
      </c>
      <c r="N1146" s="54">
        <f>SUM(K1146:M1146)</f>
        <v>0</v>
      </c>
      <c r="O1146" s="54">
        <f>ROUND((H1146*K1146),2)</f>
        <v>0</v>
      </c>
      <c r="P1146" s="54">
        <f>ROUND((H1146*L1146),2)</f>
        <v>0</v>
      </c>
      <c r="Q1146" s="54">
        <f>ROUND((H1146*M1146),2)</f>
        <v>0</v>
      </c>
      <c r="R1146" s="54">
        <f>ROUND((H1146*N1146),2)</f>
        <v>0</v>
      </c>
      <c r="S1146" s="54"/>
      <c r="T1146" s="36"/>
      <c r="XDA1146"/>
      <c r="XDB1146"/>
      <c r="XDC1146"/>
      <c r="XDD1146"/>
      <c r="XDE1146"/>
      <c r="XDF1146"/>
      <c r="XDG1146"/>
      <c r="XDH1146"/>
      <c r="XDI1146"/>
      <c r="XDJ1146"/>
      <c r="XDK1146"/>
      <c r="XDL1146"/>
      <c r="XDM1146"/>
      <c r="XDN1146"/>
      <c r="XDO1146"/>
      <c r="XDP1146"/>
      <c r="XDQ1146"/>
      <c r="XDR1146"/>
      <c r="XDS1146"/>
      <c r="XDT1146"/>
      <c r="XDU1146"/>
      <c r="XDV1146"/>
      <c r="XDW1146"/>
      <c r="XDX1146"/>
      <c r="XDY1146"/>
      <c r="XDZ1146"/>
      <c r="XEA1146"/>
      <c r="XEB1146"/>
      <c r="XEC1146"/>
      <c r="XED1146"/>
      <c r="XEE1146"/>
      <c r="XEF1146"/>
      <c r="XEG1146"/>
      <c r="XEH1146"/>
      <c r="XEI1146"/>
      <c r="XEJ1146"/>
      <c r="XEK1146"/>
      <c r="XEL1146"/>
      <c r="XEM1146"/>
      <c r="XEN1146"/>
      <c r="XEO1146"/>
      <c r="XEP1146"/>
      <c r="XEQ1146"/>
      <c r="XER1146"/>
      <c r="XES1146"/>
      <c r="XET1146"/>
      <c r="XEU1146"/>
      <c r="XEV1146"/>
      <c r="XEW1146"/>
      <c r="XEX1146"/>
      <c r="XEY1146"/>
      <c r="XEZ1146"/>
      <c r="XFA1146"/>
      <c r="XFB1146"/>
      <c r="XFC1146"/>
    </row>
    <row r="1147" spans="1:20 16329:16383" s="38" customFormat="1" ht="29.1" customHeight="1" outlineLevel="6" x14ac:dyDescent="0.25">
      <c r="A1147" s="49" t="s">
        <v>2148</v>
      </c>
      <c r="B1147" s="50"/>
      <c r="C1147" s="50"/>
      <c r="D1147" s="3" t="s">
        <v>1888</v>
      </c>
      <c r="E1147" s="3"/>
      <c r="F1147" s="51"/>
      <c r="G1147" s="50" t="s">
        <v>102</v>
      </c>
      <c r="H1147" s="52">
        <f>1</f>
        <v>1</v>
      </c>
      <c r="I1147" s="36"/>
      <c r="J1147" s="52">
        <v>1</v>
      </c>
      <c r="K1147" s="53">
        <f>0</f>
        <v>0</v>
      </c>
      <c r="L1147" s="53">
        <f>0</f>
        <v>0</v>
      </c>
      <c r="M1147" s="53">
        <f>0</f>
        <v>0</v>
      </c>
      <c r="N1147" s="54">
        <f>SUM(K1147:M1147)</f>
        <v>0</v>
      </c>
      <c r="O1147" s="54">
        <f>ROUND((H1147*K1147),2)</f>
        <v>0</v>
      </c>
      <c r="P1147" s="54">
        <f>ROUND((H1147*L1147),2)</f>
        <v>0</v>
      </c>
      <c r="Q1147" s="54">
        <f>ROUND((H1147*M1147),2)</f>
        <v>0</v>
      </c>
      <c r="R1147" s="54">
        <f>ROUND((H1147*N1147),2)</f>
        <v>0</v>
      </c>
      <c r="S1147" s="54"/>
      <c r="T1147" s="36"/>
      <c r="XDA1147"/>
      <c r="XDB1147"/>
      <c r="XDC1147"/>
      <c r="XDD1147"/>
      <c r="XDE1147"/>
      <c r="XDF1147"/>
      <c r="XDG1147"/>
      <c r="XDH1147"/>
      <c r="XDI1147"/>
      <c r="XDJ1147"/>
      <c r="XDK1147"/>
      <c r="XDL1147"/>
      <c r="XDM1147"/>
      <c r="XDN1147"/>
      <c r="XDO1147"/>
      <c r="XDP1147"/>
      <c r="XDQ1147"/>
      <c r="XDR1147"/>
      <c r="XDS1147"/>
      <c r="XDT1147"/>
      <c r="XDU1147"/>
      <c r="XDV1147"/>
      <c r="XDW1147"/>
      <c r="XDX1147"/>
      <c r="XDY1147"/>
      <c r="XDZ1147"/>
      <c r="XEA1147"/>
      <c r="XEB1147"/>
      <c r="XEC1147"/>
      <c r="XED1147"/>
      <c r="XEE1147"/>
      <c r="XEF1147"/>
      <c r="XEG1147"/>
      <c r="XEH1147"/>
      <c r="XEI1147"/>
      <c r="XEJ1147"/>
      <c r="XEK1147"/>
      <c r="XEL1147"/>
      <c r="XEM1147"/>
      <c r="XEN1147"/>
      <c r="XEO1147"/>
      <c r="XEP1147"/>
      <c r="XEQ1147"/>
      <c r="XER1147"/>
      <c r="XES1147"/>
      <c r="XET1147"/>
      <c r="XEU1147"/>
      <c r="XEV1147"/>
      <c r="XEW1147"/>
      <c r="XEX1147"/>
      <c r="XEY1147"/>
      <c r="XEZ1147"/>
      <c r="XFA1147"/>
      <c r="XFB1147"/>
      <c r="XFC1147"/>
    </row>
    <row r="1148" spans="1:20 16329:16383" s="38" customFormat="1" ht="29.1" customHeight="1" outlineLevel="6" x14ac:dyDescent="0.25">
      <c r="A1148" s="49" t="s">
        <v>2149</v>
      </c>
      <c r="B1148" s="50"/>
      <c r="C1148" s="50"/>
      <c r="D1148" s="3" t="s">
        <v>1890</v>
      </c>
      <c r="E1148" s="3"/>
      <c r="F1148" s="51"/>
      <c r="G1148" s="50" t="s">
        <v>102</v>
      </c>
      <c r="H1148" s="52">
        <f>1</f>
        <v>1</v>
      </c>
      <c r="I1148" s="36"/>
      <c r="J1148" s="52">
        <v>1</v>
      </c>
      <c r="K1148" s="53">
        <f>0</f>
        <v>0</v>
      </c>
      <c r="L1148" s="53">
        <f>0</f>
        <v>0</v>
      </c>
      <c r="M1148" s="53">
        <f>0</f>
        <v>0</v>
      </c>
      <c r="N1148" s="54">
        <f>SUM(K1148:M1148)</f>
        <v>0</v>
      </c>
      <c r="O1148" s="54">
        <f>ROUND((H1148*K1148),2)</f>
        <v>0</v>
      </c>
      <c r="P1148" s="54">
        <f>ROUND((H1148*L1148),2)</f>
        <v>0</v>
      </c>
      <c r="Q1148" s="54">
        <f>ROUND((H1148*M1148),2)</f>
        <v>0</v>
      </c>
      <c r="R1148" s="54">
        <f>ROUND((H1148*N1148),2)</f>
        <v>0</v>
      </c>
      <c r="S1148" s="54"/>
      <c r="T1148" s="36"/>
      <c r="XDA1148"/>
      <c r="XDB1148"/>
      <c r="XDC1148"/>
      <c r="XDD1148"/>
      <c r="XDE1148"/>
      <c r="XDF1148"/>
      <c r="XDG1148"/>
      <c r="XDH1148"/>
      <c r="XDI1148"/>
      <c r="XDJ1148"/>
      <c r="XDK1148"/>
      <c r="XDL1148"/>
      <c r="XDM1148"/>
      <c r="XDN1148"/>
      <c r="XDO1148"/>
      <c r="XDP1148"/>
      <c r="XDQ1148"/>
      <c r="XDR1148"/>
      <c r="XDS1148"/>
      <c r="XDT1148"/>
      <c r="XDU1148"/>
      <c r="XDV1148"/>
      <c r="XDW1148"/>
      <c r="XDX1148"/>
      <c r="XDY1148"/>
      <c r="XDZ1148"/>
      <c r="XEA1148"/>
      <c r="XEB1148"/>
      <c r="XEC1148"/>
      <c r="XED1148"/>
      <c r="XEE1148"/>
      <c r="XEF1148"/>
      <c r="XEG1148"/>
      <c r="XEH1148"/>
      <c r="XEI1148"/>
      <c r="XEJ1148"/>
      <c r="XEK1148"/>
      <c r="XEL1148"/>
      <c r="XEM1148"/>
      <c r="XEN1148"/>
      <c r="XEO1148"/>
      <c r="XEP1148"/>
      <c r="XEQ1148"/>
      <c r="XER1148"/>
      <c r="XES1148"/>
      <c r="XET1148"/>
      <c r="XEU1148"/>
      <c r="XEV1148"/>
      <c r="XEW1148"/>
      <c r="XEX1148"/>
      <c r="XEY1148"/>
      <c r="XEZ1148"/>
      <c r="XFA1148"/>
      <c r="XFB1148"/>
      <c r="XFC1148"/>
    </row>
    <row r="1149" spans="1:20 16329:16383" s="38" customFormat="1" ht="29.1" customHeight="1" outlineLevel="6" x14ac:dyDescent="0.25">
      <c r="A1149" s="49" t="s">
        <v>2150</v>
      </c>
      <c r="B1149" s="50"/>
      <c r="C1149" s="50"/>
      <c r="D1149" s="3" t="s">
        <v>1894</v>
      </c>
      <c r="E1149" s="3"/>
      <c r="F1149" s="51"/>
      <c r="G1149" s="50" t="s">
        <v>102</v>
      </c>
      <c r="H1149" s="52">
        <f>1</f>
        <v>1</v>
      </c>
      <c r="I1149" s="36"/>
      <c r="J1149" s="52">
        <v>1</v>
      </c>
      <c r="K1149" s="53">
        <f>0</f>
        <v>0</v>
      </c>
      <c r="L1149" s="53">
        <f>0</f>
        <v>0</v>
      </c>
      <c r="M1149" s="53">
        <f>0</f>
        <v>0</v>
      </c>
      <c r="N1149" s="54">
        <f>SUM(K1149:M1149)</f>
        <v>0</v>
      </c>
      <c r="O1149" s="54">
        <f>ROUND((H1149*K1149),2)</f>
        <v>0</v>
      </c>
      <c r="P1149" s="54">
        <f>ROUND((H1149*L1149),2)</f>
        <v>0</v>
      </c>
      <c r="Q1149" s="54">
        <f>ROUND((H1149*M1149),2)</f>
        <v>0</v>
      </c>
      <c r="R1149" s="54">
        <f>ROUND((H1149*N1149),2)</f>
        <v>0</v>
      </c>
      <c r="S1149" s="54"/>
      <c r="T1149" s="36"/>
      <c r="XDA1149"/>
      <c r="XDB1149"/>
      <c r="XDC1149"/>
      <c r="XDD1149"/>
      <c r="XDE1149"/>
      <c r="XDF1149"/>
      <c r="XDG1149"/>
      <c r="XDH1149"/>
      <c r="XDI1149"/>
      <c r="XDJ1149"/>
      <c r="XDK1149"/>
      <c r="XDL1149"/>
      <c r="XDM1149"/>
      <c r="XDN1149"/>
      <c r="XDO1149"/>
      <c r="XDP1149"/>
      <c r="XDQ1149"/>
      <c r="XDR1149"/>
      <c r="XDS1149"/>
      <c r="XDT1149"/>
      <c r="XDU1149"/>
      <c r="XDV1149"/>
      <c r="XDW1149"/>
      <c r="XDX1149"/>
      <c r="XDY1149"/>
      <c r="XDZ1149"/>
      <c r="XEA1149"/>
      <c r="XEB1149"/>
      <c r="XEC1149"/>
      <c r="XED1149"/>
      <c r="XEE1149"/>
      <c r="XEF1149"/>
      <c r="XEG1149"/>
      <c r="XEH1149"/>
      <c r="XEI1149"/>
      <c r="XEJ1149"/>
      <c r="XEK1149"/>
      <c r="XEL1149"/>
      <c r="XEM1149"/>
      <c r="XEN1149"/>
      <c r="XEO1149"/>
      <c r="XEP1149"/>
      <c r="XEQ1149"/>
      <c r="XER1149"/>
      <c r="XES1149"/>
      <c r="XET1149"/>
      <c r="XEU1149"/>
      <c r="XEV1149"/>
      <c r="XEW1149"/>
      <c r="XEX1149"/>
      <c r="XEY1149"/>
      <c r="XEZ1149"/>
      <c r="XFA1149"/>
      <c r="XFB1149"/>
      <c r="XFC1149"/>
    </row>
    <row r="1150" spans="1:20 16329:16383" s="38" customFormat="1" ht="29.1" customHeight="1" outlineLevel="5" x14ac:dyDescent="0.25">
      <c r="A1150" s="65" t="s">
        <v>2151</v>
      </c>
      <c r="B1150" s="66" t="s">
        <v>2152</v>
      </c>
      <c r="C1150" s="66"/>
      <c r="D1150" s="98" t="s">
        <v>1899</v>
      </c>
      <c r="E1150" s="98"/>
      <c r="F1150" s="67"/>
      <c r="G1150" s="66"/>
      <c r="H1150" s="68"/>
      <c r="I1150" s="36"/>
      <c r="J1150" s="68"/>
      <c r="K1150" s="69"/>
      <c r="L1150" s="69"/>
      <c r="M1150" s="69"/>
      <c r="N1150" s="69"/>
      <c r="O1150" s="69">
        <f>O1151+O1152</f>
        <v>0</v>
      </c>
      <c r="P1150" s="69">
        <f>P1151+P1152</f>
        <v>0</v>
      </c>
      <c r="Q1150" s="69">
        <f>Q1151+Q1152</f>
        <v>0</v>
      </c>
      <c r="R1150" s="69">
        <f>R1151+R1152</f>
        <v>0</v>
      </c>
      <c r="S1150" s="69"/>
      <c r="T1150" s="36"/>
      <c r="XDA1150"/>
      <c r="XDB1150"/>
      <c r="XDC1150"/>
      <c r="XDD1150"/>
      <c r="XDE1150"/>
      <c r="XDF1150"/>
      <c r="XDG1150"/>
      <c r="XDH1150"/>
      <c r="XDI1150"/>
      <c r="XDJ1150"/>
      <c r="XDK1150"/>
      <c r="XDL1150"/>
      <c r="XDM1150"/>
      <c r="XDN1150"/>
      <c r="XDO1150"/>
      <c r="XDP1150"/>
      <c r="XDQ1150"/>
      <c r="XDR1150"/>
      <c r="XDS1150"/>
      <c r="XDT1150"/>
      <c r="XDU1150"/>
      <c r="XDV1150"/>
      <c r="XDW1150"/>
      <c r="XDX1150"/>
      <c r="XDY1150"/>
      <c r="XDZ1150"/>
      <c r="XEA1150"/>
      <c r="XEB1150"/>
      <c r="XEC1150"/>
      <c r="XED1150"/>
      <c r="XEE1150"/>
      <c r="XEF1150"/>
      <c r="XEG1150"/>
      <c r="XEH1150"/>
      <c r="XEI1150"/>
      <c r="XEJ1150"/>
      <c r="XEK1150"/>
      <c r="XEL1150"/>
      <c r="XEM1150"/>
      <c r="XEN1150"/>
      <c r="XEO1150"/>
      <c r="XEP1150"/>
      <c r="XEQ1150"/>
      <c r="XER1150"/>
      <c r="XES1150"/>
      <c r="XET1150"/>
      <c r="XEU1150"/>
      <c r="XEV1150"/>
      <c r="XEW1150"/>
      <c r="XEX1150"/>
      <c r="XEY1150"/>
      <c r="XEZ1150"/>
      <c r="XFA1150"/>
      <c r="XFB1150"/>
      <c r="XFC1150"/>
    </row>
    <row r="1151" spans="1:20 16329:16383" s="38" customFormat="1" ht="29.1" customHeight="1" outlineLevel="6" x14ac:dyDescent="0.25">
      <c r="A1151" s="49" t="s">
        <v>2153</v>
      </c>
      <c r="B1151" s="50"/>
      <c r="C1151" s="50"/>
      <c r="D1151" s="3" t="s">
        <v>1901</v>
      </c>
      <c r="E1151" s="3"/>
      <c r="F1151" s="51"/>
      <c r="G1151" s="50" t="s">
        <v>102</v>
      </c>
      <c r="H1151" s="52">
        <f>1</f>
        <v>1</v>
      </c>
      <c r="I1151" s="36"/>
      <c r="J1151" s="52">
        <v>1</v>
      </c>
      <c r="K1151" s="53">
        <f>0</f>
        <v>0</v>
      </c>
      <c r="L1151" s="53">
        <f>0</f>
        <v>0</v>
      </c>
      <c r="M1151" s="53">
        <f>0</f>
        <v>0</v>
      </c>
      <c r="N1151" s="54">
        <f>SUM(K1151:M1151)</f>
        <v>0</v>
      </c>
      <c r="O1151" s="54">
        <f>ROUND((H1151*K1151),2)</f>
        <v>0</v>
      </c>
      <c r="P1151" s="54">
        <f>ROUND((H1151*L1151),2)</f>
        <v>0</v>
      </c>
      <c r="Q1151" s="54">
        <f>ROUND((H1151*M1151),2)</f>
        <v>0</v>
      </c>
      <c r="R1151" s="54">
        <f>ROUND((H1151*N1151),2)</f>
        <v>0</v>
      </c>
      <c r="S1151" s="54"/>
      <c r="T1151" s="36"/>
      <c r="XDA1151"/>
      <c r="XDB1151"/>
      <c r="XDC1151"/>
      <c r="XDD1151"/>
      <c r="XDE1151"/>
      <c r="XDF1151"/>
      <c r="XDG1151"/>
      <c r="XDH1151"/>
      <c r="XDI1151"/>
      <c r="XDJ1151"/>
      <c r="XDK1151"/>
      <c r="XDL1151"/>
      <c r="XDM1151"/>
      <c r="XDN1151"/>
      <c r="XDO1151"/>
      <c r="XDP1151"/>
      <c r="XDQ1151"/>
      <c r="XDR1151"/>
      <c r="XDS1151"/>
      <c r="XDT1151"/>
      <c r="XDU1151"/>
      <c r="XDV1151"/>
      <c r="XDW1151"/>
      <c r="XDX1151"/>
      <c r="XDY1151"/>
      <c r="XDZ1151"/>
      <c r="XEA1151"/>
      <c r="XEB1151"/>
      <c r="XEC1151"/>
      <c r="XED1151"/>
      <c r="XEE1151"/>
      <c r="XEF1151"/>
      <c r="XEG1151"/>
      <c r="XEH1151"/>
      <c r="XEI1151"/>
      <c r="XEJ1151"/>
      <c r="XEK1151"/>
      <c r="XEL1151"/>
      <c r="XEM1151"/>
      <c r="XEN1151"/>
      <c r="XEO1151"/>
      <c r="XEP1151"/>
      <c r="XEQ1151"/>
      <c r="XER1151"/>
      <c r="XES1151"/>
      <c r="XET1151"/>
      <c r="XEU1151"/>
      <c r="XEV1151"/>
      <c r="XEW1151"/>
      <c r="XEX1151"/>
      <c r="XEY1151"/>
      <c r="XEZ1151"/>
      <c r="XFA1151"/>
      <c r="XFB1151"/>
      <c r="XFC1151"/>
    </row>
    <row r="1152" spans="1:20 16329:16383" s="38" customFormat="1" ht="29.1" customHeight="1" outlineLevel="6" x14ac:dyDescent="0.25">
      <c r="A1152" s="49" t="s">
        <v>2154</v>
      </c>
      <c r="B1152" s="50"/>
      <c r="C1152" s="50"/>
      <c r="D1152" s="3" t="s">
        <v>1903</v>
      </c>
      <c r="E1152" s="3"/>
      <c r="F1152" s="51"/>
      <c r="G1152" s="50" t="s">
        <v>102</v>
      </c>
      <c r="H1152" s="52">
        <f>1</f>
        <v>1</v>
      </c>
      <c r="I1152" s="36"/>
      <c r="J1152" s="52">
        <v>1</v>
      </c>
      <c r="K1152" s="53">
        <f>0</f>
        <v>0</v>
      </c>
      <c r="L1152" s="53">
        <f>0</f>
        <v>0</v>
      </c>
      <c r="M1152" s="53">
        <f>0</f>
        <v>0</v>
      </c>
      <c r="N1152" s="54">
        <f>SUM(K1152:M1152)</f>
        <v>0</v>
      </c>
      <c r="O1152" s="54">
        <f>ROUND((H1152*K1152),2)</f>
        <v>0</v>
      </c>
      <c r="P1152" s="54">
        <f>ROUND((H1152*L1152),2)</f>
        <v>0</v>
      </c>
      <c r="Q1152" s="54">
        <f>ROUND((H1152*M1152),2)</f>
        <v>0</v>
      </c>
      <c r="R1152" s="54">
        <f>ROUND((H1152*N1152),2)</f>
        <v>0</v>
      </c>
      <c r="S1152" s="54"/>
      <c r="T1152" s="36"/>
      <c r="XDA1152"/>
      <c r="XDB1152"/>
      <c r="XDC1152"/>
      <c r="XDD1152"/>
      <c r="XDE1152"/>
      <c r="XDF1152"/>
      <c r="XDG1152"/>
      <c r="XDH1152"/>
      <c r="XDI1152"/>
      <c r="XDJ1152"/>
      <c r="XDK1152"/>
      <c r="XDL1152"/>
      <c r="XDM1152"/>
      <c r="XDN1152"/>
      <c r="XDO1152"/>
      <c r="XDP1152"/>
      <c r="XDQ1152"/>
      <c r="XDR1152"/>
      <c r="XDS1152"/>
      <c r="XDT1152"/>
      <c r="XDU1152"/>
      <c r="XDV1152"/>
      <c r="XDW1152"/>
      <c r="XDX1152"/>
      <c r="XDY1152"/>
      <c r="XDZ1152"/>
      <c r="XEA1152"/>
      <c r="XEB1152"/>
      <c r="XEC1152"/>
      <c r="XED1152"/>
      <c r="XEE1152"/>
      <c r="XEF1152"/>
      <c r="XEG1152"/>
      <c r="XEH1152"/>
      <c r="XEI1152"/>
      <c r="XEJ1152"/>
      <c r="XEK1152"/>
      <c r="XEL1152"/>
      <c r="XEM1152"/>
      <c r="XEN1152"/>
      <c r="XEO1152"/>
      <c r="XEP1152"/>
      <c r="XEQ1152"/>
      <c r="XER1152"/>
      <c r="XES1152"/>
      <c r="XET1152"/>
      <c r="XEU1152"/>
      <c r="XEV1152"/>
      <c r="XEW1152"/>
      <c r="XEX1152"/>
      <c r="XEY1152"/>
      <c r="XEZ1152"/>
      <c r="XFA1152"/>
      <c r="XFB1152"/>
      <c r="XFC1152"/>
    </row>
    <row r="1153" spans="1:20 16329:16383" s="38" customFormat="1" ht="29.1" customHeight="1" outlineLevel="4" x14ac:dyDescent="0.25">
      <c r="A1153" s="60" t="s">
        <v>2155</v>
      </c>
      <c r="B1153" s="61" t="s">
        <v>2156</v>
      </c>
      <c r="C1153" s="61" t="s">
        <v>2157</v>
      </c>
      <c r="D1153" s="1" t="s">
        <v>2158</v>
      </c>
      <c r="E1153" s="1"/>
      <c r="F1153" s="62"/>
      <c r="G1153" s="61" t="s">
        <v>102</v>
      </c>
      <c r="H1153" s="63"/>
      <c r="I1153" s="36"/>
      <c r="J1153" s="63"/>
      <c r="K1153" s="64"/>
      <c r="L1153" s="64"/>
      <c r="M1153" s="64"/>
      <c r="N1153" s="64"/>
      <c r="O1153" s="64">
        <f>O1154+O1159+O1163+O1167</f>
        <v>0</v>
      </c>
      <c r="P1153" s="64">
        <f>P1154+P1159+P1163+P1167</f>
        <v>0</v>
      </c>
      <c r="Q1153" s="64">
        <f>Q1154+Q1159+Q1163+Q1167</f>
        <v>0</v>
      </c>
      <c r="R1153" s="64">
        <f>R1154+R1159+R1163+R1167</f>
        <v>0</v>
      </c>
      <c r="S1153" s="64"/>
      <c r="T1153" s="36"/>
      <c r="XDA1153"/>
      <c r="XDB1153"/>
      <c r="XDC1153"/>
      <c r="XDD1153"/>
      <c r="XDE1153"/>
      <c r="XDF1153"/>
      <c r="XDG1153"/>
      <c r="XDH1153"/>
      <c r="XDI1153"/>
      <c r="XDJ1153"/>
      <c r="XDK1153"/>
      <c r="XDL1153"/>
      <c r="XDM1153"/>
      <c r="XDN1153"/>
      <c r="XDO1153"/>
      <c r="XDP1153"/>
      <c r="XDQ1153"/>
      <c r="XDR1153"/>
      <c r="XDS1153"/>
      <c r="XDT1153"/>
      <c r="XDU1153"/>
      <c r="XDV1153"/>
      <c r="XDW1153"/>
      <c r="XDX1153"/>
      <c r="XDY1153"/>
      <c r="XDZ1153"/>
      <c r="XEA1153"/>
      <c r="XEB1153"/>
      <c r="XEC1153"/>
      <c r="XED1153"/>
      <c r="XEE1153"/>
      <c r="XEF1153"/>
      <c r="XEG1153"/>
      <c r="XEH1153"/>
      <c r="XEI1153"/>
      <c r="XEJ1153"/>
      <c r="XEK1153"/>
      <c r="XEL1153"/>
      <c r="XEM1153"/>
      <c r="XEN1153"/>
      <c r="XEO1153"/>
      <c r="XEP1153"/>
      <c r="XEQ1153"/>
      <c r="XER1153"/>
      <c r="XES1153"/>
      <c r="XET1153"/>
      <c r="XEU1153"/>
      <c r="XEV1153"/>
      <c r="XEW1153"/>
      <c r="XEX1153"/>
      <c r="XEY1153"/>
      <c r="XEZ1153"/>
      <c r="XFA1153"/>
      <c r="XFB1153"/>
      <c r="XFC1153"/>
    </row>
    <row r="1154" spans="1:20 16329:16383" s="38" customFormat="1" ht="29.1" customHeight="1" outlineLevel="5" x14ac:dyDescent="0.25">
      <c r="A1154" s="65" t="s">
        <v>2159</v>
      </c>
      <c r="B1154" s="66" t="s">
        <v>2160</v>
      </c>
      <c r="C1154" s="66"/>
      <c r="D1154" s="98" t="s">
        <v>1873</v>
      </c>
      <c r="E1154" s="98"/>
      <c r="F1154" s="67"/>
      <c r="G1154" s="66"/>
      <c r="H1154" s="68"/>
      <c r="I1154" s="36"/>
      <c r="J1154" s="68"/>
      <c r="K1154" s="69"/>
      <c r="L1154" s="69"/>
      <c r="M1154" s="69"/>
      <c r="N1154" s="69"/>
      <c r="O1154" s="69">
        <f>SUM(O1155:O1158)</f>
        <v>0</v>
      </c>
      <c r="P1154" s="69">
        <f>SUM(P1155:P1158)</f>
        <v>0</v>
      </c>
      <c r="Q1154" s="69">
        <f>SUM(Q1155:Q1158)</f>
        <v>0</v>
      </c>
      <c r="R1154" s="69">
        <f>SUM(R1155:R1158)</f>
        <v>0</v>
      </c>
      <c r="S1154" s="69"/>
      <c r="T1154" s="36"/>
      <c r="XDA1154"/>
      <c r="XDB1154"/>
      <c r="XDC1154"/>
      <c r="XDD1154"/>
      <c r="XDE1154"/>
      <c r="XDF1154"/>
      <c r="XDG1154"/>
      <c r="XDH1154"/>
      <c r="XDI1154"/>
      <c r="XDJ1154"/>
      <c r="XDK1154"/>
      <c r="XDL1154"/>
      <c r="XDM1154"/>
      <c r="XDN1154"/>
      <c r="XDO1154"/>
      <c r="XDP1154"/>
      <c r="XDQ1154"/>
      <c r="XDR1154"/>
      <c r="XDS1154"/>
      <c r="XDT1154"/>
      <c r="XDU1154"/>
      <c r="XDV1154"/>
      <c r="XDW1154"/>
      <c r="XDX1154"/>
      <c r="XDY1154"/>
      <c r="XDZ1154"/>
      <c r="XEA1154"/>
      <c r="XEB1154"/>
      <c r="XEC1154"/>
      <c r="XED1154"/>
      <c r="XEE1154"/>
      <c r="XEF1154"/>
      <c r="XEG1154"/>
      <c r="XEH1154"/>
      <c r="XEI1154"/>
      <c r="XEJ1154"/>
      <c r="XEK1154"/>
      <c r="XEL1154"/>
      <c r="XEM1154"/>
      <c r="XEN1154"/>
      <c r="XEO1154"/>
      <c r="XEP1154"/>
      <c r="XEQ1154"/>
      <c r="XER1154"/>
      <c r="XES1154"/>
      <c r="XET1154"/>
      <c r="XEU1154"/>
      <c r="XEV1154"/>
      <c r="XEW1154"/>
      <c r="XEX1154"/>
      <c r="XEY1154"/>
      <c r="XEZ1154"/>
      <c r="XFA1154"/>
      <c r="XFB1154"/>
      <c r="XFC1154"/>
    </row>
    <row r="1155" spans="1:20 16329:16383" s="38" customFormat="1" ht="29.1" customHeight="1" outlineLevel="6" x14ac:dyDescent="0.25">
      <c r="A1155" s="49" t="s">
        <v>2161</v>
      </c>
      <c r="B1155" s="50"/>
      <c r="C1155" s="50"/>
      <c r="D1155" s="3" t="s">
        <v>1968</v>
      </c>
      <c r="E1155" s="3"/>
      <c r="F1155" s="51"/>
      <c r="G1155" s="50" t="s">
        <v>102</v>
      </c>
      <c r="H1155" s="52">
        <f>1</f>
        <v>1</v>
      </c>
      <c r="I1155" s="36"/>
      <c r="J1155" s="52">
        <v>1</v>
      </c>
      <c r="K1155" s="53">
        <f>0</f>
        <v>0</v>
      </c>
      <c r="L1155" s="53">
        <f>0</f>
        <v>0</v>
      </c>
      <c r="M1155" s="53">
        <f>0</f>
        <v>0</v>
      </c>
      <c r="N1155" s="54">
        <f>SUM(K1155:M1155)</f>
        <v>0</v>
      </c>
      <c r="O1155" s="54">
        <f>ROUND((H1155*K1155),2)</f>
        <v>0</v>
      </c>
      <c r="P1155" s="54">
        <f>ROUND((H1155*L1155),2)</f>
        <v>0</v>
      </c>
      <c r="Q1155" s="54">
        <f>ROUND((H1155*M1155),2)</f>
        <v>0</v>
      </c>
      <c r="R1155" s="54">
        <f>ROUND((H1155*N1155),2)</f>
        <v>0</v>
      </c>
      <c r="S1155" s="54"/>
      <c r="T1155" s="36"/>
      <c r="XDA1155"/>
      <c r="XDB1155"/>
      <c r="XDC1155"/>
      <c r="XDD1155"/>
      <c r="XDE1155"/>
      <c r="XDF1155"/>
      <c r="XDG1155"/>
      <c r="XDH1155"/>
      <c r="XDI1155"/>
      <c r="XDJ1155"/>
      <c r="XDK1155"/>
      <c r="XDL1155"/>
      <c r="XDM1155"/>
      <c r="XDN1155"/>
      <c r="XDO1155"/>
      <c r="XDP1155"/>
      <c r="XDQ1155"/>
      <c r="XDR1155"/>
      <c r="XDS1155"/>
      <c r="XDT1155"/>
      <c r="XDU1155"/>
      <c r="XDV1155"/>
      <c r="XDW1155"/>
      <c r="XDX1155"/>
      <c r="XDY1155"/>
      <c r="XDZ1155"/>
      <c r="XEA1155"/>
      <c r="XEB1155"/>
      <c r="XEC1155"/>
      <c r="XED1155"/>
      <c r="XEE1155"/>
      <c r="XEF1155"/>
      <c r="XEG1155"/>
      <c r="XEH1155"/>
      <c r="XEI1155"/>
      <c r="XEJ1155"/>
      <c r="XEK1155"/>
      <c r="XEL1155"/>
      <c r="XEM1155"/>
      <c r="XEN1155"/>
      <c r="XEO1155"/>
      <c r="XEP1155"/>
      <c r="XEQ1155"/>
      <c r="XER1155"/>
      <c r="XES1155"/>
      <c r="XET1155"/>
      <c r="XEU1155"/>
      <c r="XEV1155"/>
      <c r="XEW1155"/>
      <c r="XEX1155"/>
      <c r="XEY1155"/>
      <c r="XEZ1155"/>
      <c r="XFA1155"/>
      <c r="XFB1155"/>
      <c r="XFC1155"/>
    </row>
    <row r="1156" spans="1:20 16329:16383" s="38" customFormat="1" ht="29.1" customHeight="1" outlineLevel="6" x14ac:dyDescent="0.25">
      <c r="A1156" s="49" t="s">
        <v>2162</v>
      </c>
      <c r="B1156" s="50"/>
      <c r="C1156" s="50"/>
      <c r="D1156" s="3" t="s">
        <v>1970</v>
      </c>
      <c r="E1156" s="3"/>
      <c r="F1156" s="51"/>
      <c r="G1156" s="50" t="s">
        <v>102</v>
      </c>
      <c r="H1156" s="52">
        <f>1</f>
        <v>1</v>
      </c>
      <c r="I1156" s="36"/>
      <c r="J1156" s="52">
        <v>1</v>
      </c>
      <c r="K1156" s="53">
        <f>0</f>
        <v>0</v>
      </c>
      <c r="L1156" s="53">
        <f>0</f>
        <v>0</v>
      </c>
      <c r="M1156" s="53">
        <f>0</f>
        <v>0</v>
      </c>
      <c r="N1156" s="54">
        <f>SUM(K1156:M1156)</f>
        <v>0</v>
      </c>
      <c r="O1156" s="54">
        <f>ROUND((H1156*K1156),2)</f>
        <v>0</v>
      </c>
      <c r="P1156" s="54">
        <f>ROUND((H1156*L1156),2)</f>
        <v>0</v>
      </c>
      <c r="Q1156" s="54">
        <f>ROUND((H1156*M1156),2)</f>
        <v>0</v>
      </c>
      <c r="R1156" s="54">
        <f>ROUND((H1156*N1156),2)</f>
        <v>0</v>
      </c>
      <c r="S1156" s="54"/>
      <c r="T1156" s="36"/>
      <c r="XDA1156"/>
      <c r="XDB1156"/>
      <c r="XDC1156"/>
      <c r="XDD1156"/>
      <c r="XDE1156"/>
      <c r="XDF1156"/>
      <c r="XDG1156"/>
      <c r="XDH1156"/>
      <c r="XDI1156"/>
      <c r="XDJ1156"/>
      <c r="XDK1156"/>
      <c r="XDL1156"/>
      <c r="XDM1156"/>
      <c r="XDN1156"/>
      <c r="XDO1156"/>
      <c r="XDP1156"/>
      <c r="XDQ1156"/>
      <c r="XDR1156"/>
      <c r="XDS1156"/>
      <c r="XDT1156"/>
      <c r="XDU1156"/>
      <c r="XDV1156"/>
      <c r="XDW1156"/>
      <c r="XDX1156"/>
      <c r="XDY1156"/>
      <c r="XDZ1156"/>
      <c r="XEA1156"/>
      <c r="XEB1156"/>
      <c r="XEC1156"/>
      <c r="XED1156"/>
      <c r="XEE1156"/>
      <c r="XEF1156"/>
      <c r="XEG1156"/>
      <c r="XEH1156"/>
      <c r="XEI1156"/>
      <c r="XEJ1156"/>
      <c r="XEK1156"/>
      <c r="XEL1156"/>
      <c r="XEM1156"/>
      <c r="XEN1156"/>
      <c r="XEO1156"/>
      <c r="XEP1156"/>
      <c r="XEQ1156"/>
      <c r="XER1156"/>
      <c r="XES1156"/>
      <c r="XET1156"/>
      <c r="XEU1156"/>
      <c r="XEV1156"/>
      <c r="XEW1156"/>
      <c r="XEX1156"/>
      <c r="XEY1156"/>
      <c r="XEZ1156"/>
      <c r="XFA1156"/>
      <c r="XFB1156"/>
      <c r="XFC1156"/>
    </row>
    <row r="1157" spans="1:20 16329:16383" s="38" customFormat="1" ht="29.1" customHeight="1" outlineLevel="6" x14ac:dyDescent="0.25">
      <c r="A1157" s="49" t="s">
        <v>2163</v>
      </c>
      <c r="B1157" s="50"/>
      <c r="C1157" s="50"/>
      <c r="D1157" s="3" t="s">
        <v>1972</v>
      </c>
      <c r="E1157" s="3"/>
      <c r="F1157" s="51"/>
      <c r="G1157" s="50" t="s">
        <v>102</v>
      </c>
      <c r="H1157" s="52">
        <f>1</f>
        <v>1</v>
      </c>
      <c r="I1157" s="36"/>
      <c r="J1157" s="52">
        <v>1</v>
      </c>
      <c r="K1157" s="53">
        <f>0</f>
        <v>0</v>
      </c>
      <c r="L1157" s="53">
        <f>0</f>
        <v>0</v>
      </c>
      <c r="M1157" s="53">
        <f>0</f>
        <v>0</v>
      </c>
      <c r="N1157" s="54">
        <f>SUM(K1157:M1157)</f>
        <v>0</v>
      </c>
      <c r="O1157" s="54">
        <f>ROUND((H1157*K1157),2)</f>
        <v>0</v>
      </c>
      <c r="P1157" s="54">
        <f>ROUND((H1157*L1157),2)</f>
        <v>0</v>
      </c>
      <c r="Q1157" s="54">
        <f>ROUND((H1157*M1157),2)</f>
        <v>0</v>
      </c>
      <c r="R1157" s="54">
        <f>ROUND((H1157*N1157),2)</f>
        <v>0</v>
      </c>
      <c r="S1157" s="54"/>
      <c r="T1157" s="36"/>
      <c r="XDA1157"/>
      <c r="XDB1157"/>
      <c r="XDC1157"/>
      <c r="XDD1157"/>
      <c r="XDE1157"/>
      <c r="XDF1157"/>
      <c r="XDG1157"/>
      <c r="XDH1157"/>
      <c r="XDI1157"/>
      <c r="XDJ1157"/>
      <c r="XDK1157"/>
      <c r="XDL1157"/>
      <c r="XDM1157"/>
      <c r="XDN1157"/>
      <c r="XDO1157"/>
      <c r="XDP1157"/>
      <c r="XDQ1157"/>
      <c r="XDR1157"/>
      <c r="XDS1157"/>
      <c r="XDT1157"/>
      <c r="XDU1157"/>
      <c r="XDV1157"/>
      <c r="XDW1157"/>
      <c r="XDX1157"/>
      <c r="XDY1157"/>
      <c r="XDZ1157"/>
      <c r="XEA1157"/>
      <c r="XEB1157"/>
      <c r="XEC1157"/>
      <c r="XED1157"/>
      <c r="XEE1157"/>
      <c r="XEF1157"/>
      <c r="XEG1157"/>
      <c r="XEH1157"/>
      <c r="XEI1157"/>
      <c r="XEJ1157"/>
      <c r="XEK1157"/>
      <c r="XEL1157"/>
      <c r="XEM1157"/>
      <c r="XEN1157"/>
      <c r="XEO1157"/>
      <c r="XEP1157"/>
      <c r="XEQ1157"/>
      <c r="XER1157"/>
      <c r="XES1157"/>
      <c r="XET1157"/>
      <c r="XEU1157"/>
      <c r="XEV1157"/>
      <c r="XEW1157"/>
      <c r="XEX1157"/>
      <c r="XEY1157"/>
      <c r="XEZ1157"/>
      <c r="XFA1157"/>
      <c r="XFB1157"/>
      <c r="XFC1157"/>
    </row>
    <row r="1158" spans="1:20 16329:16383" s="38" customFormat="1" ht="29.1" customHeight="1" outlineLevel="6" x14ac:dyDescent="0.25">
      <c r="A1158" s="49" t="s">
        <v>2164</v>
      </c>
      <c r="B1158" s="50"/>
      <c r="C1158" s="50"/>
      <c r="D1158" s="3" t="s">
        <v>1937</v>
      </c>
      <c r="E1158" s="3"/>
      <c r="F1158" s="51"/>
      <c r="G1158" s="50" t="s">
        <v>194</v>
      </c>
      <c r="H1158" s="52">
        <f>1</f>
        <v>1</v>
      </c>
      <c r="I1158" s="36"/>
      <c r="J1158" s="52">
        <v>1</v>
      </c>
      <c r="K1158" s="53">
        <f>0</f>
        <v>0</v>
      </c>
      <c r="L1158" s="53">
        <f>0</f>
        <v>0</v>
      </c>
      <c r="M1158" s="53">
        <f>0</f>
        <v>0</v>
      </c>
      <c r="N1158" s="54">
        <f>SUM(K1158:M1158)</f>
        <v>0</v>
      </c>
      <c r="O1158" s="54">
        <f>ROUND((H1158*K1158),2)</f>
        <v>0</v>
      </c>
      <c r="P1158" s="54">
        <f>ROUND((H1158*L1158),2)</f>
        <v>0</v>
      </c>
      <c r="Q1158" s="54">
        <f>ROUND((H1158*M1158),2)</f>
        <v>0</v>
      </c>
      <c r="R1158" s="54">
        <f>ROUND((H1158*N1158),2)</f>
        <v>0</v>
      </c>
      <c r="S1158" s="54"/>
      <c r="T1158" s="36"/>
      <c r="XDA1158"/>
      <c r="XDB1158"/>
      <c r="XDC1158"/>
      <c r="XDD1158"/>
      <c r="XDE1158"/>
      <c r="XDF1158"/>
      <c r="XDG1158"/>
      <c r="XDH1158"/>
      <c r="XDI1158"/>
      <c r="XDJ1158"/>
      <c r="XDK1158"/>
      <c r="XDL1158"/>
      <c r="XDM1158"/>
      <c r="XDN1158"/>
      <c r="XDO1158"/>
      <c r="XDP1158"/>
      <c r="XDQ1158"/>
      <c r="XDR1158"/>
      <c r="XDS1158"/>
      <c r="XDT1158"/>
      <c r="XDU1158"/>
      <c r="XDV1158"/>
      <c r="XDW1158"/>
      <c r="XDX1158"/>
      <c r="XDY1158"/>
      <c r="XDZ1158"/>
      <c r="XEA1158"/>
      <c r="XEB1158"/>
      <c r="XEC1158"/>
      <c r="XED1158"/>
      <c r="XEE1158"/>
      <c r="XEF1158"/>
      <c r="XEG1158"/>
      <c r="XEH1158"/>
      <c r="XEI1158"/>
      <c r="XEJ1158"/>
      <c r="XEK1158"/>
      <c r="XEL1158"/>
      <c r="XEM1158"/>
      <c r="XEN1158"/>
      <c r="XEO1158"/>
      <c r="XEP1158"/>
      <c r="XEQ1158"/>
      <c r="XER1158"/>
      <c r="XES1158"/>
      <c r="XET1158"/>
      <c r="XEU1158"/>
      <c r="XEV1158"/>
      <c r="XEW1158"/>
      <c r="XEX1158"/>
      <c r="XEY1158"/>
      <c r="XEZ1158"/>
      <c r="XFA1158"/>
      <c r="XFB1158"/>
      <c r="XFC1158"/>
    </row>
    <row r="1159" spans="1:20 16329:16383" s="38" customFormat="1" ht="29.1" customHeight="1" outlineLevel="5" x14ac:dyDescent="0.25">
      <c r="A1159" s="65" t="s">
        <v>2165</v>
      </c>
      <c r="B1159" s="66" t="s">
        <v>2166</v>
      </c>
      <c r="C1159" s="66"/>
      <c r="D1159" s="98" t="s">
        <v>344</v>
      </c>
      <c r="E1159" s="98"/>
      <c r="F1159" s="67"/>
      <c r="G1159" s="66"/>
      <c r="H1159" s="68"/>
      <c r="I1159" s="36"/>
      <c r="J1159" s="68"/>
      <c r="K1159" s="69"/>
      <c r="L1159" s="69"/>
      <c r="M1159" s="69"/>
      <c r="N1159" s="69"/>
      <c r="O1159" s="69">
        <f>SUM(O1160:O1162)</f>
        <v>0</v>
      </c>
      <c r="P1159" s="69">
        <f>SUM(P1160:P1162)</f>
        <v>0</v>
      </c>
      <c r="Q1159" s="69">
        <f>SUM(Q1160:Q1162)</f>
        <v>0</v>
      </c>
      <c r="R1159" s="69">
        <f>SUM(R1160:R1162)</f>
        <v>0</v>
      </c>
      <c r="S1159" s="69"/>
      <c r="T1159" s="36"/>
      <c r="XDA1159"/>
      <c r="XDB1159"/>
      <c r="XDC1159"/>
      <c r="XDD1159"/>
      <c r="XDE1159"/>
      <c r="XDF1159"/>
      <c r="XDG1159"/>
      <c r="XDH1159"/>
      <c r="XDI1159"/>
      <c r="XDJ1159"/>
      <c r="XDK1159"/>
      <c r="XDL1159"/>
      <c r="XDM1159"/>
      <c r="XDN1159"/>
      <c r="XDO1159"/>
      <c r="XDP1159"/>
      <c r="XDQ1159"/>
      <c r="XDR1159"/>
      <c r="XDS1159"/>
      <c r="XDT1159"/>
      <c r="XDU1159"/>
      <c r="XDV1159"/>
      <c r="XDW1159"/>
      <c r="XDX1159"/>
      <c r="XDY1159"/>
      <c r="XDZ1159"/>
      <c r="XEA1159"/>
      <c r="XEB1159"/>
      <c r="XEC1159"/>
      <c r="XED1159"/>
      <c r="XEE1159"/>
      <c r="XEF1159"/>
      <c r="XEG1159"/>
      <c r="XEH1159"/>
      <c r="XEI1159"/>
      <c r="XEJ1159"/>
      <c r="XEK1159"/>
      <c r="XEL1159"/>
      <c r="XEM1159"/>
      <c r="XEN1159"/>
      <c r="XEO1159"/>
      <c r="XEP1159"/>
      <c r="XEQ1159"/>
      <c r="XER1159"/>
      <c r="XES1159"/>
      <c r="XET1159"/>
      <c r="XEU1159"/>
      <c r="XEV1159"/>
      <c r="XEW1159"/>
      <c r="XEX1159"/>
      <c r="XEY1159"/>
      <c r="XEZ1159"/>
      <c r="XFA1159"/>
      <c r="XFB1159"/>
      <c r="XFC1159"/>
    </row>
    <row r="1160" spans="1:20 16329:16383" s="38" customFormat="1" ht="29.1" customHeight="1" outlineLevel="6" x14ac:dyDescent="0.25">
      <c r="A1160" s="49" t="s">
        <v>2167</v>
      </c>
      <c r="B1160" s="50"/>
      <c r="C1160" s="50"/>
      <c r="D1160" s="3" t="s">
        <v>1884</v>
      </c>
      <c r="E1160" s="3"/>
      <c r="F1160" s="51"/>
      <c r="G1160" s="50" t="s">
        <v>102</v>
      </c>
      <c r="H1160" s="52">
        <f>1</f>
        <v>1</v>
      </c>
      <c r="I1160" s="36"/>
      <c r="J1160" s="52">
        <v>1</v>
      </c>
      <c r="K1160" s="53">
        <f>0</f>
        <v>0</v>
      </c>
      <c r="L1160" s="53">
        <f>0</f>
        <v>0</v>
      </c>
      <c r="M1160" s="53">
        <f>0</f>
        <v>0</v>
      </c>
      <c r="N1160" s="54">
        <f>SUM(K1160:M1160)</f>
        <v>0</v>
      </c>
      <c r="O1160" s="54">
        <f>ROUND((H1160*K1160),2)</f>
        <v>0</v>
      </c>
      <c r="P1160" s="54">
        <f>ROUND((H1160*L1160),2)</f>
        <v>0</v>
      </c>
      <c r="Q1160" s="54">
        <f>ROUND((H1160*M1160),2)</f>
        <v>0</v>
      </c>
      <c r="R1160" s="54">
        <f>ROUND((H1160*N1160),2)</f>
        <v>0</v>
      </c>
      <c r="S1160" s="54"/>
      <c r="T1160" s="36"/>
      <c r="XDA1160"/>
      <c r="XDB1160"/>
      <c r="XDC1160"/>
      <c r="XDD1160"/>
      <c r="XDE1160"/>
      <c r="XDF1160"/>
      <c r="XDG1160"/>
      <c r="XDH1160"/>
      <c r="XDI1160"/>
      <c r="XDJ1160"/>
      <c r="XDK1160"/>
      <c r="XDL1160"/>
      <c r="XDM1160"/>
      <c r="XDN1160"/>
      <c r="XDO1160"/>
      <c r="XDP1160"/>
      <c r="XDQ1160"/>
      <c r="XDR1160"/>
      <c r="XDS1160"/>
      <c r="XDT1160"/>
      <c r="XDU1160"/>
      <c r="XDV1160"/>
      <c r="XDW1160"/>
      <c r="XDX1160"/>
      <c r="XDY1160"/>
      <c r="XDZ1160"/>
      <c r="XEA1160"/>
      <c r="XEB1160"/>
      <c r="XEC1160"/>
      <c r="XED1160"/>
      <c r="XEE1160"/>
      <c r="XEF1160"/>
      <c r="XEG1160"/>
      <c r="XEH1160"/>
      <c r="XEI1160"/>
      <c r="XEJ1160"/>
      <c r="XEK1160"/>
      <c r="XEL1160"/>
      <c r="XEM1160"/>
      <c r="XEN1160"/>
      <c r="XEO1160"/>
      <c r="XEP1160"/>
      <c r="XEQ1160"/>
      <c r="XER1160"/>
      <c r="XES1160"/>
      <c r="XET1160"/>
      <c r="XEU1160"/>
      <c r="XEV1160"/>
      <c r="XEW1160"/>
      <c r="XEX1160"/>
      <c r="XEY1160"/>
      <c r="XEZ1160"/>
      <c r="XFA1160"/>
      <c r="XFB1160"/>
      <c r="XFC1160"/>
    </row>
    <row r="1161" spans="1:20 16329:16383" s="38" customFormat="1" ht="29.1" customHeight="1" outlineLevel="6" x14ac:dyDescent="0.25">
      <c r="A1161" s="49" t="s">
        <v>2168</v>
      </c>
      <c r="B1161" s="50"/>
      <c r="C1161" s="50"/>
      <c r="D1161" s="3" t="s">
        <v>1955</v>
      </c>
      <c r="E1161" s="3"/>
      <c r="F1161" s="51"/>
      <c r="G1161" s="50" t="s">
        <v>102</v>
      </c>
      <c r="H1161" s="52">
        <f>1</f>
        <v>1</v>
      </c>
      <c r="I1161" s="36"/>
      <c r="J1161" s="52">
        <v>1</v>
      </c>
      <c r="K1161" s="53">
        <f>0</f>
        <v>0</v>
      </c>
      <c r="L1161" s="53">
        <f>0</f>
        <v>0</v>
      </c>
      <c r="M1161" s="53">
        <f>0</f>
        <v>0</v>
      </c>
      <c r="N1161" s="54">
        <f>SUM(K1161:M1161)</f>
        <v>0</v>
      </c>
      <c r="O1161" s="54">
        <f>ROUND((H1161*K1161),2)</f>
        <v>0</v>
      </c>
      <c r="P1161" s="54">
        <f>ROUND((H1161*L1161),2)</f>
        <v>0</v>
      </c>
      <c r="Q1161" s="54">
        <f>ROUND((H1161*M1161),2)</f>
        <v>0</v>
      </c>
      <c r="R1161" s="54">
        <f>ROUND((H1161*N1161),2)</f>
        <v>0</v>
      </c>
      <c r="S1161" s="54"/>
      <c r="T1161" s="36"/>
      <c r="XDA1161"/>
      <c r="XDB1161"/>
      <c r="XDC1161"/>
      <c r="XDD1161"/>
      <c r="XDE1161"/>
      <c r="XDF1161"/>
      <c r="XDG1161"/>
      <c r="XDH1161"/>
      <c r="XDI1161"/>
      <c r="XDJ1161"/>
      <c r="XDK1161"/>
      <c r="XDL1161"/>
      <c r="XDM1161"/>
      <c r="XDN1161"/>
      <c r="XDO1161"/>
      <c r="XDP1161"/>
      <c r="XDQ1161"/>
      <c r="XDR1161"/>
      <c r="XDS1161"/>
      <c r="XDT1161"/>
      <c r="XDU1161"/>
      <c r="XDV1161"/>
      <c r="XDW1161"/>
      <c r="XDX1161"/>
      <c r="XDY1161"/>
      <c r="XDZ1161"/>
      <c r="XEA1161"/>
      <c r="XEB1161"/>
      <c r="XEC1161"/>
      <c r="XED1161"/>
      <c r="XEE1161"/>
      <c r="XEF1161"/>
      <c r="XEG1161"/>
      <c r="XEH1161"/>
      <c r="XEI1161"/>
      <c r="XEJ1161"/>
      <c r="XEK1161"/>
      <c r="XEL1161"/>
      <c r="XEM1161"/>
      <c r="XEN1161"/>
      <c r="XEO1161"/>
      <c r="XEP1161"/>
      <c r="XEQ1161"/>
      <c r="XER1161"/>
      <c r="XES1161"/>
      <c r="XET1161"/>
      <c r="XEU1161"/>
      <c r="XEV1161"/>
      <c r="XEW1161"/>
      <c r="XEX1161"/>
      <c r="XEY1161"/>
      <c r="XEZ1161"/>
      <c r="XFA1161"/>
      <c r="XFB1161"/>
      <c r="XFC1161"/>
    </row>
    <row r="1162" spans="1:20 16329:16383" s="38" customFormat="1" ht="29.1" customHeight="1" outlineLevel="6" x14ac:dyDescent="0.25">
      <c r="A1162" s="49" t="s">
        <v>2169</v>
      </c>
      <c r="B1162" s="50"/>
      <c r="C1162" s="50"/>
      <c r="D1162" s="3" t="s">
        <v>1957</v>
      </c>
      <c r="E1162" s="3"/>
      <c r="F1162" s="51"/>
      <c r="G1162" s="50" t="s">
        <v>102</v>
      </c>
      <c r="H1162" s="52">
        <f>1</f>
        <v>1</v>
      </c>
      <c r="I1162" s="36"/>
      <c r="J1162" s="52">
        <v>1</v>
      </c>
      <c r="K1162" s="53">
        <f>0</f>
        <v>0</v>
      </c>
      <c r="L1162" s="53">
        <f>0</f>
        <v>0</v>
      </c>
      <c r="M1162" s="53">
        <f>0</f>
        <v>0</v>
      </c>
      <c r="N1162" s="54">
        <f>SUM(K1162:M1162)</f>
        <v>0</v>
      </c>
      <c r="O1162" s="54">
        <f>ROUND((H1162*K1162),2)</f>
        <v>0</v>
      </c>
      <c r="P1162" s="54">
        <f>ROUND((H1162*L1162),2)</f>
        <v>0</v>
      </c>
      <c r="Q1162" s="54">
        <f>ROUND((H1162*M1162),2)</f>
        <v>0</v>
      </c>
      <c r="R1162" s="54">
        <f>ROUND((H1162*N1162),2)</f>
        <v>0</v>
      </c>
      <c r="S1162" s="54"/>
      <c r="T1162" s="36"/>
      <c r="XDA1162"/>
      <c r="XDB1162"/>
      <c r="XDC1162"/>
      <c r="XDD1162"/>
      <c r="XDE1162"/>
      <c r="XDF1162"/>
      <c r="XDG1162"/>
      <c r="XDH1162"/>
      <c r="XDI1162"/>
      <c r="XDJ1162"/>
      <c r="XDK1162"/>
      <c r="XDL1162"/>
      <c r="XDM1162"/>
      <c r="XDN1162"/>
      <c r="XDO1162"/>
      <c r="XDP1162"/>
      <c r="XDQ1162"/>
      <c r="XDR1162"/>
      <c r="XDS1162"/>
      <c r="XDT1162"/>
      <c r="XDU1162"/>
      <c r="XDV1162"/>
      <c r="XDW1162"/>
      <c r="XDX1162"/>
      <c r="XDY1162"/>
      <c r="XDZ1162"/>
      <c r="XEA1162"/>
      <c r="XEB1162"/>
      <c r="XEC1162"/>
      <c r="XED1162"/>
      <c r="XEE1162"/>
      <c r="XEF1162"/>
      <c r="XEG1162"/>
      <c r="XEH1162"/>
      <c r="XEI1162"/>
      <c r="XEJ1162"/>
      <c r="XEK1162"/>
      <c r="XEL1162"/>
      <c r="XEM1162"/>
      <c r="XEN1162"/>
      <c r="XEO1162"/>
      <c r="XEP1162"/>
      <c r="XEQ1162"/>
      <c r="XER1162"/>
      <c r="XES1162"/>
      <c r="XET1162"/>
      <c r="XEU1162"/>
      <c r="XEV1162"/>
      <c r="XEW1162"/>
      <c r="XEX1162"/>
      <c r="XEY1162"/>
      <c r="XEZ1162"/>
      <c r="XFA1162"/>
      <c r="XFB1162"/>
      <c r="XFC1162"/>
    </row>
    <row r="1163" spans="1:20 16329:16383" s="38" customFormat="1" ht="29.1" customHeight="1" outlineLevel="5" x14ac:dyDescent="0.25">
      <c r="A1163" s="65" t="s">
        <v>2170</v>
      </c>
      <c r="B1163" s="66" t="s">
        <v>2171</v>
      </c>
      <c r="C1163" s="66"/>
      <c r="D1163" s="98" t="s">
        <v>1899</v>
      </c>
      <c r="E1163" s="98"/>
      <c r="F1163" s="67"/>
      <c r="G1163" s="66"/>
      <c r="H1163" s="68"/>
      <c r="I1163" s="36"/>
      <c r="J1163" s="68"/>
      <c r="K1163" s="69"/>
      <c r="L1163" s="69"/>
      <c r="M1163" s="69"/>
      <c r="N1163" s="69"/>
      <c r="O1163" s="69">
        <f>SUM(O1164:O1166)</f>
        <v>0</v>
      </c>
      <c r="P1163" s="69">
        <f>SUM(P1164:P1166)</f>
        <v>0</v>
      </c>
      <c r="Q1163" s="69">
        <f>SUM(Q1164:Q1166)</f>
        <v>0</v>
      </c>
      <c r="R1163" s="69">
        <f>SUM(R1164:R1166)</f>
        <v>0</v>
      </c>
      <c r="S1163" s="69"/>
      <c r="T1163" s="36"/>
      <c r="XDA1163"/>
      <c r="XDB1163"/>
      <c r="XDC1163"/>
      <c r="XDD1163"/>
      <c r="XDE1163"/>
      <c r="XDF1163"/>
      <c r="XDG1163"/>
      <c r="XDH1163"/>
      <c r="XDI1163"/>
      <c r="XDJ1163"/>
      <c r="XDK1163"/>
      <c r="XDL1163"/>
      <c r="XDM1163"/>
      <c r="XDN1163"/>
      <c r="XDO1163"/>
      <c r="XDP1163"/>
      <c r="XDQ1163"/>
      <c r="XDR1163"/>
      <c r="XDS1163"/>
      <c r="XDT1163"/>
      <c r="XDU1163"/>
      <c r="XDV1163"/>
      <c r="XDW1163"/>
      <c r="XDX1163"/>
      <c r="XDY1163"/>
      <c r="XDZ1163"/>
      <c r="XEA1163"/>
      <c r="XEB1163"/>
      <c r="XEC1163"/>
      <c r="XED1163"/>
      <c r="XEE1163"/>
      <c r="XEF1163"/>
      <c r="XEG1163"/>
      <c r="XEH1163"/>
      <c r="XEI1163"/>
      <c r="XEJ1163"/>
      <c r="XEK1163"/>
      <c r="XEL1163"/>
      <c r="XEM1163"/>
      <c r="XEN1163"/>
      <c r="XEO1163"/>
      <c r="XEP1163"/>
      <c r="XEQ1163"/>
      <c r="XER1163"/>
      <c r="XES1163"/>
      <c r="XET1163"/>
      <c r="XEU1163"/>
      <c r="XEV1163"/>
      <c r="XEW1163"/>
      <c r="XEX1163"/>
      <c r="XEY1163"/>
      <c r="XEZ1163"/>
      <c r="XFA1163"/>
      <c r="XFB1163"/>
      <c r="XFC1163"/>
    </row>
    <row r="1164" spans="1:20 16329:16383" s="38" customFormat="1" ht="29.1" customHeight="1" outlineLevel="6" x14ac:dyDescent="0.25">
      <c r="A1164" s="49" t="s">
        <v>2172</v>
      </c>
      <c r="B1164" s="50"/>
      <c r="C1164" s="50"/>
      <c r="D1164" s="3" t="s">
        <v>1884</v>
      </c>
      <c r="E1164" s="3"/>
      <c r="F1164" s="51"/>
      <c r="G1164" s="50" t="s">
        <v>102</v>
      </c>
      <c r="H1164" s="52">
        <f>1</f>
        <v>1</v>
      </c>
      <c r="I1164" s="36"/>
      <c r="J1164" s="52">
        <v>1</v>
      </c>
      <c r="K1164" s="53">
        <f>0</f>
        <v>0</v>
      </c>
      <c r="L1164" s="53">
        <f>0</f>
        <v>0</v>
      </c>
      <c r="M1164" s="53">
        <f>0</f>
        <v>0</v>
      </c>
      <c r="N1164" s="54">
        <f>SUM(K1164:M1164)</f>
        <v>0</v>
      </c>
      <c r="O1164" s="54">
        <f>ROUND((H1164*K1164),2)</f>
        <v>0</v>
      </c>
      <c r="P1164" s="54">
        <f>ROUND((H1164*L1164),2)</f>
        <v>0</v>
      </c>
      <c r="Q1164" s="54">
        <f>ROUND((H1164*M1164),2)</f>
        <v>0</v>
      </c>
      <c r="R1164" s="54">
        <f>ROUND((H1164*N1164),2)</f>
        <v>0</v>
      </c>
      <c r="S1164" s="54"/>
      <c r="T1164" s="36"/>
      <c r="XDA1164"/>
      <c r="XDB1164"/>
      <c r="XDC1164"/>
      <c r="XDD1164"/>
      <c r="XDE1164"/>
      <c r="XDF1164"/>
      <c r="XDG1164"/>
      <c r="XDH1164"/>
      <c r="XDI1164"/>
      <c r="XDJ1164"/>
      <c r="XDK1164"/>
      <c r="XDL1164"/>
      <c r="XDM1164"/>
      <c r="XDN1164"/>
      <c r="XDO1164"/>
      <c r="XDP1164"/>
      <c r="XDQ1164"/>
      <c r="XDR1164"/>
      <c r="XDS1164"/>
      <c r="XDT1164"/>
      <c r="XDU1164"/>
      <c r="XDV1164"/>
      <c r="XDW1164"/>
      <c r="XDX1164"/>
      <c r="XDY1164"/>
      <c r="XDZ1164"/>
      <c r="XEA1164"/>
      <c r="XEB1164"/>
      <c r="XEC1164"/>
      <c r="XED1164"/>
      <c r="XEE1164"/>
      <c r="XEF1164"/>
      <c r="XEG1164"/>
      <c r="XEH1164"/>
      <c r="XEI1164"/>
      <c r="XEJ1164"/>
      <c r="XEK1164"/>
      <c r="XEL1164"/>
      <c r="XEM1164"/>
      <c r="XEN1164"/>
      <c r="XEO1164"/>
      <c r="XEP1164"/>
      <c r="XEQ1164"/>
      <c r="XER1164"/>
      <c r="XES1164"/>
      <c r="XET1164"/>
      <c r="XEU1164"/>
      <c r="XEV1164"/>
      <c r="XEW1164"/>
      <c r="XEX1164"/>
      <c r="XEY1164"/>
      <c r="XEZ1164"/>
      <c r="XFA1164"/>
      <c r="XFB1164"/>
      <c r="XFC1164"/>
    </row>
    <row r="1165" spans="1:20 16329:16383" s="38" customFormat="1" ht="29.1" customHeight="1" outlineLevel="6" x14ac:dyDescent="0.25">
      <c r="A1165" s="49" t="s">
        <v>2173</v>
      </c>
      <c r="B1165" s="50"/>
      <c r="C1165" s="50"/>
      <c r="D1165" s="3" t="s">
        <v>1955</v>
      </c>
      <c r="E1165" s="3"/>
      <c r="F1165" s="51"/>
      <c r="G1165" s="50" t="s">
        <v>102</v>
      </c>
      <c r="H1165" s="52">
        <f>1</f>
        <v>1</v>
      </c>
      <c r="I1165" s="36"/>
      <c r="J1165" s="52">
        <v>1</v>
      </c>
      <c r="K1165" s="53">
        <f>0</f>
        <v>0</v>
      </c>
      <c r="L1165" s="53">
        <f>0</f>
        <v>0</v>
      </c>
      <c r="M1165" s="53">
        <f>0</f>
        <v>0</v>
      </c>
      <c r="N1165" s="54">
        <f>SUM(K1165:M1165)</f>
        <v>0</v>
      </c>
      <c r="O1165" s="54">
        <f>ROUND((H1165*K1165),2)</f>
        <v>0</v>
      </c>
      <c r="P1165" s="54">
        <f>ROUND((H1165*L1165),2)</f>
        <v>0</v>
      </c>
      <c r="Q1165" s="54">
        <f>ROUND((H1165*M1165),2)</f>
        <v>0</v>
      </c>
      <c r="R1165" s="54">
        <f>ROUND((H1165*N1165),2)</f>
        <v>0</v>
      </c>
      <c r="S1165" s="54"/>
      <c r="T1165" s="36"/>
      <c r="XDA1165"/>
      <c r="XDB1165"/>
      <c r="XDC1165"/>
      <c r="XDD1165"/>
      <c r="XDE1165"/>
      <c r="XDF1165"/>
      <c r="XDG1165"/>
      <c r="XDH1165"/>
      <c r="XDI1165"/>
      <c r="XDJ1165"/>
      <c r="XDK1165"/>
      <c r="XDL1165"/>
      <c r="XDM1165"/>
      <c r="XDN1165"/>
      <c r="XDO1165"/>
      <c r="XDP1165"/>
      <c r="XDQ1165"/>
      <c r="XDR1165"/>
      <c r="XDS1165"/>
      <c r="XDT1165"/>
      <c r="XDU1165"/>
      <c r="XDV1165"/>
      <c r="XDW1165"/>
      <c r="XDX1165"/>
      <c r="XDY1165"/>
      <c r="XDZ1165"/>
      <c r="XEA1165"/>
      <c r="XEB1165"/>
      <c r="XEC1165"/>
      <c r="XED1165"/>
      <c r="XEE1165"/>
      <c r="XEF1165"/>
      <c r="XEG1165"/>
      <c r="XEH1165"/>
      <c r="XEI1165"/>
      <c r="XEJ1165"/>
      <c r="XEK1165"/>
      <c r="XEL1165"/>
      <c r="XEM1165"/>
      <c r="XEN1165"/>
      <c r="XEO1165"/>
      <c r="XEP1165"/>
      <c r="XEQ1165"/>
      <c r="XER1165"/>
      <c r="XES1165"/>
      <c r="XET1165"/>
      <c r="XEU1165"/>
      <c r="XEV1165"/>
      <c r="XEW1165"/>
      <c r="XEX1165"/>
      <c r="XEY1165"/>
      <c r="XEZ1165"/>
      <c r="XFA1165"/>
      <c r="XFB1165"/>
      <c r="XFC1165"/>
    </row>
    <row r="1166" spans="1:20 16329:16383" s="38" customFormat="1" ht="29.1" customHeight="1" outlineLevel="6" x14ac:dyDescent="0.25">
      <c r="A1166" s="49" t="s">
        <v>2174</v>
      </c>
      <c r="B1166" s="50"/>
      <c r="C1166" s="50"/>
      <c r="D1166" s="3" t="s">
        <v>1957</v>
      </c>
      <c r="E1166" s="3"/>
      <c r="F1166" s="51"/>
      <c r="G1166" s="50" t="s">
        <v>102</v>
      </c>
      <c r="H1166" s="52">
        <f>1</f>
        <v>1</v>
      </c>
      <c r="I1166" s="36"/>
      <c r="J1166" s="52">
        <v>1</v>
      </c>
      <c r="K1166" s="53">
        <f>0</f>
        <v>0</v>
      </c>
      <c r="L1166" s="53">
        <f>0</f>
        <v>0</v>
      </c>
      <c r="M1166" s="53">
        <f>0</f>
        <v>0</v>
      </c>
      <c r="N1166" s="54">
        <f>SUM(K1166:M1166)</f>
        <v>0</v>
      </c>
      <c r="O1166" s="54">
        <f>ROUND((H1166*K1166),2)</f>
        <v>0</v>
      </c>
      <c r="P1166" s="54">
        <f>ROUND((H1166*L1166),2)</f>
        <v>0</v>
      </c>
      <c r="Q1166" s="54">
        <f>ROUND((H1166*M1166),2)</f>
        <v>0</v>
      </c>
      <c r="R1166" s="54">
        <f>ROUND((H1166*N1166),2)</f>
        <v>0</v>
      </c>
      <c r="S1166" s="54"/>
      <c r="T1166" s="36"/>
      <c r="XDA1166"/>
      <c r="XDB1166"/>
      <c r="XDC1166"/>
      <c r="XDD1166"/>
      <c r="XDE1166"/>
      <c r="XDF1166"/>
      <c r="XDG1166"/>
      <c r="XDH1166"/>
      <c r="XDI1166"/>
      <c r="XDJ1166"/>
      <c r="XDK1166"/>
      <c r="XDL1166"/>
      <c r="XDM1166"/>
      <c r="XDN1166"/>
      <c r="XDO1166"/>
      <c r="XDP1166"/>
      <c r="XDQ1166"/>
      <c r="XDR1166"/>
      <c r="XDS1166"/>
      <c r="XDT1166"/>
      <c r="XDU1166"/>
      <c r="XDV1166"/>
      <c r="XDW1166"/>
      <c r="XDX1166"/>
      <c r="XDY1166"/>
      <c r="XDZ1166"/>
      <c r="XEA1166"/>
      <c r="XEB1166"/>
      <c r="XEC1166"/>
      <c r="XED1166"/>
      <c r="XEE1166"/>
      <c r="XEF1166"/>
      <c r="XEG1166"/>
      <c r="XEH1166"/>
      <c r="XEI1166"/>
      <c r="XEJ1166"/>
      <c r="XEK1166"/>
      <c r="XEL1166"/>
      <c r="XEM1166"/>
      <c r="XEN1166"/>
      <c r="XEO1166"/>
      <c r="XEP1166"/>
      <c r="XEQ1166"/>
      <c r="XER1166"/>
      <c r="XES1166"/>
      <c r="XET1166"/>
      <c r="XEU1166"/>
      <c r="XEV1166"/>
      <c r="XEW1166"/>
      <c r="XEX1166"/>
      <c r="XEY1166"/>
      <c r="XEZ1166"/>
      <c r="XFA1166"/>
      <c r="XFB1166"/>
      <c r="XFC1166"/>
    </row>
    <row r="1167" spans="1:20 16329:16383" s="38" customFormat="1" ht="29.1" customHeight="1" outlineLevel="5" x14ac:dyDescent="0.25">
      <c r="A1167" s="65" t="s">
        <v>2175</v>
      </c>
      <c r="B1167" s="66" t="s">
        <v>2176</v>
      </c>
      <c r="C1167" s="66"/>
      <c r="D1167" s="98" t="s">
        <v>1498</v>
      </c>
      <c r="E1167" s="98"/>
      <c r="F1167" s="67"/>
      <c r="G1167" s="66"/>
      <c r="H1167" s="68"/>
      <c r="I1167" s="36"/>
      <c r="J1167" s="68"/>
      <c r="K1167" s="69"/>
      <c r="L1167" s="69"/>
      <c r="M1167" s="69"/>
      <c r="N1167" s="69"/>
      <c r="O1167" s="69">
        <f>O1168</f>
        <v>0</v>
      </c>
      <c r="P1167" s="69">
        <f>P1168</f>
        <v>0</v>
      </c>
      <c r="Q1167" s="69">
        <f>Q1168</f>
        <v>0</v>
      </c>
      <c r="R1167" s="69">
        <f>R1168</f>
        <v>0</v>
      </c>
      <c r="S1167" s="69"/>
      <c r="T1167" s="36"/>
      <c r="XDA1167"/>
      <c r="XDB1167"/>
      <c r="XDC1167"/>
      <c r="XDD1167"/>
      <c r="XDE1167"/>
      <c r="XDF1167"/>
      <c r="XDG1167"/>
      <c r="XDH1167"/>
      <c r="XDI1167"/>
      <c r="XDJ1167"/>
      <c r="XDK1167"/>
      <c r="XDL1167"/>
      <c r="XDM1167"/>
      <c r="XDN1167"/>
      <c r="XDO1167"/>
      <c r="XDP1167"/>
      <c r="XDQ1167"/>
      <c r="XDR1167"/>
      <c r="XDS1167"/>
      <c r="XDT1167"/>
      <c r="XDU1167"/>
      <c r="XDV1167"/>
      <c r="XDW1167"/>
      <c r="XDX1167"/>
      <c r="XDY1167"/>
      <c r="XDZ1167"/>
      <c r="XEA1167"/>
      <c r="XEB1167"/>
      <c r="XEC1167"/>
      <c r="XED1167"/>
      <c r="XEE1167"/>
      <c r="XEF1167"/>
      <c r="XEG1167"/>
      <c r="XEH1167"/>
      <c r="XEI1167"/>
      <c r="XEJ1167"/>
      <c r="XEK1167"/>
      <c r="XEL1167"/>
      <c r="XEM1167"/>
      <c r="XEN1167"/>
      <c r="XEO1167"/>
      <c r="XEP1167"/>
      <c r="XEQ1167"/>
      <c r="XER1167"/>
      <c r="XES1167"/>
      <c r="XET1167"/>
      <c r="XEU1167"/>
      <c r="XEV1167"/>
      <c r="XEW1167"/>
      <c r="XEX1167"/>
      <c r="XEY1167"/>
      <c r="XEZ1167"/>
      <c r="XFA1167"/>
      <c r="XFB1167"/>
      <c r="XFC1167"/>
    </row>
    <row r="1168" spans="1:20 16329:16383" s="38" customFormat="1" ht="29.1" customHeight="1" outlineLevel="6" x14ac:dyDescent="0.25">
      <c r="A1168" s="49" t="s">
        <v>2177</v>
      </c>
      <c r="B1168" s="50"/>
      <c r="C1168" s="50"/>
      <c r="D1168" s="3" t="s">
        <v>1987</v>
      </c>
      <c r="E1168" s="3"/>
      <c r="F1168" s="51"/>
      <c r="G1168" s="50" t="s">
        <v>194</v>
      </c>
      <c r="H1168" s="52">
        <f>1</f>
        <v>1</v>
      </c>
      <c r="I1168" s="36"/>
      <c r="J1168" s="52">
        <v>1</v>
      </c>
      <c r="K1168" s="53">
        <f>0</f>
        <v>0</v>
      </c>
      <c r="L1168" s="53">
        <f>0</f>
        <v>0</v>
      </c>
      <c r="M1168" s="53">
        <f>0</f>
        <v>0</v>
      </c>
      <c r="N1168" s="54">
        <f>SUM(K1168:M1168)</f>
        <v>0</v>
      </c>
      <c r="O1168" s="54">
        <f>ROUND((H1168*K1168),2)</f>
        <v>0</v>
      </c>
      <c r="P1168" s="54">
        <f>ROUND((H1168*L1168),2)</f>
        <v>0</v>
      </c>
      <c r="Q1168" s="54">
        <f>ROUND((H1168*M1168),2)</f>
        <v>0</v>
      </c>
      <c r="R1168" s="54">
        <f>ROUND((H1168*N1168),2)</f>
        <v>0</v>
      </c>
      <c r="S1168" s="54"/>
      <c r="T1168" s="36"/>
      <c r="XDA1168"/>
      <c r="XDB1168"/>
      <c r="XDC1168"/>
      <c r="XDD1168"/>
      <c r="XDE1168"/>
      <c r="XDF1168"/>
      <c r="XDG1168"/>
      <c r="XDH1168"/>
      <c r="XDI1168"/>
      <c r="XDJ1168"/>
      <c r="XDK1168"/>
      <c r="XDL1168"/>
      <c r="XDM1168"/>
      <c r="XDN1168"/>
      <c r="XDO1168"/>
      <c r="XDP1168"/>
      <c r="XDQ1168"/>
      <c r="XDR1168"/>
      <c r="XDS1168"/>
      <c r="XDT1168"/>
      <c r="XDU1168"/>
      <c r="XDV1168"/>
      <c r="XDW1168"/>
      <c r="XDX1168"/>
      <c r="XDY1168"/>
      <c r="XDZ1168"/>
      <c r="XEA1168"/>
      <c r="XEB1168"/>
      <c r="XEC1168"/>
      <c r="XED1168"/>
      <c r="XEE1168"/>
      <c r="XEF1168"/>
      <c r="XEG1168"/>
      <c r="XEH1168"/>
      <c r="XEI1168"/>
      <c r="XEJ1168"/>
      <c r="XEK1168"/>
      <c r="XEL1168"/>
      <c r="XEM1168"/>
      <c r="XEN1168"/>
      <c r="XEO1168"/>
      <c r="XEP1168"/>
      <c r="XEQ1168"/>
      <c r="XER1168"/>
      <c r="XES1168"/>
      <c r="XET1168"/>
      <c r="XEU1168"/>
      <c r="XEV1168"/>
      <c r="XEW1168"/>
      <c r="XEX1168"/>
      <c r="XEY1168"/>
      <c r="XEZ1168"/>
      <c r="XFA1168"/>
      <c r="XFB1168"/>
      <c r="XFC1168"/>
    </row>
    <row r="1169" spans="1:20 16329:16383" s="38" customFormat="1" ht="29.1" customHeight="1" outlineLevel="4" x14ac:dyDescent="0.25">
      <c r="A1169" s="60" t="s">
        <v>2178</v>
      </c>
      <c r="B1169" s="61" t="s">
        <v>2179</v>
      </c>
      <c r="C1169" s="61" t="s">
        <v>2180</v>
      </c>
      <c r="D1169" s="1" t="s">
        <v>2181</v>
      </c>
      <c r="E1169" s="1"/>
      <c r="F1169" s="62"/>
      <c r="G1169" s="61" t="s">
        <v>102</v>
      </c>
      <c r="H1169" s="63"/>
      <c r="I1169" s="36"/>
      <c r="J1169" s="63"/>
      <c r="K1169" s="64"/>
      <c r="L1169" s="64"/>
      <c r="M1169" s="64"/>
      <c r="N1169" s="64"/>
      <c r="O1169" s="64">
        <f>O1170+O1183+O1198+O1209</f>
        <v>0</v>
      </c>
      <c r="P1169" s="64">
        <f>P1170+P1183+P1198+P1209</f>
        <v>0</v>
      </c>
      <c r="Q1169" s="64">
        <f>Q1170+Q1183+Q1198+Q1209</f>
        <v>0</v>
      </c>
      <c r="R1169" s="64">
        <f>R1170+R1183+R1198+R1209</f>
        <v>0</v>
      </c>
      <c r="S1169" s="64"/>
      <c r="T1169" s="36"/>
      <c r="XDA1169"/>
      <c r="XDB1169"/>
      <c r="XDC1169"/>
      <c r="XDD1169"/>
      <c r="XDE1169"/>
      <c r="XDF1169"/>
      <c r="XDG1169"/>
      <c r="XDH1169"/>
      <c r="XDI1169"/>
      <c r="XDJ1169"/>
      <c r="XDK1169"/>
      <c r="XDL1169"/>
      <c r="XDM1169"/>
      <c r="XDN1169"/>
      <c r="XDO1169"/>
      <c r="XDP1169"/>
      <c r="XDQ1169"/>
      <c r="XDR1169"/>
      <c r="XDS1169"/>
      <c r="XDT1169"/>
      <c r="XDU1169"/>
      <c r="XDV1169"/>
      <c r="XDW1169"/>
      <c r="XDX1169"/>
      <c r="XDY1169"/>
      <c r="XDZ1169"/>
      <c r="XEA1169"/>
      <c r="XEB1169"/>
      <c r="XEC1169"/>
      <c r="XED1169"/>
      <c r="XEE1169"/>
      <c r="XEF1169"/>
      <c r="XEG1169"/>
      <c r="XEH1169"/>
      <c r="XEI1169"/>
      <c r="XEJ1169"/>
      <c r="XEK1169"/>
      <c r="XEL1169"/>
      <c r="XEM1169"/>
      <c r="XEN1169"/>
      <c r="XEO1169"/>
      <c r="XEP1169"/>
      <c r="XEQ1169"/>
      <c r="XER1169"/>
      <c r="XES1169"/>
      <c r="XET1169"/>
      <c r="XEU1169"/>
      <c r="XEV1169"/>
      <c r="XEW1169"/>
      <c r="XEX1169"/>
      <c r="XEY1169"/>
      <c r="XEZ1169"/>
      <c r="XFA1169"/>
      <c r="XFB1169"/>
      <c r="XFC1169"/>
    </row>
    <row r="1170" spans="1:20 16329:16383" s="38" customFormat="1" ht="29.1" customHeight="1" outlineLevel="5" x14ac:dyDescent="0.25">
      <c r="A1170" s="65" t="s">
        <v>2182</v>
      </c>
      <c r="B1170" s="66" t="s">
        <v>2183</v>
      </c>
      <c r="C1170" s="66"/>
      <c r="D1170" s="98" t="s">
        <v>1873</v>
      </c>
      <c r="E1170" s="98"/>
      <c r="F1170" s="67"/>
      <c r="G1170" s="66"/>
      <c r="H1170" s="68"/>
      <c r="I1170" s="36"/>
      <c r="J1170" s="68"/>
      <c r="K1170" s="69"/>
      <c r="L1170" s="69"/>
      <c r="M1170" s="69"/>
      <c r="N1170" s="69"/>
      <c r="O1170" s="69">
        <f>SUM(O1171:O1182)</f>
        <v>0</v>
      </c>
      <c r="P1170" s="69">
        <f>SUM(P1171:P1182)</f>
        <v>0</v>
      </c>
      <c r="Q1170" s="69">
        <f>SUM(Q1171:Q1182)</f>
        <v>0</v>
      </c>
      <c r="R1170" s="69">
        <f>SUM(R1171:R1182)</f>
        <v>0</v>
      </c>
      <c r="S1170" s="69"/>
      <c r="T1170" s="36"/>
      <c r="XDA1170"/>
      <c r="XDB1170"/>
      <c r="XDC1170"/>
      <c r="XDD1170"/>
      <c r="XDE1170"/>
      <c r="XDF1170"/>
      <c r="XDG1170"/>
      <c r="XDH1170"/>
      <c r="XDI1170"/>
      <c r="XDJ1170"/>
      <c r="XDK1170"/>
      <c r="XDL1170"/>
      <c r="XDM1170"/>
      <c r="XDN1170"/>
      <c r="XDO1170"/>
      <c r="XDP1170"/>
      <c r="XDQ1170"/>
      <c r="XDR1170"/>
      <c r="XDS1170"/>
      <c r="XDT1170"/>
      <c r="XDU1170"/>
      <c r="XDV1170"/>
      <c r="XDW1170"/>
      <c r="XDX1170"/>
      <c r="XDY1170"/>
      <c r="XDZ1170"/>
      <c r="XEA1170"/>
      <c r="XEB1170"/>
      <c r="XEC1170"/>
      <c r="XED1170"/>
      <c r="XEE1170"/>
      <c r="XEF1170"/>
      <c r="XEG1170"/>
      <c r="XEH1170"/>
      <c r="XEI1170"/>
      <c r="XEJ1170"/>
      <c r="XEK1170"/>
      <c r="XEL1170"/>
      <c r="XEM1170"/>
      <c r="XEN1170"/>
      <c r="XEO1170"/>
      <c r="XEP1170"/>
      <c r="XEQ1170"/>
      <c r="XER1170"/>
      <c r="XES1170"/>
      <c r="XET1170"/>
      <c r="XEU1170"/>
      <c r="XEV1170"/>
      <c r="XEW1170"/>
      <c r="XEX1170"/>
      <c r="XEY1170"/>
      <c r="XEZ1170"/>
      <c r="XFA1170"/>
      <c r="XFB1170"/>
      <c r="XFC1170"/>
    </row>
    <row r="1171" spans="1:20 16329:16383" s="38" customFormat="1" ht="29.1" customHeight="1" outlineLevel="6" x14ac:dyDescent="0.25">
      <c r="A1171" s="49" t="s">
        <v>2184</v>
      </c>
      <c r="B1171" s="50"/>
      <c r="C1171" s="50"/>
      <c r="D1171" s="3" t="s">
        <v>2185</v>
      </c>
      <c r="E1171" s="3"/>
      <c r="F1171" s="51"/>
      <c r="G1171" s="50" t="s">
        <v>102</v>
      </c>
      <c r="H1171" s="52">
        <f>1</f>
        <v>1</v>
      </c>
      <c r="I1171" s="36"/>
      <c r="J1171" s="52">
        <v>1</v>
      </c>
      <c r="K1171" s="53">
        <f>0</f>
        <v>0</v>
      </c>
      <c r="L1171" s="53">
        <f>0</f>
        <v>0</v>
      </c>
      <c r="M1171" s="53">
        <f>0</f>
        <v>0</v>
      </c>
      <c r="N1171" s="54">
        <f t="shared" ref="N1171:N1182" si="149">SUM(K1171:M1171)</f>
        <v>0</v>
      </c>
      <c r="O1171" s="54">
        <f t="shared" ref="O1171:O1182" si="150">ROUND((H1171*K1171),2)</f>
        <v>0</v>
      </c>
      <c r="P1171" s="54">
        <f t="shared" ref="P1171:P1182" si="151">ROUND((H1171*L1171),2)</f>
        <v>0</v>
      </c>
      <c r="Q1171" s="54">
        <f t="shared" ref="Q1171:Q1182" si="152">ROUND((H1171*M1171),2)</f>
        <v>0</v>
      </c>
      <c r="R1171" s="54">
        <f t="shared" ref="R1171:R1182" si="153">ROUND((H1171*N1171),2)</f>
        <v>0</v>
      </c>
      <c r="S1171" s="54"/>
      <c r="T1171" s="36"/>
      <c r="XDA1171"/>
      <c r="XDB1171"/>
      <c r="XDC1171"/>
      <c r="XDD1171"/>
      <c r="XDE1171"/>
      <c r="XDF1171"/>
      <c r="XDG1171"/>
      <c r="XDH1171"/>
      <c r="XDI1171"/>
      <c r="XDJ1171"/>
      <c r="XDK1171"/>
      <c r="XDL1171"/>
      <c r="XDM1171"/>
      <c r="XDN1171"/>
      <c r="XDO1171"/>
      <c r="XDP1171"/>
      <c r="XDQ1171"/>
      <c r="XDR1171"/>
      <c r="XDS1171"/>
      <c r="XDT1171"/>
      <c r="XDU1171"/>
      <c r="XDV1171"/>
      <c r="XDW1171"/>
      <c r="XDX1171"/>
      <c r="XDY1171"/>
      <c r="XDZ1171"/>
      <c r="XEA1171"/>
      <c r="XEB1171"/>
      <c r="XEC1171"/>
      <c r="XED1171"/>
      <c r="XEE1171"/>
      <c r="XEF1171"/>
      <c r="XEG1171"/>
      <c r="XEH1171"/>
      <c r="XEI1171"/>
      <c r="XEJ1171"/>
      <c r="XEK1171"/>
      <c r="XEL1171"/>
      <c r="XEM1171"/>
      <c r="XEN1171"/>
      <c r="XEO1171"/>
      <c r="XEP1171"/>
      <c r="XEQ1171"/>
      <c r="XER1171"/>
      <c r="XES1171"/>
      <c r="XET1171"/>
      <c r="XEU1171"/>
      <c r="XEV1171"/>
      <c r="XEW1171"/>
      <c r="XEX1171"/>
      <c r="XEY1171"/>
      <c r="XEZ1171"/>
      <c r="XFA1171"/>
      <c r="XFB1171"/>
      <c r="XFC1171"/>
    </row>
    <row r="1172" spans="1:20 16329:16383" s="38" customFormat="1" ht="29.1" customHeight="1" outlineLevel="6" x14ac:dyDescent="0.25">
      <c r="A1172" s="49" t="s">
        <v>2186</v>
      </c>
      <c r="B1172" s="50"/>
      <c r="C1172" s="50"/>
      <c r="D1172" s="3" t="s">
        <v>2187</v>
      </c>
      <c r="E1172" s="3"/>
      <c r="F1172" s="51"/>
      <c r="G1172" s="50" t="s">
        <v>102</v>
      </c>
      <c r="H1172" s="52">
        <f>1</f>
        <v>1</v>
      </c>
      <c r="I1172" s="36"/>
      <c r="J1172" s="52">
        <v>1</v>
      </c>
      <c r="K1172" s="53">
        <f>0</f>
        <v>0</v>
      </c>
      <c r="L1172" s="53">
        <f>0</f>
        <v>0</v>
      </c>
      <c r="M1172" s="53">
        <f>0</f>
        <v>0</v>
      </c>
      <c r="N1172" s="54">
        <f t="shared" si="149"/>
        <v>0</v>
      </c>
      <c r="O1172" s="54">
        <f t="shared" si="150"/>
        <v>0</v>
      </c>
      <c r="P1172" s="54">
        <f t="shared" si="151"/>
        <v>0</v>
      </c>
      <c r="Q1172" s="54">
        <f t="shared" si="152"/>
        <v>0</v>
      </c>
      <c r="R1172" s="54">
        <f t="shared" si="153"/>
        <v>0</v>
      </c>
      <c r="S1172" s="54"/>
      <c r="T1172" s="36"/>
      <c r="XDA1172"/>
      <c r="XDB1172"/>
      <c r="XDC1172"/>
      <c r="XDD1172"/>
      <c r="XDE1172"/>
      <c r="XDF1172"/>
      <c r="XDG1172"/>
      <c r="XDH1172"/>
      <c r="XDI1172"/>
      <c r="XDJ1172"/>
      <c r="XDK1172"/>
      <c r="XDL1172"/>
      <c r="XDM1172"/>
      <c r="XDN1172"/>
      <c r="XDO1172"/>
      <c r="XDP1172"/>
      <c r="XDQ1172"/>
      <c r="XDR1172"/>
      <c r="XDS1172"/>
      <c r="XDT1172"/>
      <c r="XDU1172"/>
      <c r="XDV1172"/>
      <c r="XDW1172"/>
      <c r="XDX1172"/>
      <c r="XDY1172"/>
      <c r="XDZ1172"/>
      <c r="XEA1172"/>
      <c r="XEB1172"/>
      <c r="XEC1172"/>
      <c r="XED1172"/>
      <c r="XEE1172"/>
      <c r="XEF1172"/>
      <c r="XEG1172"/>
      <c r="XEH1172"/>
      <c r="XEI1172"/>
      <c r="XEJ1172"/>
      <c r="XEK1172"/>
      <c r="XEL1172"/>
      <c r="XEM1172"/>
      <c r="XEN1172"/>
      <c r="XEO1172"/>
      <c r="XEP1172"/>
      <c r="XEQ1172"/>
      <c r="XER1172"/>
      <c r="XES1172"/>
      <c r="XET1172"/>
      <c r="XEU1172"/>
      <c r="XEV1172"/>
      <c r="XEW1172"/>
      <c r="XEX1172"/>
      <c r="XEY1172"/>
      <c r="XEZ1172"/>
      <c r="XFA1172"/>
      <c r="XFB1172"/>
      <c r="XFC1172"/>
    </row>
    <row r="1173" spans="1:20 16329:16383" s="38" customFormat="1" ht="29.1" customHeight="1" outlineLevel="6" x14ac:dyDescent="0.25">
      <c r="A1173" s="49" t="s">
        <v>2188</v>
      </c>
      <c r="B1173" s="50"/>
      <c r="C1173" s="50"/>
      <c r="D1173" s="3" t="s">
        <v>2189</v>
      </c>
      <c r="E1173" s="3"/>
      <c r="F1173" s="51"/>
      <c r="G1173" s="50" t="s">
        <v>102</v>
      </c>
      <c r="H1173" s="52">
        <f>1</f>
        <v>1</v>
      </c>
      <c r="I1173" s="36"/>
      <c r="J1173" s="52">
        <v>1</v>
      </c>
      <c r="K1173" s="53">
        <f>0</f>
        <v>0</v>
      </c>
      <c r="L1173" s="53">
        <f>0</f>
        <v>0</v>
      </c>
      <c r="M1173" s="53">
        <f>0</f>
        <v>0</v>
      </c>
      <c r="N1173" s="54">
        <f t="shared" si="149"/>
        <v>0</v>
      </c>
      <c r="O1173" s="54">
        <f t="shared" si="150"/>
        <v>0</v>
      </c>
      <c r="P1173" s="54">
        <f t="shared" si="151"/>
        <v>0</v>
      </c>
      <c r="Q1173" s="54">
        <f t="shared" si="152"/>
        <v>0</v>
      </c>
      <c r="R1173" s="54">
        <f t="shared" si="153"/>
        <v>0</v>
      </c>
      <c r="S1173" s="54"/>
      <c r="T1173" s="36"/>
      <c r="XDA1173"/>
      <c r="XDB1173"/>
      <c r="XDC1173"/>
      <c r="XDD1173"/>
      <c r="XDE1173"/>
      <c r="XDF1173"/>
      <c r="XDG1173"/>
      <c r="XDH1173"/>
      <c r="XDI1173"/>
      <c r="XDJ1173"/>
      <c r="XDK1173"/>
      <c r="XDL1173"/>
      <c r="XDM1173"/>
      <c r="XDN1173"/>
      <c r="XDO1173"/>
      <c r="XDP1173"/>
      <c r="XDQ1173"/>
      <c r="XDR1173"/>
      <c r="XDS1173"/>
      <c r="XDT1173"/>
      <c r="XDU1173"/>
      <c r="XDV1173"/>
      <c r="XDW1173"/>
      <c r="XDX1173"/>
      <c r="XDY1173"/>
      <c r="XDZ1173"/>
      <c r="XEA1173"/>
      <c r="XEB1173"/>
      <c r="XEC1173"/>
      <c r="XED1173"/>
      <c r="XEE1173"/>
      <c r="XEF1173"/>
      <c r="XEG1173"/>
      <c r="XEH1173"/>
      <c r="XEI1173"/>
      <c r="XEJ1173"/>
      <c r="XEK1173"/>
      <c r="XEL1173"/>
      <c r="XEM1173"/>
      <c r="XEN1173"/>
      <c r="XEO1173"/>
      <c r="XEP1173"/>
      <c r="XEQ1173"/>
      <c r="XER1173"/>
      <c r="XES1173"/>
      <c r="XET1173"/>
      <c r="XEU1173"/>
      <c r="XEV1173"/>
      <c r="XEW1173"/>
      <c r="XEX1173"/>
      <c r="XEY1173"/>
      <c r="XEZ1173"/>
      <c r="XFA1173"/>
      <c r="XFB1173"/>
      <c r="XFC1173"/>
    </row>
    <row r="1174" spans="1:20 16329:16383" s="38" customFormat="1" ht="29.1" customHeight="1" outlineLevel="6" x14ac:dyDescent="0.25">
      <c r="A1174" s="49" t="s">
        <v>2190</v>
      </c>
      <c r="B1174" s="50"/>
      <c r="C1174" s="50"/>
      <c r="D1174" s="3" t="s">
        <v>1875</v>
      </c>
      <c r="E1174" s="3"/>
      <c r="F1174" s="51"/>
      <c r="G1174" s="50" t="s">
        <v>102</v>
      </c>
      <c r="H1174" s="52">
        <f>1</f>
        <v>1</v>
      </c>
      <c r="I1174" s="36"/>
      <c r="J1174" s="52">
        <v>1</v>
      </c>
      <c r="K1174" s="53">
        <f>0</f>
        <v>0</v>
      </c>
      <c r="L1174" s="53">
        <f>0</f>
        <v>0</v>
      </c>
      <c r="M1174" s="53">
        <f>0</f>
        <v>0</v>
      </c>
      <c r="N1174" s="54">
        <f t="shared" si="149"/>
        <v>0</v>
      </c>
      <c r="O1174" s="54">
        <f t="shared" si="150"/>
        <v>0</v>
      </c>
      <c r="P1174" s="54">
        <f t="shared" si="151"/>
        <v>0</v>
      </c>
      <c r="Q1174" s="54">
        <f t="shared" si="152"/>
        <v>0</v>
      </c>
      <c r="R1174" s="54">
        <f t="shared" si="153"/>
        <v>0</v>
      </c>
      <c r="S1174" s="54"/>
      <c r="T1174" s="36"/>
      <c r="XDA1174"/>
      <c r="XDB1174"/>
      <c r="XDC1174"/>
      <c r="XDD1174"/>
      <c r="XDE1174"/>
      <c r="XDF1174"/>
      <c r="XDG1174"/>
      <c r="XDH1174"/>
      <c r="XDI1174"/>
      <c r="XDJ1174"/>
      <c r="XDK1174"/>
      <c r="XDL1174"/>
      <c r="XDM1174"/>
      <c r="XDN1174"/>
      <c r="XDO1174"/>
      <c r="XDP1174"/>
      <c r="XDQ1174"/>
      <c r="XDR1174"/>
      <c r="XDS1174"/>
      <c r="XDT1174"/>
      <c r="XDU1174"/>
      <c r="XDV1174"/>
      <c r="XDW1174"/>
      <c r="XDX1174"/>
      <c r="XDY1174"/>
      <c r="XDZ1174"/>
      <c r="XEA1174"/>
      <c r="XEB1174"/>
      <c r="XEC1174"/>
      <c r="XED1174"/>
      <c r="XEE1174"/>
      <c r="XEF1174"/>
      <c r="XEG1174"/>
      <c r="XEH1174"/>
      <c r="XEI1174"/>
      <c r="XEJ1174"/>
      <c r="XEK1174"/>
      <c r="XEL1174"/>
      <c r="XEM1174"/>
      <c r="XEN1174"/>
      <c r="XEO1174"/>
      <c r="XEP1174"/>
      <c r="XEQ1174"/>
      <c r="XER1174"/>
      <c r="XES1174"/>
      <c r="XET1174"/>
      <c r="XEU1174"/>
      <c r="XEV1174"/>
      <c r="XEW1174"/>
      <c r="XEX1174"/>
      <c r="XEY1174"/>
      <c r="XEZ1174"/>
      <c r="XFA1174"/>
      <c r="XFB1174"/>
      <c r="XFC1174"/>
    </row>
    <row r="1175" spans="1:20 16329:16383" s="38" customFormat="1" ht="29.1" customHeight="1" outlineLevel="6" x14ac:dyDescent="0.25">
      <c r="A1175" s="49" t="s">
        <v>2191</v>
      </c>
      <c r="B1175" s="50"/>
      <c r="C1175" s="50"/>
      <c r="D1175" s="3" t="s">
        <v>2192</v>
      </c>
      <c r="E1175" s="3"/>
      <c r="F1175" s="51"/>
      <c r="G1175" s="50" t="s">
        <v>102</v>
      </c>
      <c r="H1175" s="52">
        <f>1</f>
        <v>1</v>
      </c>
      <c r="I1175" s="36"/>
      <c r="J1175" s="52">
        <v>1</v>
      </c>
      <c r="K1175" s="53">
        <f>0</f>
        <v>0</v>
      </c>
      <c r="L1175" s="53">
        <f>0</f>
        <v>0</v>
      </c>
      <c r="M1175" s="53">
        <f>0</f>
        <v>0</v>
      </c>
      <c r="N1175" s="54">
        <f t="shared" si="149"/>
        <v>0</v>
      </c>
      <c r="O1175" s="54">
        <f t="shared" si="150"/>
        <v>0</v>
      </c>
      <c r="P1175" s="54">
        <f t="shared" si="151"/>
        <v>0</v>
      </c>
      <c r="Q1175" s="54">
        <f t="shared" si="152"/>
        <v>0</v>
      </c>
      <c r="R1175" s="54">
        <f t="shared" si="153"/>
        <v>0</v>
      </c>
      <c r="S1175" s="54"/>
      <c r="T1175" s="36"/>
      <c r="XDA1175"/>
      <c r="XDB1175"/>
      <c r="XDC1175"/>
      <c r="XDD1175"/>
      <c r="XDE1175"/>
      <c r="XDF1175"/>
      <c r="XDG1175"/>
      <c r="XDH1175"/>
      <c r="XDI1175"/>
      <c r="XDJ1175"/>
      <c r="XDK1175"/>
      <c r="XDL1175"/>
      <c r="XDM1175"/>
      <c r="XDN1175"/>
      <c r="XDO1175"/>
      <c r="XDP1175"/>
      <c r="XDQ1175"/>
      <c r="XDR1175"/>
      <c r="XDS1175"/>
      <c r="XDT1175"/>
      <c r="XDU1175"/>
      <c r="XDV1175"/>
      <c r="XDW1175"/>
      <c r="XDX1175"/>
      <c r="XDY1175"/>
      <c r="XDZ1175"/>
      <c r="XEA1175"/>
      <c r="XEB1175"/>
      <c r="XEC1175"/>
      <c r="XED1175"/>
      <c r="XEE1175"/>
      <c r="XEF1175"/>
      <c r="XEG1175"/>
      <c r="XEH1175"/>
      <c r="XEI1175"/>
      <c r="XEJ1175"/>
      <c r="XEK1175"/>
      <c r="XEL1175"/>
      <c r="XEM1175"/>
      <c r="XEN1175"/>
      <c r="XEO1175"/>
      <c r="XEP1175"/>
      <c r="XEQ1175"/>
      <c r="XER1175"/>
      <c r="XES1175"/>
      <c r="XET1175"/>
      <c r="XEU1175"/>
      <c r="XEV1175"/>
      <c r="XEW1175"/>
      <c r="XEX1175"/>
      <c r="XEY1175"/>
      <c r="XEZ1175"/>
      <c r="XFA1175"/>
      <c r="XFB1175"/>
      <c r="XFC1175"/>
    </row>
    <row r="1176" spans="1:20 16329:16383" s="38" customFormat="1" ht="29.1" customHeight="1" outlineLevel="6" x14ac:dyDescent="0.25">
      <c r="A1176" s="49" t="s">
        <v>2193</v>
      </c>
      <c r="B1176" s="50"/>
      <c r="C1176" s="50"/>
      <c r="D1176" s="3" t="s">
        <v>2194</v>
      </c>
      <c r="E1176" s="3"/>
      <c r="F1176" s="51"/>
      <c r="G1176" s="50" t="s">
        <v>102</v>
      </c>
      <c r="H1176" s="52">
        <f>1</f>
        <v>1</v>
      </c>
      <c r="I1176" s="36"/>
      <c r="J1176" s="52">
        <v>1</v>
      </c>
      <c r="K1176" s="53">
        <f>0</f>
        <v>0</v>
      </c>
      <c r="L1176" s="53">
        <f>0</f>
        <v>0</v>
      </c>
      <c r="M1176" s="53">
        <f>0</f>
        <v>0</v>
      </c>
      <c r="N1176" s="54">
        <f t="shared" si="149"/>
        <v>0</v>
      </c>
      <c r="O1176" s="54">
        <f t="shared" si="150"/>
        <v>0</v>
      </c>
      <c r="P1176" s="54">
        <f t="shared" si="151"/>
        <v>0</v>
      </c>
      <c r="Q1176" s="54">
        <f t="shared" si="152"/>
        <v>0</v>
      </c>
      <c r="R1176" s="54">
        <f t="shared" si="153"/>
        <v>0</v>
      </c>
      <c r="S1176" s="54"/>
      <c r="T1176" s="36"/>
      <c r="XDA1176"/>
      <c r="XDB1176"/>
      <c r="XDC1176"/>
      <c r="XDD1176"/>
      <c r="XDE1176"/>
      <c r="XDF1176"/>
      <c r="XDG1176"/>
      <c r="XDH1176"/>
      <c r="XDI1176"/>
      <c r="XDJ1176"/>
      <c r="XDK1176"/>
      <c r="XDL1176"/>
      <c r="XDM1176"/>
      <c r="XDN1176"/>
      <c r="XDO1176"/>
      <c r="XDP1176"/>
      <c r="XDQ1176"/>
      <c r="XDR1176"/>
      <c r="XDS1176"/>
      <c r="XDT1176"/>
      <c r="XDU1176"/>
      <c r="XDV1176"/>
      <c r="XDW1176"/>
      <c r="XDX1176"/>
      <c r="XDY1176"/>
      <c r="XDZ1176"/>
      <c r="XEA1176"/>
      <c r="XEB1176"/>
      <c r="XEC1176"/>
      <c r="XED1176"/>
      <c r="XEE1176"/>
      <c r="XEF1176"/>
      <c r="XEG1176"/>
      <c r="XEH1176"/>
      <c r="XEI1176"/>
      <c r="XEJ1176"/>
      <c r="XEK1176"/>
      <c r="XEL1176"/>
      <c r="XEM1176"/>
      <c r="XEN1176"/>
      <c r="XEO1176"/>
      <c r="XEP1176"/>
      <c r="XEQ1176"/>
      <c r="XER1176"/>
      <c r="XES1176"/>
      <c r="XET1176"/>
      <c r="XEU1176"/>
      <c r="XEV1176"/>
      <c r="XEW1176"/>
      <c r="XEX1176"/>
      <c r="XEY1176"/>
      <c r="XEZ1176"/>
      <c r="XFA1176"/>
      <c r="XFB1176"/>
      <c r="XFC1176"/>
    </row>
    <row r="1177" spans="1:20 16329:16383" s="38" customFormat="1" ht="29.1" customHeight="1" outlineLevel="6" x14ac:dyDescent="0.25">
      <c r="A1177" s="49" t="s">
        <v>2195</v>
      </c>
      <c r="B1177" s="50"/>
      <c r="C1177" s="50"/>
      <c r="D1177" s="3" t="s">
        <v>2196</v>
      </c>
      <c r="E1177" s="3"/>
      <c r="F1177" s="51"/>
      <c r="G1177" s="50" t="s">
        <v>102</v>
      </c>
      <c r="H1177" s="52">
        <f>1</f>
        <v>1</v>
      </c>
      <c r="I1177" s="36"/>
      <c r="J1177" s="52">
        <v>1</v>
      </c>
      <c r="K1177" s="53">
        <f>0</f>
        <v>0</v>
      </c>
      <c r="L1177" s="53">
        <f>0</f>
        <v>0</v>
      </c>
      <c r="M1177" s="53">
        <f>0</f>
        <v>0</v>
      </c>
      <c r="N1177" s="54">
        <f t="shared" si="149"/>
        <v>0</v>
      </c>
      <c r="O1177" s="54">
        <f t="shared" si="150"/>
        <v>0</v>
      </c>
      <c r="P1177" s="54">
        <f t="shared" si="151"/>
        <v>0</v>
      </c>
      <c r="Q1177" s="54">
        <f t="shared" si="152"/>
        <v>0</v>
      </c>
      <c r="R1177" s="54">
        <f t="shared" si="153"/>
        <v>0</v>
      </c>
      <c r="S1177" s="54"/>
      <c r="T1177" s="36"/>
      <c r="XDA1177"/>
      <c r="XDB1177"/>
      <c r="XDC1177"/>
      <c r="XDD1177"/>
      <c r="XDE1177"/>
      <c r="XDF1177"/>
      <c r="XDG1177"/>
      <c r="XDH1177"/>
      <c r="XDI1177"/>
      <c r="XDJ1177"/>
      <c r="XDK1177"/>
      <c r="XDL1177"/>
      <c r="XDM1177"/>
      <c r="XDN1177"/>
      <c r="XDO1177"/>
      <c r="XDP1177"/>
      <c r="XDQ1177"/>
      <c r="XDR1177"/>
      <c r="XDS1177"/>
      <c r="XDT1177"/>
      <c r="XDU1177"/>
      <c r="XDV1177"/>
      <c r="XDW1177"/>
      <c r="XDX1177"/>
      <c r="XDY1177"/>
      <c r="XDZ1177"/>
      <c r="XEA1177"/>
      <c r="XEB1177"/>
      <c r="XEC1177"/>
      <c r="XED1177"/>
      <c r="XEE1177"/>
      <c r="XEF1177"/>
      <c r="XEG1177"/>
      <c r="XEH1177"/>
      <c r="XEI1177"/>
      <c r="XEJ1177"/>
      <c r="XEK1177"/>
      <c r="XEL1177"/>
      <c r="XEM1177"/>
      <c r="XEN1177"/>
      <c r="XEO1177"/>
      <c r="XEP1177"/>
      <c r="XEQ1177"/>
      <c r="XER1177"/>
      <c r="XES1177"/>
      <c r="XET1177"/>
      <c r="XEU1177"/>
      <c r="XEV1177"/>
      <c r="XEW1177"/>
      <c r="XEX1177"/>
      <c r="XEY1177"/>
      <c r="XEZ1177"/>
      <c r="XFA1177"/>
      <c r="XFB1177"/>
      <c r="XFC1177"/>
    </row>
    <row r="1178" spans="1:20 16329:16383" s="38" customFormat="1" ht="29.1" customHeight="1" outlineLevel="6" x14ac:dyDescent="0.25">
      <c r="A1178" s="49" t="s">
        <v>2197</v>
      </c>
      <c r="B1178" s="50"/>
      <c r="C1178" s="50"/>
      <c r="D1178" s="3" t="s">
        <v>2198</v>
      </c>
      <c r="E1178" s="3"/>
      <c r="F1178" s="51"/>
      <c r="G1178" s="50" t="s">
        <v>102</v>
      </c>
      <c r="H1178" s="52">
        <f>1</f>
        <v>1</v>
      </c>
      <c r="I1178" s="36"/>
      <c r="J1178" s="52">
        <v>1</v>
      </c>
      <c r="K1178" s="53">
        <f>0</f>
        <v>0</v>
      </c>
      <c r="L1178" s="53">
        <f>0</f>
        <v>0</v>
      </c>
      <c r="M1178" s="53">
        <f>0</f>
        <v>0</v>
      </c>
      <c r="N1178" s="54">
        <f t="shared" si="149"/>
        <v>0</v>
      </c>
      <c r="O1178" s="54">
        <f t="shared" si="150"/>
        <v>0</v>
      </c>
      <c r="P1178" s="54">
        <f t="shared" si="151"/>
        <v>0</v>
      </c>
      <c r="Q1178" s="54">
        <f t="shared" si="152"/>
        <v>0</v>
      </c>
      <c r="R1178" s="54">
        <f t="shared" si="153"/>
        <v>0</v>
      </c>
      <c r="S1178" s="54"/>
      <c r="T1178" s="36"/>
      <c r="XDA1178"/>
      <c r="XDB1178"/>
      <c r="XDC1178"/>
      <c r="XDD1178"/>
      <c r="XDE1178"/>
      <c r="XDF1178"/>
      <c r="XDG1178"/>
      <c r="XDH1178"/>
      <c r="XDI1178"/>
      <c r="XDJ1178"/>
      <c r="XDK1178"/>
      <c r="XDL1178"/>
      <c r="XDM1178"/>
      <c r="XDN1178"/>
      <c r="XDO1178"/>
      <c r="XDP1178"/>
      <c r="XDQ1178"/>
      <c r="XDR1178"/>
      <c r="XDS1178"/>
      <c r="XDT1178"/>
      <c r="XDU1178"/>
      <c r="XDV1178"/>
      <c r="XDW1178"/>
      <c r="XDX1178"/>
      <c r="XDY1178"/>
      <c r="XDZ1178"/>
      <c r="XEA1178"/>
      <c r="XEB1178"/>
      <c r="XEC1178"/>
      <c r="XED1178"/>
      <c r="XEE1178"/>
      <c r="XEF1178"/>
      <c r="XEG1178"/>
      <c r="XEH1178"/>
      <c r="XEI1178"/>
      <c r="XEJ1178"/>
      <c r="XEK1178"/>
      <c r="XEL1178"/>
      <c r="XEM1178"/>
      <c r="XEN1178"/>
      <c r="XEO1178"/>
      <c r="XEP1178"/>
      <c r="XEQ1178"/>
      <c r="XER1178"/>
      <c r="XES1178"/>
      <c r="XET1178"/>
      <c r="XEU1178"/>
      <c r="XEV1178"/>
      <c r="XEW1178"/>
      <c r="XEX1178"/>
      <c r="XEY1178"/>
      <c r="XEZ1178"/>
      <c r="XFA1178"/>
      <c r="XFB1178"/>
      <c r="XFC1178"/>
    </row>
    <row r="1179" spans="1:20 16329:16383" s="38" customFormat="1" ht="29.1" customHeight="1" outlineLevel="6" x14ac:dyDescent="0.25">
      <c r="A1179" s="49" t="s">
        <v>2199</v>
      </c>
      <c r="B1179" s="50"/>
      <c r="C1179" s="50"/>
      <c r="D1179" s="3" t="s">
        <v>2200</v>
      </c>
      <c r="E1179" s="3"/>
      <c r="F1179" s="51"/>
      <c r="G1179" s="50" t="s">
        <v>102</v>
      </c>
      <c r="H1179" s="52">
        <f>1</f>
        <v>1</v>
      </c>
      <c r="I1179" s="36"/>
      <c r="J1179" s="52">
        <v>1</v>
      </c>
      <c r="K1179" s="53">
        <f>0</f>
        <v>0</v>
      </c>
      <c r="L1179" s="53">
        <f>0</f>
        <v>0</v>
      </c>
      <c r="M1179" s="53">
        <f>0</f>
        <v>0</v>
      </c>
      <c r="N1179" s="54">
        <f t="shared" si="149"/>
        <v>0</v>
      </c>
      <c r="O1179" s="54">
        <f t="shared" si="150"/>
        <v>0</v>
      </c>
      <c r="P1179" s="54">
        <f t="shared" si="151"/>
        <v>0</v>
      </c>
      <c r="Q1179" s="54">
        <f t="shared" si="152"/>
        <v>0</v>
      </c>
      <c r="R1179" s="54">
        <f t="shared" si="153"/>
        <v>0</v>
      </c>
      <c r="S1179" s="54"/>
      <c r="T1179" s="36"/>
      <c r="XDA1179"/>
      <c r="XDB1179"/>
      <c r="XDC1179"/>
      <c r="XDD1179"/>
      <c r="XDE1179"/>
      <c r="XDF1179"/>
      <c r="XDG1179"/>
      <c r="XDH1179"/>
      <c r="XDI1179"/>
      <c r="XDJ1179"/>
      <c r="XDK1179"/>
      <c r="XDL1179"/>
      <c r="XDM1179"/>
      <c r="XDN1179"/>
      <c r="XDO1179"/>
      <c r="XDP1179"/>
      <c r="XDQ1179"/>
      <c r="XDR1179"/>
      <c r="XDS1179"/>
      <c r="XDT1179"/>
      <c r="XDU1179"/>
      <c r="XDV1179"/>
      <c r="XDW1179"/>
      <c r="XDX1179"/>
      <c r="XDY1179"/>
      <c r="XDZ1179"/>
      <c r="XEA1179"/>
      <c r="XEB1179"/>
      <c r="XEC1179"/>
      <c r="XED1179"/>
      <c r="XEE1179"/>
      <c r="XEF1179"/>
      <c r="XEG1179"/>
      <c r="XEH1179"/>
      <c r="XEI1179"/>
      <c r="XEJ1179"/>
      <c r="XEK1179"/>
      <c r="XEL1179"/>
      <c r="XEM1179"/>
      <c r="XEN1179"/>
      <c r="XEO1179"/>
      <c r="XEP1179"/>
      <c r="XEQ1179"/>
      <c r="XER1179"/>
      <c r="XES1179"/>
      <c r="XET1179"/>
      <c r="XEU1179"/>
      <c r="XEV1179"/>
      <c r="XEW1179"/>
      <c r="XEX1179"/>
      <c r="XEY1179"/>
      <c r="XEZ1179"/>
      <c r="XFA1179"/>
      <c r="XFB1179"/>
      <c r="XFC1179"/>
    </row>
    <row r="1180" spans="1:20 16329:16383" s="38" customFormat="1" ht="29.1" customHeight="1" outlineLevel="6" x14ac:dyDescent="0.25">
      <c r="A1180" s="49" t="s">
        <v>2201</v>
      </c>
      <c r="B1180" s="50"/>
      <c r="C1180" s="50"/>
      <c r="D1180" s="3" t="s">
        <v>2202</v>
      </c>
      <c r="E1180" s="3"/>
      <c r="F1180" s="51"/>
      <c r="G1180" s="50" t="s">
        <v>102</v>
      </c>
      <c r="H1180" s="52">
        <f>1</f>
        <v>1</v>
      </c>
      <c r="I1180" s="36"/>
      <c r="J1180" s="52">
        <v>1</v>
      </c>
      <c r="K1180" s="53">
        <f>0</f>
        <v>0</v>
      </c>
      <c r="L1180" s="53">
        <f>0</f>
        <v>0</v>
      </c>
      <c r="M1180" s="53">
        <f>0</f>
        <v>0</v>
      </c>
      <c r="N1180" s="54">
        <f t="shared" si="149"/>
        <v>0</v>
      </c>
      <c r="O1180" s="54">
        <f t="shared" si="150"/>
        <v>0</v>
      </c>
      <c r="P1180" s="54">
        <f t="shared" si="151"/>
        <v>0</v>
      </c>
      <c r="Q1180" s="54">
        <f t="shared" si="152"/>
        <v>0</v>
      </c>
      <c r="R1180" s="54">
        <f t="shared" si="153"/>
        <v>0</v>
      </c>
      <c r="S1180" s="54"/>
      <c r="T1180" s="36"/>
      <c r="XDA1180"/>
      <c r="XDB1180"/>
      <c r="XDC1180"/>
      <c r="XDD1180"/>
      <c r="XDE1180"/>
      <c r="XDF1180"/>
      <c r="XDG1180"/>
      <c r="XDH1180"/>
      <c r="XDI1180"/>
      <c r="XDJ1180"/>
      <c r="XDK1180"/>
      <c r="XDL1180"/>
      <c r="XDM1180"/>
      <c r="XDN1180"/>
      <c r="XDO1180"/>
      <c r="XDP1180"/>
      <c r="XDQ1180"/>
      <c r="XDR1180"/>
      <c r="XDS1180"/>
      <c r="XDT1180"/>
      <c r="XDU1180"/>
      <c r="XDV1180"/>
      <c r="XDW1180"/>
      <c r="XDX1180"/>
      <c r="XDY1180"/>
      <c r="XDZ1180"/>
      <c r="XEA1180"/>
      <c r="XEB1180"/>
      <c r="XEC1180"/>
      <c r="XED1180"/>
      <c r="XEE1180"/>
      <c r="XEF1180"/>
      <c r="XEG1180"/>
      <c r="XEH1180"/>
      <c r="XEI1180"/>
      <c r="XEJ1180"/>
      <c r="XEK1180"/>
      <c r="XEL1180"/>
      <c r="XEM1180"/>
      <c r="XEN1180"/>
      <c r="XEO1180"/>
      <c r="XEP1180"/>
      <c r="XEQ1180"/>
      <c r="XER1180"/>
      <c r="XES1180"/>
      <c r="XET1180"/>
      <c r="XEU1180"/>
      <c r="XEV1180"/>
      <c r="XEW1180"/>
      <c r="XEX1180"/>
      <c r="XEY1180"/>
      <c r="XEZ1180"/>
      <c r="XFA1180"/>
      <c r="XFB1180"/>
      <c r="XFC1180"/>
    </row>
    <row r="1181" spans="1:20 16329:16383" s="38" customFormat="1" ht="29.1" customHeight="1" outlineLevel="6" x14ac:dyDescent="0.25">
      <c r="A1181" s="49" t="s">
        <v>2203</v>
      </c>
      <c r="B1181" s="50"/>
      <c r="C1181" s="50"/>
      <c r="D1181" s="3" t="s">
        <v>2204</v>
      </c>
      <c r="E1181" s="3"/>
      <c r="F1181" s="51"/>
      <c r="G1181" s="50" t="s">
        <v>194</v>
      </c>
      <c r="H1181" s="52">
        <f>1</f>
        <v>1</v>
      </c>
      <c r="I1181" s="36"/>
      <c r="J1181" s="52">
        <v>1</v>
      </c>
      <c r="K1181" s="53">
        <f>0</f>
        <v>0</v>
      </c>
      <c r="L1181" s="53">
        <f>0</f>
        <v>0</v>
      </c>
      <c r="M1181" s="53">
        <f>0</f>
        <v>0</v>
      </c>
      <c r="N1181" s="54">
        <f t="shared" si="149"/>
        <v>0</v>
      </c>
      <c r="O1181" s="54">
        <f t="shared" si="150"/>
        <v>0</v>
      </c>
      <c r="P1181" s="54">
        <f t="shared" si="151"/>
        <v>0</v>
      </c>
      <c r="Q1181" s="54">
        <f t="shared" si="152"/>
        <v>0</v>
      </c>
      <c r="R1181" s="54">
        <f t="shared" si="153"/>
        <v>0</v>
      </c>
      <c r="S1181" s="54"/>
      <c r="T1181" s="36"/>
      <c r="XDA1181"/>
      <c r="XDB1181"/>
      <c r="XDC1181"/>
      <c r="XDD1181"/>
      <c r="XDE1181"/>
      <c r="XDF1181"/>
      <c r="XDG1181"/>
      <c r="XDH1181"/>
      <c r="XDI1181"/>
      <c r="XDJ1181"/>
      <c r="XDK1181"/>
      <c r="XDL1181"/>
      <c r="XDM1181"/>
      <c r="XDN1181"/>
      <c r="XDO1181"/>
      <c r="XDP1181"/>
      <c r="XDQ1181"/>
      <c r="XDR1181"/>
      <c r="XDS1181"/>
      <c r="XDT1181"/>
      <c r="XDU1181"/>
      <c r="XDV1181"/>
      <c r="XDW1181"/>
      <c r="XDX1181"/>
      <c r="XDY1181"/>
      <c r="XDZ1181"/>
      <c r="XEA1181"/>
      <c r="XEB1181"/>
      <c r="XEC1181"/>
      <c r="XED1181"/>
      <c r="XEE1181"/>
      <c r="XEF1181"/>
      <c r="XEG1181"/>
      <c r="XEH1181"/>
      <c r="XEI1181"/>
      <c r="XEJ1181"/>
      <c r="XEK1181"/>
      <c r="XEL1181"/>
      <c r="XEM1181"/>
      <c r="XEN1181"/>
      <c r="XEO1181"/>
      <c r="XEP1181"/>
      <c r="XEQ1181"/>
      <c r="XER1181"/>
      <c r="XES1181"/>
      <c r="XET1181"/>
      <c r="XEU1181"/>
      <c r="XEV1181"/>
      <c r="XEW1181"/>
      <c r="XEX1181"/>
      <c r="XEY1181"/>
      <c r="XEZ1181"/>
      <c r="XFA1181"/>
      <c r="XFB1181"/>
      <c r="XFC1181"/>
    </row>
    <row r="1182" spans="1:20 16329:16383" s="38" customFormat="1" ht="29.1" customHeight="1" outlineLevel="6" x14ac:dyDescent="0.25">
      <c r="A1182" s="49" t="s">
        <v>2205</v>
      </c>
      <c r="B1182" s="50"/>
      <c r="C1182" s="50"/>
      <c r="D1182" s="3" t="s">
        <v>2206</v>
      </c>
      <c r="E1182" s="3"/>
      <c r="F1182" s="51"/>
      <c r="G1182" s="50" t="s">
        <v>194</v>
      </c>
      <c r="H1182" s="52">
        <f>1</f>
        <v>1</v>
      </c>
      <c r="I1182" s="36"/>
      <c r="J1182" s="52">
        <v>1</v>
      </c>
      <c r="K1182" s="53">
        <f>0</f>
        <v>0</v>
      </c>
      <c r="L1182" s="53">
        <f>0</f>
        <v>0</v>
      </c>
      <c r="M1182" s="53">
        <f>0</f>
        <v>0</v>
      </c>
      <c r="N1182" s="54">
        <f t="shared" si="149"/>
        <v>0</v>
      </c>
      <c r="O1182" s="54">
        <f t="shared" si="150"/>
        <v>0</v>
      </c>
      <c r="P1182" s="54">
        <f t="shared" si="151"/>
        <v>0</v>
      </c>
      <c r="Q1182" s="54">
        <f t="shared" si="152"/>
        <v>0</v>
      </c>
      <c r="R1182" s="54">
        <f t="shared" si="153"/>
        <v>0</v>
      </c>
      <c r="S1182" s="54"/>
      <c r="T1182" s="36"/>
      <c r="XDA1182"/>
      <c r="XDB1182"/>
      <c r="XDC1182"/>
      <c r="XDD1182"/>
      <c r="XDE1182"/>
      <c r="XDF1182"/>
      <c r="XDG1182"/>
      <c r="XDH1182"/>
      <c r="XDI1182"/>
      <c r="XDJ1182"/>
      <c r="XDK1182"/>
      <c r="XDL1182"/>
      <c r="XDM1182"/>
      <c r="XDN1182"/>
      <c r="XDO1182"/>
      <c r="XDP1182"/>
      <c r="XDQ1182"/>
      <c r="XDR1182"/>
      <c r="XDS1182"/>
      <c r="XDT1182"/>
      <c r="XDU1182"/>
      <c r="XDV1182"/>
      <c r="XDW1182"/>
      <c r="XDX1182"/>
      <c r="XDY1182"/>
      <c r="XDZ1182"/>
      <c r="XEA1182"/>
      <c r="XEB1182"/>
      <c r="XEC1182"/>
      <c r="XED1182"/>
      <c r="XEE1182"/>
      <c r="XEF1182"/>
      <c r="XEG1182"/>
      <c r="XEH1182"/>
      <c r="XEI1182"/>
      <c r="XEJ1182"/>
      <c r="XEK1182"/>
      <c r="XEL1182"/>
      <c r="XEM1182"/>
      <c r="XEN1182"/>
      <c r="XEO1182"/>
      <c r="XEP1182"/>
      <c r="XEQ1182"/>
      <c r="XER1182"/>
      <c r="XES1182"/>
      <c r="XET1182"/>
      <c r="XEU1182"/>
      <c r="XEV1182"/>
      <c r="XEW1182"/>
      <c r="XEX1182"/>
      <c r="XEY1182"/>
      <c r="XEZ1182"/>
      <c r="XFA1182"/>
      <c r="XFB1182"/>
      <c r="XFC1182"/>
    </row>
    <row r="1183" spans="1:20 16329:16383" s="38" customFormat="1" ht="29.1" customHeight="1" outlineLevel="5" x14ac:dyDescent="0.25">
      <c r="A1183" s="65" t="s">
        <v>2207</v>
      </c>
      <c r="B1183" s="66" t="s">
        <v>2208</v>
      </c>
      <c r="C1183" s="66"/>
      <c r="D1183" s="98" t="s">
        <v>344</v>
      </c>
      <c r="E1183" s="98"/>
      <c r="F1183" s="67"/>
      <c r="G1183" s="66"/>
      <c r="H1183" s="68"/>
      <c r="I1183" s="36"/>
      <c r="J1183" s="68"/>
      <c r="K1183" s="69"/>
      <c r="L1183" s="69"/>
      <c r="M1183" s="69"/>
      <c r="N1183" s="69"/>
      <c r="O1183" s="69">
        <f>SUM(O1184:O1197)</f>
        <v>0</v>
      </c>
      <c r="P1183" s="69">
        <f>SUM(P1184:P1197)</f>
        <v>0</v>
      </c>
      <c r="Q1183" s="69">
        <f>SUM(Q1184:Q1197)</f>
        <v>0</v>
      </c>
      <c r="R1183" s="69">
        <f>SUM(R1184:R1197)</f>
        <v>0</v>
      </c>
      <c r="S1183" s="69"/>
      <c r="T1183" s="36"/>
      <c r="XDA1183"/>
      <c r="XDB1183"/>
      <c r="XDC1183"/>
      <c r="XDD1183"/>
      <c r="XDE1183"/>
      <c r="XDF1183"/>
      <c r="XDG1183"/>
      <c r="XDH1183"/>
      <c r="XDI1183"/>
      <c r="XDJ1183"/>
      <c r="XDK1183"/>
      <c r="XDL1183"/>
      <c r="XDM1183"/>
      <c r="XDN1183"/>
      <c r="XDO1183"/>
      <c r="XDP1183"/>
      <c r="XDQ1183"/>
      <c r="XDR1183"/>
      <c r="XDS1183"/>
      <c r="XDT1183"/>
      <c r="XDU1183"/>
      <c r="XDV1183"/>
      <c r="XDW1183"/>
      <c r="XDX1183"/>
      <c r="XDY1183"/>
      <c r="XDZ1183"/>
      <c r="XEA1183"/>
      <c r="XEB1183"/>
      <c r="XEC1183"/>
      <c r="XED1183"/>
      <c r="XEE1183"/>
      <c r="XEF1183"/>
      <c r="XEG1183"/>
      <c r="XEH1183"/>
      <c r="XEI1183"/>
      <c r="XEJ1183"/>
      <c r="XEK1183"/>
      <c r="XEL1183"/>
      <c r="XEM1183"/>
      <c r="XEN1183"/>
      <c r="XEO1183"/>
      <c r="XEP1183"/>
      <c r="XEQ1183"/>
      <c r="XER1183"/>
      <c r="XES1183"/>
      <c r="XET1183"/>
      <c r="XEU1183"/>
      <c r="XEV1183"/>
      <c r="XEW1183"/>
      <c r="XEX1183"/>
      <c r="XEY1183"/>
      <c r="XEZ1183"/>
      <c r="XFA1183"/>
      <c r="XFB1183"/>
      <c r="XFC1183"/>
    </row>
    <row r="1184" spans="1:20 16329:16383" s="38" customFormat="1" ht="29.1" customHeight="1" outlineLevel="6" x14ac:dyDescent="0.25">
      <c r="A1184" s="49" t="s">
        <v>2209</v>
      </c>
      <c r="B1184" s="50"/>
      <c r="C1184" s="50"/>
      <c r="D1184" s="3" t="s">
        <v>1886</v>
      </c>
      <c r="E1184" s="3"/>
      <c r="F1184" s="51"/>
      <c r="G1184" s="50" t="s">
        <v>102</v>
      </c>
      <c r="H1184" s="52">
        <f>1</f>
        <v>1</v>
      </c>
      <c r="I1184" s="36"/>
      <c r="J1184" s="52">
        <v>1</v>
      </c>
      <c r="K1184" s="53">
        <f>0</f>
        <v>0</v>
      </c>
      <c r="L1184" s="53">
        <f>0</f>
        <v>0</v>
      </c>
      <c r="M1184" s="53">
        <f>0</f>
        <v>0</v>
      </c>
      <c r="N1184" s="54">
        <f t="shared" ref="N1184:N1197" si="154">SUM(K1184:M1184)</f>
        <v>0</v>
      </c>
      <c r="O1184" s="54">
        <f t="shared" ref="O1184:O1197" si="155">ROUND((H1184*K1184),2)</f>
        <v>0</v>
      </c>
      <c r="P1184" s="54">
        <f t="shared" ref="P1184:P1197" si="156">ROUND((H1184*L1184),2)</f>
        <v>0</v>
      </c>
      <c r="Q1184" s="54">
        <f t="shared" ref="Q1184:Q1197" si="157">ROUND((H1184*M1184),2)</f>
        <v>0</v>
      </c>
      <c r="R1184" s="54">
        <f t="shared" ref="R1184:R1197" si="158">ROUND((H1184*N1184),2)</f>
        <v>0</v>
      </c>
      <c r="S1184" s="54"/>
      <c r="T1184" s="36"/>
      <c r="XDA1184"/>
      <c r="XDB1184"/>
      <c r="XDC1184"/>
      <c r="XDD1184"/>
      <c r="XDE1184"/>
      <c r="XDF1184"/>
      <c r="XDG1184"/>
      <c r="XDH1184"/>
      <c r="XDI1184"/>
      <c r="XDJ1184"/>
      <c r="XDK1184"/>
      <c r="XDL1184"/>
      <c r="XDM1184"/>
      <c r="XDN1184"/>
      <c r="XDO1184"/>
      <c r="XDP1184"/>
      <c r="XDQ1184"/>
      <c r="XDR1184"/>
      <c r="XDS1184"/>
      <c r="XDT1184"/>
      <c r="XDU1184"/>
      <c r="XDV1184"/>
      <c r="XDW1184"/>
      <c r="XDX1184"/>
      <c r="XDY1184"/>
      <c r="XDZ1184"/>
      <c r="XEA1184"/>
      <c r="XEB1184"/>
      <c r="XEC1184"/>
      <c r="XED1184"/>
      <c r="XEE1184"/>
      <c r="XEF1184"/>
      <c r="XEG1184"/>
      <c r="XEH1184"/>
      <c r="XEI1184"/>
      <c r="XEJ1184"/>
      <c r="XEK1184"/>
      <c r="XEL1184"/>
      <c r="XEM1184"/>
      <c r="XEN1184"/>
      <c r="XEO1184"/>
      <c r="XEP1184"/>
      <c r="XEQ1184"/>
      <c r="XER1184"/>
      <c r="XES1184"/>
      <c r="XET1184"/>
      <c r="XEU1184"/>
      <c r="XEV1184"/>
      <c r="XEW1184"/>
      <c r="XEX1184"/>
      <c r="XEY1184"/>
      <c r="XEZ1184"/>
      <c r="XFA1184"/>
      <c r="XFB1184"/>
      <c r="XFC1184"/>
    </row>
    <row r="1185" spans="1:20 16329:16383" s="38" customFormat="1" ht="29.1" customHeight="1" outlineLevel="6" x14ac:dyDescent="0.25">
      <c r="A1185" s="49" t="s">
        <v>2210</v>
      </c>
      <c r="B1185" s="50"/>
      <c r="C1185" s="50"/>
      <c r="D1185" s="3" t="s">
        <v>1890</v>
      </c>
      <c r="E1185" s="3"/>
      <c r="F1185" s="51"/>
      <c r="G1185" s="50" t="s">
        <v>102</v>
      </c>
      <c r="H1185" s="52">
        <f>1</f>
        <v>1</v>
      </c>
      <c r="I1185" s="36"/>
      <c r="J1185" s="52">
        <v>1</v>
      </c>
      <c r="K1185" s="53">
        <f>0</f>
        <v>0</v>
      </c>
      <c r="L1185" s="53">
        <f>0</f>
        <v>0</v>
      </c>
      <c r="M1185" s="53">
        <f>0</f>
        <v>0</v>
      </c>
      <c r="N1185" s="54">
        <f t="shared" si="154"/>
        <v>0</v>
      </c>
      <c r="O1185" s="54">
        <f t="shared" si="155"/>
        <v>0</v>
      </c>
      <c r="P1185" s="54">
        <f t="shared" si="156"/>
        <v>0</v>
      </c>
      <c r="Q1185" s="54">
        <f t="shared" si="157"/>
        <v>0</v>
      </c>
      <c r="R1185" s="54">
        <f t="shared" si="158"/>
        <v>0</v>
      </c>
      <c r="S1185" s="54"/>
      <c r="T1185" s="36"/>
      <c r="XDA1185"/>
      <c r="XDB1185"/>
      <c r="XDC1185"/>
      <c r="XDD1185"/>
      <c r="XDE1185"/>
      <c r="XDF1185"/>
      <c r="XDG1185"/>
      <c r="XDH1185"/>
      <c r="XDI1185"/>
      <c r="XDJ1185"/>
      <c r="XDK1185"/>
      <c r="XDL1185"/>
      <c r="XDM1185"/>
      <c r="XDN1185"/>
      <c r="XDO1185"/>
      <c r="XDP1185"/>
      <c r="XDQ1185"/>
      <c r="XDR1185"/>
      <c r="XDS1185"/>
      <c r="XDT1185"/>
      <c r="XDU1185"/>
      <c r="XDV1185"/>
      <c r="XDW1185"/>
      <c r="XDX1185"/>
      <c r="XDY1185"/>
      <c r="XDZ1185"/>
      <c r="XEA1185"/>
      <c r="XEB1185"/>
      <c r="XEC1185"/>
      <c r="XED1185"/>
      <c r="XEE1185"/>
      <c r="XEF1185"/>
      <c r="XEG1185"/>
      <c r="XEH1185"/>
      <c r="XEI1185"/>
      <c r="XEJ1185"/>
      <c r="XEK1185"/>
      <c r="XEL1185"/>
      <c r="XEM1185"/>
      <c r="XEN1185"/>
      <c r="XEO1185"/>
      <c r="XEP1185"/>
      <c r="XEQ1185"/>
      <c r="XER1185"/>
      <c r="XES1185"/>
      <c r="XET1185"/>
      <c r="XEU1185"/>
      <c r="XEV1185"/>
      <c r="XEW1185"/>
      <c r="XEX1185"/>
      <c r="XEY1185"/>
      <c r="XEZ1185"/>
      <c r="XFA1185"/>
      <c r="XFB1185"/>
      <c r="XFC1185"/>
    </row>
    <row r="1186" spans="1:20 16329:16383" s="38" customFormat="1" ht="29.1" customHeight="1" outlineLevel="6" x14ac:dyDescent="0.25">
      <c r="A1186" s="49" t="s">
        <v>2211</v>
      </c>
      <c r="B1186" s="50"/>
      <c r="C1186" s="50"/>
      <c r="D1186" s="3" t="s">
        <v>2100</v>
      </c>
      <c r="E1186" s="3"/>
      <c r="F1186" s="51"/>
      <c r="G1186" s="50" t="s">
        <v>102</v>
      </c>
      <c r="H1186" s="52">
        <f>1</f>
        <v>1</v>
      </c>
      <c r="I1186" s="36"/>
      <c r="J1186" s="52">
        <v>1</v>
      </c>
      <c r="K1186" s="53">
        <f>0</f>
        <v>0</v>
      </c>
      <c r="L1186" s="53">
        <f>0</f>
        <v>0</v>
      </c>
      <c r="M1186" s="53">
        <f>0</f>
        <v>0</v>
      </c>
      <c r="N1186" s="54">
        <f t="shared" si="154"/>
        <v>0</v>
      </c>
      <c r="O1186" s="54">
        <f t="shared" si="155"/>
        <v>0</v>
      </c>
      <c r="P1186" s="54">
        <f t="shared" si="156"/>
        <v>0</v>
      </c>
      <c r="Q1186" s="54">
        <f t="shared" si="157"/>
        <v>0</v>
      </c>
      <c r="R1186" s="54">
        <f t="shared" si="158"/>
        <v>0</v>
      </c>
      <c r="S1186" s="54"/>
      <c r="T1186" s="36"/>
      <c r="XDA1186"/>
      <c r="XDB1186"/>
      <c r="XDC1186"/>
      <c r="XDD1186"/>
      <c r="XDE1186"/>
      <c r="XDF1186"/>
      <c r="XDG1186"/>
      <c r="XDH1186"/>
      <c r="XDI1186"/>
      <c r="XDJ1186"/>
      <c r="XDK1186"/>
      <c r="XDL1186"/>
      <c r="XDM1186"/>
      <c r="XDN1186"/>
      <c r="XDO1186"/>
      <c r="XDP1186"/>
      <c r="XDQ1186"/>
      <c r="XDR1186"/>
      <c r="XDS1186"/>
      <c r="XDT1186"/>
      <c r="XDU1186"/>
      <c r="XDV1186"/>
      <c r="XDW1186"/>
      <c r="XDX1186"/>
      <c r="XDY1186"/>
      <c r="XDZ1186"/>
      <c r="XEA1186"/>
      <c r="XEB1186"/>
      <c r="XEC1186"/>
      <c r="XED1186"/>
      <c r="XEE1186"/>
      <c r="XEF1186"/>
      <c r="XEG1186"/>
      <c r="XEH1186"/>
      <c r="XEI1186"/>
      <c r="XEJ1186"/>
      <c r="XEK1186"/>
      <c r="XEL1186"/>
      <c r="XEM1186"/>
      <c r="XEN1186"/>
      <c r="XEO1186"/>
      <c r="XEP1186"/>
      <c r="XEQ1186"/>
      <c r="XER1186"/>
      <c r="XES1186"/>
      <c r="XET1186"/>
      <c r="XEU1186"/>
      <c r="XEV1186"/>
      <c r="XEW1186"/>
      <c r="XEX1186"/>
      <c r="XEY1186"/>
      <c r="XEZ1186"/>
      <c r="XFA1186"/>
      <c r="XFB1186"/>
      <c r="XFC1186"/>
    </row>
    <row r="1187" spans="1:20 16329:16383" s="38" customFormat="1" ht="29.1" customHeight="1" outlineLevel="6" x14ac:dyDescent="0.25">
      <c r="A1187" s="49" t="s">
        <v>2212</v>
      </c>
      <c r="B1187" s="50"/>
      <c r="C1187" s="50"/>
      <c r="D1187" s="3" t="s">
        <v>2213</v>
      </c>
      <c r="E1187" s="3"/>
      <c r="F1187" s="51"/>
      <c r="G1187" s="50" t="s">
        <v>102</v>
      </c>
      <c r="H1187" s="52">
        <f>1</f>
        <v>1</v>
      </c>
      <c r="I1187" s="36"/>
      <c r="J1187" s="52">
        <v>1</v>
      </c>
      <c r="K1187" s="53">
        <f>0</f>
        <v>0</v>
      </c>
      <c r="L1187" s="53">
        <f>0</f>
        <v>0</v>
      </c>
      <c r="M1187" s="53">
        <f>0</f>
        <v>0</v>
      </c>
      <c r="N1187" s="54">
        <f t="shared" si="154"/>
        <v>0</v>
      </c>
      <c r="O1187" s="54">
        <f t="shared" si="155"/>
        <v>0</v>
      </c>
      <c r="P1187" s="54">
        <f t="shared" si="156"/>
        <v>0</v>
      </c>
      <c r="Q1187" s="54">
        <f t="shared" si="157"/>
        <v>0</v>
      </c>
      <c r="R1187" s="54">
        <f t="shared" si="158"/>
        <v>0</v>
      </c>
      <c r="S1187" s="54"/>
      <c r="T1187" s="36"/>
      <c r="XDA1187"/>
      <c r="XDB1187"/>
      <c r="XDC1187"/>
      <c r="XDD1187"/>
      <c r="XDE1187"/>
      <c r="XDF1187"/>
      <c r="XDG1187"/>
      <c r="XDH1187"/>
      <c r="XDI1187"/>
      <c r="XDJ1187"/>
      <c r="XDK1187"/>
      <c r="XDL1187"/>
      <c r="XDM1187"/>
      <c r="XDN1187"/>
      <c r="XDO1187"/>
      <c r="XDP1187"/>
      <c r="XDQ1187"/>
      <c r="XDR1187"/>
      <c r="XDS1187"/>
      <c r="XDT1187"/>
      <c r="XDU1187"/>
      <c r="XDV1187"/>
      <c r="XDW1187"/>
      <c r="XDX1187"/>
      <c r="XDY1187"/>
      <c r="XDZ1187"/>
      <c r="XEA1187"/>
      <c r="XEB1187"/>
      <c r="XEC1187"/>
      <c r="XED1187"/>
      <c r="XEE1187"/>
      <c r="XEF1187"/>
      <c r="XEG1187"/>
      <c r="XEH1187"/>
      <c r="XEI1187"/>
      <c r="XEJ1187"/>
      <c r="XEK1187"/>
      <c r="XEL1187"/>
      <c r="XEM1187"/>
      <c r="XEN1187"/>
      <c r="XEO1187"/>
      <c r="XEP1187"/>
      <c r="XEQ1187"/>
      <c r="XER1187"/>
      <c r="XES1187"/>
      <c r="XET1187"/>
      <c r="XEU1187"/>
      <c r="XEV1187"/>
      <c r="XEW1187"/>
      <c r="XEX1187"/>
      <c r="XEY1187"/>
      <c r="XEZ1187"/>
      <c r="XFA1187"/>
      <c r="XFB1187"/>
      <c r="XFC1187"/>
    </row>
    <row r="1188" spans="1:20 16329:16383" s="38" customFormat="1" ht="29.1" customHeight="1" outlineLevel="6" x14ac:dyDescent="0.25">
      <c r="A1188" s="49" t="s">
        <v>2214</v>
      </c>
      <c r="B1188" s="50"/>
      <c r="C1188" s="50"/>
      <c r="D1188" s="3" t="s">
        <v>2215</v>
      </c>
      <c r="E1188" s="3"/>
      <c r="F1188" s="51"/>
      <c r="G1188" s="50" t="s">
        <v>134</v>
      </c>
      <c r="H1188" s="52">
        <f>1</f>
        <v>1</v>
      </c>
      <c r="I1188" s="36"/>
      <c r="J1188" s="52">
        <v>1</v>
      </c>
      <c r="K1188" s="53">
        <f>0</f>
        <v>0</v>
      </c>
      <c r="L1188" s="53">
        <f>0</f>
        <v>0</v>
      </c>
      <c r="M1188" s="53">
        <f>0</f>
        <v>0</v>
      </c>
      <c r="N1188" s="54">
        <f t="shared" si="154"/>
        <v>0</v>
      </c>
      <c r="O1188" s="54">
        <f t="shared" si="155"/>
        <v>0</v>
      </c>
      <c r="P1188" s="54">
        <f t="shared" si="156"/>
        <v>0</v>
      </c>
      <c r="Q1188" s="54">
        <f t="shared" si="157"/>
        <v>0</v>
      </c>
      <c r="R1188" s="54">
        <f t="shared" si="158"/>
        <v>0</v>
      </c>
      <c r="S1188" s="54"/>
      <c r="T1188" s="36"/>
      <c r="XDA1188"/>
      <c r="XDB1188"/>
      <c r="XDC1188"/>
      <c r="XDD1188"/>
      <c r="XDE1188"/>
      <c r="XDF1188"/>
      <c r="XDG1188"/>
      <c r="XDH1188"/>
      <c r="XDI1188"/>
      <c r="XDJ1188"/>
      <c r="XDK1188"/>
      <c r="XDL1188"/>
      <c r="XDM1188"/>
      <c r="XDN1188"/>
      <c r="XDO1188"/>
      <c r="XDP1188"/>
      <c r="XDQ1188"/>
      <c r="XDR1188"/>
      <c r="XDS1188"/>
      <c r="XDT1188"/>
      <c r="XDU1188"/>
      <c r="XDV1188"/>
      <c r="XDW1188"/>
      <c r="XDX1188"/>
      <c r="XDY1188"/>
      <c r="XDZ1188"/>
      <c r="XEA1188"/>
      <c r="XEB1188"/>
      <c r="XEC1188"/>
      <c r="XED1188"/>
      <c r="XEE1188"/>
      <c r="XEF1188"/>
      <c r="XEG1188"/>
      <c r="XEH1188"/>
      <c r="XEI1188"/>
      <c r="XEJ1188"/>
      <c r="XEK1188"/>
      <c r="XEL1188"/>
      <c r="XEM1188"/>
      <c r="XEN1188"/>
      <c r="XEO1188"/>
      <c r="XEP1188"/>
      <c r="XEQ1188"/>
      <c r="XER1188"/>
      <c r="XES1188"/>
      <c r="XET1188"/>
      <c r="XEU1188"/>
      <c r="XEV1188"/>
      <c r="XEW1188"/>
      <c r="XEX1188"/>
      <c r="XEY1188"/>
      <c r="XEZ1188"/>
      <c r="XFA1188"/>
      <c r="XFB1188"/>
      <c r="XFC1188"/>
    </row>
    <row r="1189" spans="1:20 16329:16383" s="38" customFormat="1" ht="29.1" customHeight="1" outlineLevel="6" x14ac:dyDescent="0.25">
      <c r="A1189" s="49" t="s">
        <v>2216</v>
      </c>
      <c r="B1189" s="50"/>
      <c r="C1189" s="50"/>
      <c r="D1189" s="3" t="s">
        <v>2217</v>
      </c>
      <c r="E1189" s="3"/>
      <c r="F1189" s="51"/>
      <c r="G1189" s="50" t="s">
        <v>102</v>
      </c>
      <c r="H1189" s="52">
        <f>1</f>
        <v>1</v>
      </c>
      <c r="I1189" s="36"/>
      <c r="J1189" s="52">
        <v>1</v>
      </c>
      <c r="K1189" s="53">
        <f>0</f>
        <v>0</v>
      </c>
      <c r="L1189" s="53">
        <f>0</f>
        <v>0</v>
      </c>
      <c r="M1189" s="53">
        <f>0</f>
        <v>0</v>
      </c>
      <c r="N1189" s="54">
        <f t="shared" si="154"/>
        <v>0</v>
      </c>
      <c r="O1189" s="54">
        <f t="shared" si="155"/>
        <v>0</v>
      </c>
      <c r="P1189" s="54">
        <f t="shared" si="156"/>
        <v>0</v>
      </c>
      <c r="Q1189" s="54">
        <f t="shared" si="157"/>
        <v>0</v>
      </c>
      <c r="R1189" s="54">
        <f t="shared" si="158"/>
        <v>0</v>
      </c>
      <c r="S1189" s="54"/>
      <c r="T1189" s="36"/>
      <c r="XDA1189"/>
      <c r="XDB1189"/>
      <c r="XDC1189"/>
      <c r="XDD1189"/>
      <c r="XDE1189"/>
      <c r="XDF1189"/>
      <c r="XDG1189"/>
      <c r="XDH1189"/>
      <c r="XDI1189"/>
      <c r="XDJ1189"/>
      <c r="XDK1189"/>
      <c r="XDL1189"/>
      <c r="XDM1189"/>
      <c r="XDN1189"/>
      <c r="XDO1189"/>
      <c r="XDP1189"/>
      <c r="XDQ1189"/>
      <c r="XDR1189"/>
      <c r="XDS1189"/>
      <c r="XDT1189"/>
      <c r="XDU1189"/>
      <c r="XDV1189"/>
      <c r="XDW1189"/>
      <c r="XDX1189"/>
      <c r="XDY1189"/>
      <c r="XDZ1189"/>
      <c r="XEA1189"/>
      <c r="XEB1189"/>
      <c r="XEC1189"/>
      <c r="XED1189"/>
      <c r="XEE1189"/>
      <c r="XEF1189"/>
      <c r="XEG1189"/>
      <c r="XEH1189"/>
      <c r="XEI1189"/>
      <c r="XEJ1189"/>
      <c r="XEK1189"/>
      <c r="XEL1189"/>
      <c r="XEM1189"/>
      <c r="XEN1189"/>
      <c r="XEO1189"/>
      <c r="XEP1189"/>
      <c r="XEQ1189"/>
      <c r="XER1189"/>
      <c r="XES1189"/>
      <c r="XET1189"/>
      <c r="XEU1189"/>
      <c r="XEV1189"/>
      <c r="XEW1189"/>
      <c r="XEX1189"/>
      <c r="XEY1189"/>
      <c r="XEZ1189"/>
      <c r="XFA1189"/>
      <c r="XFB1189"/>
      <c r="XFC1189"/>
    </row>
    <row r="1190" spans="1:20 16329:16383" s="38" customFormat="1" ht="29.1" customHeight="1" outlineLevel="6" x14ac:dyDescent="0.25">
      <c r="A1190" s="49" t="s">
        <v>2218</v>
      </c>
      <c r="B1190" s="50"/>
      <c r="C1190" s="50"/>
      <c r="D1190" s="3" t="s">
        <v>2219</v>
      </c>
      <c r="E1190" s="3"/>
      <c r="F1190" s="51"/>
      <c r="G1190" s="50" t="s">
        <v>102</v>
      </c>
      <c r="H1190" s="52">
        <f>1</f>
        <v>1</v>
      </c>
      <c r="I1190" s="36"/>
      <c r="J1190" s="52">
        <v>1</v>
      </c>
      <c r="K1190" s="53">
        <f>0</f>
        <v>0</v>
      </c>
      <c r="L1190" s="53">
        <f>0</f>
        <v>0</v>
      </c>
      <c r="M1190" s="53">
        <f>0</f>
        <v>0</v>
      </c>
      <c r="N1190" s="54">
        <f t="shared" si="154"/>
        <v>0</v>
      </c>
      <c r="O1190" s="54">
        <f t="shared" si="155"/>
        <v>0</v>
      </c>
      <c r="P1190" s="54">
        <f t="shared" si="156"/>
        <v>0</v>
      </c>
      <c r="Q1190" s="54">
        <f t="shared" si="157"/>
        <v>0</v>
      </c>
      <c r="R1190" s="54">
        <f t="shared" si="158"/>
        <v>0</v>
      </c>
      <c r="S1190" s="54"/>
      <c r="T1190" s="36"/>
      <c r="XDA1190"/>
      <c r="XDB1190"/>
      <c r="XDC1190"/>
      <c r="XDD1190"/>
      <c r="XDE1190"/>
      <c r="XDF1190"/>
      <c r="XDG1190"/>
      <c r="XDH1190"/>
      <c r="XDI1190"/>
      <c r="XDJ1190"/>
      <c r="XDK1190"/>
      <c r="XDL1190"/>
      <c r="XDM1190"/>
      <c r="XDN1190"/>
      <c r="XDO1190"/>
      <c r="XDP1190"/>
      <c r="XDQ1190"/>
      <c r="XDR1190"/>
      <c r="XDS1190"/>
      <c r="XDT1190"/>
      <c r="XDU1190"/>
      <c r="XDV1190"/>
      <c r="XDW1190"/>
      <c r="XDX1190"/>
      <c r="XDY1190"/>
      <c r="XDZ1190"/>
      <c r="XEA1190"/>
      <c r="XEB1190"/>
      <c r="XEC1190"/>
      <c r="XED1190"/>
      <c r="XEE1190"/>
      <c r="XEF1190"/>
      <c r="XEG1190"/>
      <c r="XEH1190"/>
      <c r="XEI1190"/>
      <c r="XEJ1190"/>
      <c r="XEK1190"/>
      <c r="XEL1190"/>
      <c r="XEM1190"/>
      <c r="XEN1190"/>
      <c r="XEO1190"/>
      <c r="XEP1190"/>
      <c r="XEQ1190"/>
      <c r="XER1190"/>
      <c r="XES1190"/>
      <c r="XET1190"/>
      <c r="XEU1190"/>
      <c r="XEV1190"/>
      <c r="XEW1190"/>
      <c r="XEX1190"/>
      <c r="XEY1190"/>
      <c r="XEZ1190"/>
      <c r="XFA1190"/>
      <c r="XFB1190"/>
      <c r="XFC1190"/>
    </row>
    <row r="1191" spans="1:20 16329:16383" s="38" customFormat="1" ht="29.1" customHeight="1" outlineLevel="6" x14ac:dyDescent="0.25">
      <c r="A1191" s="49" t="s">
        <v>2220</v>
      </c>
      <c r="B1191" s="50"/>
      <c r="C1191" s="50"/>
      <c r="D1191" s="3" t="s">
        <v>2221</v>
      </c>
      <c r="E1191" s="3"/>
      <c r="F1191" s="51"/>
      <c r="G1191" s="50" t="s">
        <v>102</v>
      </c>
      <c r="H1191" s="52">
        <f>1</f>
        <v>1</v>
      </c>
      <c r="I1191" s="36"/>
      <c r="J1191" s="52">
        <v>1</v>
      </c>
      <c r="K1191" s="53">
        <f>0</f>
        <v>0</v>
      </c>
      <c r="L1191" s="53">
        <f>0</f>
        <v>0</v>
      </c>
      <c r="M1191" s="53">
        <f>0</f>
        <v>0</v>
      </c>
      <c r="N1191" s="54">
        <f t="shared" si="154"/>
        <v>0</v>
      </c>
      <c r="O1191" s="54">
        <f t="shared" si="155"/>
        <v>0</v>
      </c>
      <c r="P1191" s="54">
        <f t="shared" si="156"/>
        <v>0</v>
      </c>
      <c r="Q1191" s="54">
        <f t="shared" si="157"/>
        <v>0</v>
      </c>
      <c r="R1191" s="54">
        <f t="shared" si="158"/>
        <v>0</v>
      </c>
      <c r="S1191" s="54"/>
      <c r="T1191" s="36"/>
      <c r="XDA1191"/>
      <c r="XDB1191"/>
      <c r="XDC1191"/>
      <c r="XDD1191"/>
      <c r="XDE1191"/>
      <c r="XDF1191"/>
      <c r="XDG1191"/>
      <c r="XDH1191"/>
      <c r="XDI1191"/>
      <c r="XDJ1191"/>
      <c r="XDK1191"/>
      <c r="XDL1191"/>
      <c r="XDM1191"/>
      <c r="XDN1191"/>
      <c r="XDO1191"/>
      <c r="XDP1191"/>
      <c r="XDQ1191"/>
      <c r="XDR1191"/>
      <c r="XDS1191"/>
      <c r="XDT1191"/>
      <c r="XDU1191"/>
      <c r="XDV1191"/>
      <c r="XDW1191"/>
      <c r="XDX1191"/>
      <c r="XDY1191"/>
      <c r="XDZ1191"/>
      <c r="XEA1191"/>
      <c r="XEB1191"/>
      <c r="XEC1191"/>
      <c r="XED1191"/>
      <c r="XEE1191"/>
      <c r="XEF1191"/>
      <c r="XEG1191"/>
      <c r="XEH1191"/>
      <c r="XEI1191"/>
      <c r="XEJ1191"/>
      <c r="XEK1191"/>
      <c r="XEL1191"/>
      <c r="XEM1191"/>
      <c r="XEN1191"/>
      <c r="XEO1191"/>
      <c r="XEP1191"/>
      <c r="XEQ1191"/>
      <c r="XER1191"/>
      <c r="XES1191"/>
      <c r="XET1191"/>
      <c r="XEU1191"/>
      <c r="XEV1191"/>
      <c r="XEW1191"/>
      <c r="XEX1191"/>
      <c r="XEY1191"/>
      <c r="XEZ1191"/>
      <c r="XFA1191"/>
      <c r="XFB1191"/>
      <c r="XFC1191"/>
    </row>
    <row r="1192" spans="1:20 16329:16383" s="38" customFormat="1" ht="29.1" customHeight="1" outlineLevel="6" x14ac:dyDescent="0.25">
      <c r="A1192" s="49" t="s">
        <v>2222</v>
      </c>
      <c r="B1192" s="50"/>
      <c r="C1192" s="50"/>
      <c r="D1192" s="3" t="s">
        <v>2217</v>
      </c>
      <c r="E1192" s="3"/>
      <c r="F1192" s="51"/>
      <c r="G1192" s="50" t="s">
        <v>102</v>
      </c>
      <c r="H1192" s="52">
        <f>1</f>
        <v>1</v>
      </c>
      <c r="I1192" s="36"/>
      <c r="J1192" s="52">
        <v>1</v>
      </c>
      <c r="K1192" s="53">
        <f>0</f>
        <v>0</v>
      </c>
      <c r="L1192" s="53">
        <f>0</f>
        <v>0</v>
      </c>
      <c r="M1192" s="53">
        <f>0</f>
        <v>0</v>
      </c>
      <c r="N1192" s="54">
        <f t="shared" si="154"/>
        <v>0</v>
      </c>
      <c r="O1192" s="54">
        <f t="shared" si="155"/>
        <v>0</v>
      </c>
      <c r="P1192" s="54">
        <f t="shared" si="156"/>
        <v>0</v>
      </c>
      <c r="Q1192" s="54">
        <f t="shared" si="157"/>
        <v>0</v>
      </c>
      <c r="R1192" s="54">
        <f t="shared" si="158"/>
        <v>0</v>
      </c>
      <c r="S1192" s="54"/>
      <c r="T1192" s="36"/>
      <c r="XDA1192"/>
      <c r="XDB1192"/>
      <c r="XDC1192"/>
      <c r="XDD1192"/>
      <c r="XDE1192"/>
      <c r="XDF1192"/>
      <c r="XDG1192"/>
      <c r="XDH1192"/>
      <c r="XDI1192"/>
      <c r="XDJ1192"/>
      <c r="XDK1192"/>
      <c r="XDL1192"/>
      <c r="XDM1192"/>
      <c r="XDN1192"/>
      <c r="XDO1192"/>
      <c r="XDP1192"/>
      <c r="XDQ1192"/>
      <c r="XDR1192"/>
      <c r="XDS1192"/>
      <c r="XDT1192"/>
      <c r="XDU1192"/>
      <c r="XDV1192"/>
      <c r="XDW1192"/>
      <c r="XDX1192"/>
      <c r="XDY1192"/>
      <c r="XDZ1192"/>
      <c r="XEA1192"/>
      <c r="XEB1192"/>
      <c r="XEC1192"/>
      <c r="XED1192"/>
      <c r="XEE1192"/>
      <c r="XEF1192"/>
      <c r="XEG1192"/>
      <c r="XEH1192"/>
      <c r="XEI1192"/>
      <c r="XEJ1192"/>
      <c r="XEK1192"/>
      <c r="XEL1192"/>
      <c r="XEM1192"/>
      <c r="XEN1192"/>
      <c r="XEO1192"/>
      <c r="XEP1192"/>
      <c r="XEQ1192"/>
      <c r="XER1192"/>
      <c r="XES1192"/>
      <c r="XET1192"/>
      <c r="XEU1192"/>
      <c r="XEV1192"/>
      <c r="XEW1192"/>
      <c r="XEX1192"/>
      <c r="XEY1192"/>
      <c r="XEZ1192"/>
      <c r="XFA1192"/>
      <c r="XFB1192"/>
      <c r="XFC1192"/>
    </row>
    <row r="1193" spans="1:20 16329:16383" s="38" customFormat="1" ht="29.1" customHeight="1" outlineLevel="6" x14ac:dyDescent="0.25">
      <c r="A1193" s="49" t="s">
        <v>2223</v>
      </c>
      <c r="B1193" s="50"/>
      <c r="C1193" s="50"/>
      <c r="D1193" s="3" t="s">
        <v>2224</v>
      </c>
      <c r="E1193" s="3"/>
      <c r="F1193" s="51"/>
      <c r="G1193" s="50" t="s">
        <v>102</v>
      </c>
      <c r="H1193" s="52">
        <f>1</f>
        <v>1</v>
      </c>
      <c r="I1193" s="36"/>
      <c r="J1193" s="52">
        <v>1</v>
      </c>
      <c r="K1193" s="53">
        <f>0</f>
        <v>0</v>
      </c>
      <c r="L1193" s="53">
        <f>0</f>
        <v>0</v>
      </c>
      <c r="M1193" s="53">
        <f>0</f>
        <v>0</v>
      </c>
      <c r="N1193" s="54">
        <f t="shared" si="154"/>
        <v>0</v>
      </c>
      <c r="O1193" s="54">
        <f t="shared" si="155"/>
        <v>0</v>
      </c>
      <c r="P1193" s="54">
        <f t="shared" si="156"/>
        <v>0</v>
      </c>
      <c r="Q1193" s="54">
        <f t="shared" si="157"/>
        <v>0</v>
      </c>
      <c r="R1193" s="54">
        <f t="shared" si="158"/>
        <v>0</v>
      </c>
      <c r="S1193" s="54"/>
      <c r="T1193" s="36"/>
      <c r="XDA1193"/>
      <c r="XDB1193"/>
      <c r="XDC1193"/>
      <c r="XDD1193"/>
      <c r="XDE1193"/>
      <c r="XDF1193"/>
      <c r="XDG1193"/>
      <c r="XDH1193"/>
      <c r="XDI1193"/>
      <c r="XDJ1193"/>
      <c r="XDK1193"/>
      <c r="XDL1193"/>
      <c r="XDM1193"/>
      <c r="XDN1193"/>
      <c r="XDO1193"/>
      <c r="XDP1193"/>
      <c r="XDQ1193"/>
      <c r="XDR1193"/>
      <c r="XDS1193"/>
      <c r="XDT1193"/>
      <c r="XDU1193"/>
      <c r="XDV1193"/>
      <c r="XDW1193"/>
      <c r="XDX1193"/>
      <c r="XDY1193"/>
      <c r="XDZ1193"/>
      <c r="XEA1193"/>
      <c r="XEB1193"/>
      <c r="XEC1193"/>
      <c r="XED1193"/>
      <c r="XEE1193"/>
      <c r="XEF1193"/>
      <c r="XEG1193"/>
      <c r="XEH1193"/>
      <c r="XEI1193"/>
      <c r="XEJ1193"/>
      <c r="XEK1193"/>
      <c r="XEL1193"/>
      <c r="XEM1193"/>
      <c r="XEN1193"/>
      <c r="XEO1193"/>
      <c r="XEP1193"/>
      <c r="XEQ1193"/>
      <c r="XER1193"/>
      <c r="XES1193"/>
      <c r="XET1193"/>
      <c r="XEU1193"/>
      <c r="XEV1193"/>
      <c r="XEW1193"/>
      <c r="XEX1193"/>
      <c r="XEY1193"/>
      <c r="XEZ1193"/>
      <c r="XFA1193"/>
      <c r="XFB1193"/>
      <c r="XFC1193"/>
    </row>
    <row r="1194" spans="1:20 16329:16383" s="38" customFormat="1" ht="29.1" customHeight="1" outlineLevel="6" x14ac:dyDescent="0.25">
      <c r="A1194" s="49" t="s">
        <v>2225</v>
      </c>
      <c r="B1194" s="50"/>
      <c r="C1194" s="50"/>
      <c r="D1194" s="3" t="s">
        <v>2226</v>
      </c>
      <c r="E1194" s="3"/>
      <c r="F1194" s="51"/>
      <c r="G1194" s="50" t="s">
        <v>102</v>
      </c>
      <c r="H1194" s="52">
        <f>1</f>
        <v>1</v>
      </c>
      <c r="I1194" s="36"/>
      <c r="J1194" s="52">
        <v>1</v>
      </c>
      <c r="K1194" s="53">
        <f>0</f>
        <v>0</v>
      </c>
      <c r="L1194" s="53">
        <f>0</f>
        <v>0</v>
      </c>
      <c r="M1194" s="53">
        <f>0</f>
        <v>0</v>
      </c>
      <c r="N1194" s="54">
        <f t="shared" si="154"/>
        <v>0</v>
      </c>
      <c r="O1194" s="54">
        <f t="shared" si="155"/>
        <v>0</v>
      </c>
      <c r="P1194" s="54">
        <f t="shared" si="156"/>
        <v>0</v>
      </c>
      <c r="Q1194" s="54">
        <f t="shared" si="157"/>
        <v>0</v>
      </c>
      <c r="R1194" s="54">
        <f t="shared" si="158"/>
        <v>0</v>
      </c>
      <c r="S1194" s="54"/>
      <c r="T1194" s="36"/>
      <c r="XDA1194"/>
      <c r="XDB1194"/>
      <c r="XDC1194"/>
      <c r="XDD1194"/>
      <c r="XDE1194"/>
      <c r="XDF1194"/>
      <c r="XDG1194"/>
      <c r="XDH1194"/>
      <c r="XDI1194"/>
      <c r="XDJ1194"/>
      <c r="XDK1194"/>
      <c r="XDL1194"/>
      <c r="XDM1194"/>
      <c r="XDN1194"/>
      <c r="XDO1194"/>
      <c r="XDP1194"/>
      <c r="XDQ1194"/>
      <c r="XDR1194"/>
      <c r="XDS1194"/>
      <c r="XDT1194"/>
      <c r="XDU1194"/>
      <c r="XDV1194"/>
      <c r="XDW1194"/>
      <c r="XDX1194"/>
      <c r="XDY1194"/>
      <c r="XDZ1194"/>
      <c r="XEA1194"/>
      <c r="XEB1194"/>
      <c r="XEC1194"/>
      <c r="XED1194"/>
      <c r="XEE1194"/>
      <c r="XEF1194"/>
      <c r="XEG1194"/>
      <c r="XEH1194"/>
      <c r="XEI1194"/>
      <c r="XEJ1194"/>
      <c r="XEK1194"/>
      <c r="XEL1194"/>
      <c r="XEM1194"/>
      <c r="XEN1194"/>
      <c r="XEO1194"/>
      <c r="XEP1194"/>
      <c r="XEQ1194"/>
      <c r="XER1194"/>
      <c r="XES1194"/>
      <c r="XET1194"/>
      <c r="XEU1194"/>
      <c r="XEV1194"/>
      <c r="XEW1194"/>
      <c r="XEX1194"/>
      <c r="XEY1194"/>
      <c r="XEZ1194"/>
      <c r="XFA1194"/>
      <c r="XFB1194"/>
      <c r="XFC1194"/>
    </row>
    <row r="1195" spans="1:20 16329:16383" s="38" customFormat="1" ht="29.1" customHeight="1" outlineLevel="6" x14ac:dyDescent="0.25">
      <c r="A1195" s="49" t="s">
        <v>2227</v>
      </c>
      <c r="B1195" s="50"/>
      <c r="C1195" s="50"/>
      <c r="D1195" s="3" t="s">
        <v>2228</v>
      </c>
      <c r="E1195" s="3"/>
      <c r="F1195" s="51"/>
      <c r="G1195" s="50" t="s">
        <v>134</v>
      </c>
      <c r="H1195" s="52">
        <f>1</f>
        <v>1</v>
      </c>
      <c r="I1195" s="36"/>
      <c r="J1195" s="52">
        <v>1</v>
      </c>
      <c r="K1195" s="53">
        <f>0</f>
        <v>0</v>
      </c>
      <c r="L1195" s="53">
        <f>0</f>
        <v>0</v>
      </c>
      <c r="M1195" s="53">
        <f>0</f>
        <v>0</v>
      </c>
      <c r="N1195" s="54">
        <f t="shared" si="154"/>
        <v>0</v>
      </c>
      <c r="O1195" s="54">
        <f t="shared" si="155"/>
        <v>0</v>
      </c>
      <c r="P1195" s="54">
        <f t="shared" si="156"/>
        <v>0</v>
      </c>
      <c r="Q1195" s="54">
        <f t="shared" si="157"/>
        <v>0</v>
      </c>
      <c r="R1195" s="54">
        <f t="shared" si="158"/>
        <v>0</v>
      </c>
      <c r="S1195" s="54"/>
      <c r="T1195" s="36"/>
      <c r="XDA1195"/>
      <c r="XDB1195"/>
      <c r="XDC1195"/>
      <c r="XDD1195"/>
      <c r="XDE1195"/>
      <c r="XDF1195"/>
      <c r="XDG1195"/>
      <c r="XDH1195"/>
      <c r="XDI1195"/>
      <c r="XDJ1195"/>
      <c r="XDK1195"/>
      <c r="XDL1195"/>
      <c r="XDM1195"/>
      <c r="XDN1195"/>
      <c r="XDO1195"/>
      <c r="XDP1195"/>
      <c r="XDQ1195"/>
      <c r="XDR1195"/>
      <c r="XDS1195"/>
      <c r="XDT1195"/>
      <c r="XDU1195"/>
      <c r="XDV1195"/>
      <c r="XDW1195"/>
      <c r="XDX1195"/>
      <c r="XDY1195"/>
      <c r="XDZ1195"/>
      <c r="XEA1195"/>
      <c r="XEB1195"/>
      <c r="XEC1195"/>
      <c r="XED1195"/>
      <c r="XEE1195"/>
      <c r="XEF1195"/>
      <c r="XEG1195"/>
      <c r="XEH1195"/>
      <c r="XEI1195"/>
      <c r="XEJ1195"/>
      <c r="XEK1195"/>
      <c r="XEL1195"/>
      <c r="XEM1195"/>
      <c r="XEN1195"/>
      <c r="XEO1195"/>
      <c r="XEP1195"/>
      <c r="XEQ1195"/>
      <c r="XER1195"/>
      <c r="XES1195"/>
      <c r="XET1195"/>
      <c r="XEU1195"/>
      <c r="XEV1195"/>
      <c r="XEW1195"/>
      <c r="XEX1195"/>
      <c r="XEY1195"/>
      <c r="XEZ1195"/>
      <c r="XFA1195"/>
      <c r="XFB1195"/>
      <c r="XFC1195"/>
    </row>
    <row r="1196" spans="1:20 16329:16383" s="38" customFormat="1" ht="29.1" customHeight="1" outlineLevel="6" x14ac:dyDescent="0.25">
      <c r="A1196" s="49" t="s">
        <v>2229</v>
      </c>
      <c r="B1196" s="50"/>
      <c r="C1196" s="50"/>
      <c r="D1196" s="3" t="s">
        <v>2230</v>
      </c>
      <c r="E1196" s="3"/>
      <c r="F1196" s="51"/>
      <c r="G1196" s="50" t="s">
        <v>102</v>
      </c>
      <c r="H1196" s="52">
        <f>1</f>
        <v>1</v>
      </c>
      <c r="I1196" s="36"/>
      <c r="J1196" s="52">
        <v>1</v>
      </c>
      <c r="K1196" s="53">
        <f>0</f>
        <v>0</v>
      </c>
      <c r="L1196" s="53">
        <f>0</f>
        <v>0</v>
      </c>
      <c r="M1196" s="53">
        <f>0</f>
        <v>0</v>
      </c>
      <c r="N1196" s="54">
        <f t="shared" si="154"/>
        <v>0</v>
      </c>
      <c r="O1196" s="54">
        <f t="shared" si="155"/>
        <v>0</v>
      </c>
      <c r="P1196" s="54">
        <f t="shared" si="156"/>
        <v>0</v>
      </c>
      <c r="Q1196" s="54">
        <f t="shared" si="157"/>
        <v>0</v>
      </c>
      <c r="R1196" s="54">
        <f t="shared" si="158"/>
        <v>0</v>
      </c>
      <c r="S1196" s="54"/>
      <c r="T1196" s="36"/>
      <c r="XDA1196"/>
      <c r="XDB1196"/>
      <c r="XDC1196"/>
      <c r="XDD1196"/>
      <c r="XDE1196"/>
      <c r="XDF1196"/>
      <c r="XDG1196"/>
      <c r="XDH1196"/>
      <c r="XDI1196"/>
      <c r="XDJ1196"/>
      <c r="XDK1196"/>
      <c r="XDL1196"/>
      <c r="XDM1196"/>
      <c r="XDN1196"/>
      <c r="XDO1196"/>
      <c r="XDP1196"/>
      <c r="XDQ1196"/>
      <c r="XDR1196"/>
      <c r="XDS1196"/>
      <c r="XDT1196"/>
      <c r="XDU1196"/>
      <c r="XDV1196"/>
      <c r="XDW1196"/>
      <c r="XDX1196"/>
      <c r="XDY1196"/>
      <c r="XDZ1196"/>
      <c r="XEA1196"/>
      <c r="XEB1196"/>
      <c r="XEC1196"/>
      <c r="XED1196"/>
      <c r="XEE1196"/>
      <c r="XEF1196"/>
      <c r="XEG1196"/>
      <c r="XEH1196"/>
      <c r="XEI1196"/>
      <c r="XEJ1196"/>
      <c r="XEK1196"/>
      <c r="XEL1196"/>
      <c r="XEM1196"/>
      <c r="XEN1196"/>
      <c r="XEO1196"/>
      <c r="XEP1196"/>
      <c r="XEQ1196"/>
      <c r="XER1196"/>
      <c r="XES1196"/>
      <c r="XET1196"/>
      <c r="XEU1196"/>
      <c r="XEV1196"/>
      <c r="XEW1196"/>
      <c r="XEX1196"/>
      <c r="XEY1196"/>
      <c r="XEZ1196"/>
      <c r="XFA1196"/>
      <c r="XFB1196"/>
      <c r="XFC1196"/>
    </row>
    <row r="1197" spans="1:20 16329:16383" s="38" customFormat="1" ht="29.1" customHeight="1" outlineLevel="6" x14ac:dyDescent="0.25">
      <c r="A1197" s="49" t="s">
        <v>2231</v>
      </c>
      <c r="B1197" s="50"/>
      <c r="C1197" s="50"/>
      <c r="D1197" s="3" t="s">
        <v>2232</v>
      </c>
      <c r="E1197" s="3"/>
      <c r="F1197" s="51"/>
      <c r="G1197" s="50" t="s">
        <v>102</v>
      </c>
      <c r="H1197" s="52">
        <f>1</f>
        <v>1</v>
      </c>
      <c r="I1197" s="36"/>
      <c r="J1197" s="52">
        <v>1</v>
      </c>
      <c r="K1197" s="53">
        <f>0</f>
        <v>0</v>
      </c>
      <c r="L1197" s="53">
        <f>0</f>
        <v>0</v>
      </c>
      <c r="M1197" s="53">
        <f>0</f>
        <v>0</v>
      </c>
      <c r="N1197" s="54">
        <f t="shared" si="154"/>
        <v>0</v>
      </c>
      <c r="O1197" s="54">
        <f t="shared" si="155"/>
        <v>0</v>
      </c>
      <c r="P1197" s="54">
        <f t="shared" si="156"/>
        <v>0</v>
      </c>
      <c r="Q1197" s="54">
        <f t="shared" si="157"/>
        <v>0</v>
      </c>
      <c r="R1197" s="54">
        <f t="shared" si="158"/>
        <v>0</v>
      </c>
      <c r="S1197" s="54"/>
      <c r="T1197" s="36"/>
      <c r="XDA1197"/>
      <c r="XDB1197"/>
      <c r="XDC1197"/>
      <c r="XDD1197"/>
      <c r="XDE1197"/>
      <c r="XDF1197"/>
      <c r="XDG1197"/>
      <c r="XDH1197"/>
      <c r="XDI1197"/>
      <c r="XDJ1197"/>
      <c r="XDK1197"/>
      <c r="XDL1197"/>
      <c r="XDM1197"/>
      <c r="XDN1197"/>
      <c r="XDO1197"/>
      <c r="XDP1197"/>
      <c r="XDQ1197"/>
      <c r="XDR1197"/>
      <c r="XDS1197"/>
      <c r="XDT1197"/>
      <c r="XDU1197"/>
      <c r="XDV1197"/>
      <c r="XDW1197"/>
      <c r="XDX1197"/>
      <c r="XDY1197"/>
      <c r="XDZ1197"/>
      <c r="XEA1197"/>
      <c r="XEB1197"/>
      <c r="XEC1197"/>
      <c r="XED1197"/>
      <c r="XEE1197"/>
      <c r="XEF1197"/>
      <c r="XEG1197"/>
      <c r="XEH1197"/>
      <c r="XEI1197"/>
      <c r="XEJ1197"/>
      <c r="XEK1197"/>
      <c r="XEL1197"/>
      <c r="XEM1197"/>
      <c r="XEN1197"/>
      <c r="XEO1197"/>
      <c r="XEP1197"/>
      <c r="XEQ1197"/>
      <c r="XER1197"/>
      <c r="XES1197"/>
      <c r="XET1197"/>
      <c r="XEU1197"/>
      <c r="XEV1197"/>
      <c r="XEW1197"/>
      <c r="XEX1197"/>
      <c r="XEY1197"/>
      <c r="XEZ1197"/>
      <c r="XFA1197"/>
      <c r="XFB1197"/>
      <c r="XFC1197"/>
    </row>
    <row r="1198" spans="1:20 16329:16383" s="38" customFormat="1" ht="29.1" customHeight="1" outlineLevel="5" x14ac:dyDescent="0.25">
      <c r="A1198" s="65" t="s">
        <v>2233</v>
      </c>
      <c r="B1198" s="66" t="s">
        <v>2234</v>
      </c>
      <c r="C1198" s="66"/>
      <c r="D1198" s="98" t="s">
        <v>1899</v>
      </c>
      <c r="E1198" s="98"/>
      <c r="F1198" s="67"/>
      <c r="G1198" s="66"/>
      <c r="H1198" s="68"/>
      <c r="I1198" s="36"/>
      <c r="J1198" s="68"/>
      <c r="K1198" s="69"/>
      <c r="L1198" s="69"/>
      <c r="M1198" s="69"/>
      <c r="N1198" s="69"/>
      <c r="O1198" s="69">
        <f>SUM(O1199:O1208)</f>
        <v>0</v>
      </c>
      <c r="P1198" s="69">
        <f>SUM(P1199:P1208)</f>
        <v>0</v>
      </c>
      <c r="Q1198" s="69">
        <f>SUM(Q1199:Q1208)</f>
        <v>0</v>
      </c>
      <c r="R1198" s="69">
        <f>SUM(R1199:R1208)</f>
        <v>0</v>
      </c>
      <c r="S1198" s="69"/>
      <c r="T1198" s="36"/>
      <c r="XDA1198"/>
      <c r="XDB1198"/>
      <c r="XDC1198"/>
      <c r="XDD1198"/>
      <c r="XDE1198"/>
      <c r="XDF1198"/>
      <c r="XDG1198"/>
      <c r="XDH1198"/>
      <c r="XDI1198"/>
      <c r="XDJ1198"/>
      <c r="XDK1198"/>
      <c r="XDL1198"/>
      <c r="XDM1198"/>
      <c r="XDN1198"/>
      <c r="XDO1198"/>
      <c r="XDP1198"/>
      <c r="XDQ1198"/>
      <c r="XDR1198"/>
      <c r="XDS1198"/>
      <c r="XDT1198"/>
      <c r="XDU1198"/>
      <c r="XDV1198"/>
      <c r="XDW1198"/>
      <c r="XDX1198"/>
      <c r="XDY1198"/>
      <c r="XDZ1198"/>
      <c r="XEA1198"/>
      <c r="XEB1198"/>
      <c r="XEC1198"/>
      <c r="XED1198"/>
      <c r="XEE1198"/>
      <c r="XEF1198"/>
      <c r="XEG1198"/>
      <c r="XEH1198"/>
      <c r="XEI1198"/>
      <c r="XEJ1198"/>
      <c r="XEK1198"/>
      <c r="XEL1198"/>
      <c r="XEM1198"/>
      <c r="XEN1198"/>
      <c r="XEO1198"/>
      <c r="XEP1198"/>
      <c r="XEQ1198"/>
      <c r="XER1198"/>
      <c r="XES1198"/>
      <c r="XET1198"/>
      <c r="XEU1198"/>
      <c r="XEV1198"/>
      <c r="XEW1198"/>
      <c r="XEX1198"/>
      <c r="XEY1198"/>
      <c r="XEZ1198"/>
      <c r="XFA1198"/>
      <c r="XFB1198"/>
      <c r="XFC1198"/>
    </row>
    <row r="1199" spans="1:20 16329:16383" s="38" customFormat="1" ht="29.1" customHeight="1" outlineLevel="6" x14ac:dyDescent="0.25">
      <c r="A1199" s="49" t="s">
        <v>2235</v>
      </c>
      <c r="B1199" s="50"/>
      <c r="C1199" s="50"/>
      <c r="D1199" s="3" t="s">
        <v>1955</v>
      </c>
      <c r="E1199" s="3"/>
      <c r="F1199" s="51"/>
      <c r="G1199" s="50" t="s">
        <v>102</v>
      </c>
      <c r="H1199" s="52">
        <f>1</f>
        <v>1</v>
      </c>
      <c r="I1199" s="36"/>
      <c r="J1199" s="52">
        <v>1</v>
      </c>
      <c r="K1199" s="53">
        <f>0</f>
        <v>0</v>
      </c>
      <c r="L1199" s="53">
        <f>0</f>
        <v>0</v>
      </c>
      <c r="M1199" s="53">
        <f>0</f>
        <v>0</v>
      </c>
      <c r="N1199" s="54">
        <f t="shared" ref="N1199:N1208" si="159">SUM(K1199:M1199)</f>
        <v>0</v>
      </c>
      <c r="O1199" s="54">
        <f t="shared" ref="O1199:O1208" si="160">ROUND((H1199*K1199),2)</f>
        <v>0</v>
      </c>
      <c r="P1199" s="54">
        <f t="shared" ref="P1199:P1208" si="161">ROUND((H1199*L1199),2)</f>
        <v>0</v>
      </c>
      <c r="Q1199" s="54">
        <f t="shared" ref="Q1199:Q1208" si="162">ROUND((H1199*M1199),2)</f>
        <v>0</v>
      </c>
      <c r="R1199" s="54">
        <f t="shared" ref="R1199:R1208" si="163">ROUND((H1199*N1199),2)</f>
        <v>0</v>
      </c>
      <c r="S1199" s="54"/>
      <c r="T1199" s="36"/>
      <c r="XDA1199"/>
      <c r="XDB1199"/>
      <c r="XDC1199"/>
      <c r="XDD1199"/>
      <c r="XDE1199"/>
      <c r="XDF1199"/>
      <c r="XDG1199"/>
      <c r="XDH1199"/>
      <c r="XDI1199"/>
      <c r="XDJ1199"/>
      <c r="XDK1199"/>
      <c r="XDL1199"/>
      <c r="XDM1199"/>
      <c r="XDN1199"/>
      <c r="XDO1199"/>
      <c r="XDP1199"/>
      <c r="XDQ1199"/>
      <c r="XDR1199"/>
      <c r="XDS1199"/>
      <c r="XDT1199"/>
      <c r="XDU1199"/>
      <c r="XDV1199"/>
      <c r="XDW1199"/>
      <c r="XDX1199"/>
      <c r="XDY1199"/>
      <c r="XDZ1199"/>
      <c r="XEA1199"/>
      <c r="XEB1199"/>
      <c r="XEC1199"/>
      <c r="XED1199"/>
      <c r="XEE1199"/>
      <c r="XEF1199"/>
      <c r="XEG1199"/>
      <c r="XEH1199"/>
      <c r="XEI1199"/>
      <c r="XEJ1199"/>
      <c r="XEK1199"/>
      <c r="XEL1199"/>
      <c r="XEM1199"/>
      <c r="XEN1199"/>
      <c r="XEO1199"/>
      <c r="XEP1199"/>
      <c r="XEQ1199"/>
      <c r="XER1199"/>
      <c r="XES1199"/>
      <c r="XET1199"/>
      <c r="XEU1199"/>
      <c r="XEV1199"/>
      <c r="XEW1199"/>
      <c r="XEX1199"/>
      <c r="XEY1199"/>
      <c r="XEZ1199"/>
      <c r="XFA1199"/>
      <c r="XFB1199"/>
      <c r="XFC1199"/>
    </row>
    <row r="1200" spans="1:20 16329:16383" s="38" customFormat="1" ht="29.1" customHeight="1" outlineLevel="6" x14ac:dyDescent="0.25">
      <c r="A1200" s="49" t="s">
        <v>2236</v>
      </c>
      <c r="B1200" s="50"/>
      <c r="C1200" s="50"/>
      <c r="D1200" s="3" t="s">
        <v>2213</v>
      </c>
      <c r="E1200" s="3"/>
      <c r="F1200" s="51"/>
      <c r="G1200" s="50" t="s">
        <v>102</v>
      </c>
      <c r="H1200" s="52">
        <f>1</f>
        <v>1</v>
      </c>
      <c r="I1200" s="36"/>
      <c r="J1200" s="52">
        <v>1</v>
      </c>
      <c r="K1200" s="53">
        <f>0</f>
        <v>0</v>
      </c>
      <c r="L1200" s="53">
        <f>0</f>
        <v>0</v>
      </c>
      <c r="M1200" s="53">
        <f>0</f>
        <v>0</v>
      </c>
      <c r="N1200" s="54">
        <f t="shared" si="159"/>
        <v>0</v>
      </c>
      <c r="O1200" s="54">
        <f t="shared" si="160"/>
        <v>0</v>
      </c>
      <c r="P1200" s="54">
        <f t="shared" si="161"/>
        <v>0</v>
      </c>
      <c r="Q1200" s="54">
        <f t="shared" si="162"/>
        <v>0</v>
      </c>
      <c r="R1200" s="54">
        <f t="shared" si="163"/>
        <v>0</v>
      </c>
      <c r="S1200" s="54"/>
      <c r="T1200" s="36"/>
      <c r="XDA1200"/>
      <c r="XDB1200"/>
      <c r="XDC1200"/>
      <c r="XDD1200"/>
      <c r="XDE1200"/>
      <c r="XDF1200"/>
      <c r="XDG1200"/>
      <c r="XDH1200"/>
      <c r="XDI1200"/>
      <c r="XDJ1200"/>
      <c r="XDK1200"/>
      <c r="XDL1200"/>
      <c r="XDM1200"/>
      <c r="XDN1200"/>
      <c r="XDO1200"/>
      <c r="XDP1200"/>
      <c r="XDQ1200"/>
      <c r="XDR1200"/>
      <c r="XDS1200"/>
      <c r="XDT1200"/>
      <c r="XDU1200"/>
      <c r="XDV1200"/>
      <c r="XDW1200"/>
      <c r="XDX1200"/>
      <c r="XDY1200"/>
      <c r="XDZ1200"/>
      <c r="XEA1200"/>
      <c r="XEB1200"/>
      <c r="XEC1200"/>
      <c r="XED1200"/>
      <c r="XEE1200"/>
      <c r="XEF1200"/>
      <c r="XEG1200"/>
      <c r="XEH1200"/>
      <c r="XEI1200"/>
      <c r="XEJ1200"/>
      <c r="XEK1200"/>
      <c r="XEL1200"/>
      <c r="XEM1200"/>
      <c r="XEN1200"/>
      <c r="XEO1200"/>
      <c r="XEP1200"/>
      <c r="XEQ1200"/>
      <c r="XER1200"/>
      <c r="XES1200"/>
      <c r="XET1200"/>
      <c r="XEU1200"/>
      <c r="XEV1200"/>
      <c r="XEW1200"/>
      <c r="XEX1200"/>
      <c r="XEY1200"/>
      <c r="XEZ1200"/>
      <c r="XFA1200"/>
      <c r="XFB1200"/>
      <c r="XFC1200"/>
    </row>
    <row r="1201" spans="1:20 16329:16383" s="38" customFormat="1" ht="29.1" customHeight="1" outlineLevel="6" x14ac:dyDescent="0.25">
      <c r="A1201" s="49" t="s">
        <v>2237</v>
      </c>
      <c r="B1201" s="50"/>
      <c r="C1201" s="50"/>
      <c r="D1201" s="3" t="s">
        <v>2238</v>
      </c>
      <c r="E1201" s="3"/>
      <c r="F1201" s="51"/>
      <c r="G1201" s="50" t="s">
        <v>102</v>
      </c>
      <c r="H1201" s="52">
        <f>1</f>
        <v>1</v>
      </c>
      <c r="I1201" s="36"/>
      <c r="J1201" s="52">
        <v>1</v>
      </c>
      <c r="K1201" s="53">
        <f>0</f>
        <v>0</v>
      </c>
      <c r="L1201" s="53">
        <f>0</f>
        <v>0</v>
      </c>
      <c r="M1201" s="53">
        <f>0</f>
        <v>0</v>
      </c>
      <c r="N1201" s="54">
        <f t="shared" si="159"/>
        <v>0</v>
      </c>
      <c r="O1201" s="54">
        <f t="shared" si="160"/>
        <v>0</v>
      </c>
      <c r="P1201" s="54">
        <f t="shared" si="161"/>
        <v>0</v>
      </c>
      <c r="Q1201" s="54">
        <f t="shared" si="162"/>
        <v>0</v>
      </c>
      <c r="R1201" s="54">
        <f t="shared" si="163"/>
        <v>0</v>
      </c>
      <c r="S1201" s="54"/>
      <c r="T1201" s="36"/>
      <c r="XDA1201"/>
      <c r="XDB1201"/>
      <c r="XDC1201"/>
      <c r="XDD1201"/>
      <c r="XDE1201"/>
      <c r="XDF1201"/>
      <c r="XDG1201"/>
      <c r="XDH1201"/>
      <c r="XDI1201"/>
      <c r="XDJ1201"/>
      <c r="XDK1201"/>
      <c r="XDL1201"/>
      <c r="XDM1201"/>
      <c r="XDN1201"/>
      <c r="XDO1201"/>
      <c r="XDP1201"/>
      <c r="XDQ1201"/>
      <c r="XDR1201"/>
      <c r="XDS1201"/>
      <c r="XDT1201"/>
      <c r="XDU1201"/>
      <c r="XDV1201"/>
      <c r="XDW1201"/>
      <c r="XDX1201"/>
      <c r="XDY1201"/>
      <c r="XDZ1201"/>
      <c r="XEA1201"/>
      <c r="XEB1201"/>
      <c r="XEC1201"/>
      <c r="XED1201"/>
      <c r="XEE1201"/>
      <c r="XEF1201"/>
      <c r="XEG1201"/>
      <c r="XEH1201"/>
      <c r="XEI1201"/>
      <c r="XEJ1201"/>
      <c r="XEK1201"/>
      <c r="XEL1201"/>
      <c r="XEM1201"/>
      <c r="XEN1201"/>
      <c r="XEO1201"/>
      <c r="XEP1201"/>
      <c r="XEQ1201"/>
      <c r="XER1201"/>
      <c r="XES1201"/>
      <c r="XET1201"/>
      <c r="XEU1201"/>
      <c r="XEV1201"/>
      <c r="XEW1201"/>
      <c r="XEX1201"/>
      <c r="XEY1201"/>
      <c r="XEZ1201"/>
      <c r="XFA1201"/>
      <c r="XFB1201"/>
      <c r="XFC1201"/>
    </row>
    <row r="1202" spans="1:20 16329:16383" s="38" customFormat="1" ht="29.1" customHeight="1" outlineLevel="6" x14ac:dyDescent="0.25">
      <c r="A1202" s="49" t="s">
        <v>2239</v>
      </c>
      <c r="B1202" s="50"/>
      <c r="C1202" s="50"/>
      <c r="D1202" s="3" t="s">
        <v>1884</v>
      </c>
      <c r="E1202" s="3"/>
      <c r="F1202" s="51"/>
      <c r="G1202" s="50" t="s">
        <v>102</v>
      </c>
      <c r="H1202" s="52">
        <f>1</f>
        <v>1</v>
      </c>
      <c r="I1202" s="36"/>
      <c r="J1202" s="52">
        <v>1</v>
      </c>
      <c r="K1202" s="53">
        <f>0</f>
        <v>0</v>
      </c>
      <c r="L1202" s="53">
        <f>0</f>
        <v>0</v>
      </c>
      <c r="M1202" s="53">
        <f>0</f>
        <v>0</v>
      </c>
      <c r="N1202" s="54">
        <f t="shared" si="159"/>
        <v>0</v>
      </c>
      <c r="O1202" s="54">
        <f t="shared" si="160"/>
        <v>0</v>
      </c>
      <c r="P1202" s="54">
        <f t="shared" si="161"/>
        <v>0</v>
      </c>
      <c r="Q1202" s="54">
        <f t="shared" si="162"/>
        <v>0</v>
      </c>
      <c r="R1202" s="54">
        <f t="shared" si="163"/>
        <v>0</v>
      </c>
      <c r="S1202" s="54"/>
      <c r="T1202" s="36"/>
      <c r="XDA1202"/>
      <c r="XDB1202"/>
      <c r="XDC1202"/>
      <c r="XDD1202"/>
      <c r="XDE1202"/>
      <c r="XDF1202"/>
      <c r="XDG1202"/>
      <c r="XDH1202"/>
      <c r="XDI1202"/>
      <c r="XDJ1202"/>
      <c r="XDK1202"/>
      <c r="XDL1202"/>
      <c r="XDM1202"/>
      <c r="XDN1202"/>
      <c r="XDO1202"/>
      <c r="XDP1202"/>
      <c r="XDQ1202"/>
      <c r="XDR1202"/>
      <c r="XDS1202"/>
      <c r="XDT1202"/>
      <c r="XDU1202"/>
      <c r="XDV1202"/>
      <c r="XDW1202"/>
      <c r="XDX1202"/>
      <c r="XDY1202"/>
      <c r="XDZ1202"/>
      <c r="XEA1202"/>
      <c r="XEB1202"/>
      <c r="XEC1202"/>
      <c r="XED1202"/>
      <c r="XEE1202"/>
      <c r="XEF1202"/>
      <c r="XEG1202"/>
      <c r="XEH1202"/>
      <c r="XEI1202"/>
      <c r="XEJ1202"/>
      <c r="XEK1202"/>
      <c r="XEL1202"/>
      <c r="XEM1202"/>
      <c r="XEN1202"/>
      <c r="XEO1202"/>
      <c r="XEP1202"/>
      <c r="XEQ1202"/>
      <c r="XER1202"/>
      <c r="XES1202"/>
      <c r="XET1202"/>
      <c r="XEU1202"/>
      <c r="XEV1202"/>
      <c r="XEW1202"/>
      <c r="XEX1202"/>
      <c r="XEY1202"/>
      <c r="XEZ1202"/>
      <c r="XFA1202"/>
      <c r="XFB1202"/>
      <c r="XFC1202"/>
    </row>
    <row r="1203" spans="1:20 16329:16383" s="38" customFormat="1" ht="29.1" customHeight="1" outlineLevel="6" x14ac:dyDescent="0.25">
      <c r="A1203" s="49" t="s">
        <v>2240</v>
      </c>
      <c r="B1203" s="50"/>
      <c r="C1203" s="50"/>
      <c r="D1203" s="3" t="s">
        <v>2241</v>
      </c>
      <c r="E1203" s="3"/>
      <c r="F1203" s="51"/>
      <c r="G1203" s="50" t="s">
        <v>102</v>
      </c>
      <c r="H1203" s="52">
        <f>1</f>
        <v>1</v>
      </c>
      <c r="I1203" s="36"/>
      <c r="J1203" s="52">
        <v>1</v>
      </c>
      <c r="K1203" s="53">
        <f>0</f>
        <v>0</v>
      </c>
      <c r="L1203" s="53">
        <f>0</f>
        <v>0</v>
      </c>
      <c r="M1203" s="53">
        <f>0</f>
        <v>0</v>
      </c>
      <c r="N1203" s="54">
        <f t="shared" si="159"/>
        <v>0</v>
      </c>
      <c r="O1203" s="54">
        <f t="shared" si="160"/>
        <v>0</v>
      </c>
      <c r="P1203" s="54">
        <f t="shared" si="161"/>
        <v>0</v>
      </c>
      <c r="Q1203" s="54">
        <f t="shared" si="162"/>
        <v>0</v>
      </c>
      <c r="R1203" s="54">
        <f t="shared" si="163"/>
        <v>0</v>
      </c>
      <c r="S1203" s="54"/>
      <c r="T1203" s="36"/>
      <c r="XDA1203"/>
      <c r="XDB1203"/>
      <c r="XDC1203"/>
      <c r="XDD1203"/>
      <c r="XDE1203"/>
      <c r="XDF1203"/>
      <c r="XDG1203"/>
      <c r="XDH1203"/>
      <c r="XDI1203"/>
      <c r="XDJ1203"/>
      <c r="XDK1203"/>
      <c r="XDL1203"/>
      <c r="XDM1203"/>
      <c r="XDN1203"/>
      <c r="XDO1203"/>
      <c r="XDP1203"/>
      <c r="XDQ1203"/>
      <c r="XDR1203"/>
      <c r="XDS1203"/>
      <c r="XDT1203"/>
      <c r="XDU1203"/>
      <c r="XDV1203"/>
      <c r="XDW1203"/>
      <c r="XDX1203"/>
      <c r="XDY1203"/>
      <c r="XDZ1203"/>
      <c r="XEA1203"/>
      <c r="XEB1203"/>
      <c r="XEC1203"/>
      <c r="XED1203"/>
      <c r="XEE1203"/>
      <c r="XEF1203"/>
      <c r="XEG1203"/>
      <c r="XEH1203"/>
      <c r="XEI1203"/>
      <c r="XEJ1203"/>
      <c r="XEK1203"/>
      <c r="XEL1203"/>
      <c r="XEM1203"/>
      <c r="XEN1203"/>
      <c r="XEO1203"/>
      <c r="XEP1203"/>
      <c r="XEQ1203"/>
      <c r="XER1203"/>
      <c r="XES1203"/>
      <c r="XET1203"/>
      <c r="XEU1203"/>
      <c r="XEV1203"/>
      <c r="XEW1203"/>
      <c r="XEX1203"/>
      <c r="XEY1203"/>
      <c r="XEZ1203"/>
      <c r="XFA1203"/>
      <c r="XFB1203"/>
      <c r="XFC1203"/>
    </row>
    <row r="1204" spans="1:20 16329:16383" s="38" customFormat="1" ht="29.1" customHeight="1" outlineLevel="6" x14ac:dyDescent="0.25">
      <c r="A1204" s="49" t="s">
        <v>2242</v>
      </c>
      <c r="B1204" s="50"/>
      <c r="C1204" s="50"/>
      <c r="D1204" s="3" t="s">
        <v>1886</v>
      </c>
      <c r="E1204" s="3"/>
      <c r="F1204" s="51"/>
      <c r="G1204" s="50" t="s">
        <v>102</v>
      </c>
      <c r="H1204" s="52">
        <f>1</f>
        <v>1</v>
      </c>
      <c r="I1204" s="36"/>
      <c r="J1204" s="52">
        <v>1</v>
      </c>
      <c r="K1204" s="53">
        <f>0</f>
        <v>0</v>
      </c>
      <c r="L1204" s="53">
        <f>0</f>
        <v>0</v>
      </c>
      <c r="M1204" s="53">
        <f>0</f>
        <v>0</v>
      </c>
      <c r="N1204" s="54">
        <f t="shared" si="159"/>
        <v>0</v>
      </c>
      <c r="O1204" s="54">
        <f t="shared" si="160"/>
        <v>0</v>
      </c>
      <c r="P1204" s="54">
        <f t="shared" si="161"/>
        <v>0</v>
      </c>
      <c r="Q1204" s="54">
        <f t="shared" si="162"/>
        <v>0</v>
      </c>
      <c r="R1204" s="54">
        <f t="shared" si="163"/>
        <v>0</v>
      </c>
      <c r="S1204" s="54"/>
      <c r="T1204" s="36"/>
      <c r="XDA1204"/>
      <c r="XDB1204"/>
      <c r="XDC1204"/>
      <c r="XDD1204"/>
      <c r="XDE1204"/>
      <c r="XDF1204"/>
      <c r="XDG1204"/>
      <c r="XDH1204"/>
      <c r="XDI1204"/>
      <c r="XDJ1204"/>
      <c r="XDK1204"/>
      <c r="XDL1204"/>
      <c r="XDM1204"/>
      <c r="XDN1204"/>
      <c r="XDO1204"/>
      <c r="XDP1204"/>
      <c r="XDQ1204"/>
      <c r="XDR1204"/>
      <c r="XDS1204"/>
      <c r="XDT1204"/>
      <c r="XDU1204"/>
      <c r="XDV1204"/>
      <c r="XDW1204"/>
      <c r="XDX1204"/>
      <c r="XDY1204"/>
      <c r="XDZ1204"/>
      <c r="XEA1204"/>
      <c r="XEB1204"/>
      <c r="XEC1204"/>
      <c r="XED1204"/>
      <c r="XEE1204"/>
      <c r="XEF1204"/>
      <c r="XEG1204"/>
      <c r="XEH1204"/>
      <c r="XEI1204"/>
      <c r="XEJ1204"/>
      <c r="XEK1204"/>
      <c r="XEL1204"/>
      <c r="XEM1204"/>
      <c r="XEN1204"/>
      <c r="XEO1204"/>
      <c r="XEP1204"/>
      <c r="XEQ1204"/>
      <c r="XER1204"/>
      <c r="XES1204"/>
      <c r="XET1204"/>
      <c r="XEU1204"/>
      <c r="XEV1204"/>
      <c r="XEW1204"/>
      <c r="XEX1204"/>
      <c r="XEY1204"/>
      <c r="XEZ1204"/>
      <c r="XFA1204"/>
      <c r="XFB1204"/>
      <c r="XFC1204"/>
    </row>
    <row r="1205" spans="1:20 16329:16383" s="38" customFormat="1" ht="29.1" customHeight="1" outlineLevel="6" x14ac:dyDescent="0.25">
      <c r="A1205" s="49" t="s">
        <v>2243</v>
      </c>
      <c r="B1205" s="50"/>
      <c r="C1205" s="50"/>
      <c r="D1205" s="3" t="s">
        <v>2219</v>
      </c>
      <c r="E1205" s="3"/>
      <c r="F1205" s="51"/>
      <c r="G1205" s="50" t="s">
        <v>102</v>
      </c>
      <c r="H1205" s="52">
        <f>1</f>
        <v>1</v>
      </c>
      <c r="I1205" s="36"/>
      <c r="J1205" s="52">
        <v>1</v>
      </c>
      <c r="K1205" s="53">
        <f>0</f>
        <v>0</v>
      </c>
      <c r="L1205" s="53">
        <f>0</f>
        <v>0</v>
      </c>
      <c r="M1205" s="53">
        <f>0</f>
        <v>0</v>
      </c>
      <c r="N1205" s="54">
        <f t="shared" si="159"/>
        <v>0</v>
      </c>
      <c r="O1205" s="54">
        <f t="shared" si="160"/>
        <v>0</v>
      </c>
      <c r="P1205" s="54">
        <f t="shared" si="161"/>
        <v>0</v>
      </c>
      <c r="Q1205" s="54">
        <f t="shared" si="162"/>
        <v>0</v>
      </c>
      <c r="R1205" s="54">
        <f t="shared" si="163"/>
        <v>0</v>
      </c>
      <c r="S1205" s="54"/>
      <c r="T1205" s="36"/>
      <c r="XDA1205"/>
      <c r="XDB1205"/>
      <c r="XDC1205"/>
      <c r="XDD1205"/>
      <c r="XDE1205"/>
      <c r="XDF1205"/>
      <c r="XDG1205"/>
      <c r="XDH1205"/>
      <c r="XDI1205"/>
      <c r="XDJ1205"/>
      <c r="XDK1205"/>
      <c r="XDL1205"/>
      <c r="XDM1205"/>
      <c r="XDN1205"/>
      <c r="XDO1205"/>
      <c r="XDP1205"/>
      <c r="XDQ1205"/>
      <c r="XDR1205"/>
      <c r="XDS1205"/>
      <c r="XDT1205"/>
      <c r="XDU1205"/>
      <c r="XDV1205"/>
      <c r="XDW1205"/>
      <c r="XDX1205"/>
      <c r="XDY1205"/>
      <c r="XDZ1205"/>
      <c r="XEA1205"/>
      <c r="XEB1205"/>
      <c r="XEC1205"/>
      <c r="XED1205"/>
      <c r="XEE1205"/>
      <c r="XEF1205"/>
      <c r="XEG1205"/>
      <c r="XEH1205"/>
      <c r="XEI1205"/>
      <c r="XEJ1205"/>
      <c r="XEK1205"/>
      <c r="XEL1205"/>
      <c r="XEM1205"/>
      <c r="XEN1205"/>
      <c r="XEO1205"/>
      <c r="XEP1205"/>
      <c r="XEQ1205"/>
      <c r="XER1205"/>
      <c r="XES1205"/>
      <c r="XET1205"/>
      <c r="XEU1205"/>
      <c r="XEV1205"/>
      <c r="XEW1205"/>
      <c r="XEX1205"/>
      <c r="XEY1205"/>
      <c r="XEZ1205"/>
      <c r="XFA1205"/>
      <c r="XFB1205"/>
      <c r="XFC1205"/>
    </row>
    <row r="1206" spans="1:20 16329:16383" s="38" customFormat="1" ht="29.1" customHeight="1" outlineLevel="6" x14ac:dyDescent="0.25">
      <c r="A1206" s="49" t="s">
        <v>2244</v>
      </c>
      <c r="B1206" s="50"/>
      <c r="C1206" s="50"/>
      <c r="D1206" s="3" t="s">
        <v>2245</v>
      </c>
      <c r="E1206" s="3"/>
      <c r="F1206" s="51"/>
      <c r="G1206" s="50" t="s">
        <v>102</v>
      </c>
      <c r="H1206" s="52">
        <f>1</f>
        <v>1</v>
      </c>
      <c r="I1206" s="36"/>
      <c r="J1206" s="52">
        <v>1</v>
      </c>
      <c r="K1206" s="53">
        <f>0</f>
        <v>0</v>
      </c>
      <c r="L1206" s="53">
        <f>0</f>
        <v>0</v>
      </c>
      <c r="M1206" s="53">
        <f>0</f>
        <v>0</v>
      </c>
      <c r="N1206" s="54">
        <f t="shared" si="159"/>
        <v>0</v>
      </c>
      <c r="O1206" s="54">
        <f t="shared" si="160"/>
        <v>0</v>
      </c>
      <c r="P1206" s="54">
        <f t="shared" si="161"/>
        <v>0</v>
      </c>
      <c r="Q1206" s="54">
        <f t="shared" si="162"/>
        <v>0</v>
      </c>
      <c r="R1206" s="54">
        <f t="shared" si="163"/>
        <v>0</v>
      </c>
      <c r="S1206" s="54"/>
      <c r="T1206" s="36"/>
      <c r="XDA1206"/>
      <c r="XDB1206"/>
      <c r="XDC1206"/>
      <c r="XDD1206"/>
      <c r="XDE1206"/>
      <c r="XDF1206"/>
      <c r="XDG1206"/>
      <c r="XDH1206"/>
      <c r="XDI1206"/>
      <c r="XDJ1206"/>
      <c r="XDK1206"/>
      <c r="XDL1206"/>
      <c r="XDM1206"/>
      <c r="XDN1206"/>
      <c r="XDO1206"/>
      <c r="XDP1206"/>
      <c r="XDQ1206"/>
      <c r="XDR1206"/>
      <c r="XDS1206"/>
      <c r="XDT1206"/>
      <c r="XDU1206"/>
      <c r="XDV1206"/>
      <c r="XDW1206"/>
      <c r="XDX1206"/>
      <c r="XDY1206"/>
      <c r="XDZ1206"/>
      <c r="XEA1206"/>
      <c r="XEB1206"/>
      <c r="XEC1206"/>
      <c r="XED1206"/>
      <c r="XEE1206"/>
      <c r="XEF1206"/>
      <c r="XEG1206"/>
      <c r="XEH1206"/>
      <c r="XEI1206"/>
      <c r="XEJ1206"/>
      <c r="XEK1206"/>
      <c r="XEL1206"/>
      <c r="XEM1206"/>
      <c r="XEN1206"/>
      <c r="XEO1206"/>
      <c r="XEP1206"/>
      <c r="XEQ1206"/>
      <c r="XER1206"/>
      <c r="XES1206"/>
      <c r="XET1206"/>
      <c r="XEU1206"/>
      <c r="XEV1206"/>
      <c r="XEW1206"/>
      <c r="XEX1206"/>
      <c r="XEY1206"/>
      <c r="XEZ1206"/>
      <c r="XFA1206"/>
      <c r="XFB1206"/>
      <c r="XFC1206"/>
    </row>
    <row r="1207" spans="1:20 16329:16383" s="38" customFormat="1" ht="29.1" customHeight="1" outlineLevel="6" x14ac:dyDescent="0.25">
      <c r="A1207" s="49" t="s">
        <v>2246</v>
      </c>
      <c r="B1207" s="50"/>
      <c r="C1207" s="50"/>
      <c r="D1207" s="3" t="s">
        <v>2226</v>
      </c>
      <c r="E1207" s="3"/>
      <c r="F1207" s="51"/>
      <c r="G1207" s="50" t="s">
        <v>102</v>
      </c>
      <c r="H1207" s="52">
        <f>1</f>
        <v>1</v>
      </c>
      <c r="I1207" s="36"/>
      <c r="J1207" s="52">
        <v>1</v>
      </c>
      <c r="K1207" s="53">
        <f>0</f>
        <v>0</v>
      </c>
      <c r="L1207" s="53">
        <f>0</f>
        <v>0</v>
      </c>
      <c r="M1207" s="53">
        <f>0</f>
        <v>0</v>
      </c>
      <c r="N1207" s="54">
        <f t="shared" si="159"/>
        <v>0</v>
      </c>
      <c r="O1207" s="54">
        <f t="shared" si="160"/>
        <v>0</v>
      </c>
      <c r="P1207" s="54">
        <f t="shared" si="161"/>
        <v>0</v>
      </c>
      <c r="Q1207" s="54">
        <f t="shared" si="162"/>
        <v>0</v>
      </c>
      <c r="R1207" s="54">
        <f t="shared" si="163"/>
        <v>0</v>
      </c>
      <c r="S1207" s="54"/>
      <c r="T1207" s="36"/>
      <c r="XDA1207"/>
      <c r="XDB1207"/>
      <c r="XDC1207"/>
      <c r="XDD1207"/>
      <c r="XDE1207"/>
      <c r="XDF1207"/>
      <c r="XDG1207"/>
      <c r="XDH1207"/>
      <c r="XDI1207"/>
      <c r="XDJ1207"/>
      <c r="XDK1207"/>
      <c r="XDL1207"/>
      <c r="XDM1207"/>
      <c r="XDN1207"/>
      <c r="XDO1207"/>
      <c r="XDP1207"/>
      <c r="XDQ1207"/>
      <c r="XDR1207"/>
      <c r="XDS1207"/>
      <c r="XDT1207"/>
      <c r="XDU1207"/>
      <c r="XDV1207"/>
      <c r="XDW1207"/>
      <c r="XDX1207"/>
      <c r="XDY1207"/>
      <c r="XDZ1207"/>
      <c r="XEA1207"/>
      <c r="XEB1207"/>
      <c r="XEC1207"/>
      <c r="XED1207"/>
      <c r="XEE1207"/>
      <c r="XEF1207"/>
      <c r="XEG1207"/>
      <c r="XEH1207"/>
      <c r="XEI1207"/>
      <c r="XEJ1207"/>
      <c r="XEK1207"/>
      <c r="XEL1207"/>
      <c r="XEM1207"/>
      <c r="XEN1207"/>
      <c r="XEO1207"/>
      <c r="XEP1207"/>
      <c r="XEQ1207"/>
      <c r="XER1207"/>
      <c r="XES1207"/>
      <c r="XET1207"/>
      <c r="XEU1207"/>
      <c r="XEV1207"/>
      <c r="XEW1207"/>
      <c r="XEX1207"/>
      <c r="XEY1207"/>
      <c r="XEZ1207"/>
      <c r="XFA1207"/>
      <c r="XFB1207"/>
      <c r="XFC1207"/>
    </row>
    <row r="1208" spans="1:20 16329:16383" s="38" customFormat="1" ht="29.1" customHeight="1" outlineLevel="6" x14ac:dyDescent="0.25">
      <c r="A1208" s="49" t="s">
        <v>2247</v>
      </c>
      <c r="B1208" s="50"/>
      <c r="C1208" s="50"/>
      <c r="D1208" s="3" t="s">
        <v>1959</v>
      </c>
      <c r="E1208" s="3"/>
      <c r="F1208" s="51" t="s">
        <v>1960</v>
      </c>
      <c r="G1208" s="50" t="s">
        <v>134</v>
      </c>
      <c r="H1208" s="52">
        <f>1</f>
        <v>1</v>
      </c>
      <c r="I1208" s="36"/>
      <c r="J1208" s="52">
        <v>1</v>
      </c>
      <c r="K1208" s="53">
        <f>0</f>
        <v>0</v>
      </c>
      <c r="L1208" s="53">
        <f>0</f>
        <v>0</v>
      </c>
      <c r="M1208" s="53">
        <f>0</f>
        <v>0</v>
      </c>
      <c r="N1208" s="54">
        <f t="shared" si="159"/>
        <v>0</v>
      </c>
      <c r="O1208" s="54">
        <f t="shared" si="160"/>
        <v>0</v>
      </c>
      <c r="P1208" s="54">
        <f t="shared" si="161"/>
        <v>0</v>
      </c>
      <c r="Q1208" s="54">
        <f t="shared" si="162"/>
        <v>0</v>
      </c>
      <c r="R1208" s="54">
        <f t="shared" si="163"/>
        <v>0</v>
      </c>
      <c r="S1208" s="54"/>
      <c r="T1208" s="36"/>
      <c r="XDA1208"/>
      <c r="XDB1208"/>
      <c r="XDC1208"/>
      <c r="XDD1208"/>
      <c r="XDE1208"/>
      <c r="XDF1208"/>
      <c r="XDG1208"/>
      <c r="XDH1208"/>
      <c r="XDI1208"/>
      <c r="XDJ1208"/>
      <c r="XDK1208"/>
      <c r="XDL1208"/>
      <c r="XDM1208"/>
      <c r="XDN1208"/>
      <c r="XDO1208"/>
      <c r="XDP1208"/>
      <c r="XDQ1208"/>
      <c r="XDR1208"/>
      <c r="XDS1208"/>
      <c r="XDT1208"/>
      <c r="XDU1208"/>
      <c r="XDV1208"/>
      <c r="XDW1208"/>
      <c r="XDX1208"/>
      <c r="XDY1208"/>
      <c r="XDZ1208"/>
      <c r="XEA1208"/>
      <c r="XEB1208"/>
      <c r="XEC1208"/>
      <c r="XED1208"/>
      <c r="XEE1208"/>
      <c r="XEF1208"/>
      <c r="XEG1208"/>
      <c r="XEH1208"/>
      <c r="XEI1208"/>
      <c r="XEJ1208"/>
      <c r="XEK1208"/>
      <c r="XEL1208"/>
      <c r="XEM1208"/>
      <c r="XEN1208"/>
      <c r="XEO1208"/>
      <c r="XEP1208"/>
      <c r="XEQ1208"/>
      <c r="XER1208"/>
      <c r="XES1208"/>
      <c r="XET1208"/>
      <c r="XEU1208"/>
      <c r="XEV1208"/>
      <c r="XEW1208"/>
      <c r="XEX1208"/>
      <c r="XEY1208"/>
      <c r="XEZ1208"/>
      <c r="XFA1208"/>
      <c r="XFB1208"/>
      <c r="XFC1208"/>
    </row>
    <row r="1209" spans="1:20 16329:16383" s="38" customFormat="1" ht="29.1" customHeight="1" outlineLevel="5" x14ac:dyDescent="0.25">
      <c r="A1209" s="65" t="s">
        <v>2248</v>
      </c>
      <c r="B1209" s="66" t="s">
        <v>2249</v>
      </c>
      <c r="C1209" s="66"/>
      <c r="D1209" s="98" t="s">
        <v>1498</v>
      </c>
      <c r="E1209" s="98"/>
      <c r="F1209" s="67"/>
      <c r="G1209" s="66"/>
      <c r="H1209" s="68"/>
      <c r="I1209" s="36"/>
      <c r="J1209" s="68"/>
      <c r="K1209" s="69"/>
      <c r="L1209" s="69"/>
      <c r="M1209" s="69"/>
      <c r="N1209" s="69"/>
      <c r="O1209" s="69">
        <f>SUM(O1210:O1214)</f>
        <v>0</v>
      </c>
      <c r="P1209" s="69">
        <f>SUM(P1210:P1214)</f>
        <v>0</v>
      </c>
      <c r="Q1209" s="69">
        <f>SUM(Q1210:Q1214)</f>
        <v>0</v>
      </c>
      <c r="R1209" s="69">
        <f>SUM(R1210:R1214)</f>
        <v>0</v>
      </c>
      <c r="S1209" s="69"/>
      <c r="T1209" s="36"/>
      <c r="XDA1209"/>
      <c r="XDB1209"/>
      <c r="XDC1209"/>
      <c r="XDD1209"/>
      <c r="XDE1209"/>
      <c r="XDF1209"/>
      <c r="XDG1209"/>
      <c r="XDH1209"/>
      <c r="XDI1209"/>
      <c r="XDJ1209"/>
      <c r="XDK1209"/>
      <c r="XDL1209"/>
      <c r="XDM1209"/>
      <c r="XDN1209"/>
      <c r="XDO1209"/>
      <c r="XDP1209"/>
      <c r="XDQ1209"/>
      <c r="XDR1209"/>
      <c r="XDS1209"/>
      <c r="XDT1209"/>
      <c r="XDU1209"/>
      <c r="XDV1209"/>
      <c r="XDW1209"/>
      <c r="XDX1209"/>
      <c r="XDY1209"/>
      <c r="XDZ1209"/>
      <c r="XEA1209"/>
      <c r="XEB1209"/>
      <c r="XEC1209"/>
      <c r="XED1209"/>
      <c r="XEE1209"/>
      <c r="XEF1209"/>
      <c r="XEG1209"/>
      <c r="XEH1209"/>
      <c r="XEI1209"/>
      <c r="XEJ1209"/>
      <c r="XEK1209"/>
      <c r="XEL1209"/>
      <c r="XEM1209"/>
      <c r="XEN1209"/>
      <c r="XEO1209"/>
      <c r="XEP1209"/>
      <c r="XEQ1209"/>
      <c r="XER1209"/>
      <c r="XES1209"/>
      <c r="XET1209"/>
      <c r="XEU1209"/>
      <c r="XEV1209"/>
      <c r="XEW1209"/>
      <c r="XEX1209"/>
      <c r="XEY1209"/>
      <c r="XEZ1209"/>
      <c r="XFA1209"/>
      <c r="XFB1209"/>
      <c r="XFC1209"/>
    </row>
    <row r="1210" spans="1:20 16329:16383" s="38" customFormat="1" ht="29.1" customHeight="1" outlineLevel="6" x14ac:dyDescent="0.25">
      <c r="A1210" s="49" t="s">
        <v>2250</v>
      </c>
      <c r="B1210" s="50"/>
      <c r="C1210" s="50"/>
      <c r="D1210" s="3" t="s">
        <v>2251</v>
      </c>
      <c r="E1210" s="3"/>
      <c r="F1210" s="51" t="s">
        <v>2252</v>
      </c>
      <c r="G1210" s="50" t="s">
        <v>29</v>
      </c>
      <c r="H1210" s="52">
        <f>1</f>
        <v>1</v>
      </c>
      <c r="I1210" s="36"/>
      <c r="J1210" s="52">
        <v>1</v>
      </c>
      <c r="K1210" s="53">
        <f>0</f>
        <v>0</v>
      </c>
      <c r="L1210" s="53">
        <f>0</f>
        <v>0</v>
      </c>
      <c r="M1210" s="53">
        <f>0</f>
        <v>0</v>
      </c>
      <c r="N1210" s="54">
        <f>SUM(K1210:M1210)</f>
        <v>0</v>
      </c>
      <c r="O1210" s="54">
        <f>ROUND((H1210*K1210),2)</f>
        <v>0</v>
      </c>
      <c r="P1210" s="54">
        <f>ROUND((H1210*L1210),2)</f>
        <v>0</v>
      </c>
      <c r="Q1210" s="54">
        <f>ROUND((H1210*M1210),2)</f>
        <v>0</v>
      </c>
      <c r="R1210" s="54">
        <f>ROUND((H1210*N1210),2)</f>
        <v>0</v>
      </c>
      <c r="S1210" s="54"/>
      <c r="T1210" s="36"/>
      <c r="XDA1210"/>
      <c r="XDB1210"/>
      <c r="XDC1210"/>
      <c r="XDD1210"/>
      <c r="XDE1210"/>
      <c r="XDF1210"/>
      <c r="XDG1210"/>
      <c r="XDH1210"/>
      <c r="XDI1210"/>
      <c r="XDJ1210"/>
      <c r="XDK1210"/>
      <c r="XDL1210"/>
      <c r="XDM1210"/>
      <c r="XDN1210"/>
      <c r="XDO1210"/>
      <c r="XDP1210"/>
      <c r="XDQ1210"/>
      <c r="XDR1210"/>
      <c r="XDS1210"/>
      <c r="XDT1210"/>
      <c r="XDU1210"/>
      <c r="XDV1210"/>
      <c r="XDW1210"/>
      <c r="XDX1210"/>
      <c r="XDY1210"/>
      <c r="XDZ1210"/>
      <c r="XEA1210"/>
      <c r="XEB1210"/>
      <c r="XEC1210"/>
      <c r="XED1210"/>
      <c r="XEE1210"/>
      <c r="XEF1210"/>
      <c r="XEG1210"/>
      <c r="XEH1210"/>
      <c r="XEI1210"/>
      <c r="XEJ1210"/>
      <c r="XEK1210"/>
      <c r="XEL1210"/>
      <c r="XEM1210"/>
      <c r="XEN1210"/>
      <c r="XEO1210"/>
      <c r="XEP1210"/>
      <c r="XEQ1210"/>
      <c r="XER1210"/>
      <c r="XES1210"/>
      <c r="XET1210"/>
      <c r="XEU1210"/>
      <c r="XEV1210"/>
      <c r="XEW1210"/>
      <c r="XEX1210"/>
      <c r="XEY1210"/>
      <c r="XEZ1210"/>
      <c r="XFA1210"/>
      <c r="XFB1210"/>
      <c r="XFC1210"/>
    </row>
    <row r="1211" spans="1:20 16329:16383" s="38" customFormat="1" ht="29.1" customHeight="1" outlineLevel="6" x14ac:dyDescent="0.25">
      <c r="A1211" s="49" t="s">
        <v>2253</v>
      </c>
      <c r="B1211" s="50"/>
      <c r="C1211" s="50"/>
      <c r="D1211" s="3" t="s">
        <v>2254</v>
      </c>
      <c r="E1211" s="3"/>
      <c r="F1211" s="51" t="s">
        <v>2252</v>
      </c>
      <c r="G1211" s="50" t="s">
        <v>29</v>
      </c>
      <c r="H1211" s="52">
        <f>1</f>
        <v>1</v>
      </c>
      <c r="I1211" s="36"/>
      <c r="J1211" s="52">
        <v>1</v>
      </c>
      <c r="K1211" s="53">
        <f>0</f>
        <v>0</v>
      </c>
      <c r="L1211" s="53">
        <f>0</f>
        <v>0</v>
      </c>
      <c r="M1211" s="53">
        <f>0</f>
        <v>0</v>
      </c>
      <c r="N1211" s="54">
        <f>SUM(K1211:M1211)</f>
        <v>0</v>
      </c>
      <c r="O1211" s="54">
        <f>ROUND((H1211*K1211),2)</f>
        <v>0</v>
      </c>
      <c r="P1211" s="54">
        <f>ROUND((H1211*L1211),2)</f>
        <v>0</v>
      </c>
      <c r="Q1211" s="54">
        <f>ROUND((H1211*M1211),2)</f>
        <v>0</v>
      </c>
      <c r="R1211" s="54">
        <f>ROUND((H1211*N1211),2)</f>
        <v>0</v>
      </c>
      <c r="S1211" s="54"/>
      <c r="T1211" s="36"/>
      <c r="XDA1211"/>
      <c r="XDB1211"/>
      <c r="XDC1211"/>
      <c r="XDD1211"/>
      <c r="XDE1211"/>
      <c r="XDF1211"/>
      <c r="XDG1211"/>
      <c r="XDH1211"/>
      <c r="XDI1211"/>
      <c r="XDJ1211"/>
      <c r="XDK1211"/>
      <c r="XDL1211"/>
      <c r="XDM1211"/>
      <c r="XDN1211"/>
      <c r="XDO1211"/>
      <c r="XDP1211"/>
      <c r="XDQ1211"/>
      <c r="XDR1211"/>
      <c r="XDS1211"/>
      <c r="XDT1211"/>
      <c r="XDU1211"/>
      <c r="XDV1211"/>
      <c r="XDW1211"/>
      <c r="XDX1211"/>
      <c r="XDY1211"/>
      <c r="XDZ1211"/>
      <c r="XEA1211"/>
      <c r="XEB1211"/>
      <c r="XEC1211"/>
      <c r="XED1211"/>
      <c r="XEE1211"/>
      <c r="XEF1211"/>
      <c r="XEG1211"/>
      <c r="XEH1211"/>
      <c r="XEI1211"/>
      <c r="XEJ1211"/>
      <c r="XEK1211"/>
      <c r="XEL1211"/>
      <c r="XEM1211"/>
      <c r="XEN1211"/>
      <c r="XEO1211"/>
      <c r="XEP1211"/>
      <c r="XEQ1211"/>
      <c r="XER1211"/>
      <c r="XES1211"/>
      <c r="XET1211"/>
      <c r="XEU1211"/>
      <c r="XEV1211"/>
      <c r="XEW1211"/>
      <c r="XEX1211"/>
      <c r="XEY1211"/>
      <c r="XEZ1211"/>
      <c r="XFA1211"/>
      <c r="XFB1211"/>
      <c r="XFC1211"/>
    </row>
    <row r="1212" spans="1:20 16329:16383" s="38" customFormat="1" ht="29.1" customHeight="1" outlineLevel="6" x14ac:dyDescent="0.25">
      <c r="A1212" s="49" t="s">
        <v>2255</v>
      </c>
      <c r="B1212" s="50"/>
      <c r="C1212" s="50"/>
      <c r="D1212" s="3" t="s">
        <v>2256</v>
      </c>
      <c r="E1212" s="3"/>
      <c r="F1212" s="51" t="s">
        <v>2252</v>
      </c>
      <c r="G1212" s="50" t="s">
        <v>29</v>
      </c>
      <c r="H1212" s="52">
        <f>1</f>
        <v>1</v>
      </c>
      <c r="I1212" s="36"/>
      <c r="J1212" s="52">
        <v>1</v>
      </c>
      <c r="K1212" s="53">
        <f>0</f>
        <v>0</v>
      </c>
      <c r="L1212" s="53">
        <f>0</f>
        <v>0</v>
      </c>
      <c r="M1212" s="53">
        <f>0</f>
        <v>0</v>
      </c>
      <c r="N1212" s="54">
        <f>SUM(K1212:M1212)</f>
        <v>0</v>
      </c>
      <c r="O1212" s="54">
        <f>ROUND((H1212*K1212),2)</f>
        <v>0</v>
      </c>
      <c r="P1212" s="54">
        <f>ROUND((H1212*L1212),2)</f>
        <v>0</v>
      </c>
      <c r="Q1212" s="54">
        <f>ROUND((H1212*M1212),2)</f>
        <v>0</v>
      </c>
      <c r="R1212" s="54">
        <f>ROUND((H1212*N1212),2)</f>
        <v>0</v>
      </c>
      <c r="S1212" s="54"/>
      <c r="T1212" s="36"/>
      <c r="XDA1212"/>
      <c r="XDB1212"/>
      <c r="XDC1212"/>
      <c r="XDD1212"/>
      <c r="XDE1212"/>
      <c r="XDF1212"/>
      <c r="XDG1212"/>
      <c r="XDH1212"/>
      <c r="XDI1212"/>
      <c r="XDJ1212"/>
      <c r="XDK1212"/>
      <c r="XDL1212"/>
      <c r="XDM1212"/>
      <c r="XDN1212"/>
      <c r="XDO1212"/>
      <c r="XDP1212"/>
      <c r="XDQ1212"/>
      <c r="XDR1212"/>
      <c r="XDS1212"/>
      <c r="XDT1212"/>
      <c r="XDU1212"/>
      <c r="XDV1212"/>
      <c r="XDW1212"/>
      <c r="XDX1212"/>
      <c r="XDY1212"/>
      <c r="XDZ1212"/>
      <c r="XEA1212"/>
      <c r="XEB1212"/>
      <c r="XEC1212"/>
      <c r="XED1212"/>
      <c r="XEE1212"/>
      <c r="XEF1212"/>
      <c r="XEG1212"/>
      <c r="XEH1212"/>
      <c r="XEI1212"/>
      <c r="XEJ1212"/>
      <c r="XEK1212"/>
      <c r="XEL1212"/>
      <c r="XEM1212"/>
      <c r="XEN1212"/>
      <c r="XEO1212"/>
      <c r="XEP1212"/>
      <c r="XEQ1212"/>
      <c r="XER1212"/>
      <c r="XES1212"/>
      <c r="XET1212"/>
      <c r="XEU1212"/>
      <c r="XEV1212"/>
      <c r="XEW1212"/>
      <c r="XEX1212"/>
      <c r="XEY1212"/>
      <c r="XEZ1212"/>
      <c r="XFA1212"/>
      <c r="XFB1212"/>
      <c r="XFC1212"/>
    </row>
    <row r="1213" spans="1:20 16329:16383" s="38" customFormat="1" ht="29.1" customHeight="1" outlineLevel="6" x14ac:dyDescent="0.25">
      <c r="A1213" s="49" t="s">
        <v>2257</v>
      </c>
      <c r="B1213" s="50"/>
      <c r="C1213" s="50"/>
      <c r="D1213" s="3" t="s">
        <v>2258</v>
      </c>
      <c r="E1213" s="3"/>
      <c r="F1213" s="51" t="s">
        <v>2252</v>
      </c>
      <c r="G1213" s="50" t="s">
        <v>29</v>
      </c>
      <c r="H1213" s="52">
        <f>1</f>
        <v>1</v>
      </c>
      <c r="I1213" s="36"/>
      <c r="J1213" s="52">
        <v>1</v>
      </c>
      <c r="K1213" s="53">
        <f>0</f>
        <v>0</v>
      </c>
      <c r="L1213" s="53">
        <f>0</f>
        <v>0</v>
      </c>
      <c r="M1213" s="53">
        <f>0</f>
        <v>0</v>
      </c>
      <c r="N1213" s="54">
        <f>SUM(K1213:M1213)</f>
        <v>0</v>
      </c>
      <c r="O1213" s="54">
        <f>ROUND((H1213*K1213),2)</f>
        <v>0</v>
      </c>
      <c r="P1213" s="54">
        <f>ROUND((H1213*L1213),2)</f>
        <v>0</v>
      </c>
      <c r="Q1213" s="54">
        <f>ROUND((H1213*M1213),2)</f>
        <v>0</v>
      </c>
      <c r="R1213" s="54">
        <f>ROUND((H1213*N1213),2)</f>
        <v>0</v>
      </c>
      <c r="S1213" s="54"/>
      <c r="T1213" s="36"/>
      <c r="XDA1213"/>
      <c r="XDB1213"/>
      <c r="XDC1213"/>
      <c r="XDD1213"/>
      <c r="XDE1213"/>
      <c r="XDF1213"/>
      <c r="XDG1213"/>
      <c r="XDH1213"/>
      <c r="XDI1213"/>
      <c r="XDJ1213"/>
      <c r="XDK1213"/>
      <c r="XDL1213"/>
      <c r="XDM1213"/>
      <c r="XDN1213"/>
      <c r="XDO1213"/>
      <c r="XDP1213"/>
      <c r="XDQ1213"/>
      <c r="XDR1213"/>
      <c r="XDS1213"/>
      <c r="XDT1213"/>
      <c r="XDU1213"/>
      <c r="XDV1213"/>
      <c r="XDW1213"/>
      <c r="XDX1213"/>
      <c r="XDY1213"/>
      <c r="XDZ1213"/>
      <c r="XEA1213"/>
      <c r="XEB1213"/>
      <c r="XEC1213"/>
      <c r="XED1213"/>
      <c r="XEE1213"/>
      <c r="XEF1213"/>
      <c r="XEG1213"/>
      <c r="XEH1213"/>
      <c r="XEI1213"/>
      <c r="XEJ1213"/>
      <c r="XEK1213"/>
      <c r="XEL1213"/>
      <c r="XEM1213"/>
      <c r="XEN1213"/>
      <c r="XEO1213"/>
      <c r="XEP1213"/>
      <c r="XEQ1213"/>
      <c r="XER1213"/>
      <c r="XES1213"/>
      <c r="XET1213"/>
      <c r="XEU1213"/>
      <c r="XEV1213"/>
      <c r="XEW1213"/>
      <c r="XEX1213"/>
      <c r="XEY1213"/>
      <c r="XEZ1213"/>
      <c r="XFA1213"/>
      <c r="XFB1213"/>
      <c r="XFC1213"/>
    </row>
    <row r="1214" spans="1:20 16329:16383" s="38" customFormat="1" ht="29.1" customHeight="1" outlineLevel="6" x14ac:dyDescent="0.25">
      <c r="A1214" s="49" t="s">
        <v>2259</v>
      </c>
      <c r="B1214" s="50"/>
      <c r="C1214" s="50"/>
      <c r="D1214" s="3" t="s">
        <v>2260</v>
      </c>
      <c r="E1214" s="3"/>
      <c r="F1214" s="51" t="s">
        <v>2252</v>
      </c>
      <c r="G1214" s="50" t="s">
        <v>29</v>
      </c>
      <c r="H1214" s="52">
        <f>1</f>
        <v>1</v>
      </c>
      <c r="I1214" s="36"/>
      <c r="J1214" s="52">
        <v>1</v>
      </c>
      <c r="K1214" s="53">
        <f>0</f>
        <v>0</v>
      </c>
      <c r="L1214" s="53">
        <f>0</f>
        <v>0</v>
      </c>
      <c r="M1214" s="53">
        <f>0</f>
        <v>0</v>
      </c>
      <c r="N1214" s="54">
        <f>SUM(K1214:M1214)</f>
        <v>0</v>
      </c>
      <c r="O1214" s="54">
        <f>ROUND((H1214*K1214),2)</f>
        <v>0</v>
      </c>
      <c r="P1214" s="54">
        <f>ROUND((H1214*L1214),2)</f>
        <v>0</v>
      </c>
      <c r="Q1214" s="54">
        <f>ROUND((H1214*M1214),2)</f>
        <v>0</v>
      </c>
      <c r="R1214" s="54">
        <f>ROUND((H1214*N1214),2)</f>
        <v>0</v>
      </c>
      <c r="S1214" s="54"/>
      <c r="T1214" s="36"/>
      <c r="XDA1214"/>
      <c r="XDB1214"/>
      <c r="XDC1214"/>
      <c r="XDD1214"/>
      <c r="XDE1214"/>
      <c r="XDF1214"/>
      <c r="XDG1214"/>
      <c r="XDH1214"/>
      <c r="XDI1214"/>
      <c r="XDJ1214"/>
      <c r="XDK1214"/>
      <c r="XDL1214"/>
      <c r="XDM1214"/>
      <c r="XDN1214"/>
      <c r="XDO1214"/>
      <c r="XDP1214"/>
      <c r="XDQ1214"/>
      <c r="XDR1214"/>
      <c r="XDS1214"/>
      <c r="XDT1214"/>
      <c r="XDU1214"/>
      <c r="XDV1214"/>
      <c r="XDW1214"/>
      <c r="XDX1214"/>
      <c r="XDY1214"/>
      <c r="XDZ1214"/>
      <c r="XEA1214"/>
      <c r="XEB1214"/>
      <c r="XEC1214"/>
      <c r="XED1214"/>
      <c r="XEE1214"/>
      <c r="XEF1214"/>
      <c r="XEG1214"/>
      <c r="XEH1214"/>
      <c r="XEI1214"/>
      <c r="XEJ1214"/>
      <c r="XEK1214"/>
      <c r="XEL1214"/>
      <c r="XEM1214"/>
      <c r="XEN1214"/>
      <c r="XEO1214"/>
      <c r="XEP1214"/>
      <c r="XEQ1214"/>
      <c r="XER1214"/>
      <c r="XES1214"/>
      <c r="XET1214"/>
      <c r="XEU1214"/>
      <c r="XEV1214"/>
      <c r="XEW1214"/>
      <c r="XEX1214"/>
      <c r="XEY1214"/>
      <c r="XEZ1214"/>
      <c r="XFA1214"/>
      <c r="XFB1214"/>
      <c r="XFC1214"/>
    </row>
    <row r="1215" spans="1:20 16329:16383" s="38" customFormat="1" ht="29.1" customHeight="1" outlineLevel="4" x14ac:dyDescent="0.25">
      <c r="A1215" s="60" t="s">
        <v>2261</v>
      </c>
      <c r="B1215" s="61" t="s">
        <v>2262</v>
      </c>
      <c r="C1215" s="61" t="s">
        <v>2180</v>
      </c>
      <c r="D1215" s="1" t="s">
        <v>2263</v>
      </c>
      <c r="E1215" s="1"/>
      <c r="F1215" s="62"/>
      <c r="G1215" s="61" t="s">
        <v>102</v>
      </c>
      <c r="H1215" s="63"/>
      <c r="I1215" s="36"/>
      <c r="J1215" s="63"/>
      <c r="K1215" s="64"/>
      <c r="L1215" s="64"/>
      <c r="M1215" s="64"/>
      <c r="N1215" s="64"/>
      <c r="O1215" s="64">
        <f>O1216+O1230+O1246+O1256</f>
        <v>0</v>
      </c>
      <c r="P1215" s="64">
        <f>P1216+P1230+P1246+P1256</f>
        <v>0</v>
      </c>
      <c r="Q1215" s="64">
        <f>Q1216+Q1230+Q1246+Q1256</f>
        <v>0</v>
      </c>
      <c r="R1215" s="64">
        <f>R1216+R1230+R1246+R1256</f>
        <v>0</v>
      </c>
      <c r="S1215" s="64"/>
      <c r="T1215" s="36"/>
      <c r="XDA1215"/>
      <c r="XDB1215"/>
      <c r="XDC1215"/>
      <c r="XDD1215"/>
      <c r="XDE1215"/>
      <c r="XDF1215"/>
      <c r="XDG1215"/>
      <c r="XDH1215"/>
      <c r="XDI1215"/>
      <c r="XDJ1215"/>
      <c r="XDK1215"/>
      <c r="XDL1215"/>
      <c r="XDM1215"/>
      <c r="XDN1215"/>
      <c r="XDO1215"/>
      <c r="XDP1215"/>
      <c r="XDQ1215"/>
      <c r="XDR1215"/>
      <c r="XDS1215"/>
      <c r="XDT1215"/>
      <c r="XDU1215"/>
      <c r="XDV1215"/>
      <c r="XDW1215"/>
      <c r="XDX1215"/>
      <c r="XDY1215"/>
      <c r="XDZ1215"/>
      <c r="XEA1215"/>
      <c r="XEB1215"/>
      <c r="XEC1215"/>
      <c r="XED1215"/>
      <c r="XEE1215"/>
      <c r="XEF1215"/>
      <c r="XEG1215"/>
      <c r="XEH1215"/>
      <c r="XEI1215"/>
      <c r="XEJ1215"/>
      <c r="XEK1215"/>
      <c r="XEL1215"/>
      <c r="XEM1215"/>
      <c r="XEN1215"/>
      <c r="XEO1215"/>
      <c r="XEP1215"/>
      <c r="XEQ1215"/>
      <c r="XER1215"/>
      <c r="XES1215"/>
      <c r="XET1215"/>
      <c r="XEU1215"/>
      <c r="XEV1215"/>
      <c r="XEW1215"/>
      <c r="XEX1215"/>
      <c r="XEY1215"/>
      <c r="XEZ1215"/>
      <c r="XFA1215"/>
      <c r="XFB1215"/>
      <c r="XFC1215"/>
    </row>
    <row r="1216" spans="1:20 16329:16383" s="38" customFormat="1" ht="29.1" customHeight="1" outlineLevel="5" x14ac:dyDescent="0.25">
      <c r="A1216" s="65" t="s">
        <v>2264</v>
      </c>
      <c r="B1216" s="66" t="s">
        <v>2265</v>
      </c>
      <c r="C1216" s="66"/>
      <c r="D1216" s="98" t="s">
        <v>1873</v>
      </c>
      <c r="E1216" s="98"/>
      <c r="F1216" s="67"/>
      <c r="G1216" s="66"/>
      <c r="H1216" s="68"/>
      <c r="I1216" s="36"/>
      <c r="J1216" s="68"/>
      <c r="K1216" s="69"/>
      <c r="L1216" s="69"/>
      <c r="M1216" s="69"/>
      <c r="N1216" s="69"/>
      <c r="O1216" s="69">
        <f>SUM(O1217:O1229)</f>
        <v>0</v>
      </c>
      <c r="P1216" s="69">
        <f>SUM(P1217:P1229)</f>
        <v>0</v>
      </c>
      <c r="Q1216" s="69">
        <f>SUM(Q1217:Q1229)</f>
        <v>0</v>
      </c>
      <c r="R1216" s="69">
        <f>SUM(R1217:R1229)</f>
        <v>0</v>
      </c>
      <c r="S1216" s="69"/>
      <c r="T1216" s="36"/>
      <c r="XDA1216"/>
      <c r="XDB1216"/>
      <c r="XDC1216"/>
      <c r="XDD1216"/>
      <c r="XDE1216"/>
      <c r="XDF1216"/>
      <c r="XDG1216"/>
      <c r="XDH1216"/>
      <c r="XDI1216"/>
      <c r="XDJ1216"/>
      <c r="XDK1216"/>
      <c r="XDL1216"/>
      <c r="XDM1216"/>
      <c r="XDN1216"/>
      <c r="XDO1216"/>
      <c r="XDP1216"/>
      <c r="XDQ1216"/>
      <c r="XDR1216"/>
      <c r="XDS1216"/>
      <c r="XDT1216"/>
      <c r="XDU1216"/>
      <c r="XDV1216"/>
      <c r="XDW1216"/>
      <c r="XDX1216"/>
      <c r="XDY1216"/>
      <c r="XDZ1216"/>
      <c r="XEA1216"/>
      <c r="XEB1216"/>
      <c r="XEC1216"/>
      <c r="XED1216"/>
      <c r="XEE1216"/>
      <c r="XEF1216"/>
      <c r="XEG1216"/>
      <c r="XEH1216"/>
      <c r="XEI1216"/>
      <c r="XEJ1216"/>
      <c r="XEK1216"/>
      <c r="XEL1216"/>
      <c r="XEM1216"/>
      <c r="XEN1216"/>
      <c r="XEO1216"/>
      <c r="XEP1216"/>
      <c r="XEQ1216"/>
      <c r="XER1216"/>
      <c r="XES1216"/>
      <c r="XET1216"/>
      <c r="XEU1216"/>
      <c r="XEV1216"/>
      <c r="XEW1216"/>
      <c r="XEX1216"/>
      <c r="XEY1216"/>
      <c r="XEZ1216"/>
      <c r="XFA1216"/>
      <c r="XFB1216"/>
      <c r="XFC1216"/>
    </row>
    <row r="1217" spans="1:20 16329:16383" s="38" customFormat="1" ht="29.1" customHeight="1" outlineLevel="6" x14ac:dyDescent="0.25">
      <c r="A1217" s="49" t="s">
        <v>2266</v>
      </c>
      <c r="B1217" s="50"/>
      <c r="C1217" s="50"/>
      <c r="D1217" s="3" t="s">
        <v>2185</v>
      </c>
      <c r="E1217" s="3"/>
      <c r="F1217" s="51"/>
      <c r="G1217" s="50" t="s">
        <v>102</v>
      </c>
      <c r="H1217" s="52">
        <f>1</f>
        <v>1</v>
      </c>
      <c r="I1217" s="36"/>
      <c r="J1217" s="52">
        <v>1</v>
      </c>
      <c r="K1217" s="53">
        <f>0</f>
        <v>0</v>
      </c>
      <c r="L1217" s="53">
        <f>0</f>
        <v>0</v>
      </c>
      <c r="M1217" s="53">
        <f>0</f>
        <v>0</v>
      </c>
      <c r="N1217" s="54">
        <f t="shared" ref="N1217:N1229" si="164">SUM(K1217:M1217)</f>
        <v>0</v>
      </c>
      <c r="O1217" s="54">
        <f t="shared" ref="O1217:O1229" si="165">ROUND((H1217*K1217),2)</f>
        <v>0</v>
      </c>
      <c r="P1217" s="54">
        <f t="shared" ref="P1217:P1229" si="166">ROUND((H1217*L1217),2)</f>
        <v>0</v>
      </c>
      <c r="Q1217" s="54">
        <f t="shared" ref="Q1217:Q1229" si="167">ROUND((H1217*M1217),2)</f>
        <v>0</v>
      </c>
      <c r="R1217" s="54">
        <f t="shared" ref="R1217:R1229" si="168">ROUND((H1217*N1217),2)</f>
        <v>0</v>
      </c>
      <c r="S1217" s="54"/>
      <c r="T1217" s="36"/>
      <c r="XDA1217"/>
      <c r="XDB1217"/>
      <c r="XDC1217"/>
      <c r="XDD1217"/>
      <c r="XDE1217"/>
      <c r="XDF1217"/>
      <c r="XDG1217"/>
      <c r="XDH1217"/>
      <c r="XDI1217"/>
      <c r="XDJ1217"/>
      <c r="XDK1217"/>
      <c r="XDL1217"/>
      <c r="XDM1217"/>
      <c r="XDN1217"/>
      <c r="XDO1217"/>
      <c r="XDP1217"/>
      <c r="XDQ1217"/>
      <c r="XDR1217"/>
      <c r="XDS1217"/>
      <c r="XDT1217"/>
      <c r="XDU1217"/>
      <c r="XDV1217"/>
      <c r="XDW1217"/>
      <c r="XDX1217"/>
      <c r="XDY1217"/>
      <c r="XDZ1217"/>
      <c r="XEA1217"/>
      <c r="XEB1217"/>
      <c r="XEC1217"/>
      <c r="XED1217"/>
      <c r="XEE1217"/>
      <c r="XEF1217"/>
      <c r="XEG1217"/>
      <c r="XEH1217"/>
      <c r="XEI1217"/>
      <c r="XEJ1217"/>
      <c r="XEK1217"/>
      <c r="XEL1217"/>
      <c r="XEM1217"/>
      <c r="XEN1217"/>
      <c r="XEO1217"/>
      <c r="XEP1217"/>
      <c r="XEQ1217"/>
      <c r="XER1217"/>
      <c r="XES1217"/>
      <c r="XET1217"/>
      <c r="XEU1217"/>
      <c r="XEV1217"/>
      <c r="XEW1217"/>
      <c r="XEX1217"/>
      <c r="XEY1217"/>
      <c r="XEZ1217"/>
      <c r="XFA1217"/>
      <c r="XFB1217"/>
      <c r="XFC1217"/>
    </row>
    <row r="1218" spans="1:20 16329:16383" s="38" customFormat="1" ht="29.1" customHeight="1" outlineLevel="6" x14ac:dyDescent="0.25">
      <c r="A1218" s="49" t="s">
        <v>2267</v>
      </c>
      <c r="B1218" s="50"/>
      <c r="C1218" s="50"/>
      <c r="D1218" s="3" t="s">
        <v>2187</v>
      </c>
      <c r="E1218" s="3"/>
      <c r="F1218" s="51"/>
      <c r="G1218" s="50" t="s">
        <v>102</v>
      </c>
      <c r="H1218" s="52">
        <f>1</f>
        <v>1</v>
      </c>
      <c r="I1218" s="36"/>
      <c r="J1218" s="52">
        <v>1</v>
      </c>
      <c r="K1218" s="53">
        <f>0</f>
        <v>0</v>
      </c>
      <c r="L1218" s="53">
        <f>0</f>
        <v>0</v>
      </c>
      <c r="M1218" s="53">
        <f>0</f>
        <v>0</v>
      </c>
      <c r="N1218" s="54">
        <f t="shared" si="164"/>
        <v>0</v>
      </c>
      <c r="O1218" s="54">
        <f t="shared" si="165"/>
        <v>0</v>
      </c>
      <c r="P1218" s="54">
        <f t="shared" si="166"/>
        <v>0</v>
      </c>
      <c r="Q1218" s="54">
        <f t="shared" si="167"/>
        <v>0</v>
      </c>
      <c r="R1218" s="54">
        <f t="shared" si="168"/>
        <v>0</v>
      </c>
      <c r="S1218" s="54"/>
      <c r="T1218" s="36"/>
      <c r="XDA1218"/>
      <c r="XDB1218"/>
      <c r="XDC1218"/>
      <c r="XDD1218"/>
      <c r="XDE1218"/>
      <c r="XDF1218"/>
      <c r="XDG1218"/>
      <c r="XDH1218"/>
      <c r="XDI1218"/>
      <c r="XDJ1218"/>
      <c r="XDK1218"/>
      <c r="XDL1218"/>
      <c r="XDM1218"/>
      <c r="XDN1218"/>
      <c r="XDO1218"/>
      <c r="XDP1218"/>
      <c r="XDQ1218"/>
      <c r="XDR1218"/>
      <c r="XDS1218"/>
      <c r="XDT1218"/>
      <c r="XDU1218"/>
      <c r="XDV1218"/>
      <c r="XDW1218"/>
      <c r="XDX1218"/>
      <c r="XDY1218"/>
      <c r="XDZ1218"/>
      <c r="XEA1218"/>
      <c r="XEB1218"/>
      <c r="XEC1218"/>
      <c r="XED1218"/>
      <c r="XEE1218"/>
      <c r="XEF1218"/>
      <c r="XEG1218"/>
      <c r="XEH1218"/>
      <c r="XEI1218"/>
      <c r="XEJ1218"/>
      <c r="XEK1218"/>
      <c r="XEL1218"/>
      <c r="XEM1218"/>
      <c r="XEN1218"/>
      <c r="XEO1218"/>
      <c r="XEP1218"/>
      <c r="XEQ1218"/>
      <c r="XER1218"/>
      <c r="XES1218"/>
      <c r="XET1218"/>
      <c r="XEU1218"/>
      <c r="XEV1218"/>
      <c r="XEW1218"/>
      <c r="XEX1218"/>
      <c r="XEY1218"/>
      <c r="XEZ1218"/>
      <c r="XFA1218"/>
      <c r="XFB1218"/>
      <c r="XFC1218"/>
    </row>
    <row r="1219" spans="1:20 16329:16383" s="38" customFormat="1" ht="29.1" customHeight="1" outlineLevel="6" x14ac:dyDescent="0.25">
      <c r="A1219" s="49" t="s">
        <v>2268</v>
      </c>
      <c r="B1219" s="50"/>
      <c r="C1219" s="50"/>
      <c r="D1219" s="3" t="s">
        <v>2189</v>
      </c>
      <c r="E1219" s="3"/>
      <c r="F1219" s="51"/>
      <c r="G1219" s="50" t="s">
        <v>102</v>
      </c>
      <c r="H1219" s="52">
        <f>1</f>
        <v>1</v>
      </c>
      <c r="I1219" s="36"/>
      <c r="J1219" s="52">
        <v>1</v>
      </c>
      <c r="K1219" s="53">
        <f>0</f>
        <v>0</v>
      </c>
      <c r="L1219" s="53">
        <f>0</f>
        <v>0</v>
      </c>
      <c r="M1219" s="53">
        <f>0</f>
        <v>0</v>
      </c>
      <c r="N1219" s="54">
        <f t="shared" si="164"/>
        <v>0</v>
      </c>
      <c r="O1219" s="54">
        <f t="shared" si="165"/>
        <v>0</v>
      </c>
      <c r="P1219" s="54">
        <f t="shared" si="166"/>
        <v>0</v>
      </c>
      <c r="Q1219" s="54">
        <f t="shared" si="167"/>
        <v>0</v>
      </c>
      <c r="R1219" s="54">
        <f t="shared" si="168"/>
        <v>0</v>
      </c>
      <c r="S1219" s="54"/>
      <c r="T1219" s="36"/>
      <c r="XDA1219"/>
      <c r="XDB1219"/>
      <c r="XDC1219"/>
      <c r="XDD1219"/>
      <c r="XDE1219"/>
      <c r="XDF1219"/>
      <c r="XDG1219"/>
      <c r="XDH1219"/>
      <c r="XDI1219"/>
      <c r="XDJ1219"/>
      <c r="XDK1219"/>
      <c r="XDL1219"/>
      <c r="XDM1219"/>
      <c r="XDN1219"/>
      <c r="XDO1219"/>
      <c r="XDP1219"/>
      <c r="XDQ1219"/>
      <c r="XDR1219"/>
      <c r="XDS1219"/>
      <c r="XDT1219"/>
      <c r="XDU1219"/>
      <c r="XDV1219"/>
      <c r="XDW1219"/>
      <c r="XDX1219"/>
      <c r="XDY1219"/>
      <c r="XDZ1219"/>
      <c r="XEA1219"/>
      <c r="XEB1219"/>
      <c r="XEC1219"/>
      <c r="XED1219"/>
      <c r="XEE1219"/>
      <c r="XEF1219"/>
      <c r="XEG1219"/>
      <c r="XEH1219"/>
      <c r="XEI1219"/>
      <c r="XEJ1219"/>
      <c r="XEK1219"/>
      <c r="XEL1219"/>
      <c r="XEM1219"/>
      <c r="XEN1219"/>
      <c r="XEO1219"/>
      <c r="XEP1219"/>
      <c r="XEQ1219"/>
      <c r="XER1219"/>
      <c r="XES1219"/>
      <c r="XET1219"/>
      <c r="XEU1219"/>
      <c r="XEV1219"/>
      <c r="XEW1219"/>
      <c r="XEX1219"/>
      <c r="XEY1219"/>
      <c r="XEZ1219"/>
      <c r="XFA1219"/>
      <c r="XFB1219"/>
      <c r="XFC1219"/>
    </row>
    <row r="1220" spans="1:20 16329:16383" s="38" customFormat="1" ht="29.1" customHeight="1" outlineLevel="6" x14ac:dyDescent="0.25">
      <c r="A1220" s="49" t="s">
        <v>2269</v>
      </c>
      <c r="B1220" s="50"/>
      <c r="C1220" s="50"/>
      <c r="D1220" s="3" t="s">
        <v>1875</v>
      </c>
      <c r="E1220" s="3"/>
      <c r="F1220" s="51"/>
      <c r="G1220" s="50" t="s">
        <v>102</v>
      </c>
      <c r="H1220" s="52">
        <f>1</f>
        <v>1</v>
      </c>
      <c r="I1220" s="36"/>
      <c r="J1220" s="52">
        <v>1</v>
      </c>
      <c r="K1220" s="53">
        <f>0</f>
        <v>0</v>
      </c>
      <c r="L1220" s="53">
        <f>0</f>
        <v>0</v>
      </c>
      <c r="M1220" s="53">
        <f>0</f>
        <v>0</v>
      </c>
      <c r="N1220" s="54">
        <f t="shared" si="164"/>
        <v>0</v>
      </c>
      <c r="O1220" s="54">
        <f t="shared" si="165"/>
        <v>0</v>
      </c>
      <c r="P1220" s="54">
        <f t="shared" si="166"/>
        <v>0</v>
      </c>
      <c r="Q1220" s="54">
        <f t="shared" si="167"/>
        <v>0</v>
      </c>
      <c r="R1220" s="54">
        <f t="shared" si="168"/>
        <v>0</v>
      </c>
      <c r="S1220" s="54"/>
      <c r="T1220" s="36"/>
      <c r="XDA1220"/>
      <c r="XDB1220"/>
      <c r="XDC1220"/>
      <c r="XDD1220"/>
      <c r="XDE1220"/>
      <c r="XDF1220"/>
      <c r="XDG1220"/>
      <c r="XDH1220"/>
      <c r="XDI1220"/>
      <c r="XDJ1220"/>
      <c r="XDK1220"/>
      <c r="XDL1220"/>
      <c r="XDM1220"/>
      <c r="XDN1220"/>
      <c r="XDO1220"/>
      <c r="XDP1220"/>
      <c r="XDQ1220"/>
      <c r="XDR1220"/>
      <c r="XDS1220"/>
      <c r="XDT1220"/>
      <c r="XDU1220"/>
      <c r="XDV1220"/>
      <c r="XDW1220"/>
      <c r="XDX1220"/>
      <c r="XDY1220"/>
      <c r="XDZ1220"/>
      <c r="XEA1220"/>
      <c r="XEB1220"/>
      <c r="XEC1220"/>
      <c r="XED1220"/>
      <c r="XEE1220"/>
      <c r="XEF1220"/>
      <c r="XEG1220"/>
      <c r="XEH1220"/>
      <c r="XEI1220"/>
      <c r="XEJ1220"/>
      <c r="XEK1220"/>
      <c r="XEL1220"/>
      <c r="XEM1220"/>
      <c r="XEN1220"/>
      <c r="XEO1220"/>
      <c r="XEP1220"/>
      <c r="XEQ1220"/>
      <c r="XER1220"/>
      <c r="XES1220"/>
      <c r="XET1220"/>
      <c r="XEU1220"/>
      <c r="XEV1220"/>
      <c r="XEW1220"/>
      <c r="XEX1220"/>
      <c r="XEY1220"/>
      <c r="XEZ1220"/>
      <c r="XFA1220"/>
      <c r="XFB1220"/>
      <c r="XFC1220"/>
    </row>
    <row r="1221" spans="1:20 16329:16383" s="38" customFormat="1" ht="29.1" customHeight="1" outlineLevel="6" x14ac:dyDescent="0.25">
      <c r="A1221" s="49" t="s">
        <v>2270</v>
      </c>
      <c r="B1221" s="50"/>
      <c r="C1221" s="50"/>
      <c r="D1221" s="3" t="s">
        <v>2192</v>
      </c>
      <c r="E1221" s="3"/>
      <c r="F1221" s="51"/>
      <c r="G1221" s="50" t="s">
        <v>102</v>
      </c>
      <c r="H1221" s="52">
        <f>1</f>
        <v>1</v>
      </c>
      <c r="I1221" s="36"/>
      <c r="J1221" s="52">
        <v>1</v>
      </c>
      <c r="K1221" s="53">
        <f>0</f>
        <v>0</v>
      </c>
      <c r="L1221" s="53">
        <f>0</f>
        <v>0</v>
      </c>
      <c r="M1221" s="53">
        <f>0</f>
        <v>0</v>
      </c>
      <c r="N1221" s="54">
        <f t="shared" si="164"/>
        <v>0</v>
      </c>
      <c r="O1221" s="54">
        <f t="shared" si="165"/>
        <v>0</v>
      </c>
      <c r="P1221" s="54">
        <f t="shared" si="166"/>
        <v>0</v>
      </c>
      <c r="Q1221" s="54">
        <f t="shared" si="167"/>
        <v>0</v>
      </c>
      <c r="R1221" s="54">
        <f t="shared" si="168"/>
        <v>0</v>
      </c>
      <c r="S1221" s="54"/>
      <c r="T1221" s="36"/>
      <c r="XDA1221"/>
      <c r="XDB1221"/>
      <c r="XDC1221"/>
      <c r="XDD1221"/>
      <c r="XDE1221"/>
      <c r="XDF1221"/>
      <c r="XDG1221"/>
      <c r="XDH1221"/>
      <c r="XDI1221"/>
      <c r="XDJ1221"/>
      <c r="XDK1221"/>
      <c r="XDL1221"/>
      <c r="XDM1221"/>
      <c r="XDN1221"/>
      <c r="XDO1221"/>
      <c r="XDP1221"/>
      <c r="XDQ1221"/>
      <c r="XDR1221"/>
      <c r="XDS1221"/>
      <c r="XDT1221"/>
      <c r="XDU1221"/>
      <c r="XDV1221"/>
      <c r="XDW1221"/>
      <c r="XDX1221"/>
      <c r="XDY1221"/>
      <c r="XDZ1221"/>
      <c r="XEA1221"/>
      <c r="XEB1221"/>
      <c r="XEC1221"/>
      <c r="XED1221"/>
      <c r="XEE1221"/>
      <c r="XEF1221"/>
      <c r="XEG1221"/>
      <c r="XEH1221"/>
      <c r="XEI1221"/>
      <c r="XEJ1221"/>
      <c r="XEK1221"/>
      <c r="XEL1221"/>
      <c r="XEM1221"/>
      <c r="XEN1221"/>
      <c r="XEO1221"/>
      <c r="XEP1221"/>
      <c r="XEQ1221"/>
      <c r="XER1221"/>
      <c r="XES1221"/>
      <c r="XET1221"/>
      <c r="XEU1221"/>
      <c r="XEV1221"/>
      <c r="XEW1221"/>
      <c r="XEX1221"/>
      <c r="XEY1221"/>
      <c r="XEZ1221"/>
      <c r="XFA1221"/>
      <c r="XFB1221"/>
      <c r="XFC1221"/>
    </row>
    <row r="1222" spans="1:20 16329:16383" s="38" customFormat="1" ht="29.1" customHeight="1" outlineLevel="6" x14ac:dyDescent="0.25">
      <c r="A1222" s="49" t="s">
        <v>2271</v>
      </c>
      <c r="B1222" s="50"/>
      <c r="C1222" s="50"/>
      <c r="D1222" s="3" t="s">
        <v>2194</v>
      </c>
      <c r="E1222" s="3"/>
      <c r="F1222" s="51"/>
      <c r="G1222" s="50" t="s">
        <v>102</v>
      </c>
      <c r="H1222" s="52">
        <f>1</f>
        <v>1</v>
      </c>
      <c r="I1222" s="36"/>
      <c r="J1222" s="52">
        <v>1</v>
      </c>
      <c r="K1222" s="53">
        <f>0</f>
        <v>0</v>
      </c>
      <c r="L1222" s="53">
        <f>0</f>
        <v>0</v>
      </c>
      <c r="M1222" s="53">
        <f>0</f>
        <v>0</v>
      </c>
      <c r="N1222" s="54">
        <f t="shared" si="164"/>
        <v>0</v>
      </c>
      <c r="O1222" s="54">
        <f t="shared" si="165"/>
        <v>0</v>
      </c>
      <c r="P1222" s="54">
        <f t="shared" si="166"/>
        <v>0</v>
      </c>
      <c r="Q1222" s="54">
        <f t="shared" si="167"/>
        <v>0</v>
      </c>
      <c r="R1222" s="54">
        <f t="shared" si="168"/>
        <v>0</v>
      </c>
      <c r="S1222" s="54"/>
      <c r="T1222" s="36"/>
      <c r="XDA1222"/>
      <c r="XDB1222"/>
      <c r="XDC1222"/>
      <c r="XDD1222"/>
      <c r="XDE1222"/>
      <c r="XDF1222"/>
      <c r="XDG1222"/>
      <c r="XDH1222"/>
      <c r="XDI1222"/>
      <c r="XDJ1222"/>
      <c r="XDK1222"/>
      <c r="XDL1222"/>
      <c r="XDM1222"/>
      <c r="XDN1222"/>
      <c r="XDO1222"/>
      <c r="XDP1222"/>
      <c r="XDQ1222"/>
      <c r="XDR1222"/>
      <c r="XDS1222"/>
      <c r="XDT1222"/>
      <c r="XDU1222"/>
      <c r="XDV1222"/>
      <c r="XDW1222"/>
      <c r="XDX1222"/>
      <c r="XDY1222"/>
      <c r="XDZ1222"/>
      <c r="XEA1222"/>
      <c r="XEB1222"/>
      <c r="XEC1222"/>
      <c r="XED1222"/>
      <c r="XEE1222"/>
      <c r="XEF1222"/>
      <c r="XEG1222"/>
      <c r="XEH1222"/>
      <c r="XEI1222"/>
      <c r="XEJ1222"/>
      <c r="XEK1222"/>
      <c r="XEL1222"/>
      <c r="XEM1222"/>
      <c r="XEN1222"/>
      <c r="XEO1222"/>
      <c r="XEP1222"/>
      <c r="XEQ1222"/>
      <c r="XER1222"/>
      <c r="XES1222"/>
      <c r="XET1222"/>
      <c r="XEU1222"/>
      <c r="XEV1222"/>
      <c r="XEW1222"/>
      <c r="XEX1222"/>
      <c r="XEY1222"/>
      <c r="XEZ1222"/>
      <c r="XFA1222"/>
      <c r="XFB1222"/>
      <c r="XFC1222"/>
    </row>
    <row r="1223" spans="1:20 16329:16383" s="38" customFormat="1" ht="29.1" customHeight="1" outlineLevel="6" x14ac:dyDescent="0.25">
      <c r="A1223" s="49" t="s">
        <v>2272</v>
      </c>
      <c r="B1223" s="50"/>
      <c r="C1223" s="50"/>
      <c r="D1223" s="3" t="s">
        <v>2196</v>
      </c>
      <c r="E1223" s="3"/>
      <c r="F1223" s="51"/>
      <c r="G1223" s="50" t="s">
        <v>102</v>
      </c>
      <c r="H1223" s="52">
        <f>1</f>
        <v>1</v>
      </c>
      <c r="I1223" s="36"/>
      <c r="J1223" s="52">
        <v>1</v>
      </c>
      <c r="K1223" s="53">
        <f>0</f>
        <v>0</v>
      </c>
      <c r="L1223" s="53">
        <f>0</f>
        <v>0</v>
      </c>
      <c r="M1223" s="53">
        <f>0</f>
        <v>0</v>
      </c>
      <c r="N1223" s="54">
        <f t="shared" si="164"/>
        <v>0</v>
      </c>
      <c r="O1223" s="54">
        <f t="shared" si="165"/>
        <v>0</v>
      </c>
      <c r="P1223" s="54">
        <f t="shared" si="166"/>
        <v>0</v>
      </c>
      <c r="Q1223" s="54">
        <f t="shared" si="167"/>
        <v>0</v>
      </c>
      <c r="R1223" s="54">
        <f t="shared" si="168"/>
        <v>0</v>
      </c>
      <c r="S1223" s="54"/>
      <c r="T1223" s="36"/>
      <c r="XDA1223"/>
      <c r="XDB1223"/>
      <c r="XDC1223"/>
      <c r="XDD1223"/>
      <c r="XDE1223"/>
      <c r="XDF1223"/>
      <c r="XDG1223"/>
      <c r="XDH1223"/>
      <c r="XDI1223"/>
      <c r="XDJ1223"/>
      <c r="XDK1223"/>
      <c r="XDL1223"/>
      <c r="XDM1223"/>
      <c r="XDN1223"/>
      <c r="XDO1223"/>
      <c r="XDP1223"/>
      <c r="XDQ1223"/>
      <c r="XDR1223"/>
      <c r="XDS1223"/>
      <c r="XDT1223"/>
      <c r="XDU1223"/>
      <c r="XDV1223"/>
      <c r="XDW1223"/>
      <c r="XDX1223"/>
      <c r="XDY1223"/>
      <c r="XDZ1223"/>
      <c r="XEA1223"/>
      <c r="XEB1223"/>
      <c r="XEC1223"/>
      <c r="XED1223"/>
      <c r="XEE1223"/>
      <c r="XEF1223"/>
      <c r="XEG1223"/>
      <c r="XEH1223"/>
      <c r="XEI1223"/>
      <c r="XEJ1223"/>
      <c r="XEK1223"/>
      <c r="XEL1223"/>
      <c r="XEM1223"/>
      <c r="XEN1223"/>
      <c r="XEO1223"/>
      <c r="XEP1223"/>
      <c r="XEQ1223"/>
      <c r="XER1223"/>
      <c r="XES1223"/>
      <c r="XET1223"/>
      <c r="XEU1223"/>
      <c r="XEV1223"/>
      <c r="XEW1223"/>
      <c r="XEX1223"/>
      <c r="XEY1223"/>
      <c r="XEZ1223"/>
      <c r="XFA1223"/>
      <c r="XFB1223"/>
      <c r="XFC1223"/>
    </row>
    <row r="1224" spans="1:20 16329:16383" s="38" customFormat="1" ht="29.1" customHeight="1" outlineLevel="6" x14ac:dyDescent="0.25">
      <c r="A1224" s="49" t="s">
        <v>2273</v>
      </c>
      <c r="B1224" s="50"/>
      <c r="C1224" s="50"/>
      <c r="D1224" s="3" t="s">
        <v>2198</v>
      </c>
      <c r="E1224" s="3"/>
      <c r="F1224" s="51"/>
      <c r="G1224" s="50" t="s">
        <v>102</v>
      </c>
      <c r="H1224" s="52">
        <f>1</f>
        <v>1</v>
      </c>
      <c r="I1224" s="36"/>
      <c r="J1224" s="52">
        <v>1</v>
      </c>
      <c r="K1224" s="53">
        <f>0</f>
        <v>0</v>
      </c>
      <c r="L1224" s="53">
        <f>0</f>
        <v>0</v>
      </c>
      <c r="M1224" s="53">
        <f>0</f>
        <v>0</v>
      </c>
      <c r="N1224" s="54">
        <f t="shared" si="164"/>
        <v>0</v>
      </c>
      <c r="O1224" s="54">
        <f t="shared" si="165"/>
        <v>0</v>
      </c>
      <c r="P1224" s="54">
        <f t="shared" si="166"/>
        <v>0</v>
      </c>
      <c r="Q1224" s="54">
        <f t="shared" si="167"/>
        <v>0</v>
      </c>
      <c r="R1224" s="54">
        <f t="shared" si="168"/>
        <v>0</v>
      </c>
      <c r="S1224" s="54"/>
      <c r="T1224" s="36"/>
      <c r="XDA1224"/>
      <c r="XDB1224"/>
      <c r="XDC1224"/>
      <c r="XDD1224"/>
      <c r="XDE1224"/>
      <c r="XDF1224"/>
      <c r="XDG1224"/>
      <c r="XDH1224"/>
      <c r="XDI1224"/>
      <c r="XDJ1224"/>
      <c r="XDK1224"/>
      <c r="XDL1224"/>
      <c r="XDM1224"/>
      <c r="XDN1224"/>
      <c r="XDO1224"/>
      <c r="XDP1224"/>
      <c r="XDQ1224"/>
      <c r="XDR1224"/>
      <c r="XDS1224"/>
      <c r="XDT1224"/>
      <c r="XDU1224"/>
      <c r="XDV1224"/>
      <c r="XDW1224"/>
      <c r="XDX1224"/>
      <c r="XDY1224"/>
      <c r="XDZ1224"/>
      <c r="XEA1224"/>
      <c r="XEB1224"/>
      <c r="XEC1224"/>
      <c r="XED1224"/>
      <c r="XEE1224"/>
      <c r="XEF1224"/>
      <c r="XEG1224"/>
      <c r="XEH1224"/>
      <c r="XEI1224"/>
      <c r="XEJ1224"/>
      <c r="XEK1224"/>
      <c r="XEL1224"/>
      <c r="XEM1224"/>
      <c r="XEN1224"/>
      <c r="XEO1224"/>
      <c r="XEP1224"/>
      <c r="XEQ1224"/>
      <c r="XER1224"/>
      <c r="XES1224"/>
      <c r="XET1224"/>
      <c r="XEU1224"/>
      <c r="XEV1224"/>
      <c r="XEW1224"/>
      <c r="XEX1224"/>
      <c r="XEY1224"/>
      <c r="XEZ1224"/>
      <c r="XFA1224"/>
      <c r="XFB1224"/>
      <c r="XFC1224"/>
    </row>
    <row r="1225" spans="1:20 16329:16383" s="38" customFormat="1" ht="29.1" customHeight="1" outlineLevel="6" x14ac:dyDescent="0.25">
      <c r="A1225" s="49" t="s">
        <v>2274</v>
      </c>
      <c r="B1225" s="50"/>
      <c r="C1225" s="50"/>
      <c r="D1225" s="3" t="s">
        <v>2202</v>
      </c>
      <c r="E1225" s="3"/>
      <c r="F1225" s="51"/>
      <c r="G1225" s="50" t="s">
        <v>102</v>
      </c>
      <c r="H1225" s="52">
        <f>1</f>
        <v>1</v>
      </c>
      <c r="I1225" s="36"/>
      <c r="J1225" s="52">
        <v>1</v>
      </c>
      <c r="K1225" s="53">
        <f>0</f>
        <v>0</v>
      </c>
      <c r="L1225" s="53">
        <f>0</f>
        <v>0</v>
      </c>
      <c r="M1225" s="53">
        <f>0</f>
        <v>0</v>
      </c>
      <c r="N1225" s="54">
        <f t="shared" si="164"/>
        <v>0</v>
      </c>
      <c r="O1225" s="54">
        <f t="shared" si="165"/>
        <v>0</v>
      </c>
      <c r="P1225" s="54">
        <f t="shared" si="166"/>
        <v>0</v>
      </c>
      <c r="Q1225" s="54">
        <f t="shared" si="167"/>
        <v>0</v>
      </c>
      <c r="R1225" s="54">
        <f t="shared" si="168"/>
        <v>0</v>
      </c>
      <c r="S1225" s="54"/>
      <c r="T1225" s="36"/>
      <c r="XDA1225"/>
      <c r="XDB1225"/>
      <c r="XDC1225"/>
      <c r="XDD1225"/>
      <c r="XDE1225"/>
      <c r="XDF1225"/>
      <c r="XDG1225"/>
      <c r="XDH1225"/>
      <c r="XDI1225"/>
      <c r="XDJ1225"/>
      <c r="XDK1225"/>
      <c r="XDL1225"/>
      <c r="XDM1225"/>
      <c r="XDN1225"/>
      <c r="XDO1225"/>
      <c r="XDP1225"/>
      <c r="XDQ1225"/>
      <c r="XDR1225"/>
      <c r="XDS1225"/>
      <c r="XDT1225"/>
      <c r="XDU1225"/>
      <c r="XDV1225"/>
      <c r="XDW1225"/>
      <c r="XDX1225"/>
      <c r="XDY1225"/>
      <c r="XDZ1225"/>
      <c r="XEA1225"/>
      <c r="XEB1225"/>
      <c r="XEC1225"/>
      <c r="XED1225"/>
      <c r="XEE1225"/>
      <c r="XEF1225"/>
      <c r="XEG1225"/>
      <c r="XEH1225"/>
      <c r="XEI1225"/>
      <c r="XEJ1225"/>
      <c r="XEK1225"/>
      <c r="XEL1225"/>
      <c r="XEM1225"/>
      <c r="XEN1225"/>
      <c r="XEO1225"/>
      <c r="XEP1225"/>
      <c r="XEQ1225"/>
      <c r="XER1225"/>
      <c r="XES1225"/>
      <c r="XET1225"/>
      <c r="XEU1225"/>
      <c r="XEV1225"/>
      <c r="XEW1225"/>
      <c r="XEX1225"/>
      <c r="XEY1225"/>
      <c r="XEZ1225"/>
      <c r="XFA1225"/>
      <c r="XFB1225"/>
      <c r="XFC1225"/>
    </row>
    <row r="1226" spans="1:20 16329:16383" s="38" customFormat="1" ht="29.1" customHeight="1" outlineLevel="6" x14ac:dyDescent="0.25">
      <c r="A1226" s="49" t="s">
        <v>2275</v>
      </c>
      <c r="B1226" s="50"/>
      <c r="C1226" s="50"/>
      <c r="D1226" s="3" t="s">
        <v>2276</v>
      </c>
      <c r="E1226" s="3"/>
      <c r="F1226" s="51"/>
      <c r="G1226" s="50" t="s">
        <v>102</v>
      </c>
      <c r="H1226" s="52">
        <f>1</f>
        <v>1</v>
      </c>
      <c r="I1226" s="36"/>
      <c r="J1226" s="52">
        <v>1</v>
      </c>
      <c r="K1226" s="53">
        <f>0</f>
        <v>0</v>
      </c>
      <c r="L1226" s="53">
        <f>0</f>
        <v>0</v>
      </c>
      <c r="M1226" s="53">
        <f>0</f>
        <v>0</v>
      </c>
      <c r="N1226" s="54">
        <f t="shared" si="164"/>
        <v>0</v>
      </c>
      <c r="O1226" s="54">
        <f t="shared" si="165"/>
        <v>0</v>
      </c>
      <c r="P1226" s="54">
        <f t="shared" si="166"/>
        <v>0</v>
      </c>
      <c r="Q1226" s="54">
        <f t="shared" si="167"/>
        <v>0</v>
      </c>
      <c r="R1226" s="54">
        <f t="shared" si="168"/>
        <v>0</v>
      </c>
      <c r="S1226" s="54"/>
      <c r="T1226" s="36"/>
      <c r="XDA1226"/>
      <c r="XDB1226"/>
      <c r="XDC1226"/>
      <c r="XDD1226"/>
      <c r="XDE1226"/>
      <c r="XDF1226"/>
      <c r="XDG1226"/>
      <c r="XDH1226"/>
      <c r="XDI1226"/>
      <c r="XDJ1226"/>
      <c r="XDK1226"/>
      <c r="XDL1226"/>
      <c r="XDM1226"/>
      <c r="XDN1226"/>
      <c r="XDO1226"/>
      <c r="XDP1226"/>
      <c r="XDQ1226"/>
      <c r="XDR1226"/>
      <c r="XDS1226"/>
      <c r="XDT1226"/>
      <c r="XDU1226"/>
      <c r="XDV1226"/>
      <c r="XDW1226"/>
      <c r="XDX1226"/>
      <c r="XDY1226"/>
      <c r="XDZ1226"/>
      <c r="XEA1226"/>
      <c r="XEB1226"/>
      <c r="XEC1226"/>
      <c r="XED1226"/>
      <c r="XEE1226"/>
      <c r="XEF1226"/>
      <c r="XEG1226"/>
      <c r="XEH1226"/>
      <c r="XEI1226"/>
      <c r="XEJ1226"/>
      <c r="XEK1226"/>
      <c r="XEL1226"/>
      <c r="XEM1226"/>
      <c r="XEN1226"/>
      <c r="XEO1226"/>
      <c r="XEP1226"/>
      <c r="XEQ1226"/>
      <c r="XER1226"/>
      <c r="XES1226"/>
      <c r="XET1226"/>
      <c r="XEU1226"/>
      <c r="XEV1226"/>
      <c r="XEW1226"/>
      <c r="XEX1226"/>
      <c r="XEY1226"/>
      <c r="XEZ1226"/>
      <c r="XFA1226"/>
      <c r="XFB1226"/>
      <c r="XFC1226"/>
    </row>
    <row r="1227" spans="1:20 16329:16383" s="38" customFormat="1" ht="29.1" customHeight="1" outlineLevel="6" x14ac:dyDescent="0.25">
      <c r="A1227" s="49" t="s">
        <v>2277</v>
      </c>
      <c r="B1227" s="50"/>
      <c r="C1227" s="50"/>
      <c r="D1227" s="3" t="s">
        <v>2278</v>
      </c>
      <c r="E1227" s="3"/>
      <c r="F1227" s="51"/>
      <c r="G1227" s="50" t="s">
        <v>194</v>
      </c>
      <c r="H1227" s="52">
        <f>1</f>
        <v>1</v>
      </c>
      <c r="I1227" s="36"/>
      <c r="J1227" s="52">
        <v>1</v>
      </c>
      <c r="K1227" s="53">
        <f>0</f>
        <v>0</v>
      </c>
      <c r="L1227" s="53">
        <f>0</f>
        <v>0</v>
      </c>
      <c r="M1227" s="53">
        <f>0</f>
        <v>0</v>
      </c>
      <c r="N1227" s="54">
        <f t="shared" si="164"/>
        <v>0</v>
      </c>
      <c r="O1227" s="54">
        <f t="shared" si="165"/>
        <v>0</v>
      </c>
      <c r="P1227" s="54">
        <f t="shared" si="166"/>
        <v>0</v>
      </c>
      <c r="Q1227" s="54">
        <f t="shared" si="167"/>
        <v>0</v>
      </c>
      <c r="R1227" s="54">
        <f t="shared" si="168"/>
        <v>0</v>
      </c>
      <c r="S1227" s="54"/>
      <c r="T1227" s="36"/>
      <c r="XDA1227"/>
      <c r="XDB1227"/>
      <c r="XDC1227"/>
      <c r="XDD1227"/>
      <c r="XDE1227"/>
      <c r="XDF1227"/>
      <c r="XDG1227"/>
      <c r="XDH1227"/>
      <c r="XDI1227"/>
      <c r="XDJ1227"/>
      <c r="XDK1227"/>
      <c r="XDL1227"/>
      <c r="XDM1227"/>
      <c r="XDN1227"/>
      <c r="XDO1227"/>
      <c r="XDP1227"/>
      <c r="XDQ1227"/>
      <c r="XDR1227"/>
      <c r="XDS1227"/>
      <c r="XDT1227"/>
      <c r="XDU1227"/>
      <c r="XDV1227"/>
      <c r="XDW1227"/>
      <c r="XDX1227"/>
      <c r="XDY1227"/>
      <c r="XDZ1227"/>
      <c r="XEA1227"/>
      <c r="XEB1227"/>
      <c r="XEC1227"/>
      <c r="XED1227"/>
      <c r="XEE1227"/>
      <c r="XEF1227"/>
      <c r="XEG1227"/>
      <c r="XEH1227"/>
      <c r="XEI1227"/>
      <c r="XEJ1227"/>
      <c r="XEK1227"/>
      <c r="XEL1227"/>
      <c r="XEM1227"/>
      <c r="XEN1227"/>
      <c r="XEO1227"/>
      <c r="XEP1227"/>
      <c r="XEQ1227"/>
      <c r="XER1227"/>
      <c r="XES1227"/>
      <c r="XET1227"/>
      <c r="XEU1227"/>
      <c r="XEV1227"/>
      <c r="XEW1227"/>
      <c r="XEX1227"/>
      <c r="XEY1227"/>
      <c r="XEZ1227"/>
      <c r="XFA1227"/>
      <c r="XFB1227"/>
      <c r="XFC1227"/>
    </row>
    <row r="1228" spans="1:20 16329:16383" s="38" customFormat="1" ht="29.1" customHeight="1" outlineLevel="6" x14ac:dyDescent="0.25">
      <c r="A1228" s="49" t="s">
        <v>2279</v>
      </c>
      <c r="B1228" s="50"/>
      <c r="C1228" s="50"/>
      <c r="D1228" s="3" t="s">
        <v>2280</v>
      </c>
      <c r="E1228" s="3"/>
      <c r="F1228" s="51"/>
      <c r="G1228" s="50" t="s">
        <v>194</v>
      </c>
      <c r="H1228" s="52">
        <f>1</f>
        <v>1</v>
      </c>
      <c r="I1228" s="36"/>
      <c r="J1228" s="52">
        <v>1</v>
      </c>
      <c r="K1228" s="53">
        <f>0</f>
        <v>0</v>
      </c>
      <c r="L1228" s="53">
        <f>0</f>
        <v>0</v>
      </c>
      <c r="M1228" s="53">
        <f>0</f>
        <v>0</v>
      </c>
      <c r="N1228" s="54">
        <f t="shared" si="164"/>
        <v>0</v>
      </c>
      <c r="O1228" s="54">
        <f t="shared" si="165"/>
        <v>0</v>
      </c>
      <c r="P1228" s="54">
        <f t="shared" si="166"/>
        <v>0</v>
      </c>
      <c r="Q1228" s="54">
        <f t="shared" si="167"/>
        <v>0</v>
      </c>
      <c r="R1228" s="54">
        <f t="shared" si="168"/>
        <v>0</v>
      </c>
      <c r="S1228" s="54"/>
      <c r="T1228" s="36"/>
      <c r="XDA1228"/>
      <c r="XDB1228"/>
      <c r="XDC1228"/>
      <c r="XDD1228"/>
      <c r="XDE1228"/>
      <c r="XDF1228"/>
      <c r="XDG1228"/>
      <c r="XDH1228"/>
      <c r="XDI1228"/>
      <c r="XDJ1228"/>
      <c r="XDK1228"/>
      <c r="XDL1228"/>
      <c r="XDM1228"/>
      <c r="XDN1228"/>
      <c r="XDO1228"/>
      <c r="XDP1228"/>
      <c r="XDQ1228"/>
      <c r="XDR1228"/>
      <c r="XDS1228"/>
      <c r="XDT1228"/>
      <c r="XDU1228"/>
      <c r="XDV1228"/>
      <c r="XDW1228"/>
      <c r="XDX1228"/>
      <c r="XDY1228"/>
      <c r="XDZ1228"/>
      <c r="XEA1228"/>
      <c r="XEB1228"/>
      <c r="XEC1228"/>
      <c r="XED1228"/>
      <c r="XEE1228"/>
      <c r="XEF1228"/>
      <c r="XEG1228"/>
      <c r="XEH1228"/>
      <c r="XEI1228"/>
      <c r="XEJ1228"/>
      <c r="XEK1228"/>
      <c r="XEL1228"/>
      <c r="XEM1228"/>
      <c r="XEN1228"/>
      <c r="XEO1228"/>
      <c r="XEP1228"/>
      <c r="XEQ1228"/>
      <c r="XER1228"/>
      <c r="XES1228"/>
      <c r="XET1228"/>
      <c r="XEU1228"/>
      <c r="XEV1228"/>
      <c r="XEW1228"/>
      <c r="XEX1228"/>
      <c r="XEY1228"/>
      <c r="XEZ1228"/>
      <c r="XFA1228"/>
      <c r="XFB1228"/>
      <c r="XFC1228"/>
    </row>
    <row r="1229" spans="1:20 16329:16383" s="38" customFormat="1" ht="29.1" customHeight="1" outlineLevel="6" x14ac:dyDescent="0.25">
      <c r="A1229" s="49" t="s">
        <v>2281</v>
      </c>
      <c r="B1229" s="50"/>
      <c r="C1229" s="50"/>
      <c r="D1229" s="3" t="s">
        <v>2206</v>
      </c>
      <c r="E1229" s="3"/>
      <c r="F1229" s="51"/>
      <c r="G1229" s="50" t="s">
        <v>194</v>
      </c>
      <c r="H1229" s="52">
        <f>1</f>
        <v>1</v>
      </c>
      <c r="I1229" s="36"/>
      <c r="J1229" s="52">
        <v>1</v>
      </c>
      <c r="K1229" s="53">
        <f>0</f>
        <v>0</v>
      </c>
      <c r="L1229" s="53">
        <f>0</f>
        <v>0</v>
      </c>
      <c r="M1229" s="53">
        <f>0</f>
        <v>0</v>
      </c>
      <c r="N1229" s="54">
        <f t="shared" si="164"/>
        <v>0</v>
      </c>
      <c r="O1229" s="54">
        <f t="shared" si="165"/>
        <v>0</v>
      </c>
      <c r="P1229" s="54">
        <f t="shared" si="166"/>
        <v>0</v>
      </c>
      <c r="Q1229" s="54">
        <f t="shared" si="167"/>
        <v>0</v>
      </c>
      <c r="R1229" s="54">
        <f t="shared" si="168"/>
        <v>0</v>
      </c>
      <c r="S1229" s="54"/>
      <c r="T1229" s="36"/>
      <c r="XDA1229"/>
      <c r="XDB1229"/>
      <c r="XDC1229"/>
      <c r="XDD1229"/>
      <c r="XDE1229"/>
      <c r="XDF1229"/>
      <c r="XDG1229"/>
      <c r="XDH1229"/>
      <c r="XDI1229"/>
      <c r="XDJ1229"/>
      <c r="XDK1229"/>
      <c r="XDL1229"/>
      <c r="XDM1229"/>
      <c r="XDN1229"/>
      <c r="XDO1229"/>
      <c r="XDP1229"/>
      <c r="XDQ1229"/>
      <c r="XDR1229"/>
      <c r="XDS1229"/>
      <c r="XDT1229"/>
      <c r="XDU1229"/>
      <c r="XDV1229"/>
      <c r="XDW1229"/>
      <c r="XDX1229"/>
      <c r="XDY1229"/>
      <c r="XDZ1229"/>
      <c r="XEA1229"/>
      <c r="XEB1229"/>
      <c r="XEC1229"/>
      <c r="XED1229"/>
      <c r="XEE1229"/>
      <c r="XEF1229"/>
      <c r="XEG1229"/>
      <c r="XEH1229"/>
      <c r="XEI1229"/>
      <c r="XEJ1229"/>
      <c r="XEK1229"/>
      <c r="XEL1229"/>
      <c r="XEM1229"/>
      <c r="XEN1229"/>
      <c r="XEO1229"/>
      <c r="XEP1229"/>
      <c r="XEQ1229"/>
      <c r="XER1229"/>
      <c r="XES1229"/>
      <c r="XET1229"/>
      <c r="XEU1229"/>
      <c r="XEV1229"/>
      <c r="XEW1229"/>
      <c r="XEX1229"/>
      <c r="XEY1229"/>
      <c r="XEZ1229"/>
      <c r="XFA1229"/>
      <c r="XFB1229"/>
      <c r="XFC1229"/>
    </row>
    <row r="1230" spans="1:20 16329:16383" s="38" customFormat="1" ht="29.1" customHeight="1" outlineLevel="5" x14ac:dyDescent="0.25">
      <c r="A1230" s="65" t="s">
        <v>2282</v>
      </c>
      <c r="B1230" s="66" t="s">
        <v>2283</v>
      </c>
      <c r="C1230" s="66"/>
      <c r="D1230" s="98" t="s">
        <v>344</v>
      </c>
      <c r="E1230" s="98"/>
      <c r="F1230" s="67"/>
      <c r="G1230" s="66"/>
      <c r="H1230" s="68"/>
      <c r="I1230" s="36"/>
      <c r="J1230" s="68"/>
      <c r="K1230" s="69"/>
      <c r="L1230" s="69"/>
      <c r="M1230" s="69"/>
      <c r="N1230" s="69"/>
      <c r="O1230" s="69">
        <f>SUM(O1231:O1245)</f>
        <v>0</v>
      </c>
      <c r="P1230" s="69">
        <f>SUM(P1231:P1245)</f>
        <v>0</v>
      </c>
      <c r="Q1230" s="69">
        <f>SUM(Q1231:Q1245)</f>
        <v>0</v>
      </c>
      <c r="R1230" s="69">
        <f>SUM(R1231:R1245)</f>
        <v>0</v>
      </c>
      <c r="S1230" s="69"/>
      <c r="T1230" s="36"/>
      <c r="XDA1230"/>
      <c r="XDB1230"/>
      <c r="XDC1230"/>
      <c r="XDD1230"/>
      <c r="XDE1230"/>
      <c r="XDF1230"/>
      <c r="XDG1230"/>
      <c r="XDH1230"/>
      <c r="XDI1230"/>
      <c r="XDJ1230"/>
      <c r="XDK1230"/>
      <c r="XDL1230"/>
      <c r="XDM1230"/>
      <c r="XDN1230"/>
      <c r="XDO1230"/>
      <c r="XDP1230"/>
      <c r="XDQ1230"/>
      <c r="XDR1230"/>
      <c r="XDS1230"/>
      <c r="XDT1230"/>
      <c r="XDU1230"/>
      <c r="XDV1230"/>
      <c r="XDW1230"/>
      <c r="XDX1230"/>
      <c r="XDY1230"/>
      <c r="XDZ1230"/>
      <c r="XEA1230"/>
      <c r="XEB1230"/>
      <c r="XEC1230"/>
      <c r="XED1230"/>
      <c r="XEE1230"/>
      <c r="XEF1230"/>
      <c r="XEG1230"/>
      <c r="XEH1230"/>
      <c r="XEI1230"/>
      <c r="XEJ1230"/>
      <c r="XEK1230"/>
      <c r="XEL1230"/>
      <c r="XEM1230"/>
      <c r="XEN1230"/>
      <c r="XEO1230"/>
      <c r="XEP1230"/>
      <c r="XEQ1230"/>
      <c r="XER1230"/>
      <c r="XES1230"/>
      <c r="XET1230"/>
      <c r="XEU1230"/>
      <c r="XEV1230"/>
      <c r="XEW1230"/>
      <c r="XEX1230"/>
      <c r="XEY1230"/>
      <c r="XEZ1230"/>
      <c r="XFA1230"/>
      <c r="XFB1230"/>
      <c r="XFC1230"/>
    </row>
    <row r="1231" spans="1:20 16329:16383" s="38" customFormat="1" ht="29.1" customHeight="1" outlineLevel="6" x14ac:dyDescent="0.25">
      <c r="A1231" s="49" t="s">
        <v>2284</v>
      </c>
      <c r="B1231" s="50"/>
      <c r="C1231" s="50"/>
      <c r="D1231" s="3" t="s">
        <v>1886</v>
      </c>
      <c r="E1231" s="3"/>
      <c r="F1231" s="51"/>
      <c r="G1231" s="50" t="s">
        <v>102</v>
      </c>
      <c r="H1231" s="52">
        <f>1</f>
        <v>1</v>
      </c>
      <c r="I1231" s="36"/>
      <c r="J1231" s="52">
        <v>1</v>
      </c>
      <c r="K1231" s="53">
        <f>0</f>
        <v>0</v>
      </c>
      <c r="L1231" s="53">
        <f>0</f>
        <v>0</v>
      </c>
      <c r="M1231" s="53">
        <f>0</f>
        <v>0</v>
      </c>
      <c r="N1231" s="54">
        <f t="shared" ref="N1231:N1245" si="169">SUM(K1231:M1231)</f>
        <v>0</v>
      </c>
      <c r="O1231" s="54">
        <f t="shared" ref="O1231:O1245" si="170">ROUND((H1231*K1231),2)</f>
        <v>0</v>
      </c>
      <c r="P1231" s="54">
        <f t="shared" ref="P1231:P1245" si="171">ROUND((H1231*L1231),2)</f>
        <v>0</v>
      </c>
      <c r="Q1231" s="54">
        <f t="shared" ref="Q1231:Q1245" si="172">ROUND((H1231*M1231),2)</f>
        <v>0</v>
      </c>
      <c r="R1231" s="54">
        <f t="shared" ref="R1231:R1245" si="173">ROUND((H1231*N1231),2)</f>
        <v>0</v>
      </c>
      <c r="S1231" s="54"/>
      <c r="T1231" s="36"/>
      <c r="XDA1231"/>
      <c r="XDB1231"/>
      <c r="XDC1231"/>
      <c r="XDD1231"/>
      <c r="XDE1231"/>
      <c r="XDF1231"/>
      <c r="XDG1231"/>
      <c r="XDH1231"/>
      <c r="XDI1231"/>
      <c r="XDJ1231"/>
      <c r="XDK1231"/>
      <c r="XDL1231"/>
      <c r="XDM1231"/>
      <c r="XDN1231"/>
      <c r="XDO1231"/>
      <c r="XDP1231"/>
      <c r="XDQ1231"/>
      <c r="XDR1231"/>
      <c r="XDS1231"/>
      <c r="XDT1231"/>
      <c r="XDU1231"/>
      <c r="XDV1231"/>
      <c r="XDW1231"/>
      <c r="XDX1231"/>
      <c r="XDY1231"/>
      <c r="XDZ1231"/>
      <c r="XEA1231"/>
      <c r="XEB1231"/>
      <c r="XEC1231"/>
      <c r="XED1231"/>
      <c r="XEE1231"/>
      <c r="XEF1231"/>
      <c r="XEG1231"/>
      <c r="XEH1231"/>
      <c r="XEI1231"/>
      <c r="XEJ1231"/>
      <c r="XEK1231"/>
      <c r="XEL1231"/>
      <c r="XEM1231"/>
      <c r="XEN1231"/>
      <c r="XEO1231"/>
      <c r="XEP1231"/>
      <c r="XEQ1231"/>
      <c r="XER1231"/>
      <c r="XES1231"/>
      <c r="XET1231"/>
      <c r="XEU1231"/>
      <c r="XEV1231"/>
      <c r="XEW1231"/>
      <c r="XEX1231"/>
      <c r="XEY1231"/>
      <c r="XEZ1231"/>
      <c r="XFA1231"/>
      <c r="XFB1231"/>
      <c r="XFC1231"/>
    </row>
    <row r="1232" spans="1:20 16329:16383" s="38" customFormat="1" ht="29.1" customHeight="1" outlineLevel="6" x14ac:dyDescent="0.25">
      <c r="A1232" s="49" t="s">
        <v>2285</v>
      </c>
      <c r="B1232" s="50"/>
      <c r="C1232" s="50"/>
      <c r="D1232" s="3" t="s">
        <v>1890</v>
      </c>
      <c r="E1232" s="3"/>
      <c r="F1232" s="51"/>
      <c r="G1232" s="50" t="s">
        <v>102</v>
      </c>
      <c r="H1232" s="52">
        <f>1</f>
        <v>1</v>
      </c>
      <c r="I1232" s="36"/>
      <c r="J1232" s="52">
        <v>1</v>
      </c>
      <c r="K1232" s="53">
        <f>0</f>
        <v>0</v>
      </c>
      <c r="L1232" s="53">
        <f>0</f>
        <v>0</v>
      </c>
      <c r="M1232" s="53">
        <f>0</f>
        <v>0</v>
      </c>
      <c r="N1232" s="54">
        <f t="shared" si="169"/>
        <v>0</v>
      </c>
      <c r="O1232" s="54">
        <f t="shared" si="170"/>
        <v>0</v>
      </c>
      <c r="P1232" s="54">
        <f t="shared" si="171"/>
        <v>0</v>
      </c>
      <c r="Q1232" s="54">
        <f t="shared" si="172"/>
        <v>0</v>
      </c>
      <c r="R1232" s="54">
        <f t="shared" si="173"/>
        <v>0</v>
      </c>
      <c r="S1232" s="54"/>
      <c r="T1232" s="36"/>
      <c r="XDA1232"/>
      <c r="XDB1232"/>
      <c r="XDC1232"/>
      <c r="XDD1232"/>
      <c r="XDE1232"/>
      <c r="XDF1232"/>
      <c r="XDG1232"/>
      <c r="XDH1232"/>
      <c r="XDI1232"/>
      <c r="XDJ1232"/>
      <c r="XDK1232"/>
      <c r="XDL1232"/>
      <c r="XDM1232"/>
      <c r="XDN1232"/>
      <c r="XDO1232"/>
      <c r="XDP1232"/>
      <c r="XDQ1232"/>
      <c r="XDR1232"/>
      <c r="XDS1232"/>
      <c r="XDT1232"/>
      <c r="XDU1232"/>
      <c r="XDV1232"/>
      <c r="XDW1232"/>
      <c r="XDX1232"/>
      <c r="XDY1232"/>
      <c r="XDZ1232"/>
      <c r="XEA1232"/>
      <c r="XEB1232"/>
      <c r="XEC1232"/>
      <c r="XED1232"/>
      <c r="XEE1232"/>
      <c r="XEF1232"/>
      <c r="XEG1232"/>
      <c r="XEH1232"/>
      <c r="XEI1232"/>
      <c r="XEJ1232"/>
      <c r="XEK1232"/>
      <c r="XEL1232"/>
      <c r="XEM1232"/>
      <c r="XEN1232"/>
      <c r="XEO1232"/>
      <c r="XEP1232"/>
      <c r="XEQ1232"/>
      <c r="XER1232"/>
      <c r="XES1232"/>
      <c r="XET1232"/>
      <c r="XEU1232"/>
      <c r="XEV1232"/>
      <c r="XEW1232"/>
      <c r="XEX1232"/>
      <c r="XEY1232"/>
      <c r="XEZ1232"/>
      <c r="XFA1232"/>
      <c r="XFB1232"/>
      <c r="XFC1232"/>
    </row>
    <row r="1233" spans="1:20 16329:16383" s="38" customFormat="1" ht="29.1" customHeight="1" outlineLevel="6" x14ac:dyDescent="0.25">
      <c r="A1233" s="49" t="s">
        <v>2286</v>
      </c>
      <c r="B1233" s="50"/>
      <c r="C1233" s="50"/>
      <c r="D1233" s="3" t="s">
        <v>2100</v>
      </c>
      <c r="E1233" s="3"/>
      <c r="F1233" s="51"/>
      <c r="G1233" s="50" t="s">
        <v>102</v>
      </c>
      <c r="H1233" s="52">
        <f>1</f>
        <v>1</v>
      </c>
      <c r="I1233" s="36"/>
      <c r="J1233" s="52">
        <v>1</v>
      </c>
      <c r="K1233" s="53">
        <f>0</f>
        <v>0</v>
      </c>
      <c r="L1233" s="53">
        <f>0</f>
        <v>0</v>
      </c>
      <c r="M1233" s="53">
        <f>0</f>
        <v>0</v>
      </c>
      <c r="N1233" s="54">
        <f t="shared" si="169"/>
        <v>0</v>
      </c>
      <c r="O1233" s="54">
        <f t="shared" si="170"/>
        <v>0</v>
      </c>
      <c r="P1233" s="54">
        <f t="shared" si="171"/>
        <v>0</v>
      </c>
      <c r="Q1233" s="54">
        <f t="shared" si="172"/>
        <v>0</v>
      </c>
      <c r="R1233" s="54">
        <f t="shared" si="173"/>
        <v>0</v>
      </c>
      <c r="S1233" s="54"/>
      <c r="T1233" s="36"/>
      <c r="XDA1233"/>
      <c r="XDB1233"/>
      <c r="XDC1233"/>
      <c r="XDD1233"/>
      <c r="XDE1233"/>
      <c r="XDF1233"/>
      <c r="XDG1233"/>
      <c r="XDH1233"/>
      <c r="XDI1233"/>
      <c r="XDJ1233"/>
      <c r="XDK1233"/>
      <c r="XDL1233"/>
      <c r="XDM1233"/>
      <c r="XDN1233"/>
      <c r="XDO1233"/>
      <c r="XDP1233"/>
      <c r="XDQ1233"/>
      <c r="XDR1233"/>
      <c r="XDS1233"/>
      <c r="XDT1233"/>
      <c r="XDU1233"/>
      <c r="XDV1233"/>
      <c r="XDW1233"/>
      <c r="XDX1233"/>
      <c r="XDY1233"/>
      <c r="XDZ1233"/>
      <c r="XEA1233"/>
      <c r="XEB1233"/>
      <c r="XEC1233"/>
      <c r="XED1233"/>
      <c r="XEE1233"/>
      <c r="XEF1233"/>
      <c r="XEG1233"/>
      <c r="XEH1233"/>
      <c r="XEI1233"/>
      <c r="XEJ1233"/>
      <c r="XEK1233"/>
      <c r="XEL1233"/>
      <c r="XEM1233"/>
      <c r="XEN1233"/>
      <c r="XEO1233"/>
      <c r="XEP1233"/>
      <c r="XEQ1233"/>
      <c r="XER1233"/>
      <c r="XES1233"/>
      <c r="XET1233"/>
      <c r="XEU1233"/>
      <c r="XEV1233"/>
      <c r="XEW1233"/>
      <c r="XEX1233"/>
      <c r="XEY1233"/>
      <c r="XEZ1233"/>
      <c r="XFA1233"/>
      <c r="XFB1233"/>
      <c r="XFC1233"/>
    </row>
    <row r="1234" spans="1:20 16329:16383" s="38" customFormat="1" ht="29.1" customHeight="1" outlineLevel="6" x14ac:dyDescent="0.25">
      <c r="A1234" s="49" t="s">
        <v>2287</v>
      </c>
      <c r="B1234" s="50"/>
      <c r="C1234" s="50"/>
      <c r="D1234" s="3" t="s">
        <v>2213</v>
      </c>
      <c r="E1234" s="3"/>
      <c r="F1234" s="51"/>
      <c r="G1234" s="50" t="s">
        <v>102</v>
      </c>
      <c r="H1234" s="52">
        <f>1</f>
        <v>1</v>
      </c>
      <c r="I1234" s="36"/>
      <c r="J1234" s="52">
        <v>1</v>
      </c>
      <c r="K1234" s="53">
        <f>0</f>
        <v>0</v>
      </c>
      <c r="L1234" s="53">
        <f>0</f>
        <v>0</v>
      </c>
      <c r="M1234" s="53">
        <f>0</f>
        <v>0</v>
      </c>
      <c r="N1234" s="54">
        <f t="shared" si="169"/>
        <v>0</v>
      </c>
      <c r="O1234" s="54">
        <f t="shared" si="170"/>
        <v>0</v>
      </c>
      <c r="P1234" s="54">
        <f t="shared" si="171"/>
        <v>0</v>
      </c>
      <c r="Q1234" s="54">
        <f t="shared" si="172"/>
        <v>0</v>
      </c>
      <c r="R1234" s="54">
        <f t="shared" si="173"/>
        <v>0</v>
      </c>
      <c r="S1234" s="54"/>
      <c r="T1234" s="36"/>
      <c r="XDA1234"/>
      <c r="XDB1234"/>
      <c r="XDC1234"/>
      <c r="XDD1234"/>
      <c r="XDE1234"/>
      <c r="XDF1234"/>
      <c r="XDG1234"/>
      <c r="XDH1234"/>
      <c r="XDI1234"/>
      <c r="XDJ1234"/>
      <c r="XDK1234"/>
      <c r="XDL1234"/>
      <c r="XDM1234"/>
      <c r="XDN1234"/>
      <c r="XDO1234"/>
      <c r="XDP1234"/>
      <c r="XDQ1234"/>
      <c r="XDR1234"/>
      <c r="XDS1234"/>
      <c r="XDT1234"/>
      <c r="XDU1234"/>
      <c r="XDV1234"/>
      <c r="XDW1234"/>
      <c r="XDX1234"/>
      <c r="XDY1234"/>
      <c r="XDZ1234"/>
      <c r="XEA1234"/>
      <c r="XEB1234"/>
      <c r="XEC1234"/>
      <c r="XED1234"/>
      <c r="XEE1234"/>
      <c r="XEF1234"/>
      <c r="XEG1234"/>
      <c r="XEH1234"/>
      <c r="XEI1234"/>
      <c r="XEJ1234"/>
      <c r="XEK1234"/>
      <c r="XEL1234"/>
      <c r="XEM1234"/>
      <c r="XEN1234"/>
      <c r="XEO1234"/>
      <c r="XEP1234"/>
      <c r="XEQ1234"/>
      <c r="XER1234"/>
      <c r="XES1234"/>
      <c r="XET1234"/>
      <c r="XEU1234"/>
      <c r="XEV1234"/>
      <c r="XEW1234"/>
      <c r="XEX1234"/>
      <c r="XEY1234"/>
      <c r="XEZ1234"/>
      <c r="XFA1234"/>
      <c r="XFB1234"/>
      <c r="XFC1234"/>
    </row>
    <row r="1235" spans="1:20 16329:16383" s="38" customFormat="1" ht="29.1" customHeight="1" outlineLevel="6" x14ac:dyDescent="0.25">
      <c r="A1235" s="49" t="s">
        <v>2288</v>
      </c>
      <c r="B1235" s="50"/>
      <c r="C1235" s="50"/>
      <c r="D1235" s="3" t="s">
        <v>2289</v>
      </c>
      <c r="E1235" s="3"/>
      <c r="F1235" s="51"/>
      <c r="G1235" s="50" t="s">
        <v>102</v>
      </c>
      <c r="H1235" s="52">
        <f>1</f>
        <v>1</v>
      </c>
      <c r="I1235" s="36"/>
      <c r="J1235" s="52">
        <v>1</v>
      </c>
      <c r="K1235" s="53">
        <f>0</f>
        <v>0</v>
      </c>
      <c r="L1235" s="53">
        <f>0</f>
        <v>0</v>
      </c>
      <c r="M1235" s="53">
        <f>0</f>
        <v>0</v>
      </c>
      <c r="N1235" s="54">
        <f t="shared" si="169"/>
        <v>0</v>
      </c>
      <c r="O1235" s="54">
        <f t="shared" si="170"/>
        <v>0</v>
      </c>
      <c r="P1235" s="54">
        <f t="shared" si="171"/>
        <v>0</v>
      </c>
      <c r="Q1235" s="54">
        <f t="shared" si="172"/>
        <v>0</v>
      </c>
      <c r="R1235" s="54">
        <f t="shared" si="173"/>
        <v>0</v>
      </c>
      <c r="S1235" s="54"/>
      <c r="T1235" s="36"/>
      <c r="XDA1235"/>
      <c r="XDB1235"/>
      <c r="XDC1235"/>
      <c r="XDD1235"/>
      <c r="XDE1235"/>
      <c r="XDF1235"/>
      <c r="XDG1235"/>
      <c r="XDH1235"/>
      <c r="XDI1235"/>
      <c r="XDJ1235"/>
      <c r="XDK1235"/>
      <c r="XDL1235"/>
      <c r="XDM1235"/>
      <c r="XDN1235"/>
      <c r="XDO1235"/>
      <c r="XDP1235"/>
      <c r="XDQ1235"/>
      <c r="XDR1235"/>
      <c r="XDS1235"/>
      <c r="XDT1235"/>
      <c r="XDU1235"/>
      <c r="XDV1235"/>
      <c r="XDW1235"/>
      <c r="XDX1235"/>
      <c r="XDY1235"/>
      <c r="XDZ1235"/>
      <c r="XEA1235"/>
      <c r="XEB1235"/>
      <c r="XEC1235"/>
      <c r="XED1235"/>
      <c r="XEE1235"/>
      <c r="XEF1235"/>
      <c r="XEG1235"/>
      <c r="XEH1235"/>
      <c r="XEI1235"/>
      <c r="XEJ1235"/>
      <c r="XEK1235"/>
      <c r="XEL1235"/>
      <c r="XEM1235"/>
      <c r="XEN1235"/>
      <c r="XEO1235"/>
      <c r="XEP1235"/>
      <c r="XEQ1235"/>
      <c r="XER1235"/>
      <c r="XES1235"/>
      <c r="XET1235"/>
      <c r="XEU1235"/>
      <c r="XEV1235"/>
      <c r="XEW1235"/>
      <c r="XEX1235"/>
      <c r="XEY1235"/>
      <c r="XEZ1235"/>
      <c r="XFA1235"/>
      <c r="XFB1235"/>
      <c r="XFC1235"/>
    </row>
    <row r="1236" spans="1:20 16329:16383" s="38" customFormat="1" ht="29.1" customHeight="1" outlineLevel="6" x14ac:dyDescent="0.25">
      <c r="A1236" s="49" t="s">
        <v>2290</v>
      </c>
      <c r="B1236" s="50"/>
      <c r="C1236" s="50"/>
      <c r="D1236" s="3" t="s">
        <v>2219</v>
      </c>
      <c r="E1236" s="3"/>
      <c r="F1236" s="51"/>
      <c r="G1236" s="50" t="s">
        <v>102</v>
      </c>
      <c r="H1236" s="52">
        <f>1</f>
        <v>1</v>
      </c>
      <c r="I1236" s="36"/>
      <c r="J1236" s="52">
        <v>1</v>
      </c>
      <c r="K1236" s="53">
        <f>0</f>
        <v>0</v>
      </c>
      <c r="L1236" s="53">
        <f>0</f>
        <v>0</v>
      </c>
      <c r="M1236" s="53">
        <f>0</f>
        <v>0</v>
      </c>
      <c r="N1236" s="54">
        <f t="shared" si="169"/>
        <v>0</v>
      </c>
      <c r="O1236" s="54">
        <f t="shared" si="170"/>
        <v>0</v>
      </c>
      <c r="P1236" s="54">
        <f t="shared" si="171"/>
        <v>0</v>
      </c>
      <c r="Q1236" s="54">
        <f t="shared" si="172"/>
        <v>0</v>
      </c>
      <c r="R1236" s="54">
        <f t="shared" si="173"/>
        <v>0</v>
      </c>
      <c r="S1236" s="54"/>
      <c r="T1236" s="36"/>
      <c r="XDA1236"/>
      <c r="XDB1236"/>
      <c r="XDC1236"/>
      <c r="XDD1236"/>
      <c r="XDE1236"/>
      <c r="XDF1236"/>
      <c r="XDG1236"/>
      <c r="XDH1236"/>
      <c r="XDI1236"/>
      <c r="XDJ1236"/>
      <c r="XDK1236"/>
      <c r="XDL1236"/>
      <c r="XDM1236"/>
      <c r="XDN1236"/>
      <c r="XDO1236"/>
      <c r="XDP1236"/>
      <c r="XDQ1236"/>
      <c r="XDR1236"/>
      <c r="XDS1236"/>
      <c r="XDT1236"/>
      <c r="XDU1236"/>
      <c r="XDV1236"/>
      <c r="XDW1236"/>
      <c r="XDX1236"/>
      <c r="XDY1236"/>
      <c r="XDZ1236"/>
      <c r="XEA1236"/>
      <c r="XEB1236"/>
      <c r="XEC1236"/>
      <c r="XED1236"/>
      <c r="XEE1236"/>
      <c r="XEF1236"/>
      <c r="XEG1236"/>
      <c r="XEH1236"/>
      <c r="XEI1236"/>
      <c r="XEJ1236"/>
      <c r="XEK1236"/>
      <c r="XEL1236"/>
      <c r="XEM1236"/>
      <c r="XEN1236"/>
      <c r="XEO1236"/>
      <c r="XEP1236"/>
      <c r="XEQ1236"/>
      <c r="XER1236"/>
      <c r="XES1236"/>
      <c r="XET1236"/>
      <c r="XEU1236"/>
      <c r="XEV1236"/>
      <c r="XEW1236"/>
      <c r="XEX1236"/>
      <c r="XEY1236"/>
      <c r="XEZ1236"/>
      <c r="XFA1236"/>
      <c r="XFB1236"/>
      <c r="XFC1236"/>
    </row>
    <row r="1237" spans="1:20 16329:16383" s="38" customFormat="1" ht="29.1" customHeight="1" outlineLevel="6" x14ac:dyDescent="0.25">
      <c r="A1237" s="49" t="s">
        <v>2291</v>
      </c>
      <c r="B1237" s="50"/>
      <c r="C1237" s="50"/>
      <c r="D1237" s="3" t="s">
        <v>2245</v>
      </c>
      <c r="E1237" s="3"/>
      <c r="F1237" s="51"/>
      <c r="G1237" s="50" t="s">
        <v>102</v>
      </c>
      <c r="H1237" s="52">
        <f>1</f>
        <v>1</v>
      </c>
      <c r="I1237" s="36"/>
      <c r="J1237" s="52">
        <v>1</v>
      </c>
      <c r="K1237" s="53">
        <f>0</f>
        <v>0</v>
      </c>
      <c r="L1237" s="53">
        <f>0</f>
        <v>0</v>
      </c>
      <c r="M1237" s="53">
        <f>0</f>
        <v>0</v>
      </c>
      <c r="N1237" s="54">
        <f t="shared" si="169"/>
        <v>0</v>
      </c>
      <c r="O1237" s="54">
        <f t="shared" si="170"/>
        <v>0</v>
      </c>
      <c r="P1237" s="54">
        <f t="shared" si="171"/>
        <v>0</v>
      </c>
      <c r="Q1237" s="54">
        <f t="shared" si="172"/>
        <v>0</v>
      </c>
      <c r="R1237" s="54">
        <f t="shared" si="173"/>
        <v>0</v>
      </c>
      <c r="S1237" s="54"/>
      <c r="T1237" s="36"/>
      <c r="XDA1237"/>
      <c r="XDB1237"/>
      <c r="XDC1237"/>
      <c r="XDD1237"/>
      <c r="XDE1237"/>
      <c r="XDF1237"/>
      <c r="XDG1237"/>
      <c r="XDH1237"/>
      <c r="XDI1237"/>
      <c r="XDJ1237"/>
      <c r="XDK1237"/>
      <c r="XDL1237"/>
      <c r="XDM1237"/>
      <c r="XDN1237"/>
      <c r="XDO1237"/>
      <c r="XDP1237"/>
      <c r="XDQ1237"/>
      <c r="XDR1237"/>
      <c r="XDS1237"/>
      <c r="XDT1237"/>
      <c r="XDU1237"/>
      <c r="XDV1237"/>
      <c r="XDW1237"/>
      <c r="XDX1237"/>
      <c r="XDY1237"/>
      <c r="XDZ1237"/>
      <c r="XEA1237"/>
      <c r="XEB1237"/>
      <c r="XEC1237"/>
      <c r="XED1237"/>
      <c r="XEE1237"/>
      <c r="XEF1237"/>
      <c r="XEG1237"/>
      <c r="XEH1237"/>
      <c r="XEI1237"/>
      <c r="XEJ1237"/>
      <c r="XEK1237"/>
      <c r="XEL1237"/>
      <c r="XEM1237"/>
      <c r="XEN1237"/>
      <c r="XEO1237"/>
      <c r="XEP1237"/>
      <c r="XEQ1237"/>
      <c r="XER1237"/>
      <c r="XES1237"/>
      <c r="XET1237"/>
      <c r="XEU1237"/>
      <c r="XEV1237"/>
      <c r="XEW1237"/>
      <c r="XEX1237"/>
      <c r="XEY1237"/>
      <c r="XEZ1237"/>
      <c r="XFA1237"/>
      <c r="XFB1237"/>
      <c r="XFC1237"/>
    </row>
    <row r="1238" spans="1:20 16329:16383" s="38" customFormat="1" ht="29.1" customHeight="1" outlineLevel="6" x14ac:dyDescent="0.25">
      <c r="A1238" s="49" t="s">
        <v>2292</v>
      </c>
      <c r="B1238" s="50"/>
      <c r="C1238" s="50"/>
      <c r="D1238" s="3" t="s">
        <v>2221</v>
      </c>
      <c r="E1238" s="3"/>
      <c r="F1238" s="51"/>
      <c r="G1238" s="50" t="s">
        <v>102</v>
      </c>
      <c r="H1238" s="52">
        <f>1</f>
        <v>1</v>
      </c>
      <c r="I1238" s="36"/>
      <c r="J1238" s="52">
        <v>1</v>
      </c>
      <c r="K1238" s="53">
        <f>0</f>
        <v>0</v>
      </c>
      <c r="L1238" s="53">
        <f>0</f>
        <v>0</v>
      </c>
      <c r="M1238" s="53">
        <f>0</f>
        <v>0</v>
      </c>
      <c r="N1238" s="54">
        <f t="shared" si="169"/>
        <v>0</v>
      </c>
      <c r="O1238" s="54">
        <f t="shared" si="170"/>
        <v>0</v>
      </c>
      <c r="P1238" s="54">
        <f t="shared" si="171"/>
        <v>0</v>
      </c>
      <c r="Q1238" s="54">
        <f t="shared" si="172"/>
        <v>0</v>
      </c>
      <c r="R1238" s="54">
        <f t="shared" si="173"/>
        <v>0</v>
      </c>
      <c r="S1238" s="54"/>
      <c r="T1238" s="36"/>
      <c r="XDA1238"/>
      <c r="XDB1238"/>
      <c r="XDC1238"/>
      <c r="XDD1238"/>
      <c r="XDE1238"/>
      <c r="XDF1238"/>
      <c r="XDG1238"/>
      <c r="XDH1238"/>
      <c r="XDI1238"/>
      <c r="XDJ1238"/>
      <c r="XDK1238"/>
      <c r="XDL1238"/>
      <c r="XDM1238"/>
      <c r="XDN1238"/>
      <c r="XDO1238"/>
      <c r="XDP1238"/>
      <c r="XDQ1238"/>
      <c r="XDR1238"/>
      <c r="XDS1238"/>
      <c r="XDT1238"/>
      <c r="XDU1238"/>
      <c r="XDV1238"/>
      <c r="XDW1238"/>
      <c r="XDX1238"/>
      <c r="XDY1238"/>
      <c r="XDZ1238"/>
      <c r="XEA1238"/>
      <c r="XEB1238"/>
      <c r="XEC1238"/>
      <c r="XED1238"/>
      <c r="XEE1238"/>
      <c r="XEF1238"/>
      <c r="XEG1238"/>
      <c r="XEH1238"/>
      <c r="XEI1238"/>
      <c r="XEJ1238"/>
      <c r="XEK1238"/>
      <c r="XEL1238"/>
      <c r="XEM1238"/>
      <c r="XEN1238"/>
      <c r="XEO1238"/>
      <c r="XEP1238"/>
      <c r="XEQ1238"/>
      <c r="XER1238"/>
      <c r="XES1238"/>
      <c r="XET1238"/>
      <c r="XEU1238"/>
      <c r="XEV1238"/>
      <c r="XEW1238"/>
      <c r="XEX1238"/>
      <c r="XEY1238"/>
      <c r="XEZ1238"/>
      <c r="XFA1238"/>
      <c r="XFB1238"/>
      <c r="XFC1238"/>
    </row>
    <row r="1239" spans="1:20 16329:16383" s="38" customFormat="1" ht="29.1" customHeight="1" outlineLevel="6" x14ac:dyDescent="0.25">
      <c r="A1239" s="49" t="s">
        <v>2293</v>
      </c>
      <c r="B1239" s="50"/>
      <c r="C1239" s="50"/>
      <c r="D1239" s="3" t="s">
        <v>2224</v>
      </c>
      <c r="E1239" s="3"/>
      <c r="F1239" s="51"/>
      <c r="G1239" s="50" t="s">
        <v>102</v>
      </c>
      <c r="H1239" s="52">
        <f>1</f>
        <v>1</v>
      </c>
      <c r="I1239" s="36"/>
      <c r="J1239" s="52">
        <v>1</v>
      </c>
      <c r="K1239" s="53">
        <f>0</f>
        <v>0</v>
      </c>
      <c r="L1239" s="53">
        <f>0</f>
        <v>0</v>
      </c>
      <c r="M1239" s="53">
        <f>0</f>
        <v>0</v>
      </c>
      <c r="N1239" s="54">
        <f t="shared" si="169"/>
        <v>0</v>
      </c>
      <c r="O1239" s="54">
        <f t="shared" si="170"/>
        <v>0</v>
      </c>
      <c r="P1239" s="54">
        <f t="shared" si="171"/>
        <v>0</v>
      </c>
      <c r="Q1239" s="54">
        <f t="shared" si="172"/>
        <v>0</v>
      </c>
      <c r="R1239" s="54">
        <f t="shared" si="173"/>
        <v>0</v>
      </c>
      <c r="S1239" s="54"/>
      <c r="T1239" s="36"/>
      <c r="XDA1239"/>
      <c r="XDB1239"/>
      <c r="XDC1239"/>
      <c r="XDD1239"/>
      <c r="XDE1239"/>
      <c r="XDF1239"/>
      <c r="XDG1239"/>
      <c r="XDH1239"/>
      <c r="XDI1239"/>
      <c r="XDJ1239"/>
      <c r="XDK1239"/>
      <c r="XDL1239"/>
      <c r="XDM1239"/>
      <c r="XDN1239"/>
      <c r="XDO1239"/>
      <c r="XDP1239"/>
      <c r="XDQ1239"/>
      <c r="XDR1239"/>
      <c r="XDS1239"/>
      <c r="XDT1239"/>
      <c r="XDU1239"/>
      <c r="XDV1239"/>
      <c r="XDW1239"/>
      <c r="XDX1239"/>
      <c r="XDY1239"/>
      <c r="XDZ1239"/>
      <c r="XEA1239"/>
      <c r="XEB1239"/>
      <c r="XEC1239"/>
      <c r="XED1239"/>
      <c r="XEE1239"/>
      <c r="XEF1239"/>
      <c r="XEG1239"/>
      <c r="XEH1239"/>
      <c r="XEI1239"/>
      <c r="XEJ1239"/>
      <c r="XEK1239"/>
      <c r="XEL1239"/>
      <c r="XEM1239"/>
      <c r="XEN1239"/>
      <c r="XEO1239"/>
      <c r="XEP1239"/>
      <c r="XEQ1239"/>
      <c r="XER1239"/>
      <c r="XES1239"/>
      <c r="XET1239"/>
      <c r="XEU1239"/>
      <c r="XEV1239"/>
      <c r="XEW1239"/>
      <c r="XEX1239"/>
      <c r="XEY1239"/>
      <c r="XEZ1239"/>
      <c r="XFA1239"/>
      <c r="XFB1239"/>
      <c r="XFC1239"/>
    </row>
    <row r="1240" spans="1:20 16329:16383" s="38" customFormat="1" ht="29.1" customHeight="1" outlineLevel="6" x14ac:dyDescent="0.25">
      <c r="A1240" s="49" t="s">
        <v>2294</v>
      </c>
      <c r="B1240" s="50"/>
      <c r="C1240" s="50"/>
      <c r="D1240" s="3" t="s">
        <v>2226</v>
      </c>
      <c r="E1240" s="3"/>
      <c r="F1240" s="51"/>
      <c r="G1240" s="50" t="s">
        <v>102</v>
      </c>
      <c r="H1240" s="52">
        <f>1</f>
        <v>1</v>
      </c>
      <c r="I1240" s="36"/>
      <c r="J1240" s="52">
        <v>1</v>
      </c>
      <c r="K1240" s="53">
        <f>0</f>
        <v>0</v>
      </c>
      <c r="L1240" s="53">
        <f>0</f>
        <v>0</v>
      </c>
      <c r="M1240" s="53">
        <f>0</f>
        <v>0</v>
      </c>
      <c r="N1240" s="54">
        <f t="shared" si="169"/>
        <v>0</v>
      </c>
      <c r="O1240" s="54">
        <f t="shared" si="170"/>
        <v>0</v>
      </c>
      <c r="P1240" s="54">
        <f t="shared" si="171"/>
        <v>0</v>
      </c>
      <c r="Q1240" s="54">
        <f t="shared" si="172"/>
        <v>0</v>
      </c>
      <c r="R1240" s="54">
        <f t="shared" si="173"/>
        <v>0</v>
      </c>
      <c r="S1240" s="54"/>
      <c r="T1240" s="36"/>
      <c r="XDA1240"/>
      <c r="XDB1240"/>
      <c r="XDC1240"/>
      <c r="XDD1240"/>
      <c r="XDE1240"/>
      <c r="XDF1240"/>
      <c r="XDG1240"/>
      <c r="XDH1240"/>
      <c r="XDI1240"/>
      <c r="XDJ1240"/>
      <c r="XDK1240"/>
      <c r="XDL1240"/>
      <c r="XDM1240"/>
      <c r="XDN1240"/>
      <c r="XDO1240"/>
      <c r="XDP1240"/>
      <c r="XDQ1240"/>
      <c r="XDR1240"/>
      <c r="XDS1240"/>
      <c r="XDT1240"/>
      <c r="XDU1240"/>
      <c r="XDV1240"/>
      <c r="XDW1240"/>
      <c r="XDX1240"/>
      <c r="XDY1240"/>
      <c r="XDZ1240"/>
      <c r="XEA1240"/>
      <c r="XEB1240"/>
      <c r="XEC1240"/>
      <c r="XED1240"/>
      <c r="XEE1240"/>
      <c r="XEF1240"/>
      <c r="XEG1240"/>
      <c r="XEH1240"/>
      <c r="XEI1240"/>
      <c r="XEJ1240"/>
      <c r="XEK1240"/>
      <c r="XEL1240"/>
      <c r="XEM1240"/>
      <c r="XEN1240"/>
      <c r="XEO1240"/>
      <c r="XEP1240"/>
      <c r="XEQ1240"/>
      <c r="XER1240"/>
      <c r="XES1240"/>
      <c r="XET1240"/>
      <c r="XEU1240"/>
      <c r="XEV1240"/>
      <c r="XEW1240"/>
      <c r="XEX1240"/>
      <c r="XEY1240"/>
      <c r="XEZ1240"/>
      <c r="XFA1240"/>
      <c r="XFB1240"/>
      <c r="XFC1240"/>
    </row>
    <row r="1241" spans="1:20 16329:16383" s="38" customFormat="1" ht="29.1" customHeight="1" outlineLevel="6" x14ac:dyDescent="0.25">
      <c r="A1241" s="49" t="s">
        <v>2295</v>
      </c>
      <c r="B1241" s="50"/>
      <c r="C1241" s="50"/>
      <c r="D1241" s="3" t="s">
        <v>2228</v>
      </c>
      <c r="E1241" s="3"/>
      <c r="F1241" s="51"/>
      <c r="G1241" s="50" t="s">
        <v>102</v>
      </c>
      <c r="H1241" s="52">
        <f>1</f>
        <v>1</v>
      </c>
      <c r="I1241" s="36"/>
      <c r="J1241" s="52">
        <v>1</v>
      </c>
      <c r="K1241" s="53">
        <f>0</f>
        <v>0</v>
      </c>
      <c r="L1241" s="53">
        <f>0</f>
        <v>0</v>
      </c>
      <c r="M1241" s="53">
        <f>0</f>
        <v>0</v>
      </c>
      <c r="N1241" s="54">
        <f t="shared" si="169"/>
        <v>0</v>
      </c>
      <c r="O1241" s="54">
        <f t="shared" si="170"/>
        <v>0</v>
      </c>
      <c r="P1241" s="54">
        <f t="shared" si="171"/>
        <v>0</v>
      </c>
      <c r="Q1241" s="54">
        <f t="shared" si="172"/>
        <v>0</v>
      </c>
      <c r="R1241" s="54">
        <f t="shared" si="173"/>
        <v>0</v>
      </c>
      <c r="S1241" s="54"/>
      <c r="T1241" s="36"/>
      <c r="XDA1241"/>
      <c r="XDB1241"/>
      <c r="XDC1241"/>
      <c r="XDD1241"/>
      <c r="XDE1241"/>
      <c r="XDF1241"/>
      <c r="XDG1241"/>
      <c r="XDH1241"/>
      <c r="XDI1241"/>
      <c r="XDJ1241"/>
      <c r="XDK1241"/>
      <c r="XDL1241"/>
      <c r="XDM1241"/>
      <c r="XDN1241"/>
      <c r="XDO1241"/>
      <c r="XDP1241"/>
      <c r="XDQ1241"/>
      <c r="XDR1241"/>
      <c r="XDS1241"/>
      <c r="XDT1241"/>
      <c r="XDU1241"/>
      <c r="XDV1241"/>
      <c r="XDW1241"/>
      <c r="XDX1241"/>
      <c r="XDY1241"/>
      <c r="XDZ1241"/>
      <c r="XEA1241"/>
      <c r="XEB1241"/>
      <c r="XEC1241"/>
      <c r="XED1241"/>
      <c r="XEE1241"/>
      <c r="XEF1241"/>
      <c r="XEG1241"/>
      <c r="XEH1241"/>
      <c r="XEI1241"/>
      <c r="XEJ1241"/>
      <c r="XEK1241"/>
      <c r="XEL1241"/>
      <c r="XEM1241"/>
      <c r="XEN1241"/>
      <c r="XEO1241"/>
      <c r="XEP1241"/>
      <c r="XEQ1241"/>
      <c r="XER1241"/>
      <c r="XES1241"/>
      <c r="XET1241"/>
      <c r="XEU1241"/>
      <c r="XEV1241"/>
      <c r="XEW1241"/>
      <c r="XEX1241"/>
      <c r="XEY1241"/>
      <c r="XEZ1241"/>
      <c r="XFA1241"/>
      <c r="XFB1241"/>
      <c r="XFC1241"/>
    </row>
    <row r="1242" spans="1:20 16329:16383" s="38" customFormat="1" ht="29.1" customHeight="1" outlineLevel="6" x14ac:dyDescent="0.25">
      <c r="A1242" s="49" t="s">
        <v>2296</v>
      </c>
      <c r="B1242" s="50"/>
      <c r="C1242" s="50"/>
      <c r="D1242" s="3" t="s">
        <v>2297</v>
      </c>
      <c r="E1242" s="3"/>
      <c r="F1242" s="51"/>
      <c r="G1242" s="50" t="s">
        <v>102</v>
      </c>
      <c r="H1242" s="52">
        <f>1</f>
        <v>1</v>
      </c>
      <c r="I1242" s="36"/>
      <c r="J1242" s="52">
        <v>1</v>
      </c>
      <c r="K1242" s="53">
        <f>0</f>
        <v>0</v>
      </c>
      <c r="L1242" s="53">
        <f>0</f>
        <v>0</v>
      </c>
      <c r="M1242" s="53">
        <f>0</f>
        <v>0</v>
      </c>
      <c r="N1242" s="54">
        <f t="shared" si="169"/>
        <v>0</v>
      </c>
      <c r="O1242" s="54">
        <f t="shared" si="170"/>
        <v>0</v>
      </c>
      <c r="P1242" s="54">
        <f t="shared" si="171"/>
        <v>0</v>
      </c>
      <c r="Q1242" s="54">
        <f t="shared" si="172"/>
        <v>0</v>
      </c>
      <c r="R1242" s="54">
        <f t="shared" si="173"/>
        <v>0</v>
      </c>
      <c r="S1242" s="54"/>
      <c r="T1242" s="36"/>
      <c r="XDA1242"/>
      <c r="XDB1242"/>
      <c r="XDC1242"/>
      <c r="XDD1242"/>
      <c r="XDE1242"/>
      <c r="XDF1242"/>
      <c r="XDG1242"/>
      <c r="XDH1242"/>
      <c r="XDI1242"/>
      <c r="XDJ1242"/>
      <c r="XDK1242"/>
      <c r="XDL1242"/>
      <c r="XDM1242"/>
      <c r="XDN1242"/>
      <c r="XDO1242"/>
      <c r="XDP1242"/>
      <c r="XDQ1242"/>
      <c r="XDR1242"/>
      <c r="XDS1242"/>
      <c r="XDT1242"/>
      <c r="XDU1242"/>
      <c r="XDV1242"/>
      <c r="XDW1242"/>
      <c r="XDX1242"/>
      <c r="XDY1242"/>
      <c r="XDZ1242"/>
      <c r="XEA1242"/>
      <c r="XEB1242"/>
      <c r="XEC1242"/>
      <c r="XED1242"/>
      <c r="XEE1242"/>
      <c r="XEF1242"/>
      <c r="XEG1242"/>
      <c r="XEH1242"/>
      <c r="XEI1242"/>
      <c r="XEJ1242"/>
      <c r="XEK1242"/>
      <c r="XEL1242"/>
      <c r="XEM1242"/>
      <c r="XEN1242"/>
      <c r="XEO1242"/>
      <c r="XEP1242"/>
      <c r="XEQ1242"/>
      <c r="XER1242"/>
      <c r="XES1242"/>
      <c r="XET1242"/>
      <c r="XEU1242"/>
      <c r="XEV1242"/>
      <c r="XEW1242"/>
      <c r="XEX1242"/>
      <c r="XEY1242"/>
      <c r="XEZ1242"/>
      <c r="XFA1242"/>
      <c r="XFB1242"/>
      <c r="XFC1242"/>
    </row>
    <row r="1243" spans="1:20 16329:16383" s="38" customFormat="1" ht="29.1" customHeight="1" outlineLevel="6" x14ac:dyDescent="0.25">
      <c r="A1243" s="49" t="s">
        <v>2298</v>
      </c>
      <c r="B1243" s="50"/>
      <c r="C1243" s="50"/>
      <c r="D1243" s="3" t="s">
        <v>2299</v>
      </c>
      <c r="E1243" s="3"/>
      <c r="F1243" s="51" t="s">
        <v>2300</v>
      </c>
      <c r="G1243" s="50" t="s">
        <v>29</v>
      </c>
      <c r="H1243" s="52">
        <f>1</f>
        <v>1</v>
      </c>
      <c r="I1243" s="36"/>
      <c r="J1243" s="52">
        <v>1</v>
      </c>
      <c r="K1243" s="53">
        <f>0</f>
        <v>0</v>
      </c>
      <c r="L1243" s="53">
        <f>0</f>
        <v>0</v>
      </c>
      <c r="M1243" s="53">
        <f>0</f>
        <v>0</v>
      </c>
      <c r="N1243" s="54">
        <f t="shared" si="169"/>
        <v>0</v>
      </c>
      <c r="O1243" s="54">
        <f t="shared" si="170"/>
        <v>0</v>
      </c>
      <c r="P1243" s="54">
        <f t="shared" si="171"/>
        <v>0</v>
      </c>
      <c r="Q1243" s="54">
        <f t="shared" si="172"/>
        <v>0</v>
      </c>
      <c r="R1243" s="54">
        <f t="shared" si="173"/>
        <v>0</v>
      </c>
      <c r="S1243" s="54"/>
      <c r="T1243" s="36"/>
      <c r="XDA1243"/>
      <c r="XDB1243"/>
      <c r="XDC1243"/>
      <c r="XDD1243"/>
      <c r="XDE1243"/>
      <c r="XDF1243"/>
      <c r="XDG1243"/>
      <c r="XDH1243"/>
      <c r="XDI1243"/>
      <c r="XDJ1243"/>
      <c r="XDK1243"/>
      <c r="XDL1243"/>
      <c r="XDM1243"/>
      <c r="XDN1243"/>
      <c r="XDO1243"/>
      <c r="XDP1243"/>
      <c r="XDQ1243"/>
      <c r="XDR1243"/>
      <c r="XDS1243"/>
      <c r="XDT1243"/>
      <c r="XDU1243"/>
      <c r="XDV1243"/>
      <c r="XDW1243"/>
      <c r="XDX1243"/>
      <c r="XDY1243"/>
      <c r="XDZ1243"/>
      <c r="XEA1243"/>
      <c r="XEB1243"/>
      <c r="XEC1243"/>
      <c r="XED1243"/>
      <c r="XEE1243"/>
      <c r="XEF1243"/>
      <c r="XEG1243"/>
      <c r="XEH1243"/>
      <c r="XEI1243"/>
      <c r="XEJ1243"/>
      <c r="XEK1243"/>
      <c r="XEL1243"/>
      <c r="XEM1243"/>
      <c r="XEN1243"/>
      <c r="XEO1243"/>
      <c r="XEP1243"/>
      <c r="XEQ1243"/>
      <c r="XER1243"/>
      <c r="XES1243"/>
      <c r="XET1243"/>
      <c r="XEU1243"/>
      <c r="XEV1243"/>
      <c r="XEW1243"/>
      <c r="XEX1243"/>
      <c r="XEY1243"/>
      <c r="XEZ1243"/>
      <c r="XFA1243"/>
      <c r="XFB1243"/>
      <c r="XFC1243"/>
    </row>
    <row r="1244" spans="1:20 16329:16383" s="38" customFormat="1" ht="29.1" customHeight="1" outlineLevel="6" x14ac:dyDescent="0.25">
      <c r="A1244" s="49" t="s">
        <v>2301</v>
      </c>
      <c r="B1244" s="50"/>
      <c r="C1244" s="50"/>
      <c r="D1244" s="3" t="s">
        <v>2302</v>
      </c>
      <c r="E1244" s="3"/>
      <c r="F1244" s="51"/>
      <c r="G1244" s="50" t="s">
        <v>102</v>
      </c>
      <c r="H1244" s="52">
        <f>1</f>
        <v>1</v>
      </c>
      <c r="I1244" s="36"/>
      <c r="J1244" s="52">
        <v>1</v>
      </c>
      <c r="K1244" s="53">
        <f>0</f>
        <v>0</v>
      </c>
      <c r="L1244" s="53">
        <f>0</f>
        <v>0</v>
      </c>
      <c r="M1244" s="53">
        <f>0</f>
        <v>0</v>
      </c>
      <c r="N1244" s="54">
        <f t="shared" si="169"/>
        <v>0</v>
      </c>
      <c r="O1244" s="54">
        <f t="shared" si="170"/>
        <v>0</v>
      </c>
      <c r="P1244" s="54">
        <f t="shared" si="171"/>
        <v>0</v>
      </c>
      <c r="Q1244" s="54">
        <f t="shared" si="172"/>
        <v>0</v>
      </c>
      <c r="R1244" s="54">
        <f t="shared" si="173"/>
        <v>0</v>
      </c>
      <c r="S1244" s="54"/>
      <c r="T1244" s="36"/>
      <c r="XDA1244"/>
      <c r="XDB1244"/>
      <c r="XDC1244"/>
      <c r="XDD1244"/>
      <c r="XDE1244"/>
      <c r="XDF1244"/>
      <c r="XDG1244"/>
      <c r="XDH1244"/>
      <c r="XDI1244"/>
      <c r="XDJ1244"/>
      <c r="XDK1244"/>
      <c r="XDL1244"/>
      <c r="XDM1244"/>
      <c r="XDN1244"/>
      <c r="XDO1244"/>
      <c r="XDP1244"/>
      <c r="XDQ1244"/>
      <c r="XDR1244"/>
      <c r="XDS1244"/>
      <c r="XDT1244"/>
      <c r="XDU1244"/>
      <c r="XDV1244"/>
      <c r="XDW1244"/>
      <c r="XDX1244"/>
      <c r="XDY1244"/>
      <c r="XDZ1244"/>
      <c r="XEA1244"/>
      <c r="XEB1244"/>
      <c r="XEC1244"/>
      <c r="XED1244"/>
      <c r="XEE1244"/>
      <c r="XEF1244"/>
      <c r="XEG1244"/>
      <c r="XEH1244"/>
      <c r="XEI1244"/>
      <c r="XEJ1244"/>
      <c r="XEK1244"/>
      <c r="XEL1244"/>
      <c r="XEM1244"/>
      <c r="XEN1244"/>
      <c r="XEO1244"/>
      <c r="XEP1244"/>
      <c r="XEQ1244"/>
      <c r="XER1244"/>
      <c r="XES1244"/>
      <c r="XET1244"/>
      <c r="XEU1244"/>
      <c r="XEV1244"/>
      <c r="XEW1244"/>
      <c r="XEX1244"/>
      <c r="XEY1244"/>
      <c r="XEZ1244"/>
      <c r="XFA1244"/>
      <c r="XFB1244"/>
      <c r="XFC1244"/>
    </row>
    <row r="1245" spans="1:20 16329:16383" s="38" customFormat="1" ht="29.1" customHeight="1" outlineLevel="6" x14ac:dyDescent="0.25">
      <c r="A1245" s="49" t="s">
        <v>2303</v>
      </c>
      <c r="B1245" s="50"/>
      <c r="C1245" s="50"/>
      <c r="D1245" s="3" t="s">
        <v>2304</v>
      </c>
      <c r="E1245" s="3"/>
      <c r="F1245" s="51"/>
      <c r="G1245" s="50" t="s">
        <v>102</v>
      </c>
      <c r="H1245" s="52">
        <f>1</f>
        <v>1</v>
      </c>
      <c r="I1245" s="36"/>
      <c r="J1245" s="52">
        <v>1</v>
      </c>
      <c r="K1245" s="53">
        <f>0</f>
        <v>0</v>
      </c>
      <c r="L1245" s="53">
        <f>0</f>
        <v>0</v>
      </c>
      <c r="M1245" s="53">
        <f>0</f>
        <v>0</v>
      </c>
      <c r="N1245" s="54">
        <f t="shared" si="169"/>
        <v>0</v>
      </c>
      <c r="O1245" s="54">
        <f t="shared" si="170"/>
        <v>0</v>
      </c>
      <c r="P1245" s="54">
        <f t="shared" si="171"/>
        <v>0</v>
      </c>
      <c r="Q1245" s="54">
        <f t="shared" si="172"/>
        <v>0</v>
      </c>
      <c r="R1245" s="54">
        <f t="shared" si="173"/>
        <v>0</v>
      </c>
      <c r="S1245" s="54"/>
      <c r="T1245" s="36"/>
      <c r="XDA1245"/>
      <c r="XDB1245"/>
      <c r="XDC1245"/>
      <c r="XDD1245"/>
      <c r="XDE1245"/>
      <c r="XDF1245"/>
      <c r="XDG1245"/>
      <c r="XDH1245"/>
      <c r="XDI1245"/>
      <c r="XDJ1245"/>
      <c r="XDK1245"/>
      <c r="XDL1245"/>
      <c r="XDM1245"/>
      <c r="XDN1245"/>
      <c r="XDO1245"/>
      <c r="XDP1245"/>
      <c r="XDQ1245"/>
      <c r="XDR1245"/>
      <c r="XDS1245"/>
      <c r="XDT1245"/>
      <c r="XDU1245"/>
      <c r="XDV1245"/>
      <c r="XDW1245"/>
      <c r="XDX1245"/>
      <c r="XDY1245"/>
      <c r="XDZ1245"/>
      <c r="XEA1245"/>
      <c r="XEB1245"/>
      <c r="XEC1245"/>
      <c r="XED1245"/>
      <c r="XEE1245"/>
      <c r="XEF1245"/>
      <c r="XEG1245"/>
      <c r="XEH1245"/>
      <c r="XEI1245"/>
      <c r="XEJ1245"/>
      <c r="XEK1245"/>
      <c r="XEL1245"/>
      <c r="XEM1245"/>
      <c r="XEN1245"/>
      <c r="XEO1245"/>
      <c r="XEP1245"/>
      <c r="XEQ1245"/>
      <c r="XER1245"/>
      <c r="XES1245"/>
      <c r="XET1245"/>
      <c r="XEU1245"/>
      <c r="XEV1245"/>
      <c r="XEW1245"/>
      <c r="XEX1245"/>
      <c r="XEY1245"/>
      <c r="XEZ1245"/>
      <c r="XFA1245"/>
      <c r="XFB1245"/>
      <c r="XFC1245"/>
    </row>
    <row r="1246" spans="1:20 16329:16383" s="38" customFormat="1" ht="29.1" customHeight="1" outlineLevel="5" x14ac:dyDescent="0.25">
      <c r="A1246" s="65" t="s">
        <v>2305</v>
      </c>
      <c r="B1246" s="66" t="s">
        <v>2306</v>
      </c>
      <c r="C1246" s="66"/>
      <c r="D1246" s="98" t="s">
        <v>1899</v>
      </c>
      <c r="E1246" s="98"/>
      <c r="F1246" s="67"/>
      <c r="G1246" s="66"/>
      <c r="H1246" s="68"/>
      <c r="I1246" s="36"/>
      <c r="J1246" s="68"/>
      <c r="K1246" s="69"/>
      <c r="L1246" s="69"/>
      <c r="M1246" s="69"/>
      <c r="N1246" s="69"/>
      <c r="O1246" s="69">
        <f>SUM(O1247:O1255)</f>
        <v>0</v>
      </c>
      <c r="P1246" s="69">
        <f>SUM(P1247:P1255)</f>
        <v>0</v>
      </c>
      <c r="Q1246" s="69">
        <f>SUM(Q1247:Q1255)</f>
        <v>0</v>
      </c>
      <c r="R1246" s="69">
        <f>SUM(R1247:R1255)</f>
        <v>0</v>
      </c>
      <c r="S1246" s="69"/>
      <c r="T1246" s="36"/>
      <c r="XDA1246"/>
      <c r="XDB1246"/>
      <c r="XDC1246"/>
      <c r="XDD1246"/>
      <c r="XDE1246"/>
      <c r="XDF1246"/>
      <c r="XDG1246"/>
      <c r="XDH1246"/>
      <c r="XDI1246"/>
      <c r="XDJ1246"/>
      <c r="XDK1246"/>
      <c r="XDL1246"/>
      <c r="XDM1246"/>
      <c r="XDN1246"/>
      <c r="XDO1246"/>
      <c r="XDP1246"/>
      <c r="XDQ1246"/>
      <c r="XDR1246"/>
      <c r="XDS1246"/>
      <c r="XDT1246"/>
      <c r="XDU1246"/>
      <c r="XDV1246"/>
      <c r="XDW1246"/>
      <c r="XDX1246"/>
      <c r="XDY1246"/>
      <c r="XDZ1246"/>
      <c r="XEA1246"/>
      <c r="XEB1246"/>
      <c r="XEC1246"/>
      <c r="XED1246"/>
      <c r="XEE1246"/>
      <c r="XEF1246"/>
      <c r="XEG1246"/>
      <c r="XEH1246"/>
      <c r="XEI1246"/>
      <c r="XEJ1246"/>
      <c r="XEK1246"/>
      <c r="XEL1246"/>
      <c r="XEM1246"/>
      <c r="XEN1246"/>
      <c r="XEO1246"/>
      <c r="XEP1246"/>
      <c r="XEQ1246"/>
      <c r="XER1246"/>
      <c r="XES1246"/>
      <c r="XET1246"/>
      <c r="XEU1246"/>
      <c r="XEV1246"/>
      <c r="XEW1246"/>
      <c r="XEX1246"/>
      <c r="XEY1246"/>
      <c r="XEZ1246"/>
      <c r="XFA1246"/>
      <c r="XFB1246"/>
      <c r="XFC1246"/>
    </row>
    <row r="1247" spans="1:20 16329:16383" s="38" customFormat="1" ht="29.1" customHeight="1" outlineLevel="6" x14ac:dyDescent="0.25">
      <c r="A1247" s="49" t="s">
        <v>2307</v>
      </c>
      <c r="B1247" s="50"/>
      <c r="C1247" s="50"/>
      <c r="D1247" s="3" t="s">
        <v>1886</v>
      </c>
      <c r="E1247" s="3"/>
      <c r="F1247" s="51"/>
      <c r="G1247" s="50" t="s">
        <v>102</v>
      </c>
      <c r="H1247" s="52">
        <f>1</f>
        <v>1</v>
      </c>
      <c r="I1247" s="36"/>
      <c r="J1247" s="52">
        <v>1</v>
      </c>
      <c r="K1247" s="53">
        <f>0</f>
        <v>0</v>
      </c>
      <c r="L1247" s="53">
        <f>0</f>
        <v>0</v>
      </c>
      <c r="M1247" s="53">
        <f>0</f>
        <v>0</v>
      </c>
      <c r="N1247" s="54">
        <f t="shared" ref="N1247:N1255" si="174">SUM(K1247:M1247)</f>
        <v>0</v>
      </c>
      <c r="O1247" s="54">
        <f t="shared" ref="O1247:O1255" si="175">ROUND((H1247*K1247),2)</f>
        <v>0</v>
      </c>
      <c r="P1247" s="54">
        <f t="shared" ref="P1247:P1255" si="176">ROUND((H1247*L1247),2)</f>
        <v>0</v>
      </c>
      <c r="Q1247" s="54">
        <f t="shared" ref="Q1247:Q1255" si="177">ROUND((H1247*M1247),2)</f>
        <v>0</v>
      </c>
      <c r="R1247" s="54">
        <f t="shared" ref="R1247:R1255" si="178">ROUND((H1247*N1247),2)</f>
        <v>0</v>
      </c>
      <c r="S1247" s="54"/>
      <c r="T1247" s="36"/>
      <c r="XDA1247"/>
      <c r="XDB1247"/>
      <c r="XDC1247"/>
      <c r="XDD1247"/>
      <c r="XDE1247"/>
      <c r="XDF1247"/>
      <c r="XDG1247"/>
      <c r="XDH1247"/>
      <c r="XDI1247"/>
      <c r="XDJ1247"/>
      <c r="XDK1247"/>
      <c r="XDL1247"/>
      <c r="XDM1247"/>
      <c r="XDN1247"/>
      <c r="XDO1247"/>
      <c r="XDP1247"/>
      <c r="XDQ1247"/>
      <c r="XDR1247"/>
      <c r="XDS1247"/>
      <c r="XDT1247"/>
      <c r="XDU1247"/>
      <c r="XDV1247"/>
      <c r="XDW1247"/>
      <c r="XDX1247"/>
      <c r="XDY1247"/>
      <c r="XDZ1247"/>
      <c r="XEA1247"/>
      <c r="XEB1247"/>
      <c r="XEC1247"/>
      <c r="XED1247"/>
      <c r="XEE1247"/>
      <c r="XEF1247"/>
      <c r="XEG1247"/>
      <c r="XEH1247"/>
      <c r="XEI1247"/>
      <c r="XEJ1247"/>
      <c r="XEK1247"/>
      <c r="XEL1247"/>
      <c r="XEM1247"/>
      <c r="XEN1247"/>
      <c r="XEO1247"/>
      <c r="XEP1247"/>
      <c r="XEQ1247"/>
      <c r="XER1247"/>
      <c r="XES1247"/>
      <c r="XET1247"/>
      <c r="XEU1247"/>
      <c r="XEV1247"/>
      <c r="XEW1247"/>
      <c r="XEX1247"/>
      <c r="XEY1247"/>
      <c r="XEZ1247"/>
      <c r="XFA1247"/>
      <c r="XFB1247"/>
      <c r="XFC1247"/>
    </row>
    <row r="1248" spans="1:20 16329:16383" s="38" customFormat="1" ht="29.1" customHeight="1" outlineLevel="6" x14ac:dyDescent="0.25">
      <c r="A1248" s="49" t="s">
        <v>2308</v>
      </c>
      <c r="B1248" s="50"/>
      <c r="C1248" s="50"/>
      <c r="D1248" s="3" t="s">
        <v>1890</v>
      </c>
      <c r="E1248" s="3"/>
      <c r="F1248" s="51"/>
      <c r="G1248" s="50" t="s">
        <v>102</v>
      </c>
      <c r="H1248" s="52">
        <f>1</f>
        <v>1</v>
      </c>
      <c r="I1248" s="36"/>
      <c r="J1248" s="52">
        <v>1</v>
      </c>
      <c r="K1248" s="53">
        <f>0</f>
        <v>0</v>
      </c>
      <c r="L1248" s="53">
        <f>0</f>
        <v>0</v>
      </c>
      <c r="M1248" s="53">
        <f>0</f>
        <v>0</v>
      </c>
      <c r="N1248" s="54">
        <f t="shared" si="174"/>
        <v>0</v>
      </c>
      <c r="O1248" s="54">
        <f t="shared" si="175"/>
        <v>0</v>
      </c>
      <c r="P1248" s="54">
        <f t="shared" si="176"/>
        <v>0</v>
      </c>
      <c r="Q1248" s="54">
        <f t="shared" si="177"/>
        <v>0</v>
      </c>
      <c r="R1248" s="54">
        <f t="shared" si="178"/>
        <v>0</v>
      </c>
      <c r="S1248" s="54"/>
      <c r="T1248" s="36"/>
      <c r="XDA1248"/>
      <c r="XDB1248"/>
      <c r="XDC1248"/>
      <c r="XDD1248"/>
      <c r="XDE1248"/>
      <c r="XDF1248"/>
      <c r="XDG1248"/>
      <c r="XDH1248"/>
      <c r="XDI1248"/>
      <c r="XDJ1248"/>
      <c r="XDK1248"/>
      <c r="XDL1248"/>
      <c r="XDM1248"/>
      <c r="XDN1248"/>
      <c r="XDO1248"/>
      <c r="XDP1248"/>
      <c r="XDQ1248"/>
      <c r="XDR1248"/>
      <c r="XDS1248"/>
      <c r="XDT1248"/>
      <c r="XDU1248"/>
      <c r="XDV1248"/>
      <c r="XDW1248"/>
      <c r="XDX1248"/>
      <c r="XDY1248"/>
      <c r="XDZ1248"/>
      <c r="XEA1248"/>
      <c r="XEB1248"/>
      <c r="XEC1248"/>
      <c r="XED1248"/>
      <c r="XEE1248"/>
      <c r="XEF1248"/>
      <c r="XEG1248"/>
      <c r="XEH1248"/>
      <c r="XEI1248"/>
      <c r="XEJ1248"/>
      <c r="XEK1248"/>
      <c r="XEL1248"/>
      <c r="XEM1248"/>
      <c r="XEN1248"/>
      <c r="XEO1248"/>
      <c r="XEP1248"/>
      <c r="XEQ1248"/>
      <c r="XER1248"/>
      <c r="XES1248"/>
      <c r="XET1248"/>
      <c r="XEU1248"/>
      <c r="XEV1248"/>
      <c r="XEW1248"/>
      <c r="XEX1248"/>
      <c r="XEY1248"/>
      <c r="XEZ1248"/>
      <c r="XFA1248"/>
      <c r="XFB1248"/>
      <c r="XFC1248"/>
    </row>
    <row r="1249" spans="1:20 16329:16383" s="38" customFormat="1" ht="29.1" customHeight="1" outlineLevel="6" x14ac:dyDescent="0.25">
      <c r="A1249" s="49" t="s">
        <v>2309</v>
      </c>
      <c r="B1249" s="50"/>
      <c r="C1249" s="50"/>
      <c r="D1249" s="3" t="s">
        <v>2100</v>
      </c>
      <c r="E1249" s="3"/>
      <c r="F1249" s="51"/>
      <c r="G1249" s="50" t="s">
        <v>102</v>
      </c>
      <c r="H1249" s="52">
        <f>1</f>
        <v>1</v>
      </c>
      <c r="I1249" s="36"/>
      <c r="J1249" s="52">
        <v>1</v>
      </c>
      <c r="K1249" s="53">
        <f>0</f>
        <v>0</v>
      </c>
      <c r="L1249" s="53">
        <f>0</f>
        <v>0</v>
      </c>
      <c r="M1249" s="53">
        <f>0</f>
        <v>0</v>
      </c>
      <c r="N1249" s="54">
        <f t="shared" si="174"/>
        <v>0</v>
      </c>
      <c r="O1249" s="54">
        <f t="shared" si="175"/>
        <v>0</v>
      </c>
      <c r="P1249" s="54">
        <f t="shared" si="176"/>
        <v>0</v>
      </c>
      <c r="Q1249" s="54">
        <f t="shared" si="177"/>
        <v>0</v>
      </c>
      <c r="R1249" s="54">
        <f t="shared" si="178"/>
        <v>0</v>
      </c>
      <c r="S1249" s="54"/>
      <c r="T1249" s="36"/>
      <c r="XDA1249"/>
      <c r="XDB1249"/>
      <c r="XDC1249"/>
      <c r="XDD1249"/>
      <c r="XDE1249"/>
      <c r="XDF1249"/>
      <c r="XDG1249"/>
      <c r="XDH1249"/>
      <c r="XDI1249"/>
      <c r="XDJ1249"/>
      <c r="XDK1249"/>
      <c r="XDL1249"/>
      <c r="XDM1249"/>
      <c r="XDN1249"/>
      <c r="XDO1249"/>
      <c r="XDP1249"/>
      <c r="XDQ1249"/>
      <c r="XDR1249"/>
      <c r="XDS1249"/>
      <c r="XDT1249"/>
      <c r="XDU1249"/>
      <c r="XDV1249"/>
      <c r="XDW1249"/>
      <c r="XDX1249"/>
      <c r="XDY1249"/>
      <c r="XDZ1249"/>
      <c r="XEA1249"/>
      <c r="XEB1249"/>
      <c r="XEC1249"/>
      <c r="XED1249"/>
      <c r="XEE1249"/>
      <c r="XEF1249"/>
      <c r="XEG1249"/>
      <c r="XEH1249"/>
      <c r="XEI1249"/>
      <c r="XEJ1249"/>
      <c r="XEK1249"/>
      <c r="XEL1249"/>
      <c r="XEM1249"/>
      <c r="XEN1249"/>
      <c r="XEO1249"/>
      <c r="XEP1249"/>
      <c r="XEQ1249"/>
      <c r="XER1249"/>
      <c r="XES1249"/>
      <c r="XET1249"/>
      <c r="XEU1249"/>
      <c r="XEV1249"/>
      <c r="XEW1249"/>
      <c r="XEX1249"/>
      <c r="XEY1249"/>
      <c r="XEZ1249"/>
      <c r="XFA1249"/>
      <c r="XFB1249"/>
      <c r="XFC1249"/>
    </row>
    <row r="1250" spans="1:20 16329:16383" s="38" customFormat="1" ht="29.1" customHeight="1" outlineLevel="6" x14ac:dyDescent="0.25">
      <c r="A1250" s="49" t="s">
        <v>2310</v>
      </c>
      <c r="B1250" s="50"/>
      <c r="C1250" s="50"/>
      <c r="D1250" s="3" t="s">
        <v>2213</v>
      </c>
      <c r="E1250" s="3"/>
      <c r="F1250" s="51"/>
      <c r="G1250" s="50" t="s">
        <v>102</v>
      </c>
      <c r="H1250" s="52">
        <f>1</f>
        <v>1</v>
      </c>
      <c r="I1250" s="36"/>
      <c r="J1250" s="52">
        <v>1</v>
      </c>
      <c r="K1250" s="53">
        <f>0</f>
        <v>0</v>
      </c>
      <c r="L1250" s="53">
        <f>0</f>
        <v>0</v>
      </c>
      <c r="M1250" s="53">
        <f>0</f>
        <v>0</v>
      </c>
      <c r="N1250" s="54">
        <f t="shared" si="174"/>
        <v>0</v>
      </c>
      <c r="O1250" s="54">
        <f t="shared" si="175"/>
        <v>0</v>
      </c>
      <c r="P1250" s="54">
        <f t="shared" si="176"/>
        <v>0</v>
      </c>
      <c r="Q1250" s="54">
        <f t="shared" si="177"/>
        <v>0</v>
      </c>
      <c r="R1250" s="54">
        <f t="shared" si="178"/>
        <v>0</v>
      </c>
      <c r="S1250" s="54"/>
      <c r="T1250" s="36"/>
      <c r="XDA1250"/>
      <c r="XDB1250"/>
      <c r="XDC1250"/>
      <c r="XDD1250"/>
      <c r="XDE1250"/>
      <c r="XDF1250"/>
      <c r="XDG1250"/>
      <c r="XDH1250"/>
      <c r="XDI1250"/>
      <c r="XDJ1250"/>
      <c r="XDK1250"/>
      <c r="XDL1250"/>
      <c r="XDM1250"/>
      <c r="XDN1250"/>
      <c r="XDO1250"/>
      <c r="XDP1250"/>
      <c r="XDQ1250"/>
      <c r="XDR1250"/>
      <c r="XDS1250"/>
      <c r="XDT1250"/>
      <c r="XDU1250"/>
      <c r="XDV1250"/>
      <c r="XDW1250"/>
      <c r="XDX1250"/>
      <c r="XDY1250"/>
      <c r="XDZ1250"/>
      <c r="XEA1250"/>
      <c r="XEB1250"/>
      <c r="XEC1250"/>
      <c r="XED1250"/>
      <c r="XEE1250"/>
      <c r="XEF1250"/>
      <c r="XEG1250"/>
      <c r="XEH1250"/>
      <c r="XEI1250"/>
      <c r="XEJ1250"/>
      <c r="XEK1250"/>
      <c r="XEL1250"/>
      <c r="XEM1250"/>
      <c r="XEN1250"/>
      <c r="XEO1250"/>
      <c r="XEP1250"/>
      <c r="XEQ1250"/>
      <c r="XER1250"/>
      <c r="XES1250"/>
      <c r="XET1250"/>
      <c r="XEU1250"/>
      <c r="XEV1250"/>
      <c r="XEW1250"/>
      <c r="XEX1250"/>
      <c r="XEY1250"/>
      <c r="XEZ1250"/>
      <c r="XFA1250"/>
      <c r="XFB1250"/>
      <c r="XFC1250"/>
    </row>
    <row r="1251" spans="1:20 16329:16383" s="38" customFormat="1" ht="29.1" customHeight="1" outlineLevel="6" x14ac:dyDescent="0.25">
      <c r="A1251" s="49" t="s">
        <v>2311</v>
      </c>
      <c r="B1251" s="50"/>
      <c r="C1251" s="50"/>
      <c r="D1251" s="3" t="s">
        <v>2289</v>
      </c>
      <c r="E1251" s="3"/>
      <c r="F1251" s="51"/>
      <c r="G1251" s="50" t="s">
        <v>102</v>
      </c>
      <c r="H1251" s="52">
        <f>1</f>
        <v>1</v>
      </c>
      <c r="I1251" s="36"/>
      <c r="J1251" s="52">
        <v>1</v>
      </c>
      <c r="K1251" s="53">
        <f>0</f>
        <v>0</v>
      </c>
      <c r="L1251" s="53">
        <f>0</f>
        <v>0</v>
      </c>
      <c r="M1251" s="53">
        <f>0</f>
        <v>0</v>
      </c>
      <c r="N1251" s="54">
        <f t="shared" si="174"/>
        <v>0</v>
      </c>
      <c r="O1251" s="54">
        <f t="shared" si="175"/>
        <v>0</v>
      </c>
      <c r="P1251" s="54">
        <f t="shared" si="176"/>
        <v>0</v>
      </c>
      <c r="Q1251" s="54">
        <f t="shared" si="177"/>
        <v>0</v>
      </c>
      <c r="R1251" s="54">
        <f t="shared" si="178"/>
        <v>0</v>
      </c>
      <c r="S1251" s="54"/>
      <c r="T1251" s="36"/>
      <c r="XDA1251"/>
      <c r="XDB1251"/>
      <c r="XDC1251"/>
      <c r="XDD1251"/>
      <c r="XDE1251"/>
      <c r="XDF1251"/>
      <c r="XDG1251"/>
      <c r="XDH1251"/>
      <c r="XDI1251"/>
      <c r="XDJ1251"/>
      <c r="XDK1251"/>
      <c r="XDL1251"/>
      <c r="XDM1251"/>
      <c r="XDN1251"/>
      <c r="XDO1251"/>
      <c r="XDP1251"/>
      <c r="XDQ1251"/>
      <c r="XDR1251"/>
      <c r="XDS1251"/>
      <c r="XDT1251"/>
      <c r="XDU1251"/>
      <c r="XDV1251"/>
      <c r="XDW1251"/>
      <c r="XDX1251"/>
      <c r="XDY1251"/>
      <c r="XDZ1251"/>
      <c r="XEA1251"/>
      <c r="XEB1251"/>
      <c r="XEC1251"/>
      <c r="XED1251"/>
      <c r="XEE1251"/>
      <c r="XEF1251"/>
      <c r="XEG1251"/>
      <c r="XEH1251"/>
      <c r="XEI1251"/>
      <c r="XEJ1251"/>
      <c r="XEK1251"/>
      <c r="XEL1251"/>
      <c r="XEM1251"/>
      <c r="XEN1251"/>
      <c r="XEO1251"/>
      <c r="XEP1251"/>
      <c r="XEQ1251"/>
      <c r="XER1251"/>
      <c r="XES1251"/>
      <c r="XET1251"/>
      <c r="XEU1251"/>
      <c r="XEV1251"/>
      <c r="XEW1251"/>
      <c r="XEX1251"/>
      <c r="XEY1251"/>
      <c r="XEZ1251"/>
      <c r="XFA1251"/>
      <c r="XFB1251"/>
      <c r="XFC1251"/>
    </row>
    <row r="1252" spans="1:20 16329:16383" s="38" customFormat="1" ht="29.1" customHeight="1" outlineLevel="6" x14ac:dyDescent="0.25">
      <c r="A1252" s="49" t="s">
        <v>2312</v>
      </c>
      <c r="B1252" s="50"/>
      <c r="C1252" s="50"/>
      <c r="D1252" s="3" t="s">
        <v>2219</v>
      </c>
      <c r="E1252" s="3"/>
      <c r="F1252" s="51"/>
      <c r="G1252" s="50" t="s">
        <v>102</v>
      </c>
      <c r="H1252" s="52">
        <f>1</f>
        <v>1</v>
      </c>
      <c r="I1252" s="36"/>
      <c r="J1252" s="52">
        <v>1</v>
      </c>
      <c r="K1252" s="53">
        <f>0</f>
        <v>0</v>
      </c>
      <c r="L1252" s="53">
        <f>0</f>
        <v>0</v>
      </c>
      <c r="M1252" s="53">
        <f>0</f>
        <v>0</v>
      </c>
      <c r="N1252" s="54">
        <f t="shared" si="174"/>
        <v>0</v>
      </c>
      <c r="O1252" s="54">
        <f t="shared" si="175"/>
        <v>0</v>
      </c>
      <c r="P1252" s="54">
        <f t="shared" si="176"/>
        <v>0</v>
      </c>
      <c r="Q1252" s="54">
        <f t="shared" si="177"/>
        <v>0</v>
      </c>
      <c r="R1252" s="54">
        <f t="shared" si="178"/>
        <v>0</v>
      </c>
      <c r="S1252" s="54"/>
      <c r="T1252" s="36"/>
      <c r="XDA1252"/>
      <c r="XDB1252"/>
      <c r="XDC1252"/>
      <c r="XDD1252"/>
      <c r="XDE1252"/>
      <c r="XDF1252"/>
      <c r="XDG1252"/>
      <c r="XDH1252"/>
      <c r="XDI1252"/>
      <c r="XDJ1252"/>
      <c r="XDK1252"/>
      <c r="XDL1252"/>
      <c r="XDM1252"/>
      <c r="XDN1252"/>
      <c r="XDO1252"/>
      <c r="XDP1252"/>
      <c r="XDQ1252"/>
      <c r="XDR1252"/>
      <c r="XDS1252"/>
      <c r="XDT1252"/>
      <c r="XDU1252"/>
      <c r="XDV1252"/>
      <c r="XDW1252"/>
      <c r="XDX1252"/>
      <c r="XDY1252"/>
      <c r="XDZ1252"/>
      <c r="XEA1252"/>
      <c r="XEB1252"/>
      <c r="XEC1252"/>
      <c r="XED1252"/>
      <c r="XEE1252"/>
      <c r="XEF1252"/>
      <c r="XEG1252"/>
      <c r="XEH1252"/>
      <c r="XEI1252"/>
      <c r="XEJ1252"/>
      <c r="XEK1252"/>
      <c r="XEL1252"/>
      <c r="XEM1252"/>
      <c r="XEN1252"/>
      <c r="XEO1252"/>
      <c r="XEP1252"/>
      <c r="XEQ1252"/>
      <c r="XER1252"/>
      <c r="XES1252"/>
      <c r="XET1252"/>
      <c r="XEU1252"/>
      <c r="XEV1252"/>
      <c r="XEW1252"/>
      <c r="XEX1252"/>
      <c r="XEY1252"/>
      <c r="XEZ1252"/>
      <c r="XFA1252"/>
      <c r="XFB1252"/>
      <c r="XFC1252"/>
    </row>
    <row r="1253" spans="1:20 16329:16383" s="38" customFormat="1" ht="29.1" customHeight="1" outlineLevel="6" x14ac:dyDescent="0.25">
      <c r="A1253" s="49" t="s">
        <v>2313</v>
      </c>
      <c r="B1253" s="50"/>
      <c r="C1253" s="50"/>
      <c r="D1253" s="3" t="s">
        <v>2245</v>
      </c>
      <c r="E1253" s="3"/>
      <c r="F1253" s="51"/>
      <c r="G1253" s="50" t="s">
        <v>102</v>
      </c>
      <c r="H1253" s="52">
        <f>1</f>
        <v>1</v>
      </c>
      <c r="I1253" s="36"/>
      <c r="J1253" s="52">
        <v>1</v>
      </c>
      <c r="K1253" s="53">
        <f>0</f>
        <v>0</v>
      </c>
      <c r="L1253" s="53">
        <f>0</f>
        <v>0</v>
      </c>
      <c r="M1253" s="53">
        <f>0</f>
        <v>0</v>
      </c>
      <c r="N1253" s="54">
        <f t="shared" si="174"/>
        <v>0</v>
      </c>
      <c r="O1253" s="54">
        <f t="shared" si="175"/>
        <v>0</v>
      </c>
      <c r="P1253" s="54">
        <f t="shared" si="176"/>
        <v>0</v>
      </c>
      <c r="Q1253" s="54">
        <f t="shared" si="177"/>
        <v>0</v>
      </c>
      <c r="R1253" s="54">
        <f t="shared" si="178"/>
        <v>0</v>
      </c>
      <c r="S1253" s="54"/>
      <c r="T1253" s="36"/>
      <c r="XDA1253"/>
      <c r="XDB1253"/>
      <c r="XDC1253"/>
      <c r="XDD1253"/>
      <c r="XDE1253"/>
      <c r="XDF1253"/>
      <c r="XDG1253"/>
      <c r="XDH1253"/>
      <c r="XDI1253"/>
      <c r="XDJ1253"/>
      <c r="XDK1253"/>
      <c r="XDL1253"/>
      <c r="XDM1253"/>
      <c r="XDN1253"/>
      <c r="XDO1253"/>
      <c r="XDP1253"/>
      <c r="XDQ1253"/>
      <c r="XDR1253"/>
      <c r="XDS1253"/>
      <c r="XDT1253"/>
      <c r="XDU1253"/>
      <c r="XDV1253"/>
      <c r="XDW1253"/>
      <c r="XDX1253"/>
      <c r="XDY1253"/>
      <c r="XDZ1253"/>
      <c r="XEA1253"/>
      <c r="XEB1253"/>
      <c r="XEC1253"/>
      <c r="XED1253"/>
      <c r="XEE1253"/>
      <c r="XEF1253"/>
      <c r="XEG1253"/>
      <c r="XEH1253"/>
      <c r="XEI1253"/>
      <c r="XEJ1253"/>
      <c r="XEK1253"/>
      <c r="XEL1253"/>
      <c r="XEM1253"/>
      <c r="XEN1253"/>
      <c r="XEO1253"/>
      <c r="XEP1253"/>
      <c r="XEQ1253"/>
      <c r="XER1253"/>
      <c r="XES1253"/>
      <c r="XET1253"/>
      <c r="XEU1253"/>
      <c r="XEV1253"/>
      <c r="XEW1253"/>
      <c r="XEX1253"/>
      <c r="XEY1253"/>
      <c r="XEZ1253"/>
      <c r="XFA1253"/>
      <c r="XFB1253"/>
      <c r="XFC1253"/>
    </row>
    <row r="1254" spans="1:20 16329:16383" s="38" customFormat="1" ht="29.1" customHeight="1" outlineLevel="6" x14ac:dyDescent="0.25">
      <c r="A1254" s="49" t="s">
        <v>2314</v>
      </c>
      <c r="B1254" s="50"/>
      <c r="C1254" s="50"/>
      <c r="D1254" s="3" t="s">
        <v>1959</v>
      </c>
      <c r="E1254" s="3"/>
      <c r="F1254" s="51" t="s">
        <v>1960</v>
      </c>
      <c r="G1254" s="50" t="s">
        <v>134</v>
      </c>
      <c r="H1254" s="52">
        <f>1</f>
        <v>1</v>
      </c>
      <c r="I1254" s="36"/>
      <c r="J1254" s="52">
        <v>1</v>
      </c>
      <c r="K1254" s="53">
        <f>0</f>
        <v>0</v>
      </c>
      <c r="L1254" s="53">
        <f>0</f>
        <v>0</v>
      </c>
      <c r="M1254" s="53">
        <f>0</f>
        <v>0</v>
      </c>
      <c r="N1254" s="54">
        <f t="shared" si="174"/>
        <v>0</v>
      </c>
      <c r="O1254" s="54">
        <f t="shared" si="175"/>
        <v>0</v>
      </c>
      <c r="P1254" s="54">
        <f t="shared" si="176"/>
        <v>0</v>
      </c>
      <c r="Q1254" s="54">
        <f t="shared" si="177"/>
        <v>0</v>
      </c>
      <c r="R1254" s="54">
        <f t="shared" si="178"/>
        <v>0</v>
      </c>
      <c r="S1254" s="54"/>
      <c r="T1254" s="36"/>
      <c r="XDA1254"/>
      <c r="XDB1254"/>
      <c r="XDC1254"/>
      <c r="XDD1254"/>
      <c r="XDE1254"/>
      <c r="XDF1254"/>
      <c r="XDG1254"/>
      <c r="XDH1254"/>
      <c r="XDI1254"/>
      <c r="XDJ1254"/>
      <c r="XDK1254"/>
      <c r="XDL1254"/>
      <c r="XDM1254"/>
      <c r="XDN1254"/>
      <c r="XDO1254"/>
      <c r="XDP1254"/>
      <c r="XDQ1254"/>
      <c r="XDR1254"/>
      <c r="XDS1254"/>
      <c r="XDT1254"/>
      <c r="XDU1254"/>
      <c r="XDV1254"/>
      <c r="XDW1254"/>
      <c r="XDX1254"/>
      <c r="XDY1254"/>
      <c r="XDZ1254"/>
      <c r="XEA1254"/>
      <c r="XEB1254"/>
      <c r="XEC1254"/>
      <c r="XED1254"/>
      <c r="XEE1254"/>
      <c r="XEF1254"/>
      <c r="XEG1254"/>
      <c r="XEH1254"/>
      <c r="XEI1254"/>
      <c r="XEJ1254"/>
      <c r="XEK1254"/>
      <c r="XEL1254"/>
      <c r="XEM1254"/>
      <c r="XEN1254"/>
      <c r="XEO1254"/>
      <c r="XEP1254"/>
      <c r="XEQ1254"/>
      <c r="XER1254"/>
      <c r="XES1254"/>
      <c r="XET1254"/>
      <c r="XEU1254"/>
      <c r="XEV1254"/>
      <c r="XEW1254"/>
      <c r="XEX1254"/>
      <c r="XEY1254"/>
      <c r="XEZ1254"/>
      <c r="XFA1254"/>
      <c r="XFB1254"/>
      <c r="XFC1254"/>
    </row>
    <row r="1255" spans="1:20 16329:16383" s="38" customFormat="1" ht="29.1" customHeight="1" outlineLevel="6" x14ac:dyDescent="0.25">
      <c r="A1255" s="49" t="s">
        <v>2315</v>
      </c>
      <c r="B1255" s="50"/>
      <c r="C1255" s="50"/>
      <c r="D1255" s="3" t="s">
        <v>2316</v>
      </c>
      <c r="E1255" s="3"/>
      <c r="F1255" s="51"/>
      <c r="G1255" s="50" t="s">
        <v>134</v>
      </c>
      <c r="H1255" s="52">
        <f>1</f>
        <v>1</v>
      </c>
      <c r="I1255" s="36"/>
      <c r="J1255" s="52">
        <v>1</v>
      </c>
      <c r="K1255" s="53">
        <f>0</f>
        <v>0</v>
      </c>
      <c r="L1255" s="53">
        <f>0</f>
        <v>0</v>
      </c>
      <c r="M1255" s="53">
        <f>0</f>
        <v>0</v>
      </c>
      <c r="N1255" s="54">
        <f t="shared" si="174"/>
        <v>0</v>
      </c>
      <c r="O1255" s="54">
        <f t="shared" si="175"/>
        <v>0</v>
      </c>
      <c r="P1255" s="54">
        <f t="shared" si="176"/>
        <v>0</v>
      </c>
      <c r="Q1255" s="54">
        <f t="shared" si="177"/>
        <v>0</v>
      </c>
      <c r="R1255" s="54">
        <f t="shared" si="178"/>
        <v>0</v>
      </c>
      <c r="S1255" s="54"/>
      <c r="T1255" s="36"/>
      <c r="XDA1255"/>
      <c r="XDB1255"/>
      <c r="XDC1255"/>
      <c r="XDD1255"/>
      <c r="XDE1255"/>
      <c r="XDF1255"/>
      <c r="XDG1255"/>
      <c r="XDH1255"/>
      <c r="XDI1255"/>
      <c r="XDJ1255"/>
      <c r="XDK1255"/>
      <c r="XDL1255"/>
      <c r="XDM1255"/>
      <c r="XDN1255"/>
      <c r="XDO1255"/>
      <c r="XDP1255"/>
      <c r="XDQ1255"/>
      <c r="XDR1255"/>
      <c r="XDS1255"/>
      <c r="XDT1255"/>
      <c r="XDU1255"/>
      <c r="XDV1255"/>
      <c r="XDW1255"/>
      <c r="XDX1255"/>
      <c r="XDY1255"/>
      <c r="XDZ1255"/>
      <c r="XEA1255"/>
      <c r="XEB1255"/>
      <c r="XEC1255"/>
      <c r="XED1255"/>
      <c r="XEE1255"/>
      <c r="XEF1255"/>
      <c r="XEG1255"/>
      <c r="XEH1255"/>
      <c r="XEI1255"/>
      <c r="XEJ1255"/>
      <c r="XEK1255"/>
      <c r="XEL1255"/>
      <c r="XEM1255"/>
      <c r="XEN1255"/>
      <c r="XEO1255"/>
      <c r="XEP1255"/>
      <c r="XEQ1255"/>
      <c r="XER1255"/>
      <c r="XES1255"/>
      <c r="XET1255"/>
      <c r="XEU1255"/>
      <c r="XEV1255"/>
      <c r="XEW1255"/>
      <c r="XEX1255"/>
      <c r="XEY1255"/>
      <c r="XEZ1255"/>
      <c r="XFA1255"/>
      <c r="XFB1255"/>
      <c r="XFC1255"/>
    </row>
    <row r="1256" spans="1:20 16329:16383" s="38" customFormat="1" ht="29.1" customHeight="1" outlineLevel="5" x14ac:dyDescent="0.25">
      <c r="A1256" s="65" t="s">
        <v>2317</v>
      </c>
      <c r="B1256" s="66" t="s">
        <v>2318</v>
      </c>
      <c r="C1256" s="66"/>
      <c r="D1256" s="98" t="s">
        <v>1498</v>
      </c>
      <c r="E1256" s="98"/>
      <c r="F1256" s="67"/>
      <c r="G1256" s="66"/>
      <c r="H1256" s="68"/>
      <c r="I1256" s="36"/>
      <c r="J1256" s="68"/>
      <c r="K1256" s="69"/>
      <c r="L1256" s="69"/>
      <c r="M1256" s="69"/>
      <c r="N1256" s="69"/>
      <c r="O1256" s="69">
        <f>SUM(O1257:O1262)</f>
        <v>0</v>
      </c>
      <c r="P1256" s="69">
        <f>SUM(P1257:P1262)</f>
        <v>0</v>
      </c>
      <c r="Q1256" s="69">
        <f>SUM(Q1257:Q1262)</f>
        <v>0</v>
      </c>
      <c r="R1256" s="69">
        <f>SUM(R1257:R1262)</f>
        <v>0</v>
      </c>
      <c r="S1256" s="69"/>
      <c r="T1256" s="36"/>
      <c r="XDA1256"/>
      <c r="XDB1256"/>
      <c r="XDC1256"/>
      <c r="XDD1256"/>
      <c r="XDE1256"/>
      <c r="XDF1256"/>
      <c r="XDG1256"/>
      <c r="XDH1256"/>
      <c r="XDI1256"/>
      <c r="XDJ1256"/>
      <c r="XDK1256"/>
      <c r="XDL1256"/>
      <c r="XDM1256"/>
      <c r="XDN1256"/>
      <c r="XDO1256"/>
      <c r="XDP1256"/>
      <c r="XDQ1256"/>
      <c r="XDR1256"/>
      <c r="XDS1256"/>
      <c r="XDT1256"/>
      <c r="XDU1256"/>
      <c r="XDV1256"/>
      <c r="XDW1256"/>
      <c r="XDX1256"/>
      <c r="XDY1256"/>
      <c r="XDZ1256"/>
      <c r="XEA1256"/>
      <c r="XEB1256"/>
      <c r="XEC1256"/>
      <c r="XED1256"/>
      <c r="XEE1256"/>
      <c r="XEF1256"/>
      <c r="XEG1256"/>
      <c r="XEH1256"/>
      <c r="XEI1256"/>
      <c r="XEJ1256"/>
      <c r="XEK1256"/>
      <c r="XEL1256"/>
      <c r="XEM1256"/>
      <c r="XEN1256"/>
      <c r="XEO1256"/>
      <c r="XEP1256"/>
      <c r="XEQ1256"/>
      <c r="XER1256"/>
      <c r="XES1256"/>
      <c r="XET1256"/>
      <c r="XEU1256"/>
      <c r="XEV1256"/>
      <c r="XEW1256"/>
      <c r="XEX1256"/>
      <c r="XEY1256"/>
      <c r="XEZ1256"/>
      <c r="XFA1256"/>
      <c r="XFB1256"/>
      <c r="XFC1256"/>
    </row>
    <row r="1257" spans="1:20 16329:16383" s="38" customFormat="1" ht="29.1" customHeight="1" outlineLevel="6" x14ac:dyDescent="0.25">
      <c r="A1257" s="49" t="s">
        <v>2319</v>
      </c>
      <c r="B1257" s="50"/>
      <c r="C1257" s="50"/>
      <c r="D1257" s="3" t="s">
        <v>2251</v>
      </c>
      <c r="E1257" s="3"/>
      <c r="F1257" s="51" t="s">
        <v>2252</v>
      </c>
      <c r="G1257" s="50" t="s">
        <v>29</v>
      </c>
      <c r="H1257" s="52">
        <f>1</f>
        <v>1</v>
      </c>
      <c r="I1257" s="36"/>
      <c r="J1257" s="52">
        <v>1</v>
      </c>
      <c r="K1257" s="53">
        <f>0</f>
        <v>0</v>
      </c>
      <c r="L1257" s="53">
        <f>0</f>
        <v>0</v>
      </c>
      <c r="M1257" s="53">
        <f>0</f>
        <v>0</v>
      </c>
      <c r="N1257" s="54">
        <f t="shared" ref="N1257:N1262" si="179">SUM(K1257:M1257)</f>
        <v>0</v>
      </c>
      <c r="O1257" s="54">
        <f t="shared" ref="O1257:O1262" si="180">ROUND((H1257*K1257),2)</f>
        <v>0</v>
      </c>
      <c r="P1257" s="54">
        <f t="shared" ref="P1257:P1262" si="181">ROUND((H1257*L1257),2)</f>
        <v>0</v>
      </c>
      <c r="Q1257" s="54">
        <f t="shared" ref="Q1257:Q1262" si="182">ROUND((H1257*M1257),2)</f>
        <v>0</v>
      </c>
      <c r="R1257" s="54">
        <f t="shared" ref="R1257:R1262" si="183">ROUND((H1257*N1257),2)</f>
        <v>0</v>
      </c>
      <c r="S1257" s="54"/>
      <c r="T1257" s="36"/>
      <c r="XDA1257"/>
      <c r="XDB1257"/>
      <c r="XDC1257"/>
      <c r="XDD1257"/>
      <c r="XDE1257"/>
      <c r="XDF1257"/>
      <c r="XDG1257"/>
      <c r="XDH1257"/>
      <c r="XDI1257"/>
      <c r="XDJ1257"/>
      <c r="XDK1257"/>
      <c r="XDL1257"/>
      <c r="XDM1257"/>
      <c r="XDN1257"/>
      <c r="XDO1257"/>
      <c r="XDP1257"/>
      <c r="XDQ1257"/>
      <c r="XDR1257"/>
      <c r="XDS1257"/>
      <c r="XDT1257"/>
      <c r="XDU1257"/>
      <c r="XDV1257"/>
      <c r="XDW1257"/>
      <c r="XDX1257"/>
      <c r="XDY1257"/>
      <c r="XDZ1257"/>
      <c r="XEA1257"/>
      <c r="XEB1257"/>
      <c r="XEC1257"/>
      <c r="XED1257"/>
      <c r="XEE1257"/>
      <c r="XEF1257"/>
      <c r="XEG1257"/>
      <c r="XEH1257"/>
      <c r="XEI1257"/>
      <c r="XEJ1257"/>
      <c r="XEK1257"/>
      <c r="XEL1257"/>
      <c r="XEM1257"/>
      <c r="XEN1257"/>
      <c r="XEO1257"/>
      <c r="XEP1257"/>
      <c r="XEQ1257"/>
      <c r="XER1257"/>
      <c r="XES1257"/>
      <c r="XET1257"/>
      <c r="XEU1257"/>
      <c r="XEV1257"/>
      <c r="XEW1257"/>
      <c r="XEX1257"/>
      <c r="XEY1257"/>
      <c r="XEZ1257"/>
      <c r="XFA1257"/>
      <c r="XFB1257"/>
      <c r="XFC1257"/>
    </row>
    <row r="1258" spans="1:20 16329:16383" s="38" customFormat="1" ht="29.1" customHeight="1" outlineLevel="6" x14ac:dyDescent="0.25">
      <c r="A1258" s="49" t="s">
        <v>2320</v>
      </c>
      <c r="B1258" s="50"/>
      <c r="C1258" s="50"/>
      <c r="D1258" s="3" t="s">
        <v>2260</v>
      </c>
      <c r="E1258" s="3"/>
      <c r="F1258" s="51" t="s">
        <v>2252</v>
      </c>
      <c r="G1258" s="50" t="s">
        <v>29</v>
      </c>
      <c r="H1258" s="52">
        <f>1</f>
        <v>1</v>
      </c>
      <c r="I1258" s="36"/>
      <c r="J1258" s="52">
        <v>1</v>
      </c>
      <c r="K1258" s="53">
        <f>0</f>
        <v>0</v>
      </c>
      <c r="L1258" s="53">
        <f>0</f>
        <v>0</v>
      </c>
      <c r="M1258" s="53">
        <f>0</f>
        <v>0</v>
      </c>
      <c r="N1258" s="54">
        <f t="shared" si="179"/>
        <v>0</v>
      </c>
      <c r="O1258" s="54">
        <f t="shared" si="180"/>
        <v>0</v>
      </c>
      <c r="P1258" s="54">
        <f t="shared" si="181"/>
        <v>0</v>
      </c>
      <c r="Q1258" s="54">
        <f t="shared" si="182"/>
        <v>0</v>
      </c>
      <c r="R1258" s="54">
        <f t="shared" si="183"/>
        <v>0</v>
      </c>
      <c r="S1258" s="54"/>
      <c r="T1258" s="36"/>
      <c r="XDA1258"/>
      <c r="XDB1258"/>
      <c r="XDC1258"/>
      <c r="XDD1258"/>
      <c r="XDE1258"/>
      <c r="XDF1258"/>
      <c r="XDG1258"/>
      <c r="XDH1258"/>
      <c r="XDI1258"/>
      <c r="XDJ1258"/>
      <c r="XDK1258"/>
      <c r="XDL1258"/>
      <c r="XDM1258"/>
      <c r="XDN1258"/>
      <c r="XDO1258"/>
      <c r="XDP1258"/>
      <c r="XDQ1258"/>
      <c r="XDR1258"/>
      <c r="XDS1258"/>
      <c r="XDT1258"/>
      <c r="XDU1258"/>
      <c r="XDV1258"/>
      <c r="XDW1258"/>
      <c r="XDX1258"/>
      <c r="XDY1258"/>
      <c r="XDZ1258"/>
      <c r="XEA1258"/>
      <c r="XEB1258"/>
      <c r="XEC1258"/>
      <c r="XED1258"/>
      <c r="XEE1258"/>
      <c r="XEF1258"/>
      <c r="XEG1258"/>
      <c r="XEH1258"/>
      <c r="XEI1258"/>
      <c r="XEJ1258"/>
      <c r="XEK1258"/>
      <c r="XEL1258"/>
      <c r="XEM1258"/>
      <c r="XEN1258"/>
      <c r="XEO1258"/>
      <c r="XEP1258"/>
      <c r="XEQ1258"/>
      <c r="XER1258"/>
      <c r="XES1258"/>
      <c r="XET1258"/>
      <c r="XEU1258"/>
      <c r="XEV1258"/>
      <c r="XEW1258"/>
      <c r="XEX1258"/>
      <c r="XEY1258"/>
      <c r="XEZ1258"/>
      <c r="XFA1258"/>
      <c r="XFB1258"/>
      <c r="XFC1258"/>
    </row>
    <row r="1259" spans="1:20 16329:16383" s="38" customFormat="1" ht="29.1" customHeight="1" outlineLevel="6" x14ac:dyDescent="0.25">
      <c r="A1259" s="49" t="s">
        <v>2321</v>
      </c>
      <c r="B1259" s="50"/>
      <c r="C1259" s="50"/>
      <c r="D1259" s="3" t="s">
        <v>2258</v>
      </c>
      <c r="E1259" s="3"/>
      <c r="F1259" s="51" t="s">
        <v>2252</v>
      </c>
      <c r="G1259" s="50" t="s">
        <v>29</v>
      </c>
      <c r="H1259" s="52">
        <f>1</f>
        <v>1</v>
      </c>
      <c r="I1259" s="36"/>
      <c r="J1259" s="52">
        <v>1</v>
      </c>
      <c r="K1259" s="53">
        <f>0</f>
        <v>0</v>
      </c>
      <c r="L1259" s="53">
        <f>0</f>
        <v>0</v>
      </c>
      <c r="M1259" s="53">
        <f>0</f>
        <v>0</v>
      </c>
      <c r="N1259" s="54">
        <f t="shared" si="179"/>
        <v>0</v>
      </c>
      <c r="O1259" s="54">
        <f t="shared" si="180"/>
        <v>0</v>
      </c>
      <c r="P1259" s="54">
        <f t="shared" si="181"/>
        <v>0</v>
      </c>
      <c r="Q1259" s="54">
        <f t="shared" si="182"/>
        <v>0</v>
      </c>
      <c r="R1259" s="54">
        <f t="shared" si="183"/>
        <v>0</v>
      </c>
      <c r="S1259" s="54"/>
      <c r="T1259" s="36"/>
      <c r="XDA1259"/>
      <c r="XDB1259"/>
      <c r="XDC1259"/>
      <c r="XDD1259"/>
      <c r="XDE1259"/>
      <c r="XDF1259"/>
      <c r="XDG1259"/>
      <c r="XDH1259"/>
      <c r="XDI1259"/>
      <c r="XDJ1259"/>
      <c r="XDK1259"/>
      <c r="XDL1259"/>
      <c r="XDM1259"/>
      <c r="XDN1259"/>
      <c r="XDO1259"/>
      <c r="XDP1259"/>
      <c r="XDQ1259"/>
      <c r="XDR1259"/>
      <c r="XDS1259"/>
      <c r="XDT1259"/>
      <c r="XDU1259"/>
      <c r="XDV1259"/>
      <c r="XDW1259"/>
      <c r="XDX1259"/>
      <c r="XDY1259"/>
      <c r="XDZ1259"/>
      <c r="XEA1259"/>
      <c r="XEB1259"/>
      <c r="XEC1259"/>
      <c r="XED1259"/>
      <c r="XEE1259"/>
      <c r="XEF1259"/>
      <c r="XEG1259"/>
      <c r="XEH1259"/>
      <c r="XEI1259"/>
      <c r="XEJ1259"/>
      <c r="XEK1259"/>
      <c r="XEL1259"/>
      <c r="XEM1259"/>
      <c r="XEN1259"/>
      <c r="XEO1259"/>
      <c r="XEP1259"/>
      <c r="XEQ1259"/>
      <c r="XER1259"/>
      <c r="XES1259"/>
      <c r="XET1259"/>
      <c r="XEU1259"/>
      <c r="XEV1259"/>
      <c r="XEW1259"/>
      <c r="XEX1259"/>
      <c r="XEY1259"/>
      <c r="XEZ1259"/>
      <c r="XFA1259"/>
      <c r="XFB1259"/>
      <c r="XFC1259"/>
    </row>
    <row r="1260" spans="1:20 16329:16383" s="38" customFormat="1" ht="29.1" customHeight="1" outlineLevel="6" x14ac:dyDescent="0.25">
      <c r="A1260" s="49" t="s">
        <v>2322</v>
      </c>
      <c r="B1260" s="50"/>
      <c r="C1260" s="50"/>
      <c r="D1260" s="3" t="s">
        <v>2256</v>
      </c>
      <c r="E1260" s="3"/>
      <c r="F1260" s="51" t="s">
        <v>2252</v>
      </c>
      <c r="G1260" s="50" t="s">
        <v>29</v>
      </c>
      <c r="H1260" s="52">
        <f>1</f>
        <v>1</v>
      </c>
      <c r="I1260" s="36"/>
      <c r="J1260" s="52">
        <v>1</v>
      </c>
      <c r="K1260" s="53">
        <f>0</f>
        <v>0</v>
      </c>
      <c r="L1260" s="53">
        <f>0</f>
        <v>0</v>
      </c>
      <c r="M1260" s="53">
        <f>0</f>
        <v>0</v>
      </c>
      <c r="N1260" s="54">
        <f t="shared" si="179"/>
        <v>0</v>
      </c>
      <c r="O1260" s="54">
        <f t="shared" si="180"/>
        <v>0</v>
      </c>
      <c r="P1260" s="54">
        <f t="shared" si="181"/>
        <v>0</v>
      </c>
      <c r="Q1260" s="54">
        <f t="shared" si="182"/>
        <v>0</v>
      </c>
      <c r="R1260" s="54">
        <f t="shared" si="183"/>
        <v>0</v>
      </c>
      <c r="S1260" s="54"/>
      <c r="T1260" s="36"/>
      <c r="XDA1260"/>
      <c r="XDB1260"/>
      <c r="XDC1260"/>
      <c r="XDD1260"/>
      <c r="XDE1260"/>
      <c r="XDF1260"/>
      <c r="XDG1260"/>
      <c r="XDH1260"/>
      <c r="XDI1260"/>
      <c r="XDJ1260"/>
      <c r="XDK1260"/>
      <c r="XDL1260"/>
      <c r="XDM1260"/>
      <c r="XDN1260"/>
      <c r="XDO1260"/>
      <c r="XDP1260"/>
      <c r="XDQ1260"/>
      <c r="XDR1260"/>
      <c r="XDS1260"/>
      <c r="XDT1260"/>
      <c r="XDU1260"/>
      <c r="XDV1260"/>
      <c r="XDW1260"/>
      <c r="XDX1260"/>
      <c r="XDY1260"/>
      <c r="XDZ1260"/>
      <c r="XEA1260"/>
      <c r="XEB1260"/>
      <c r="XEC1260"/>
      <c r="XED1260"/>
      <c r="XEE1260"/>
      <c r="XEF1260"/>
      <c r="XEG1260"/>
      <c r="XEH1260"/>
      <c r="XEI1260"/>
      <c r="XEJ1260"/>
      <c r="XEK1260"/>
      <c r="XEL1260"/>
      <c r="XEM1260"/>
      <c r="XEN1260"/>
      <c r="XEO1260"/>
      <c r="XEP1260"/>
      <c r="XEQ1260"/>
      <c r="XER1260"/>
      <c r="XES1260"/>
      <c r="XET1260"/>
      <c r="XEU1260"/>
      <c r="XEV1260"/>
      <c r="XEW1260"/>
      <c r="XEX1260"/>
      <c r="XEY1260"/>
      <c r="XEZ1260"/>
      <c r="XFA1260"/>
      <c r="XFB1260"/>
      <c r="XFC1260"/>
    </row>
    <row r="1261" spans="1:20 16329:16383" s="38" customFormat="1" ht="29.1" customHeight="1" outlineLevel="6" x14ac:dyDescent="0.25">
      <c r="A1261" s="49" t="s">
        <v>2323</v>
      </c>
      <c r="B1261" s="50"/>
      <c r="C1261" s="50"/>
      <c r="D1261" s="3" t="s">
        <v>2324</v>
      </c>
      <c r="E1261" s="3"/>
      <c r="F1261" s="51" t="s">
        <v>2252</v>
      </c>
      <c r="G1261" s="50" t="s">
        <v>29</v>
      </c>
      <c r="H1261" s="52">
        <f>1</f>
        <v>1</v>
      </c>
      <c r="I1261" s="36"/>
      <c r="J1261" s="52">
        <v>1</v>
      </c>
      <c r="K1261" s="53">
        <f>0</f>
        <v>0</v>
      </c>
      <c r="L1261" s="53">
        <f>0</f>
        <v>0</v>
      </c>
      <c r="M1261" s="53">
        <f>0</f>
        <v>0</v>
      </c>
      <c r="N1261" s="54">
        <f t="shared" si="179"/>
        <v>0</v>
      </c>
      <c r="O1261" s="54">
        <f t="shared" si="180"/>
        <v>0</v>
      </c>
      <c r="P1261" s="54">
        <f t="shared" si="181"/>
        <v>0</v>
      </c>
      <c r="Q1261" s="54">
        <f t="shared" si="182"/>
        <v>0</v>
      </c>
      <c r="R1261" s="54">
        <f t="shared" si="183"/>
        <v>0</v>
      </c>
      <c r="S1261" s="54"/>
      <c r="T1261" s="36"/>
      <c r="XDA1261"/>
      <c r="XDB1261"/>
      <c r="XDC1261"/>
      <c r="XDD1261"/>
      <c r="XDE1261"/>
      <c r="XDF1261"/>
      <c r="XDG1261"/>
      <c r="XDH1261"/>
      <c r="XDI1261"/>
      <c r="XDJ1261"/>
      <c r="XDK1261"/>
      <c r="XDL1261"/>
      <c r="XDM1261"/>
      <c r="XDN1261"/>
      <c r="XDO1261"/>
      <c r="XDP1261"/>
      <c r="XDQ1261"/>
      <c r="XDR1261"/>
      <c r="XDS1261"/>
      <c r="XDT1261"/>
      <c r="XDU1261"/>
      <c r="XDV1261"/>
      <c r="XDW1261"/>
      <c r="XDX1261"/>
      <c r="XDY1261"/>
      <c r="XDZ1261"/>
      <c r="XEA1261"/>
      <c r="XEB1261"/>
      <c r="XEC1261"/>
      <c r="XED1261"/>
      <c r="XEE1261"/>
      <c r="XEF1261"/>
      <c r="XEG1261"/>
      <c r="XEH1261"/>
      <c r="XEI1261"/>
      <c r="XEJ1261"/>
      <c r="XEK1261"/>
      <c r="XEL1261"/>
      <c r="XEM1261"/>
      <c r="XEN1261"/>
      <c r="XEO1261"/>
      <c r="XEP1261"/>
      <c r="XEQ1261"/>
      <c r="XER1261"/>
      <c r="XES1261"/>
      <c r="XET1261"/>
      <c r="XEU1261"/>
      <c r="XEV1261"/>
      <c r="XEW1261"/>
      <c r="XEX1261"/>
      <c r="XEY1261"/>
      <c r="XEZ1261"/>
      <c r="XFA1261"/>
      <c r="XFB1261"/>
      <c r="XFC1261"/>
    </row>
    <row r="1262" spans="1:20 16329:16383" s="38" customFormat="1" ht="29.1" customHeight="1" outlineLevel="6" x14ac:dyDescent="0.25">
      <c r="A1262" s="49" t="s">
        <v>2325</v>
      </c>
      <c r="B1262" s="50"/>
      <c r="C1262" s="50"/>
      <c r="D1262" s="3" t="s">
        <v>2326</v>
      </c>
      <c r="E1262" s="3"/>
      <c r="F1262" s="51" t="s">
        <v>2252</v>
      </c>
      <c r="G1262" s="50" t="s">
        <v>29</v>
      </c>
      <c r="H1262" s="52">
        <f>1</f>
        <v>1</v>
      </c>
      <c r="I1262" s="36"/>
      <c r="J1262" s="52">
        <v>1</v>
      </c>
      <c r="K1262" s="53">
        <f>0</f>
        <v>0</v>
      </c>
      <c r="L1262" s="53">
        <f>0</f>
        <v>0</v>
      </c>
      <c r="M1262" s="53">
        <f>0</f>
        <v>0</v>
      </c>
      <c r="N1262" s="54">
        <f t="shared" si="179"/>
        <v>0</v>
      </c>
      <c r="O1262" s="54">
        <f t="shared" si="180"/>
        <v>0</v>
      </c>
      <c r="P1262" s="54">
        <f t="shared" si="181"/>
        <v>0</v>
      </c>
      <c r="Q1262" s="54">
        <f t="shared" si="182"/>
        <v>0</v>
      </c>
      <c r="R1262" s="54">
        <f t="shared" si="183"/>
        <v>0</v>
      </c>
      <c r="S1262" s="54"/>
      <c r="T1262" s="36"/>
      <c r="XDA1262"/>
      <c r="XDB1262"/>
      <c r="XDC1262"/>
      <c r="XDD1262"/>
      <c r="XDE1262"/>
      <c r="XDF1262"/>
      <c r="XDG1262"/>
      <c r="XDH1262"/>
      <c r="XDI1262"/>
      <c r="XDJ1262"/>
      <c r="XDK1262"/>
      <c r="XDL1262"/>
      <c r="XDM1262"/>
      <c r="XDN1262"/>
      <c r="XDO1262"/>
      <c r="XDP1262"/>
      <c r="XDQ1262"/>
      <c r="XDR1262"/>
      <c r="XDS1262"/>
      <c r="XDT1262"/>
      <c r="XDU1262"/>
      <c r="XDV1262"/>
      <c r="XDW1262"/>
      <c r="XDX1262"/>
      <c r="XDY1262"/>
      <c r="XDZ1262"/>
      <c r="XEA1262"/>
      <c r="XEB1262"/>
      <c r="XEC1262"/>
      <c r="XED1262"/>
      <c r="XEE1262"/>
      <c r="XEF1262"/>
      <c r="XEG1262"/>
      <c r="XEH1262"/>
      <c r="XEI1262"/>
      <c r="XEJ1262"/>
      <c r="XEK1262"/>
      <c r="XEL1262"/>
      <c r="XEM1262"/>
      <c r="XEN1262"/>
      <c r="XEO1262"/>
      <c r="XEP1262"/>
      <c r="XEQ1262"/>
      <c r="XER1262"/>
      <c r="XES1262"/>
      <c r="XET1262"/>
      <c r="XEU1262"/>
      <c r="XEV1262"/>
      <c r="XEW1262"/>
      <c r="XEX1262"/>
      <c r="XEY1262"/>
      <c r="XEZ1262"/>
      <c r="XFA1262"/>
      <c r="XFB1262"/>
      <c r="XFC1262"/>
    </row>
    <row r="1263" spans="1:20 16329:16383" s="38" customFormat="1" ht="29.1" customHeight="1" outlineLevel="4" x14ac:dyDescent="0.25">
      <c r="A1263" s="60" t="s">
        <v>2327</v>
      </c>
      <c r="B1263" s="61" t="s">
        <v>2328</v>
      </c>
      <c r="C1263" s="61" t="s">
        <v>2329</v>
      </c>
      <c r="D1263" s="1" t="s">
        <v>2330</v>
      </c>
      <c r="E1263" s="1"/>
      <c r="F1263" s="62"/>
      <c r="G1263" s="61" t="s">
        <v>102</v>
      </c>
      <c r="H1263" s="63"/>
      <c r="I1263" s="36"/>
      <c r="J1263" s="63"/>
      <c r="K1263" s="64"/>
      <c r="L1263" s="64"/>
      <c r="M1263" s="64"/>
      <c r="N1263" s="64"/>
      <c r="O1263" s="64">
        <f>O1264+O1268+O1271</f>
        <v>0</v>
      </c>
      <c r="P1263" s="64">
        <f>P1264+P1268+P1271</f>
        <v>0</v>
      </c>
      <c r="Q1263" s="64">
        <f>Q1264+Q1268+Q1271</f>
        <v>0</v>
      </c>
      <c r="R1263" s="64">
        <f>R1264+R1268+R1271</f>
        <v>0</v>
      </c>
      <c r="S1263" s="64"/>
      <c r="T1263" s="36"/>
      <c r="XDA1263"/>
      <c r="XDB1263"/>
      <c r="XDC1263"/>
      <c r="XDD1263"/>
      <c r="XDE1263"/>
      <c r="XDF1263"/>
      <c r="XDG1263"/>
      <c r="XDH1263"/>
      <c r="XDI1263"/>
      <c r="XDJ1263"/>
      <c r="XDK1263"/>
      <c r="XDL1263"/>
      <c r="XDM1263"/>
      <c r="XDN1263"/>
      <c r="XDO1263"/>
      <c r="XDP1263"/>
      <c r="XDQ1263"/>
      <c r="XDR1263"/>
      <c r="XDS1263"/>
      <c r="XDT1263"/>
      <c r="XDU1263"/>
      <c r="XDV1263"/>
      <c r="XDW1263"/>
      <c r="XDX1263"/>
      <c r="XDY1263"/>
      <c r="XDZ1263"/>
      <c r="XEA1263"/>
      <c r="XEB1263"/>
      <c r="XEC1263"/>
      <c r="XED1263"/>
      <c r="XEE1263"/>
      <c r="XEF1263"/>
      <c r="XEG1263"/>
      <c r="XEH1263"/>
      <c r="XEI1263"/>
      <c r="XEJ1263"/>
      <c r="XEK1263"/>
      <c r="XEL1263"/>
      <c r="XEM1263"/>
      <c r="XEN1263"/>
      <c r="XEO1263"/>
      <c r="XEP1263"/>
      <c r="XEQ1263"/>
      <c r="XER1263"/>
      <c r="XES1263"/>
      <c r="XET1263"/>
      <c r="XEU1263"/>
      <c r="XEV1263"/>
      <c r="XEW1263"/>
      <c r="XEX1263"/>
      <c r="XEY1263"/>
      <c r="XEZ1263"/>
      <c r="XFA1263"/>
      <c r="XFB1263"/>
      <c r="XFC1263"/>
    </row>
    <row r="1264" spans="1:20 16329:16383" s="38" customFormat="1" ht="29.1" customHeight="1" outlineLevel="5" x14ac:dyDescent="0.25">
      <c r="A1264" s="65" t="s">
        <v>2331</v>
      </c>
      <c r="B1264" s="66" t="s">
        <v>2332</v>
      </c>
      <c r="C1264" s="66"/>
      <c r="D1264" s="98" t="s">
        <v>1873</v>
      </c>
      <c r="E1264" s="98"/>
      <c r="F1264" s="67"/>
      <c r="G1264" s="66"/>
      <c r="H1264" s="68"/>
      <c r="I1264" s="36"/>
      <c r="J1264" s="68"/>
      <c r="K1264" s="69"/>
      <c r="L1264" s="69"/>
      <c r="M1264" s="69"/>
      <c r="N1264" s="69"/>
      <c r="O1264" s="69">
        <f>SUM(O1265:O1267)</f>
        <v>0</v>
      </c>
      <c r="P1264" s="69">
        <f>SUM(P1265:P1267)</f>
        <v>0</v>
      </c>
      <c r="Q1264" s="69">
        <f>SUM(Q1265:Q1267)</f>
        <v>0</v>
      </c>
      <c r="R1264" s="69">
        <f>SUM(R1265:R1267)</f>
        <v>0</v>
      </c>
      <c r="S1264" s="69"/>
      <c r="T1264" s="36"/>
      <c r="XDA1264"/>
      <c r="XDB1264"/>
      <c r="XDC1264"/>
      <c r="XDD1264"/>
      <c r="XDE1264"/>
      <c r="XDF1264"/>
      <c r="XDG1264"/>
      <c r="XDH1264"/>
      <c r="XDI1264"/>
      <c r="XDJ1264"/>
      <c r="XDK1264"/>
      <c r="XDL1264"/>
      <c r="XDM1264"/>
      <c r="XDN1264"/>
      <c r="XDO1264"/>
      <c r="XDP1264"/>
      <c r="XDQ1264"/>
      <c r="XDR1264"/>
      <c r="XDS1264"/>
      <c r="XDT1264"/>
      <c r="XDU1264"/>
      <c r="XDV1264"/>
      <c r="XDW1264"/>
      <c r="XDX1264"/>
      <c r="XDY1264"/>
      <c r="XDZ1264"/>
      <c r="XEA1264"/>
      <c r="XEB1264"/>
      <c r="XEC1264"/>
      <c r="XED1264"/>
      <c r="XEE1264"/>
      <c r="XEF1264"/>
      <c r="XEG1264"/>
      <c r="XEH1264"/>
      <c r="XEI1264"/>
      <c r="XEJ1264"/>
      <c r="XEK1264"/>
      <c r="XEL1264"/>
      <c r="XEM1264"/>
      <c r="XEN1264"/>
      <c r="XEO1264"/>
      <c r="XEP1264"/>
      <c r="XEQ1264"/>
      <c r="XER1264"/>
      <c r="XES1264"/>
      <c r="XET1264"/>
      <c r="XEU1264"/>
      <c r="XEV1264"/>
      <c r="XEW1264"/>
      <c r="XEX1264"/>
      <c r="XEY1264"/>
      <c r="XEZ1264"/>
      <c r="XFA1264"/>
      <c r="XFB1264"/>
      <c r="XFC1264"/>
    </row>
    <row r="1265" spans="1:20 16329:16383" s="38" customFormat="1" ht="29.1" customHeight="1" outlineLevel="6" x14ac:dyDescent="0.25">
      <c r="A1265" s="49" t="s">
        <v>2333</v>
      </c>
      <c r="B1265" s="50"/>
      <c r="C1265" s="50"/>
      <c r="D1265" s="3" t="s">
        <v>1875</v>
      </c>
      <c r="E1265" s="3"/>
      <c r="F1265" s="51"/>
      <c r="G1265" s="50" t="s">
        <v>102</v>
      </c>
      <c r="H1265" s="52">
        <f>1</f>
        <v>1</v>
      </c>
      <c r="I1265" s="36"/>
      <c r="J1265" s="52">
        <v>1</v>
      </c>
      <c r="K1265" s="53">
        <f>0</f>
        <v>0</v>
      </c>
      <c r="L1265" s="53">
        <f>0</f>
        <v>0</v>
      </c>
      <c r="M1265" s="53">
        <f>0</f>
        <v>0</v>
      </c>
      <c r="N1265" s="54">
        <f>SUM(K1265:M1265)</f>
        <v>0</v>
      </c>
      <c r="O1265" s="54">
        <f>ROUND((H1265*K1265),2)</f>
        <v>0</v>
      </c>
      <c r="P1265" s="54">
        <f>ROUND((H1265*L1265),2)</f>
        <v>0</v>
      </c>
      <c r="Q1265" s="54">
        <f>ROUND((H1265*M1265),2)</f>
        <v>0</v>
      </c>
      <c r="R1265" s="54">
        <f>ROUND((H1265*N1265),2)</f>
        <v>0</v>
      </c>
      <c r="S1265" s="54"/>
      <c r="T1265" s="36"/>
      <c r="XDA1265"/>
      <c r="XDB1265"/>
      <c r="XDC1265"/>
      <c r="XDD1265"/>
      <c r="XDE1265"/>
      <c r="XDF1265"/>
      <c r="XDG1265"/>
      <c r="XDH1265"/>
      <c r="XDI1265"/>
      <c r="XDJ1265"/>
      <c r="XDK1265"/>
      <c r="XDL1265"/>
      <c r="XDM1265"/>
      <c r="XDN1265"/>
      <c r="XDO1265"/>
      <c r="XDP1265"/>
      <c r="XDQ1265"/>
      <c r="XDR1265"/>
      <c r="XDS1265"/>
      <c r="XDT1265"/>
      <c r="XDU1265"/>
      <c r="XDV1265"/>
      <c r="XDW1265"/>
      <c r="XDX1265"/>
      <c r="XDY1265"/>
      <c r="XDZ1265"/>
      <c r="XEA1265"/>
      <c r="XEB1265"/>
      <c r="XEC1265"/>
      <c r="XED1265"/>
      <c r="XEE1265"/>
      <c r="XEF1265"/>
      <c r="XEG1265"/>
      <c r="XEH1265"/>
      <c r="XEI1265"/>
      <c r="XEJ1265"/>
      <c r="XEK1265"/>
      <c r="XEL1265"/>
      <c r="XEM1265"/>
      <c r="XEN1265"/>
      <c r="XEO1265"/>
      <c r="XEP1265"/>
      <c r="XEQ1265"/>
      <c r="XER1265"/>
      <c r="XES1265"/>
      <c r="XET1265"/>
      <c r="XEU1265"/>
      <c r="XEV1265"/>
      <c r="XEW1265"/>
      <c r="XEX1265"/>
      <c r="XEY1265"/>
      <c r="XEZ1265"/>
      <c r="XFA1265"/>
      <c r="XFB1265"/>
      <c r="XFC1265"/>
    </row>
    <row r="1266" spans="1:20 16329:16383" s="38" customFormat="1" ht="29.1" customHeight="1" outlineLevel="6" x14ac:dyDescent="0.25">
      <c r="A1266" s="49" t="s">
        <v>2334</v>
      </c>
      <c r="B1266" s="50"/>
      <c r="C1266" s="50"/>
      <c r="D1266" s="3" t="s">
        <v>2093</v>
      </c>
      <c r="E1266" s="3"/>
      <c r="F1266" s="51"/>
      <c r="G1266" s="50" t="s">
        <v>102</v>
      </c>
      <c r="H1266" s="52">
        <f>1</f>
        <v>1</v>
      </c>
      <c r="I1266" s="36"/>
      <c r="J1266" s="52">
        <v>1</v>
      </c>
      <c r="K1266" s="53">
        <f>0</f>
        <v>0</v>
      </c>
      <c r="L1266" s="53">
        <f>0</f>
        <v>0</v>
      </c>
      <c r="M1266" s="53">
        <f>0</f>
        <v>0</v>
      </c>
      <c r="N1266" s="54">
        <f>SUM(K1266:M1266)</f>
        <v>0</v>
      </c>
      <c r="O1266" s="54">
        <f>ROUND((H1266*K1266),2)</f>
        <v>0</v>
      </c>
      <c r="P1266" s="54">
        <f>ROUND((H1266*L1266),2)</f>
        <v>0</v>
      </c>
      <c r="Q1266" s="54">
        <f>ROUND((H1266*M1266),2)</f>
        <v>0</v>
      </c>
      <c r="R1266" s="54">
        <f>ROUND((H1266*N1266),2)</f>
        <v>0</v>
      </c>
      <c r="S1266" s="54"/>
      <c r="T1266" s="36"/>
      <c r="XDA1266"/>
      <c r="XDB1266"/>
      <c r="XDC1266"/>
      <c r="XDD1266"/>
      <c r="XDE1266"/>
      <c r="XDF1266"/>
      <c r="XDG1266"/>
      <c r="XDH1266"/>
      <c r="XDI1266"/>
      <c r="XDJ1266"/>
      <c r="XDK1266"/>
      <c r="XDL1266"/>
      <c r="XDM1266"/>
      <c r="XDN1266"/>
      <c r="XDO1266"/>
      <c r="XDP1266"/>
      <c r="XDQ1266"/>
      <c r="XDR1266"/>
      <c r="XDS1266"/>
      <c r="XDT1266"/>
      <c r="XDU1266"/>
      <c r="XDV1266"/>
      <c r="XDW1266"/>
      <c r="XDX1266"/>
      <c r="XDY1266"/>
      <c r="XDZ1266"/>
      <c r="XEA1266"/>
      <c r="XEB1266"/>
      <c r="XEC1266"/>
      <c r="XED1266"/>
      <c r="XEE1266"/>
      <c r="XEF1266"/>
      <c r="XEG1266"/>
      <c r="XEH1266"/>
      <c r="XEI1266"/>
      <c r="XEJ1266"/>
      <c r="XEK1266"/>
      <c r="XEL1266"/>
      <c r="XEM1266"/>
      <c r="XEN1266"/>
      <c r="XEO1266"/>
      <c r="XEP1266"/>
      <c r="XEQ1266"/>
      <c r="XER1266"/>
      <c r="XES1266"/>
      <c r="XET1266"/>
      <c r="XEU1266"/>
      <c r="XEV1266"/>
      <c r="XEW1266"/>
      <c r="XEX1266"/>
      <c r="XEY1266"/>
      <c r="XEZ1266"/>
      <c r="XFA1266"/>
      <c r="XFB1266"/>
      <c r="XFC1266"/>
    </row>
    <row r="1267" spans="1:20 16329:16383" s="38" customFormat="1" ht="29.1" customHeight="1" outlineLevel="6" x14ac:dyDescent="0.25">
      <c r="A1267" s="49" t="s">
        <v>2335</v>
      </c>
      <c r="B1267" s="50"/>
      <c r="C1267" s="50"/>
      <c r="D1267" s="3" t="s">
        <v>2336</v>
      </c>
      <c r="E1267" s="3"/>
      <c r="F1267" s="51"/>
      <c r="G1267" s="50" t="s">
        <v>102</v>
      </c>
      <c r="H1267" s="52">
        <f>1</f>
        <v>1</v>
      </c>
      <c r="I1267" s="36"/>
      <c r="J1267" s="52">
        <v>1</v>
      </c>
      <c r="K1267" s="53">
        <f>0</f>
        <v>0</v>
      </c>
      <c r="L1267" s="53">
        <f>0</f>
        <v>0</v>
      </c>
      <c r="M1267" s="53">
        <f>0</f>
        <v>0</v>
      </c>
      <c r="N1267" s="54">
        <f>SUM(K1267:M1267)</f>
        <v>0</v>
      </c>
      <c r="O1267" s="54">
        <f>ROUND((H1267*K1267),2)</f>
        <v>0</v>
      </c>
      <c r="P1267" s="54">
        <f>ROUND((H1267*L1267),2)</f>
        <v>0</v>
      </c>
      <c r="Q1267" s="54">
        <f>ROUND((H1267*M1267),2)</f>
        <v>0</v>
      </c>
      <c r="R1267" s="54">
        <f>ROUND((H1267*N1267),2)</f>
        <v>0</v>
      </c>
      <c r="S1267" s="54"/>
      <c r="T1267" s="36"/>
      <c r="XDA1267"/>
      <c r="XDB1267"/>
      <c r="XDC1267"/>
      <c r="XDD1267"/>
      <c r="XDE1267"/>
      <c r="XDF1267"/>
      <c r="XDG1267"/>
      <c r="XDH1267"/>
      <c r="XDI1267"/>
      <c r="XDJ1267"/>
      <c r="XDK1267"/>
      <c r="XDL1267"/>
      <c r="XDM1267"/>
      <c r="XDN1267"/>
      <c r="XDO1267"/>
      <c r="XDP1267"/>
      <c r="XDQ1267"/>
      <c r="XDR1267"/>
      <c r="XDS1267"/>
      <c r="XDT1267"/>
      <c r="XDU1267"/>
      <c r="XDV1267"/>
      <c r="XDW1267"/>
      <c r="XDX1267"/>
      <c r="XDY1267"/>
      <c r="XDZ1267"/>
      <c r="XEA1267"/>
      <c r="XEB1267"/>
      <c r="XEC1267"/>
      <c r="XED1267"/>
      <c r="XEE1267"/>
      <c r="XEF1267"/>
      <c r="XEG1267"/>
      <c r="XEH1267"/>
      <c r="XEI1267"/>
      <c r="XEJ1267"/>
      <c r="XEK1267"/>
      <c r="XEL1267"/>
      <c r="XEM1267"/>
      <c r="XEN1267"/>
      <c r="XEO1267"/>
      <c r="XEP1267"/>
      <c r="XEQ1267"/>
      <c r="XER1267"/>
      <c r="XES1267"/>
      <c r="XET1267"/>
      <c r="XEU1267"/>
      <c r="XEV1267"/>
      <c r="XEW1267"/>
      <c r="XEX1267"/>
      <c r="XEY1267"/>
      <c r="XEZ1267"/>
      <c r="XFA1267"/>
      <c r="XFB1267"/>
      <c r="XFC1267"/>
    </row>
    <row r="1268" spans="1:20 16329:16383" s="38" customFormat="1" ht="29.1" customHeight="1" outlineLevel="5" x14ac:dyDescent="0.25">
      <c r="A1268" s="65" t="s">
        <v>2337</v>
      </c>
      <c r="B1268" s="66" t="s">
        <v>2338</v>
      </c>
      <c r="C1268" s="66"/>
      <c r="D1268" s="98" t="s">
        <v>344</v>
      </c>
      <c r="E1268" s="98"/>
      <c r="F1268" s="67"/>
      <c r="G1268" s="66"/>
      <c r="H1268" s="68"/>
      <c r="I1268" s="36"/>
      <c r="J1268" s="68"/>
      <c r="K1268" s="69"/>
      <c r="L1268" s="69"/>
      <c r="M1268" s="69"/>
      <c r="N1268" s="69"/>
      <c r="O1268" s="69">
        <f>O1269+O1270</f>
        <v>0</v>
      </c>
      <c r="P1268" s="69">
        <f>P1269+P1270</f>
        <v>0</v>
      </c>
      <c r="Q1268" s="69">
        <f>Q1269+Q1270</f>
        <v>0</v>
      </c>
      <c r="R1268" s="69">
        <f>R1269+R1270</f>
        <v>0</v>
      </c>
      <c r="S1268" s="69"/>
      <c r="T1268" s="36"/>
      <c r="XDA1268"/>
      <c r="XDB1268"/>
      <c r="XDC1268"/>
      <c r="XDD1268"/>
      <c r="XDE1268"/>
      <c r="XDF1268"/>
      <c r="XDG1268"/>
      <c r="XDH1268"/>
      <c r="XDI1268"/>
      <c r="XDJ1268"/>
      <c r="XDK1268"/>
      <c r="XDL1268"/>
      <c r="XDM1268"/>
      <c r="XDN1268"/>
      <c r="XDO1268"/>
      <c r="XDP1268"/>
      <c r="XDQ1268"/>
      <c r="XDR1268"/>
      <c r="XDS1268"/>
      <c r="XDT1268"/>
      <c r="XDU1268"/>
      <c r="XDV1268"/>
      <c r="XDW1268"/>
      <c r="XDX1268"/>
      <c r="XDY1268"/>
      <c r="XDZ1268"/>
      <c r="XEA1268"/>
      <c r="XEB1268"/>
      <c r="XEC1268"/>
      <c r="XED1268"/>
      <c r="XEE1268"/>
      <c r="XEF1268"/>
      <c r="XEG1268"/>
      <c r="XEH1268"/>
      <c r="XEI1268"/>
      <c r="XEJ1268"/>
      <c r="XEK1268"/>
      <c r="XEL1268"/>
      <c r="XEM1268"/>
      <c r="XEN1268"/>
      <c r="XEO1268"/>
      <c r="XEP1268"/>
      <c r="XEQ1268"/>
      <c r="XER1268"/>
      <c r="XES1268"/>
      <c r="XET1268"/>
      <c r="XEU1268"/>
      <c r="XEV1268"/>
      <c r="XEW1268"/>
      <c r="XEX1268"/>
      <c r="XEY1268"/>
      <c r="XEZ1268"/>
      <c r="XFA1268"/>
      <c r="XFB1268"/>
      <c r="XFC1268"/>
    </row>
    <row r="1269" spans="1:20 16329:16383" s="38" customFormat="1" ht="29.1" customHeight="1" outlineLevel="6" x14ac:dyDescent="0.25">
      <c r="A1269" s="49" t="s">
        <v>2339</v>
      </c>
      <c r="B1269" s="50"/>
      <c r="C1269" s="50"/>
      <c r="D1269" s="3" t="s">
        <v>1884</v>
      </c>
      <c r="E1269" s="3"/>
      <c r="F1269" s="51"/>
      <c r="G1269" s="50" t="s">
        <v>102</v>
      </c>
      <c r="H1269" s="52">
        <f>1</f>
        <v>1</v>
      </c>
      <c r="I1269" s="36"/>
      <c r="J1269" s="52">
        <v>1</v>
      </c>
      <c r="K1269" s="53">
        <f>0</f>
        <v>0</v>
      </c>
      <c r="L1269" s="53">
        <f>0</f>
        <v>0</v>
      </c>
      <c r="M1269" s="53">
        <f>0</f>
        <v>0</v>
      </c>
      <c r="N1269" s="54">
        <f>SUM(K1269:M1269)</f>
        <v>0</v>
      </c>
      <c r="O1269" s="54">
        <f>ROUND((H1269*K1269),2)</f>
        <v>0</v>
      </c>
      <c r="P1269" s="54">
        <f>ROUND((H1269*L1269),2)</f>
        <v>0</v>
      </c>
      <c r="Q1269" s="54">
        <f>ROUND((H1269*M1269),2)</f>
        <v>0</v>
      </c>
      <c r="R1269" s="54">
        <f>ROUND((H1269*N1269),2)</f>
        <v>0</v>
      </c>
      <c r="S1269" s="54"/>
      <c r="T1269" s="36"/>
      <c r="XDA1269"/>
      <c r="XDB1269"/>
      <c r="XDC1269"/>
      <c r="XDD1269"/>
      <c r="XDE1269"/>
      <c r="XDF1269"/>
      <c r="XDG1269"/>
      <c r="XDH1269"/>
      <c r="XDI1269"/>
      <c r="XDJ1269"/>
      <c r="XDK1269"/>
      <c r="XDL1269"/>
      <c r="XDM1269"/>
      <c r="XDN1269"/>
      <c r="XDO1269"/>
      <c r="XDP1269"/>
      <c r="XDQ1269"/>
      <c r="XDR1269"/>
      <c r="XDS1269"/>
      <c r="XDT1269"/>
      <c r="XDU1269"/>
      <c r="XDV1269"/>
      <c r="XDW1269"/>
      <c r="XDX1269"/>
      <c r="XDY1269"/>
      <c r="XDZ1269"/>
      <c r="XEA1269"/>
      <c r="XEB1269"/>
      <c r="XEC1269"/>
      <c r="XED1269"/>
      <c r="XEE1269"/>
      <c r="XEF1269"/>
      <c r="XEG1269"/>
      <c r="XEH1269"/>
      <c r="XEI1269"/>
      <c r="XEJ1269"/>
      <c r="XEK1269"/>
      <c r="XEL1269"/>
      <c r="XEM1269"/>
      <c r="XEN1269"/>
      <c r="XEO1269"/>
      <c r="XEP1269"/>
      <c r="XEQ1269"/>
      <c r="XER1269"/>
      <c r="XES1269"/>
      <c r="XET1269"/>
      <c r="XEU1269"/>
      <c r="XEV1269"/>
      <c r="XEW1269"/>
      <c r="XEX1269"/>
      <c r="XEY1269"/>
      <c r="XEZ1269"/>
      <c r="XFA1269"/>
      <c r="XFB1269"/>
      <c r="XFC1269"/>
    </row>
    <row r="1270" spans="1:20 16329:16383" s="38" customFormat="1" ht="29.1" customHeight="1" outlineLevel="6" x14ac:dyDescent="0.25">
      <c r="A1270" s="49" t="s">
        <v>2340</v>
      </c>
      <c r="B1270" s="50"/>
      <c r="C1270" s="50"/>
      <c r="D1270" s="3" t="s">
        <v>2238</v>
      </c>
      <c r="E1270" s="3"/>
      <c r="F1270" s="51"/>
      <c r="G1270" s="50" t="s">
        <v>102</v>
      </c>
      <c r="H1270" s="52">
        <f>1</f>
        <v>1</v>
      </c>
      <c r="I1270" s="36"/>
      <c r="J1270" s="52">
        <v>1</v>
      </c>
      <c r="K1270" s="53">
        <f>0</f>
        <v>0</v>
      </c>
      <c r="L1270" s="53">
        <f>0</f>
        <v>0</v>
      </c>
      <c r="M1270" s="53">
        <f>0</f>
        <v>0</v>
      </c>
      <c r="N1270" s="54">
        <f>SUM(K1270:M1270)</f>
        <v>0</v>
      </c>
      <c r="O1270" s="54">
        <f>ROUND((H1270*K1270),2)</f>
        <v>0</v>
      </c>
      <c r="P1270" s="54">
        <f>ROUND((H1270*L1270),2)</f>
        <v>0</v>
      </c>
      <c r="Q1270" s="54">
        <f>ROUND((H1270*M1270),2)</f>
        <v>0</v>
      </c>
      <c r="R1270" s="54">
        <f>ROUND((H1270*N1270),2)</f>
        <v>0</v>
      </c>
      <c r="S1270" s="54"/>
      <c r="T1270" s="36"/>
      <c r="XDA1270"/>
      <c r="XDB1270"/>
      <c r="XDC1270"/>
      <c r="XDD1270"/>
      <c r="XDE1270"/>
      <c r="XDF1270"/>
      <c r="XDG1270"/>
      <c r="XDH1270"/>
      <c r="XDI1270"/>
      <c r="XDJ1270"/>
      <c r="XDK1270"/>
      <c r="XDL1270"/>
      <c r="XDM1270"/>
      <c r="XDN1270"/>
      <c r="XDO1270"/>
      <c r="XDP1270"/>
      <c r="XDQ1270"/>
      <c r="XDR1270"/>
      <c r="XDS1270"/>
      <c r="XDT1270"/>
      <c r="XDU1270"/>
      <c r="XDV1270"/>
      <c r="XDW1270"/>
      <c r="XDX1270"/>
      <c r="XDY1270"/>
      <c r="XDZ1270"/>
      <c r="XEA1270"/>
      <c r="XEB1270"/>
      <c r="XEC1270"/>
      <c r="XED1270"/>
      <c r="XEE1270"/>
      <c r="XEF1270"/>
      <c r="XEG1270"/>
      <c r="XEH1270"/>
      <c r="XEI1270"/>
      <c r="XEJ1270"/>
      <c r="XEK1270"/>
      <c r="XEL1270"/>
      <c r="XEM1270"/>
      <c r="XEN1270"/>
      <c r="XEO1270"/>
      <c r="XEP1270"/>
      <c r="XEQ1270"/>
      <c r="XER1270"/>
      <c r="XES1270"/>
      <c r="XET1270"/>
      <c r="XEU1270"/>
      <c r="XEV1270"/>
      <c r="XEW1270"/>
      <c r="XEX1270"/>
      <c r="XEY1270"/>
      <c r="XEZ1270"/>
      <c r="XFA1270"/>
      <c r="XFB1270"/>
      <c r="XFC1270"/>
    </row>
    <row r="1271" spans="1:20 16329:16383" s="38" customFormat="1" ht="29.1" customHeight="1" outlineLevel="5" x14ac:dyDescent="0.25">
      <c r="A1271" s="65" t="s">
        <v>2341</v>
      </c>
      <c r="B1271" s="66" t="s">
        <v>2342</v>
      </c>
      <c r="C1271" s="66"/>
      <c r="D1271" s="98" t="s">
        <v>1899</v>
      </c>
      <c r="E1271" s="98"/>
      <c r="F1271" s="67"/>
      <c r="G1271" s="66"/>
      <c r="H1271" s="68"/>
      <c r="I1271" s="36"/>
      <c r="J1271" s="68"/>
      <c r="K1271" s="69"/>
      <c r="L1271" s="69"/>
      <c r="M1271" s="69"/>
      <c r="N1271" s="69"/>
      <c r="O1271" s="69">
        <f>O1272+O1273</f>
        <v>0</v>
      </c>
      <c r="P1271" s="69">
        <f>P1272+P1273</f>
        <v>0</v>
      </c>
      <c r="Q1271" s="69">
        <f>Q1272+Q1273</f>
        <v>0</v>
      </c>
      <c r="R1271" s="69">
        <f>R1272+R1273</f>
        <v>0</v>
      </c>
      <c r="S1271" s="69"/>
      <c r="T1271" s="36"/>
      <c r="XDA1271"/>
      <c r="XDB1271"/>
      <c r="XDC1271"/>
      <c r="XDD1271"/>
      <c r="XDE1271"/>
      <c r="XDF1271"/>
      <c r="XDG1271"/>
      <c r="XDH1271"/>
      <c r="XDI1271"/>
      <c r="XDJ1271"/>
      <c r="XDK1271"/>
      <c r="XDL1271"/>
      <c r="XDM1271"/>
      <c r="XDN1271"/>
      <c r="XDO1271"/>
      <c r="XDP1271"/>
      <c r="XDQ1271"/>
      <c r="XDR1271"/>
      <c r="XDS1271"/>
      <c r="XDT1271"/>
      <c r="XDU1271"/>
      <c r="XDV1271"/>
      <c r="XDW1271"/>
      <c r="XDX1271"/>
      <c r="XDY1271"/>
      <c r="XDZ1271"/>
      <c r="XEA1271"/>
      <c r="XEB1271"/>
      <c r="XEC1271"/>
      <c r="XED1271"/>
      <c r="XEE1271"/>
      <c r="XEF1271"/>
      <c r="XEG1271"/>
      <c r="XEH1271"/>
      <c r="XEI1271"/>
      <c r="XEJ1271"/>
      <c r="XEK1271"/>
      <c r="XEL1271"/>
      <c r="XEM1271"/>
      <c r="XEN1271"/>
      <c r="XEO1271"/>
      <c r="XEP1271"/>
      <c r="XEQ1271"/>
      <c r="XER1271"/>
      <c r="XES1271"/>
      <c r="XET1271"/>
      <c r="XEU1271"/>
      <c r="XEV1271"/>
      <c r="XEW1271"/>
      <c r="XEX1271"/>
      <c r="XEY1271"/>
      <c r="XEZ1271"/>
      <c r="XFA1271"/>
      <c r="XFB1271"/>
      <c r="XFC1271"/>
    </row>
    <row r="1272" spans="1:20 16329:16383" s="38" customFormat="1" ht="29.1" customHeight="1" outlineLevel="6" x14ac:dyDescent="0.25">
      <c r="A1272" s="49" t="s">
        <v>2343</v>
      </c>
      <c r="B1272" s="50"/>
      <c r="C1272" s="50"/>
      <c r="D1272" s="3" t="s">
        <v>1884</v>
      </c>
      <c r="E1272" s="3"/>
      <c r="F1272" s="51"/>
      <c r="G1272" s="50" t="s">
        <v>102</v>
      </c>
      <c r="H1272" s="52">
        <f>1</f>
        <v>1</v>
      </c>
      <c r="I1272" s="36"/>
      <c r="J1272" s="52">
        <v>1</v>
      </c>
      <c r="K1272" s="53">
        <f>0</f>
        <v>0</v>
      </c>
      <c r="L1272" s="53">
        <f>0</f>
        <v>0</v>
      </c>
      <c r="M1272" s="53">
        <f>0</f>
        <v>0</v>
      </c>
      <c r="N1272" s="54">
        <f>SUM(K1272:M1272)</f>
        <v>0</v>
      </c>
      <c r="O1272" s="54">
        <f>ROUND((H1272*K1272),2)</f>
        <v>0</v>
      </c>
      <c r="P1272" s="54">
        <f>ROUND((H1272*L1272),2)</f>
        <v>0</v>
      </c>
      <c r="Q1272" s="54">
        <f>ROUND((H1272*M1272),2)</f>
        <v>0</v>
      </c>
      <c r="R1272" s="54">
        <f>ROUND((H1272*N1272),2)</f>
        <v>0</v>
      </c>
      <c r="S1272" s="54"/>
      <c r="T1272" s="36"/>
      <c r="XDA1272"/>
      <c r="XDB1272"/>
      <c r="XDC1272"/>
      <c r="XDD1272"/>
      <c r="XDE1272"/>
      <c r="XDF1272"/>
      <c r="XDG1272"/>
      <c r="XDH1272"/>
      <c r="XDI1272"/>
      <c r="XDJ1272"/>
      <c r="XDK1272"/>
      <c r="XDL1272"/>
      <c r="XDM1272"/>
      <c r="XDN1272"/>
      <c r="XDO1272"/>
      <c r="XDP1272"/>
      <c r="XDQ1272"/>
      <c r="XDR1272"/>
      <c r="XDS1272"/>
      <c r="XDT1272"/>
      <c r="XDU1272"/>
      <c r="XDV1272"/>
      <c r="XDW1272"/>
      <c r="XDX1272"/>
      <c r="XDY1272"/>
      <c r="XDZ1272"/>
      <c r="XEA1272"/>
      <c r="XEB1272"/>
      <c r="XEC1272"/>
      <c r="XED1272"/>
      <c r="XEE1272"/>
      <c r="XEF1272"/>
      <c r="XEG1272"/>
      <c r="XEH1272"/>
      <c r="XEI1272"/>
      <c r="XEJ1272"/>
      <c r="XEK1272"/>
      <c r="XEL1272"/>
      <c r="XEM1272"/>
      <c r="XEN1272"/>
      <c r="XEO1272"/>
      <c r="XEP1272"/>
      <c r="XEQ1272"/>
      <c r="XER1272"/>
      <c r="XES1272"/>
      <c r="XET1272"/>
      <c r="XEU1272"/>
      <c r="XEV1272"/>
      <c r="XEW1272"/>
      <c r="XEX1272"/>
      <c r="XEY1272"/>
      <c r="XEZ1272"/>
      <c r="XFA1272"/>
      <c r="XFB1272"/>
      <c r="XFC1272"/>
    </row>
    <row r="1273" spans="1:20 16329:16383" s="38" customFormat="1" ht="29.1" customHeight="1" outlineLevel="6" x14ac:dyDescent="0.25">
      <c r="A1273" s="49" t="s">
        <v>2344</v>
      </c>
      <c r="B1273" s="50"/>
      <c r="C1273" s="50"/>
      <c r="D1273" s="3" t="s">
        <v>2238</v>
      </c>
      <c r="E1273" s="3"/>
      <c r="F1273" s="51"/>
      <c r="G1273" s="50" t="s">
        <v>102</v>
      </c>
      <c r="H1273" s="52">
        <f>1</f>
        <v>1</v>
      </c>
      <c r="I1273" s="36"/>
      <c r="J1273" s="52">
        <v>1</v>
      </c>
      <c r="K1273" s="53">
        <f>0</f>
        <v>0</v>
      </c>
      <c r="L1273" s="53">
        <f>0</f>
        <v>0</v>
      </c>
      <c r="M1273" s="53">
        <f>0</f>
        <v>0</v>
      </c>
      <c r="N1273" s="54">
        <f>SUM(K1273:M1273)</f>
        <v>0</v>
      </c>
      <c r="O1273" s="54">
        <f>ROUND((H1273*K1273),2)</f>
        <v>0</v>
      </c>
      <c r="P1273" s="54">
        <f>ROUND((H1273*L1273),2)</f>
        <v>0</v>
      </c>
      <c r="Q1273" s="54">
        <f>ROUND((H1273*M1273),2)</f>
        <v>0</v>
      </c>
      <c r="R1273" s="54">
        <f>ROUND((H1273*N1273),2)</f>
        <v>0</v>
      </c>
      <c r="S1273" s="54"/>
      <c r="T1273" s="36"/>
      <c r="XDA1273"/>
      <c r="XDB1273"/>
      <c r="XDC1273"/>
      <c r="XDD1273"/>
      <c r="XDE1273"/>
      <c r="XDF1273"/>
      <c r="XDG1273"/>
      <c r="XDH1273"/>
      <c r="XDI1273"/>
      <c r="XDJ1273"/>
      <c r="XDK1273"/>
      <c r="XDL1273"/>
      <c r="XDM1273"/>
      <c r="XDN1273"/>
      <c r="XDO1273"/>
      <c r="XDP1273"/>
      <c r="XDQ1273"/>
      <c r="XDR1273"/>
      <c r="XDS1273"/>
      <c r="XDT1273"/>
      <c r="XDU1273"/>
      <c r="XDV1273"/>
      <c r="XDW1273"/>
      <c r="XDX1273"/>
      <c r="XDY1273"/>
      <c r="XDZ1273"/>
      <c r="XEA1273"/>
      <c r="XEB1273"/>
      <c r="XEC1273"/>
      <c r="XED1273"/>
      <c r="XEE1273"/>
      <c r="XEF1273"/>
      <c r="XEG1273"/>
      <c r="XEH1273"/>
      <c r="XEI1273"/>
      <c r="XEJ1273"/>
      <c r="XEK1273"/>
      <c r="XEL1273"/>
      <c r="XEM1273"/>
      <c r="XEN1273"/>
      <c r="XEO1273"/>
      <c r="XEP1273"/>
      <c r="XEQ1273"/>
      <c r="XER1273"/>
      <c r="XES1273"/>
      <c r="XET1273"/>
      <c r="XEU1273"/>
      <c r="XEV1273"/>
      <c r="XEW1273"/>
      <c r="XEX1273"/>
      <c r="XEY1273"/>
      <c r="XEZ1273"/>
      <c r="XFA1273"/>
      <c r="XFB1273"/>
      <c r="XFC1273"/>
    </row>
    <row r="1274" spans="1:20 16329:16383" s="38" customFormat="1" ht="29.1" customHeight="1" outlineLevel="4" x14ac:dyDescent="0.25">
      <c r="A1274" s="60" t="s">
        <v>2345</v>
      </c>
      <c r="B1274" s="61" t="s">
        <v>2346</v>
      </c>
      <c r="C1274" s="61" t="s">
        <v>2347</v>
      </c>
      <c r="D1274" s="1" t="s">
        <v>2348</v>
      </c>
      <c r="E1274" s="1"/>
      <c r="F1274" s="62"/>
      <c r="G1274" s="61" t="s">
        <v>102</v>
      </c>
      <c r="H1274" s="63"/>
      <c r="I1274" s="36"/>
      <c r="J1274" s="63"/>
      <c r="K1274" s="64"/>
      <c r="L1274" s="64"/>
      <c r="M1274" s="64"/>
      <c r="N1274" s="64"/>
      <c r="O1274" s="64">
        <f>O1275+O1278+O1284</f>
        <v>0</v>
      </c>
      <c r="P1274" s="64">
        <f>P1275+P1278+P1284</f>
        <v>0</v>
      </c>
      <c r="Q1274" s="64">
        <f>Q1275+Q1278+Q1284</f>
        <v>0</v>
      </c>
      <c r="R1274" s="64">
        <f>R1275+R1278+R1284</f>
        <v>0</v>
      </c>
      <c r="S1274" s="64"/>
      <c r="T1274" s="36"/>
      <c r="XDA1274"/>
      <c r="XDB1274"/>
      <c r="XDC1274"/>
      <c r="XDD1274"/>
      <c r="XDE1274"/>
      <c r="XDF1274"/>
      <c r="XDG1274"/>
      <c r="XDH1274"/>
      <c r="XDI1274"/>
      <c r="XDJ1274"/>
      <c r="XDK1274"/>
      <c r="XDL1274"/>
      <c r="XDM1274"/>
      <c r="XDN1274"/>
      <c r="XDO1274"/>
      <c r="XDP1274"/>
      <c r="XDQ1274"/>
      <c r="XDR1274"/>
      <c r="XDS1274"/>
      <c r="XDT1274"/>
      <c r="XDU1274"/>
      <c r="XDV1274"/>
      <c r="XDW1274"/>
      <c r="XDX1274"/>
      <c r="XDY1274"/>
      <c r="XDZ1274"/>
      <c r="XEA1274"/>
      <c r="XEB1274"/>
      <c r="XEC1274"/>
      <c r="XED1274"/>
      <c r="XEE1274"/>
      <c r="XEF1274"/>
      <c r="XEG1274"/>
      <c r="XEH1274"/>
      <c r="XEI1274"/>
      <c r="XEJ1274"/>
      <c r="XEK1274"/>
      <c r="XEL1274"/>
      <c r="XEM1274"/>
      <c r="XEN1274"/>
      <c r="XEO1274"/>
      <c r="XEP1274"/>
      <c r="XEQ1274"/>
      <c r="XER1274"/>
      <c r="XES1274"/>
      <c r="XET1274"/>
      <c r="XEU1274"/>
      <c r="XEV1274"/>
      <c r="XEW1274"/>
      <c r="XEX1274"/>
      <c r="XEY1274"/>
      <c r="XEZ1274"/>
      <c r="XFA1274"/>
      <c r="XFB1274"/>
      <c r="XFC1274"/>
    </row>
    <row r="1275" spans="1:20 16329:16383" s="38" customFormat="1" ht="29.1" customHeight="1" outlineLevel="5" x14ac:dyDescent="0.25">
      <c r="A1275" s="65" t="s">
        <v>2349</v>
      </c>
      <c r="B1275" s="66" t="s">
        <v>2350</v>
      </c>
      <c r="C1275" s="66"/>
      <c r="D1275" s="98" t="s">
        <v>1873</v>
      </c>
      <c r="E1275" s="98"/>
      <c r="F1275" s="67"/>
      <c r="G1275" s="66"/>
      <c r="H1275" s="68"/>
      <c r="I1275" s="36"/>
      <c r="J1275" s="68"/>
      <c r="K1275" s="69"/>
      <c r="L1275" s="69"/>
      <c r="M1275" s="69"/>
      <c r="N1275" s="69"/>
      <c r="O1275" s="69">
        <f>O1276+O1277</f>
        <v>0</v>
      </c>
      <c r="P1275" s="69">
        <f>P1276+P1277</f>
        <v>0</v>
      </c>
      <c r="Q1275" s="69">
        <f>Q1276+Q1277</f>
        <v>0</v>
      </c>
      <c r="R1275" s="69">
        <f>R1276+R1277</f>
        <v>0</v>
      </c>
      <c r="S1275" s="69"/>
      <c r="T1275" s="36"/>
      <c r="XDA1275"/>
      <c r="XDB1275"/>
      <c r="XDC1275"/>
      <c r="XDD1275"/>
      <c r="XDE1275"/>
      <c r="XDF1275"/>
      <c r="XDG1275"/>
      <c r="XDH1275"/>
      <c r="XDI1275"/>
      <c r="XDJ1275"/>
      <c r="XDK1275"/>
      <c r="XDL1275"/>
      <c r="XDM1275"/>
      <c r="XDN1275"/>
      <c r="XDO1275"/>
      <c r="XDP1275"/>
      <c r="XDQ1275"/>
      <c r="XDR1275"/>
      <c r="XDS1275"/>
      <c r="XDT1275"/>
      <c r="XDU1275"/>
      <c r="XDV1275"/>
      <c r="XDW1275"/>
      <c r="XDX1275"/>
      <c r="XDY1275"/>
      <c r="XDZ1275"/>
      <c r="XEA1275"/>
      <c r="XEB1275"/>
      <c r="XEC1275"/>
      <c r="XED1275"/>
      <c r="XEE1275"/>
      <c r="XEF1275"/>
      <c r="XEG1275"/>
      <c r="XEH1275"/>
      <c r="XEI1275"/>
      <c r="XEJ1275"/>
      <c r="XEK1275"/>
      <c r="XEL1275"/>
      <c r="XEM1275"/>
      <c r="XEN1275"/>
      <c r="XEO1275"/>
      <c r="XEP1275"/>
      <c r="XEQ1275"/>
      <c r="XER1275"/>
      <c r="XES1275"/>
      <c r="XET1275"/>
      <c r="XEU1275"/>
      <c r="XEV1275"/>
      <c r="XEW1275"/>
      <c r="XEX1275"/>
      <c r="XEY1275"/>
      <c r="XEZ1275"/>
      <c r="XFA1275"/>
      <c r="XFB1275"/>
      <c r="XFC1275"/>
    </row>
    <row r="1276" spans="1:20 16329:16383" s="38" customFormat="1" ht="29.1" customHeight="1" outlineLevel="6" x14ac:dyDescent="0.25">
      <c r="A1276" s="49" t="s">
        <v>2351</v>
      </c>
      <c r="B1276" s="50"/>
      <c r="C1276" s="50"/>
      <c r="D1276" s="3" t="s">
        <v>2093</v>
      </c>
      <c r="E1276" s="3"/>
      <c r="F1276" s="51"/>
      <c r="G1276" s="50" t="s">
        <v>102</v>
      </c>
      <c r="H1276" s="52">
        <f>1</f>
        <v>1</v>
      </c>
      <c r="I1276" s="36"/>
      <c r="J1276" s="52">
        <v>1</v>
      </c>
      <c r="K1276" s="53">
        <f>0</f>
        <v>0</v>
      </c>
      <c r="L1276" s="53">
        <f>0</f>
        <v>0</v>
      </c>
      <c r="M1276" s="53">
        <f>0</f>
        <v>0</v>
      </c>
      <c r="N1276" s="54">
        <f>SUM(K1276:M1276)</f>
        <v>0</v>
      </c>
      <c r="O1276" s="54">
        <f>ROUND((H1276*K1276),2)</f>
        <v>0</v>
      </c>
      <c r="P1276" s="54">
        <f>ROUND((H1276*L1276),2)</f>
        <v>0</v>
      </c>
      <c r="Q1276" s="54">
        <f>ROUND((H1276*M1276),2)</f>
        <v>0</v>
      </c>
      <c r="R1276" s="54">
        <f>ROUND((H1276*N1276),2)</f>
        <v>0</v>
      </c>
      <c r="S1276" s="54"/>
      <c r="T1276" s="36"/>
      <c r="XDA1276"/>
      <c r="XDB1276"/>
      <c r="XDC1276"/>
      <c r="XDD1276"/>
      <c r="XDE1276"/>
      <c r="XDF1276"/>
      <c r="XDG1276"/>
      <c r="XDH1276"/>
      <c r="XDI1276"/>
      <c r="XDJ1276"/>
      <c r="XDK1276"/>
      <c r="XDL1276"/>
      <c r="XDM1276"/>
      <c r="XDN1276"/>
      <c r="XDO1276"/>
      <c r="XDP1276"/>
      <c r="XDQ1276"/>
      <c r="XDR1276"/>
      <c r="XDS1276"/>
      <c r="XDT1276"/>
      <c r="XDU1276"/>
      <c r="XDV1276"/>
      <c r="XDW1276"/>
      <c r="XDX1276"/>
      <c r="XDY1276"/>
      <c r="XDZ1276"/>
      <c r="XEA1276"/>
      <c r="XEB1276"/>
      <c r="XEC1276"/>
      <c r="XED1276"/>
      <c r="XEE1276"/>
      <c r="XEF1276"/>
      <c r="XEG1276"/>
      <c r="XEH1276"/>
      <c r="XEI1276"/>
      <c r="XEJ1276"/>
      <c r="XEK1276"/>
      <c r="XEL1276"/>
      <c r="XEM1276"/>
      <c r="XEN1276"/>
      <c r="XEO1276"/>
      <c r="XEP1276"/>
      <c r="XEQ1276"/>
      <c r="XER1276"/>
      <c r="XES1276"/>
      <c r="XET1276"/>
      <c r="XEU1276"/>
      <c r="XEV1276"/>
      <c r="XEW1276"/>
      <c r="XEX1276"/>
      <c r="XEY1276"/>
      <c r="XEZ1276"/>
      <c r="XFA1276"/>
      <c r="XFB1276"/>
      <c r="XFC1276"/>
    </row>
    <row r="1277" spans="1:20 16329:16383" s="38" customFormat="1" ht="29.1" customHeight="1" outlineLevel="6" x14ac:dyDescent="0.25">
      <c r="A1277" s="49" t="s">
        <v>2352</v>
      </c>
      <c r="B1277" s="50"/>
      <c r="C1277" s="50"/>
      <c r="D1277" s="3" t="s">
        <v>2336</v>
      </c>
      <c r="E1277" s="3"/>
      <c r="F1277" s="51"/>
      <c r="G1277" s="50" t="s">
        <v>102</v>
      </c>
      <c r="H1277" s="52">
        <f>1</f>
        <v>1</v>
      </c>
      <c r="I1277" s="36"/>
      <c r="J1277" s="52">
        <v>1</v>
      </c>
      <c r="K1277" s="53">
        <f>0</f>
        <v>0</v>
      </c>
      <c r="L1277" s="53">
        <f>0</f>
        <v>0</v>
      </c>
      <c r="M1277" s="53">
        <f>0</f>
        <v>0</v>
      </c>
      <c r="N1277" s="54">
        <f>SUM(K1277:M1277)</f>
        <v>0</v>
      </c>
      <c r="O1277" s="54">
        <f>ROUND((H1277*K1277),2)</f>
        <v>0</v>
      </c>
      <c r="P1277" s="54">
        <f>ROUND((H1277*L1277),2)</f>
        <v>0</v>
      </c>
      <c r="Q1277" s="54">
        <f>ROUND((H1277*M1277),2)</f>
        <v>0</v>
      </c>
      <c r="R1277" s="54">
        <f>ROUND((H1277*N1277),2)</f>
        <v>0</v>
      </c>
      <c r="S1277" s="54"/>
      <c r="T1277" s="36"/>
      <c r="XDA1277"/>
      <c r="XDB1277"/>
      <c r="XDC1277"/>
      <c r="XDD1277"/>
      <c r="XDE1277"/>
      <c r="XDF1277"/>
      <c r="XDG1277"/>
      <c r="XDH1277"/>
      <c r="XDI1277"/>
      <c r="XDJ1277"/>
      <c r="XDK1277"/>
      <c r="XDL1277"/>
      <c r="XDM1277"/>
      <c r="XDN1277"/>
      <c r="XDO1277"/>
      <c r="XDP1277"/>
      <c r="XDQ1277"/>
      <c r="XDR1277"/>
      <c r="XDS1277"/>
      <c r="XDT1277"/>
      <c r="XDU1277"/>
      <c r="XDV1277"/>
      <c r="XDW1277"/>
      <c r="XDX1277"/>
      <c r="XDY1277"/>
      <c r="XDZ1277"/>
      <c r="XEA1277"/>
      <c r="XEB1277"/>
      <c r="XEC1277"/>
      <c r="XED1277"/>
      <c r="XEE1277"/>
      <c r="XEF1277"/>
      <c r="XEG1277"/>
      <c r="XEH1277"/>
      <c r="XEI1277"/>
      <c r="XEJ1277"/>
      <c r="XEK1277"/>
      <c r="XEL1277"/>
      <c r="XEM1277"/>
      <c r="XEN1277"/>
      <c r="XEO1277"/>
      <c r="XEP1277"/>
      <c r="XEQ1277"/>
      <c r="XER1277"/>
      <c r="XES1277"/>
      <c r="XET1277"/>
      <c r="XEU1277"/>
      <c r="XEV1277"/>
      <c r="XEW1277"/>
      <c r="XEX1277"/>
      <c r="XEY1277"/>
      <c r="XEZ1277"/>
      <c r="XFA1277"/>
      <c r="XFB1277"/>
      <c r="XFC1277"/>
    </row>
    <row r="1278" spans="1:20 16329:16383" s="38" customFormat="1" ht="29.1" customHeight="1" outlineLevel="5" x14ac:dyDescent="0.25">
      <c r="A1278" s="65" t="s">
        <v>2353</v>
      </c>
      <c r="B1278" s="66" t="s">
        <v>2354</v>
      </c>
      <c r="C1278" s="66"/>
      <c r="D1278" s="98" t="s">
        <v>344</v>
      </c>
      <c r="E1278" s="98"/>
      <c r="F1278" s="67"/>
      <c r="G1278" s="66"/>
      <c r="H1278" s="68"/>
      <c r="I1278" s="36"/>
      <c r="J1278" s="68"/>
      <c r="K1278" s="69"/>
      <c r="L1278" s="69"/>
      <c r="M1278" s="69"/>
      <c r="N1278" s="69"/>
      <c r="O1278" s="69">
        <f>SUM(O1279:O1283)</f>
        <v>0</v>
      </c>
      <c r="P1278" s="69">
        <f>SUM(P1279:P1283)</f>
        <v>0</v>
      </c>
      <c r="Q1278" s="69">
        <f>SUM(Q1279:Q1283)</f>
        <v>0</v>
      </c>
      <c r="R1278" s="69">
        <f>SUM(R1279:R1283)</f>
        <v>0</v>
      </c>
      <c r="S1278" s="69"/>
      <c r="T1278" s="36"/>
      <c r="XDA1278"/>
      <c r="XDB1278"/>
      <c r="XDC1278"/>
      <c r="XDD1278"/>
      <c r="XDE1278"/>
      <c r="XDF1278"/>
      <c r="XDG1278"/>
      <c r="XDH1278"/>
      <c r="XDI1278"/>
      <c r="XDJ1278"/>
      <c r="XDK1278"/>
      <c r="XDL1278"/>
      <c r="XDM1278"/>
      <c r="XDN1278"/>
      <c r="XDO1278"/>
      <c r="XDP1278"/>
      <c r="XDQ1278"/>
      <c r="XDR1278"/>
      <c r="XDS1278"/>
      <c r="XDT1278"/>
      <c r="XDU1278"/>
      <c r="XDV1278"/>
      <c r="XDW1278"/>
      <c r="XDX1278"/>
      <c r="XDY1278"/>
      <c r="XDZ1278"/>
      <c r="XEA1278"/>
      <c r="XEB1278"/>
      <c r="XEC1278"/>
      <c r="XED1278"/>
      <c r="XEE1278"/>
      <c r="XEF1278"/>
      <c r="XEG1278"/>
      <c r="XEH1278"/>
      <c r="XEI1278"/>
      <c r="XEJ1278"/>
      <c r="XEK1278"/>
      <c r="XEL1278"/>
      <c r="XEM1278"/>
      <c r="XEN1278"/>
      <c r="XEO1278"/>
      <c r="XEP1278"/>
      <c r="XEQ1278"/>
      <c r="XER1278"/>
      <c r="XES1278"/>
      <c r="XET1278"/>
      <c r="XEU1278"/>
      <c r="XEV1278"/>
      <c r="XEW1278"/>
      <c r="XEX1278"/>
      <c r="XEY1278"/>
      <c r="XEZ1278"/>
      <c r="XFA1278"/>
      <c r="XFB1278"/>
      <c r="XFC1278"/>
    </row>
    <row r="1279" spans="1:20 16329:16383" s="38" customFormat="1" ht="29.1" customHeight="1" outlineLevel="6" x14ac:dyDescent="0.25">
      <c r="A1279" s="49" t="s">
        <v>2355</v>
      </c>
      <c r="B1279" s="50"/>
      <c r="C1279" s="50"/>
      <c r="D1279" s="3" t="s">
        <v>1884</v>
      </c>
      <c r="E1279" s="3"/>
      <c r="F1279" s="51"/>
      <c r="G1279" s="50" t="s">
        <v>102</v>
      </c>
      <c r="H1279" s="52">
        <f>1</f>
        <v>1</v>
      </c>
      <c r="I1279" s="36"/>
      <c r="J1279" s="52">
        <v>1</v>
      </c>
      <c r="K1279" s="53">
        <f>0</f>
        <v>0</v>
      </c>
      <c r="L1279" s="53">
        <f>0</f>
        <v>0</v>
      </c>
      <c r="M1279" s="53">
        <f>0</f>
        <v>0</v>
      </c>
      <c r="N1279" s="54">
        <f>SUM(K1279:M1279)</f>
        <v>0</v>
      </c>
      <c r="O1279" s="54">
        <f>ROUND((H1279*K1279),2)</f>
        <v>0</v>
      </c>
      <c r="P1279" s="54">
        <f>ROUND((H1279*L1279),2)</f>
        <v>0</v>
      </c>
      <c r="Q1279" s="54">
        <f>ROUND((H1279*M1279),2)</f>
        <v>0</v>
      </c>
      <c r="R1279" s="54">
        <f>ROUND((H1279*N1279),2)</f>
        <v>0</v>
      </c>
      <c r="S1279" s="54"/>
      <c r="T1279" s="36"/>
      <c r="XDA1279"/>
      <c r="XDB1279"/>
      <c r="XDC1279"/>
      <c r="XDD1279"/>
      <c r="XDE1279"/>
      <c r="XDF1279"/>
      <c r="XDG1279"/>
      <c r="XDH1279"/>
      <c r="XDI1279"/>
      <c r="XDJ1279"/>
      <c r="XDK1279"/>
      <c r="XDL1279"/>
      <c r="XDM1279"/>
      <c r="XDN1279"/>
      <c r="XDO1279"/>
      <c r="XDP1279"/>
      <c r="XDQ1279"/>
      <c r="XDR1279"/>
      <c r="XDS1279"/>
      <c r="XDT1279"/>
      <c r="XDU1279"/>
      <c r="XDV1279"/>
      <c r="XDW1279"/>
      <c r="XDX1279"/>
      <c r="XDY1279"/>
      <c r="XDZ1279"/>
      <c r="XEA1279"/>
      <c r="XEB1279"/>
      <c r="XEC1279"/>
      <c r="XED1279"/>
      <c r="XEE1279"/>
      <c r="XEF1279"/>
      <c r="XEG1279"/>
      <c r="XEH1279"/>
      <c r="XEI1279"/>
      <c r="XEJ1279"/>
      <c r="XEK1279"/>
      <c r="XEL1279"/>
      <c r="XEM1279"/>
      <c r="XEN1279"/>
      <c r="XEO1279"/>
      <c r="XEP1279"/>
      <c r="XEQ1279"/>
      <c r="XER1279"/>
      <c r="XES1279"/>
      <c r="XET1279"/>
      <c r="XEU1279"/>
      <c r="XEV1279"/>
      <c r="XEW1279"/>
      <c r="XEX1279"/>
      <c r="XEY1279"/>
      <c r="XEZ1279"/>
      <c r="XFA1279"/>
      <c r="XFB1279"/>
      <c r="XFC1279"/>
    </row>
    <row r="1280" spans="1:20 16329:16383" s="38" customFormat="1" ht="29.1" customHeight="1" outlineLevel="6" x14ac:dyDescent="0.25">
      <c r="A1280" s="49" t="s">
        <v>2356</v>
      </c>
      <c r="B1280" s="50"/>
      <c r="C1280" s="50"/>
      <c r="D1280" s="3" t="s">
        <v>2100</v>
      </c>
      <c r="E1280" s="3"/>
      <c r="F1280" s="51"/>
      <c r="G1280" s="50" t="s">
        <v>102</v>
      </c>
      <c r="H1280" s="52">
        <f>1</f>
        <v>1</v>
      </c>
      <c r="I1280" s="36"/>
      <c r="J1280" s="52">
        <v>1</v>
      </c>
      <c r="K1280" s="53">
        <f>0</f>
        <v>0</v>
      </c>
      <c r="L1280" s="53">
        <f>0</f>
        <v>0</v>
      </c>
      <c r="M1280" s="53">
        <f>0</f>
        <v>0</v>
      </c>
      <c r="N1280" s="54">
        <f>SUM(K1280:M1280)</f>
        <v>0</v>
      </c>
      <c r="O1280" s="54">
        <f>ROUND((H1280*K1280),2)</f>
        <v>0</v>
      </c>
      <c r="P1280" s="54">
        <f>ROUND((H1280*L1280),2)</f>
        <v>0</v>
      </c>
      <c r="Q1280" s="54">
        <f>ROUND((H1280*M1280),2)</f>
        <v>0</v>
      </c>
      <c r="R1280" s="54">
        <f>ROUND((H1280*N1280),2)</f>
        <v>0</v>
      </c>
      <c r="S1280" s="54"/>
      <c r="T1280" s="36"/>
      <c r="XDA1280"/>
      <c r="XDB1280"/>
      <c r="XDC1280"/>
      <c r="XDD1280"/>
      <c r="XDE1280"/>
      <c r="XDF1280"/>
      <c r="XDG1280"/>
      <c r="XDH1280"/>
      <c r="XDI1280"/>
      <c r="XDJ1280"/>
      <c r="XDK1280"/>
      <c r="XDL1280"/>
      <c r="XDM1280"/>
      <c r="XDN1280"/>
      <c r="XDO1280"/>
      <c r="XDP1280"/>
      <c r="XDQ1280"/>
      <c r="XDR1280"/>
      <c r="XDS1280"/>
      <c r="XDT1280"/>
      <c r="XDU1280"/>
      <c r="XDV1280"/>
      <c r="XDW1280"/>
      <c r="XDX1280"/>
      <c r="XDY1280"/>
      <c r="XDZ1280"/>
      <c r="XEA1280"/>
      <c r="XEB1280"/>
      <c r="XEC1280"/>
      <c r="XED1280"/>
      <c r="XEE1280"/>
      <c r="XEF1280"/>
      <c r="XEG1280"/>
      <c r="XEH1280"/>
      <c r="XEI1280"/>
      <c r="XEJ1280"/>
      <c r="XEK1280"/>
      <c r="XEL1280"/>
      <c r="XEM1280"/>
      <c r="XEN1280"/>
      <c r="XEO1280"/>
      <c r="XEP1280"/>
      <c r="XEQ1280"/>
      <c r="XER1280"/>
      <c r="XES1280"/>
      <c r="XET1280"/>
      <c r="XEU1280"/>
      <c r="XEV1280"/>
      <c r="XEW1280"/>
      <c r="XEX1280"/>
      <c r="XEY1280"/>
      <c r="XEZ1280"/>
      <c r="XFA1280"/>
      <c r="XFB1280"/>
      <c r="XFC1280"/>
    </row>
    <row r="1281" spans="1:20 16329:16383" s="38" customFormat="1" ht="29.1" customHeight="1" outlineLevel="6" x14ac:dyDescent="0.25">
      <c r="A1281" s="49" t="s">
        <v>2357</v>
      </c>
      <c r="B1281" s="50"/>
      <c r="C1281" s="50"/>
      <c r="D1281" s="3" t="s">
        <v>1890</v>
      </c>
      <c r="E1281" s="3"/>
      <c r="F1281" s="51"/>
      <c r="G1281" s="50" t="s">
        <v>102</v>
      </c>
      <c r="H1281" s="52">
        <f>1</f>
        <v>1</v>
      </c>
      <c r="I1281" s="36"/>
      <c r="J1281" s="52">
        <v>1</v>
      </c>
      <c r="K1281" s="53">
        <f>0</f>
        <v>0</v>
      </c>
      <c r="L1281" s="53">
        <f>0</f>
        <v>0</v>
      </c>
      <c r="M1281" s="53">
        <f>0</f>
        <v>0</v>
      </c>
      <c r="N1281" s="54">
        <f>SUM(K1281:M1281)</f>
        <v>0</v>
      </c>
      <c r="O1281" s="54">
        <f>ROUND((H1281*K1281),2)</f>
        <v>0</v>
      </c>
      <c r="P1281" s="54">
        <f>ROUND((H1281*L1281),2)</f>
        <v>0</v>
      </c>
      <c r="Q1281" s="54">
        <f>ROUND((H1281*M1281),2)</f>
        <v>0</v>
      </c>
      <c r="R1281" s="54">
        <f>ROUND((H1281*N1281),2)</f>
        <v>0</v>
      </c>
      <c r="S1281" s="54"/>
      <c r="T1281" s="36"/>
      <c r="XDA1281"/>
      <c r="XDB1281"/>
      <c r="XDC1281"/>
      <c r="XDD1281"/>
      <c r="XDE1281"/>
      <c r="XDF1281"/>
      <c r="XDG1281"/>
      <c r="XDH1281"/>
      <c r="XDI1281"/>
      <c r="XDJ1281"/>
      <c r="XDK1281"/>
      <c r="XDL1281"/>
      <c r="XDM1281"/>
      <c r="XDN1281"/>
      <c r="XDO1281"/>
      <c r="XDP1281"/>
      <c r="XDQ1281"/>
      <c r="XDR1281"/>
      <c r="XDS1281"/>
      <c r="XDT1281"/>
      <c r="XDU1281"/>
      <c r="XDV1281"/>
      <c r="XDW1281"/>
      <c r="XDX1281"/>
      <c r="XDY1281"/>
      <c r="XDZ1281"/>
      <c r="XEA1281"/>
      <c r="XEB1281"/>
      <c r="XEC1281"/>
      <c r="XED1281"/>
      <c r="XEE1281"/>
      <c r="XEF1281"/>
      <c r="XEG1281"/>
      <c r="XEH1281"/>
      <c r="XEI1281"/>
      <c r="XEJ1281"/>
      <c r="XEK1281"/>
      <c r="XEL1281"/>
      <c r="XEM1281"/>
      <c r="XEN1281"/>
      <c r="XEO1281"/>
      <c r="XEP1281"/>
      <c r="XEQ1281"/>
      <c r="XER1281"/>
      <c r="XES1281"/>
      <c r="XET1281"/>
      <c r="XEU1281"/>
      <c r="XEV1281"/>
      <c r="XEW1281"/>
      <c r="XEX1281"/>
      <c r="XEY1281"/>
      <c r="XEZ1281"/>
      <c r="XFA1281"/>
      <c r="XFB1281"/>
      <c r="XFC1281"/>
    </row>
    <row r="1282" spans="1:20 16329:16383" s="38" customFormat="1" ht="29.1" customHeight="1" outlineLevel="6" x14ac:dyDescent="0.25">
      <c r="A1282" s="49" t="s">
        <v>2358</v>
      </c>
      <c r="B1282" s="50"/>
      <c r="C1282" s="50"/>
      <c r="D1282" s="3" t="s">
        <v>1886</v>
      </c>
      <c r="E1282" s="3"/>
      <c r="F1282" s="51"/>
      <c r="G1282" s="50" t="s">
        <v>102</v>
      </c>
      <c r="H1282" s="52">
        <f>1</f>
        <v>1</v>
      </c>
      <c r="I1282" s="36"/>
      <c r="J1282" s="52">
        <v>1</v>
      </c>
      <c r="K1282" s="53">
        <f>0</f>
        <v>0</v>
      </c>
      <c r="L1282" s="53">
        <f>0</f>
        <v>0</v>
      </c>
      <c r="M1282" s="53">
        <f>0</f>
        <v>0</v>
      </c>
      <c r="N1282" s="54">
        <f>SUM(K1282:M1282)</f>
        <v>0</v>
      </c>
      <c r="O1282" s="54">
        <f>ROUND((H1282*K1282),2)</f>
        <v>0</v>
      </c>
      <c r="P1282" s="54">
        <f>ROUND((H1282*L1282),2)</f>
        <v>0</v>
      </c>
      <c r="Q1282" s="54">
        <f>ROUND((H1282*M1282),2)</f>
        <v>0</v>
      </c>
      <c r="R1282" s="54">
        <f>ROUND((H1282*N1282),2)</f>
        <v>0</v>
      </c>
      <c r="S1282" s="54"/>
      <c r="T1282" s="36"/>
      <c r="XDA1282"/>
      <c r="XDB1282"/>
      <c r="XDC1282"/>
      <c r="XDD1282"/>
      <c r="XDE1282"/>
      <c r="XDF1282"/>
      <c r="XDG1282"/>
      <c r="XDH1282"/>
      <c r="XDI1282"/>
      <c r="XDJ1282"/>
      <c r="XDK1282"/>
      <c r="XDL1282"/>
      <c r="XDM1282"/>
      <c r="XDN1282"/>
      <c r="XDO1282"/>
      <c r="XDP1282"/>
      <c r="XDQ1282"/>
      <c r="XDR1282"/>
      <c r="XDS1282"/>
      <c r="XDT1282"/>
      <c r="XDU1282"/>
      <c r="XDV1282"/>
      <c r="XDW1282"/>
      <c r="XDX1282"/>
      <c r="XDY1282"/>
      <c r="XDZ1282"/>
      <c r="XEA1282"/>
      <c r="XEB1282"/>
      <c r="XEC1282"/>
      <c r="XED1282"/>
      <c r="XEE1282"/>
      <c r="XEF1282"/>
      <c r="XEG1282"/>
      <c r="XEH1282"/>
      <c r="XEI1282"/>
      <c r="XEJ1282"/>
      <c r="XEK1282"/>
      <c r="XEL1282"/>
      <c r="XEM1282"/>
      <c r="XEN1282"/>
      <c r="XEO1282"/>
      <c r="XEP1282"/>
      <c r="XEQ1282"/>
      <c r="XER1282"/>
      <c r="XES1282"/>
      <c r="XET1282"/>
      <c r="XEU1282"/>
      <c r="XEV1282"/>
      <c r="XEW1282"/>
      <c r="XEX1282"/>
      <c r="XEY1282"/>
      <c r="XEZ1282"/>
      <c r="XFA1282"/>
      <c r="XFB1282"/>
      <c r="XFC1282"/>
    </row>
    <row r="1283" spans="1:20 16329:16383" s="38" customFormat="1" ht="29.1" customHeight="1" outlineLevel="6" x14ac:dyDescent="0.25">
      <c r="A1283" s="49" t="s">
        <v>2359</v>
      </c>
      <c r="B1283" s="50"/>
      <c r="C1283" s="50"/>
      <c r="D1283" s="3" t="s">
        <v>2103</v>
      </c>
      <c r="E1283" s="3"/>
      <c r="F1283" s="51"/>
      <c r="G1283" s="50" t="s">
        <v>102</v>
      </c>
      <c r="H1283" s="52">
        <f>1</f>
        <v>1</v>
      </c>
      <c r="I1283" s="36"/>
      <c r="J1283" s="52">
        <v>1</v>
      </c>
      <c r="K1283" s="53">
        <f>0</f>
        <v>0</v>
      </c>
      <c r="L1283" s="53">
        <f>0</f>
        <v>0</v>
      </c>
      <c r="M1283" s="53">
        <f>0</f>
        <v>0</v>
      </c>
      <c r="N1283" s="54">
        <f>SUM(K1283:M1283)</f>
        <v>0</v>
      </c>
      <c r="O1283" s="54">
        <f>ROUND((H1283*K1283),2)</f>
        <v>0</v>
      </c>
      <c r="P1283" s="54">
        <f>ROUND((H1283*L1283),2)</f>
        <v>0</v>
      </c>
      <c r="Q1283" s="54">
        <f>ROUND((H1283*M1283),2)</f>
        <v>0</v>
      </c>
      <c r="R1283" s="54">
        <f>ROUND((H1283*N1283),2)</f>
        <v>0</v>
      </c>
      <c r="S1283" s="54"/>
      <c r="T1283" s="36"/>
      <c r="XDA1283"/>
      <c r="XDB1283"/>
      <c r="XDC1283"/>
      <c r="XDD1283"/>
      <c r="XDE1283"/>
      <c r="XDF1283"/>
      <c r="XDG1283"/>
      <c r="XDH1283"/>
      <c r="XDI1283"/>
      <c r="XDJ1283"/>
      <c r="XDK1283"/>
      <c r="XDL1283"/>
      <c r="XDM1283"/>
      <c r="XDN1283"/>
      <c r="XDO1283"/>
      <c r="XDP1283"/>
      <c r="XDQ1283"/>
      <c r="XDR1283"/>
      <c r="XDS1283"/>
      <c r="XDT1283"/>
      <c r="XDU1283"/>
      <c r="XDV1283"/>
      <c r="XDW1283"/>
      <c r="XDX1283"/>
      <c r="XDY1283"/>
      <c r="XDZ1283"/>
      <c r="XEA1283"/>
      <c r="XEB1283"/>
      <c r="XEC1283"/>
      <c r="XED1283"/>
      <c r="XEE1283"/>
      <c r="XEF1283"/>
      <c r="XEG1283"/>
      <c r="XEH1283"/>
      <c r="XEI1283"/>
      <c r="XEJ1283"/>
      <c r="XEK1283"/>
      <c r="XEL1283"/>
      <c r="XEM1283"/>
      <c r="XEN1283"/>
      <c r="XEO1283"/>
      <c r="XEP1283"/>
      <c r="XEQ1283"/>
      <c r="XER1283"/>
      <c r="XES1283"/>
      <c r="XET1283"/>
      <c r="XEU1283"/>
      <c r="XEV1283"/>
      <c r="XEW1283"/>
      <c r="XEX1283"/>
      <c r="XEY1283"/>
      <c r="XEZ1283"/>
      <c r="XFA1283"/>
      <c r="XFB1283"/>
      <c r="XFC1283"/>
    </row>
    <row r="1284" spans="1:20 16329:16383" s="38" customFormat="1" ht="29.1" customHeight="1" outlineLevel="5" x14ac:dyDescent="0.25">
      <c r="A1284" s="65" t="s">
        <v>2360</v>
      </c>
      <c r="B1284" s="66" t="s">
        <v>2361</v>
      </c>
      <c r="C1284" s="66"/>
      <c r="D1284" s="98" t="s">
        <v>1899</v>
      </c>
      <c r="E1284" s="98"/>
      <c r="F1284" s="67"/>
      <c r="G1284" s="66"/>
      <c r="H1284" s="68"/>
      <c r="I1284" s="36"/>
      <c r="J1284" s="68"/>
      <c r="K1284" s="69"/>
      <c r="L1284" s="69"/>
      <c r="M1284" s="69"/>
      <c r="N1284" s="69"/>
      <c r="O1284" s="69">
        <f>O1285</f>
        <v>0</v>
      </c>
      <c r="P1284" s="69">
        <f>P1285</f>
        <v>0</v>
      </c>
      <c r="Q1284" s="69">
        <f>Q1285</f>
        <v>0</v>
      </c>
      <c r="R1284" s="69">
        <f>R1285</f>
        <v>0</v>
      </c>
      <c r="S1284" s="69"/>
      <c r="T1284" s="36"/>
      <c r="XDA1284"/>
      <c r="XDB1284"/>
      <c r="XDC1284"/>
      <c r="XDD1284"/>
      <c r="XDE1284"/>
      <c r="XDF1284"/>
      <c r="XDG1284"/>
      <c r="XDH1284"/>
      <c r="XDI1284"/>
      <c r="XDJ1284"/>
      <c r="XDK1284"/>
      <c r="XDL1284"/>
      <c r="XDM1284"/>
      <c r="XDN1284"/>
      <c r="XDO1284"/>
      <c r="XDP1284"/>
      <c r="XDQ1284"/>
      <c r="XDR1284"/>
      <c r="XDS1284"/>
      <c r="XDT1284"/>
      <c r="XDU1284"/>
      <c r="XDV1284"/>
      <c r="XDW1284"/>
      <c r="XDX1284"/>
      <c r="XDY1284"/>
      <c r="XDZ1284"/>
      <c r="XEA1284"/>
      <c r="XEB1284"/>
      <c r="XEC1284"/>
      <c r="XED1284"/>
      <c r="XEE1284"/>
      <c r="XEF1284"/>
      <c r="XEG1284"/>
      <c r="XEH1284"/>
      <c r="XEI1284"/>
      <c r="XEJ1284"/>
      <c r="XEK1284"/>
      <c r="XEL1284"/>
      <c r="XEM1284"/>
      <c r="XEN1284"/>
      <c r="XEO1284"/>
      <c r="XEP1284"/>
      <c r="XEQ1284"/>
      <c r="XER1284"/>
      <c r="XES1284"/>
      <c r="XET1284"/>
      <c r="XEU1284"/>
      <c r="XEV1284"/>
      <c r="XEW1284"/>
      <c r="XEX1284"/>
      <c r="XEY1284"/>
      <c r="XEZ1284"/>
      <c r="XFA1284"/>
      <c r="XFB1284"/>
      <c r="XFC1284"/>
    </row>
    <row r="1285" spans="1:20 16329:16383" s="38" customFormat="1" ht="29.1" customHeight="1" outlineLevel="6" x14ac:dyDescent="0.25">
      <c r="A1285" s="49" t="s">
        <v>2362</v>
      </c>
      <c r="B1285" s="50"/>
      <c r="C1285" s="50"/>
      <c r="D1285" s="3" t="s">
        <v>2107</v>
      </c>
      <c r="E1285" s="3"/>
      <c r="F1285" s="51"/>
      <c r="G1285" s="50" t="s">
        <v>102</v>
      </c>
      <c r="H1285" s="52">
        <f>1</f>
        <v>1</v>
      </c>
      <c r="I1285" s="36"/>
      <c r="J1285" s="52">
        <v>1</v>
      </c>
      <c r="K1285" s="53">
        <f>0</f>
        <v>0</v>
      </c>
      <c r="L1285" s="53">
        <f>0</f>
        <v>0</v>
      </c>
      <c r="M1285" s="53">
        <f>0</f>
        <v>0</v>
      </c>
      <c r="N1285" s="54">
        <f>SUM(K1285:M1285)</f>
        <v>0</v>
      </c>
      <c r="O1285" s="54">
        <f>ROUND((H1285*K1285),2)</f>
        <v>0</v>
      </c>
      <c r="P1285" s="54">
        <f>ROUND((H1285*L1285),2)</f>
        <v>0</v>
      </c>
      <c r="Q1285" s="54">
        <f>ROUND((H1285*M1285),2)</f>
        <v>0</v>
      </c>
      <c r="R1285" s="54">
        <f>ROUND((H1285*N1285),2)</f>
        <v>0</v>
      </c>
      <c r="S1285" s="54"/>
      <c r="T1285" s="36"/>
      <c r="XDA1285"/>
      <c r="XDB1285"/>
      <c r="XDC1285"/>
      <c r="XDD1285"/>
      <c r="XDE1285"/>
      <c r="XDF1285"/>
      <c r="XDG1285"/>
      <c r="XDH1285"/>
      <c r="XDI1285"/>
      <c r="XDJ1285"/>
      <c r="XDK1285"/>
      <c r="XDL1285"/>
      <c r="XDM1285"/>
      <c r="XDN1285"/>
      <c r="XDO1285"/>
      <c r="XDP1285"/>
      <c r="XDQ1285"/>
      <c r="XDR1285"/>
      <c r="XDS1285"/>
      <c r="XDT1285"/>
      <c r="XDU1285"/>
      <c r="XDV1285"/>
      <c r="XDW1285"/>
      <c r="XDX1285"/>
      <c r="XDY1285"/>
      <c r="XDZ1285"/>
      <c r="XEA1285"/>
      <c r="XEB1285"/>
      <c r="XEC1285"/>
      <c r="XED1285"/>
      <c r="XEE1285"/>
      <c r="XEF1285"/>
      <c r="XEG1285"/>
      <c r="XEH1285"/>
      <c r="XEI1285"/>
      <c r="XEJ1285"/>
      <c r="XEK1285"/>
      <c r="XEL1285"/>
      <c r="XEM1285"/>
      <c r="XEN1285"/>
      <c r="XEO1285"/>
      <c r="XEP1285"/>
      <c r="XEQ1285"/>
      <c r="XER1285"/>
      <c r="XES1285"/>
      <c r="XET1285"/>
      <c r="XEU1285"/>
      <c r="XEV1285"/>
      <c r="XEW1285"/>
      <c r="XEX1285"/>
      <c r="XEY1285"/>
      <c r="XEZ1285"/>
      <c r="XFA1285"/>
      <c r="XFB1285"/>
      <c r="XFC1285"/>
    </row>
    <row r="1286" spans="1:20 16329:16383" s="38" customFormat="1" ht="29.1" customHeight="1" outlineLevel="4" x14ac:dyDescent="0.25">
      <c r="A1286" s="60" t="s">
        <v>2363</v>
      </c>
      <c r="B1286" s="61" t="s">
        <v>2364</v>
      </c>
      <c r="C1286" s="61" t="s">
        <v>2329</v>
      </c>
      <c r="D1286" s="1" t="s">
        <v>2365</v>
      </c>
      <c r="E1286" s="1"/>
      <c r="F1286" s="62"/>
      <c r="G1286" s="61" t="s">
        <v>102</v>
      </c>
      <c r="H1286" s="63"/>
      <c r="I1286" s="36"/>
      <c r="J1286" s="63"/>
      <c r="K1286" s="64"/>
      <c r="L1286" s="64"/>
      <c r="M1286" s="64"/>
      <c r="N1286" s="64"/>
      <c r="O1286" s="64">
        <f>O1287+O1290+O1296</f>
        <v>0</v>
      </c>
      <c r="P1286" s="64">
        <f>P1287+P1290+P1296</f>
        <v>0</v>
      </c>
      <c r="Q1286" s="64">
        <f>Q1287+Q1290+Q1296</f>
        <v>0</v>
      </c>
      <c r="R1286" s="64">
        <f>R1287+R1290+R1296</f>
        <v>0</v>
      </c>
      <c r="S1286" s="64"/>
      <c r="T1286" s="36"/>
      <c r="XDA1286"/>
      <c r="XDB1286"/>
      <c r="XDC1286"/>
      <c r="XDD1286"/>
      <c r="XDE1286"/>
      <c r="XDF1286"/>
      <c r="XDG1286"/>
      <c r="XDH1286"/>
      <c r="XDI1286"/>
      <c r="XDJ1286"/>
      <c r="XDK1286"/>
      <c r="XDL1286"/>
      <c r="XDM1286"/>
      <c r="XDN1286"/>
      <c r="XDO1286"/>
      <c r="XDP1286"/>
      <c r="XDQ1286"/>
      <c r="XDR1286"/>
      <c r="XDS1286"/>
      <c r="XDT1286"/>
      <c r="XDU1286"/>
      <c r="XDV1286"/>
      <c r="XDW1286"/>
      <c r="XDX1286"/>
      <c r="XDY1286"/>
      <c r="XDZ1286"/>
      <c r="XEA1286"/>
      <c r="XEB1286"/>
      <c r="XEC1286"/>
      <c r="XED1286"/>
      <c r="XEE1286"/>
      <c r="XEF1286"/>
      <c r="XEG1286"/>
      <c r="XEH1286"/>
      <c r="XEI1286"/>
      <c r="XEJ1286"/>
      <c r="XEK1286"/>
      <c r="XEL1286"/>
      <c r="XEM1286"/>
      <c r="XEN1286"/>
      <c r="XEO1286"/>
      <c r="XEP1286"/>
      <c r="XEQ1286"/>
      <c r="XER1286"/>
      <c r="XES1286"/>
      <c r="XET1286"/>
      <c r="XEU1286"/>
      <c r="XEV1286"/>
      <c r="XEW1286"/>
      <c r="XEX1286"/>
      <c r="XEY1286"/>
      <c r="XEZ1286"/>
      <c r="XFA1286"/>
      <c r="XFB1286"/>
      <c r="XFC1286"/>
    </row>
    <row r="1287" spans="1:20 16329:16383" s="38" customFormat="1" ht="29.1" customHeight="1" outlineLevel="5" x14ac:dyDescent="0.25">
      <c r="A1287" s="65" t="s">
        <v>2366</v>
      </c>
      <c r="B1287" s="66" t="s">
        <v>2367</v>
      </c>
      <c r="C1287" s="66"/>
      <c r="D1287" s="98" t="s">
        <v>1873</v>
      </c>
      <c r="E1287" s="98"/>
      <c r="F1287" s="67"/>
      <c r="G1287" s="66"/>
      <c r="H1287" s="68"/>
      <c r="I1287" s="36"/>
      <c r="J1287" s="68"/>
      <c r="K1287" s="69"/>
      <c r="L1287" s="69"/>
      <c r="M1287" s="69"/>
      <c r="N1287" s="69"/>
      <c r="O1287" s="69">
        <f>O1288+O1289</f>
        <v>0</v>
      </c>
      <c r="P1287" s="69">
        <f>P1288+P1289</f>
        <v>0</v>
      </c>
      <c r="Q1287" s="69">
        <f>Q1288+Q1289</f>
        <v>0</v>
      </c>
      <c r="R1287" s="69">
        <f>R1288+R1289</f>
        <v>0</v>
      </c>
      <c r="S1287" s="69"/>
      <c r="T1287" s="36"/>
      <c r="XDA1287"/>
      <c r="XDB1287"/>
      <c r="XDC1287"/>
      <c r="XDD1287"/>
      <c r="XDE1287"/>
      <c r="XDF1287"/>
      <c r="XDG1287"/>
      <c r="XDH1287"/>
      <c r="XDI1287"/>
      <c r="XDJ1287"/>
      <c r="XDK1287"/>
      <c r="XDL1287"/>
      <c r="XDM1287"/>
      <c r="XDN1287"/>
      <c r="XDO1287"/>
      <c r="XDP1287"/>
      <c r="XDQ1287"/>
      <c r="XDR1287"/>
      <c r="XDS1287"/>
      <c r="XDT1287"/>
      <c r="XDU1287"/>
      <c r="XDV1287"/>
      <c r="XDW1287"/>
      <c r="XDX1287"/>
      <c r="XDY1287"/>
      <c r="XDZ1287"/>
      <c r="XEA1287"/>
      <c r="XEB1287"/>
      <c r="XEC1287"/>
      <c r="XED1287"/>
      <c r="XEE1287"/>
      <c r="XEF1287"/>
      <c r="XEG1287"/>
      <c r="XEH1287"/>
      <c r="XEI1287"/>
      <c r="XEJ1287"/>
      <c r="XEK1287"/>
      <c r="XEL1287"/>
      <c r="XEM1287"/>
      <c r="XEN1287"/>
      <c r="XEO1287"/>
      <c r="XEP1287"/>
      <c r="XEQ1287"/>
      <c r="XER1287"/>
      <c r="XES1287"/>
      <c r="XET1287"/>
      <c r="XEU1287"/>
      <c r="XEV1287"/>
      <c r="XEW1287"/>
      <c r="XEX1287"/>
      <c r="XEY1287"/>
      <c r="XEZ1287"/>
      <c r="XFA1287"/>
      <c r="XFB1287"/>
      <c r="XFC1287"/>
    </row>
    <row r="1288" spans="1:20 16329:16383" s="38" customFormat="1" ht="29.1" customHeight="1" outlineLevel="6" x14ac:dyDescent="0.25">
      <c r="A1288" s="49" t="s">
        <v>2368</v>
      </c>
      <c r="B1288" s="50"/>
      <c r="C1288" s="50"/>
      <c r="D1288" s="3" t="s">
        <v>2093</v>
      </c>
      <c r="E1288" s="3"/>
      <c r="F1288" s="51"/>
      <c r="G1288" s="50" t="s">
        <v>102</v>
      </c>
      <c r="H1288" s="52">
        <f>1</f>
        <v>1</v>
      </c>
      <c r="I1288" s="36"/>
      <c r="J1288" s="52">
        <v>1</v>
      </c>
      <c r="K1288" s="53">
        <f>0</f>
        <v>0</v>
      </c>
      <c r="L1288" s="53">
        <f>0</f>
        <v>0</v>
      </c>
      <c r="M1288" s="53">
        <f>0</f>
        <v>0</v>
      </c>
      <c r="N1288" s="54">
        <f>SUM(K1288:M1288)</f>
        <v>0</v>
      </c>
      <c r="O1288" s="54">
        <f>ROUND((H1288*K1288),2)</f>
        <v>0</v>
      </c>
      <c r="P1288" s="54">
        <f>ROUND((H1288*L1288),2)</f>
        <v>0</v>
      </c>
      <c r="Q1288" s="54">
        <f>ROUND((H1288*M1288),2)</f>
        <v>0</v>
      </c>
      <c r="R1288" s="54">
        <f>ROUND((H1288*N1288),2)</f>
        <v>0</v>
      </c>
      <c r="S1288" s="54"/>
      <c r="T1288" s="36"/>
      <c r="XDA1288"/>
      <c r="XDB1288"/>
      <c r="XDC1288"/>
      <c r="XDD1288"/>
      <c r="XDE1288"/>
      <c r="XDF1288"/>
      <c r="XDG1288"/>
      <c r="XDH1288"/>
      <c r="XDI1288"/>
      <c r="XDJ1288"/>
      <c r="XDK1288"/>
      <c r="XDL1288"/>
      <c r="XDM1288"/>
      <c r="XDN1288"/>
      <c r="XDO1288"/>
      <c r="XDP1288"/>
      <c r="XDQ1288"/>
      <c r="XDR1288"/>
      <c r="XDS1288"/>
      <c r="XDT1288"/>
      <c r="XDU1288"/>
      <c r="XDV1288"/>
      <c r="XDW1288"/>
      <c r="XDX1288"/>
      <c r="XDY1288"/>
      <c r="XDZ1288"/>
      <c r="XEA1288"/>
      <c r="XEB1288"/>
      <c r="XEC1288"/>
      <c r="XED1288"/>
      <c r="XEE1288"/>
      <c r="XEF1288"/>
      <c r="XEG1288"/>
      <c r="XEH1288"/>
      <c r="XEI1288"/>
      <c r="XEJ1288"/>
      <c r="XEK1288"/>
      <c r="XEL1288"/>
      <c r="XEM1288"/>
      <c r="XEN1288"/>
      <c r="XEO1288"/>
      <c r="XEP1288"/>
      <c r="XEQ1288"/>
      <c r="XER1288"/>
      <c r="XES1288"/>
      <c r="XET1288"/>
      <c r="XEU1288"/>
      <c r="XEV1288"/>
      <c r="XEW1288"/>
      <c r="XEX1288"/>
      <c r="XEY1288"/>
      <c r="XEZ1288"/>
      <c r="XFA1288"/>
      <c r="XFB1288"/>
      <c r="XFC1288"/>
    </row>
    <row r="1289" spans="1:20 16329:16383" s="38" customFormat="1" ht="29.1" customHeight="1" outlineLevel="6" x14ac:dyDescent="0.25">
      <c r="A1289" s="49" t="s">
        <v>2369</v>
      </c>
      <c r="B1289" s="50"/>
      <c r="C1289" s="50"/>
      <c r="D1289" s="3" t="s">
        <v>2336</v>
      </c>
      <c r="E1289" s="3"/>
      <c r="F1289" s="51"/>
      <c r="G1289" s="50" t="s">
        <v>102</v>
      </c>
      <c r="H1289" s="52">
        <f>1</f>
        <v>1</v>
      </c>
      <c r="I1289" s="36"/>
      <c r="J1289" s="52">
        <v>1</v>
      </c>
      <c r="K1289" s="53">
        <f>0</f>
        <v>0</v>
      </c>
      <c r="L1289" s="53">
        <f>0</f>
        <v>0</v>
      </c>
      <c r="M1289" s="53">
        <f>0</f>
        <v>0</v>
      </c>
      <c r="N1289" s="54">
        <f>SUM(K1289:M1289)</f>
        <v>0</v>
      </c>
      <c r="O1289" s="54">
        <f>ROUND((H1289*K1289),2)</f>
        <v>0</v>
      </c>
      <c r="P1289" s="54">
        <f>ROUND((H1289*L1289),2)</f>
        <v>0</v>
      </c>
      <c r="Q1289" s="54">
        <f>ROUND((H1289*M1289),2)</f>
        <v>0</v>
      </c>
      <c r="R1289" s="54">
        <f>ROUND((H1289*N1289),2)</f>
        <v>0</v>
      </c>
      <c r="S1289" s="54"/>
      <c r="T1289" s="36"/>
      <c r="XDA1289"/>
      <c r="XDB1289"/>
      <c r="XDC1289"/>
      <c r="XDD1289"/>
      <c r="XDE1289"/>
      <c r="XDF1289"/>
      <c r="XDG1289"/>
      <c r="XDH1289"/>
      <c r="XDI1289"/>
      <c r="XDJ1289"/>
      <c r="XDK1289"/>
      <c r="XDL1289"/>
      <c r="XDM1289"/>
      <c r="XDN1289"/>
      <c r="XDO1289"/>
      <c r="XDP1289"/>
      <c r="XDQ1289"/>
      <c r="XDR1289"/>
      <c r="XDS1289"/>
      <c r="XDT1289"/>
      <c r="XDU1289"/>
      <c r="XDV1289"/>
      <c r="XDW1289"/>
      <c r="XDX1289"/>
      <c r="XDY1289"/>
      <c r="XDZ1289"/>
      <c r="XEA1289"/>
      <c r="XEB1289"/>
      <c r="XEC1289"/>
      <c r="XED1289"/>
      <c r="XEE1289"/>
      <c r="XEF1289"/>
      <c r="XEG1289"/>
      <c r="XEH1289"/>
      <c r="XEI1289"/>
      <c r="XEJ1289"/>
      <c r="XEK1289"/>
      <c r="XEL1289"/>
      <c r="XEM1289"/>
      <c r="XEN1289"/>
      <c r="XEO1289"/>
      <c r="XEP1289"/>
      <c r="XEQ1289"/>
      <c r="XER1289"/>
      <c r="XES1289"/>
      <c r="XET1289"/>
      <c r="XEU1289"/>
      <c r="XEV1289"/>
      <c r="XEW1289"/>
      <c r="XEX1289"/>
      <c r="XEY1289"/>
      <c r="XEZ1289"/>
      <c r="XFA1289"/>
      <c r="XFB1289"/>
      <c r="XFC1289"/>
    </row>
    <row r="1290" spans="1:20 16329:16383" s="38" customFormat="1" ht="29.1" customHeight="1" outlineLevel="5" x14ac:dyDescent="0.25">
      <c r="A1290" s="65" t="s">
        <v>2370</v>
      </c>
      <c r="B1290" s="66" t="s">
        <v>2371</v>
      </c>
      <c r="C1290" s="66"/>
      <c r="D1290" s="98" t="s">
        <v>344</v>
      </c>
      <c r="E1290" s="98"/>
      <c r="F1290" s="67"/>
      <c r="G1290" s="66"/>
      <c r="H1290" s="68"/>
      <c r="I1290" s="36"/>
      <c r="J1290" s="68"/>
      <c r="K1290" s="69"/>
      <c r="L1290" s="69"/>
      <c r="M1290" s="69"/>
      <c r="N1290" s="69"/>
      <c r="O1290" s="69">
        <f>SUM(O1291:O1295)</f>
        <v>0</v>
      </c>
      <c r="P1290" s="69">
        <f>SUM(P1291:P1295)</f>
        <v>0</v>
      </c>
      <c r="Q1290" s="69">
        <f>SUM(Q1291:Q1295)</f>
        <v>0</v>
      </c>
      <c r="R1290" s="69">
        <f>SUM(R1291:R1295)</f>
        <v>0</v>
      </c>
      <c r="S1290" s="69"/>
      <c r="T1290" s="36"/>
      <c r="XDA1290"/>
      <c r="XDB1290"/>
      <c r="XDC1290"/>
      <c r="XDD1290"/>
      <c r="XDE1290"/>
      <c r="XDF1290"/>
      <c r="XDG1290"/>
      <c r="XDH1290"/>
      <c r="XDI1290"/>
      <c r="XDJ1290"/>
      <c r="XDK1290"/>
      <c r="XDL1290"/>
      <c r="XDM1290"/>
      <c r="XDN1290"/>
      <c r="XDO1290"/>
      <c r="XDP1290"/>
      <c r="XDQ1290"/>
      <c r="XDR1290"/>
      <c r="XDS1290"/>
      <c r="XDT1290"/>
      <c r="XDU1290"/>
      <c r="XDV1290"/>
      <c r="XDW1290"/>
      <c r="XDX1290"/>
      <c r="XDY1290"/>
      <c r="XDZ1290"/>
      <c r="XEA1290"/>
      <c r="XEB1290"/>
      <c r="XEC1290"/>
      <c r="XED1290"/>
      <c r="XEE1290"/>
      <c r="XEF1290"/>
      <c r="XEG1290"/>
      <c r="XEH1290"/>
      <c r="XEI1290"/>
      <c r="XEJ1290"/>
      <c r="XEK1290"/>
      <c r="XEL1290"/>
      <c r="XEM1290"/>
      <c r="XEN1290"/>
      <c r="XEO1290"/>
      <c r="XEP1290"/>
      <c r="XEQ1290"/>
      <c r="XER1290"/>
      <c r="XES1290"/>
      <c r="XET1290"/>
      <c r="XEU1290"/>
      <c r="XEV1290"/>
      <c r="XEW1290"/>
      <c r="XEX1290"/>
      <c r="XEY1290"/>
      <c r="XEZ1290"/>
      <c r="XFA1290"/>
      <c r="XFB1290"/>
      <c r="XFC1290"/>
    </row>
    <row r="1291" spans="1:20 16329:16383" s="38" customFormat="1" ht="29.1" customHeight="1" outlineLevel="6" x14ac:dyDescent="0.25">
      <c r="A1291" s="49" t="s">
        <v>2372</v>
      </c>
      <c r="B1291" s="50"/>
      <c r="C1291" s="50"/>
      <c r="D1291" s="3" t="s">
        <v>1884</v>
      </c>
      <c r="E1291" s="3"/>
      <c r="F1291" s="51"/>
      <c r="G1291" s="50" t="s">
        <v>102</v>
      </c>
      <c r="H1291" s="52">
        <f>1</f>
        <v>1</v>
      </c>
      <c r="I1291" s="36"/>
      <c r="J1291" s="52">
        <v>1</v>
      </c>
      <c r="K1291" s="53">
        <f>0</f>
        <v>0</v>
      </c>
      <c r="L1291" s="53">
        <f>0</f>
        <v>0</v>
      </c>
      <c r="M1291" s="53">
        <f>0</f>
        <v>0</v>
      </c>
      <c r="N1291" s="54">
        <f>SUM(K1291:M1291)</f>
        <v>0</v>
      </c>
      <c r="O1291" s="54">
        <f>ROUND((H1291*K1291),2)</f>
        <v>0</v>
      </c>
      <c r="P1291" s="54">
        <f>ROUND((H1291*L1291),2)</f>
        <v>0</v>
      </c>
      <c r="Q1291" s="54">
        <f>ROUND((H1291*M1291),2)</f>
        <v>0</v>
      </c>
      <c r="R1291" s="54">
        <f>ROUND((H1291*N1291),2)</f>
        <v>0</v>
      </c>
      <c r="S1291" s="54"/>
      <c r="T1291" s="36"/>
      <c r="XDA1291"/>
      <c r="XDB1291"/>
      <c r="XDC1291"/>
      <c r="XDD1291"/>
      <c r="XDE1291"/>
      <c r="XDF1291"/>
      <c r="XDG1291"/>
      <c r="XDH1291"/>
      <c r="XDI1291"/>
      <c r="XDJ1291"/>
      <c r="XDK1291"/>
      <c r="XDL1291"/>
      <c r="XDM1291"/>
      <c r="XDN1291"/>
      <c r="XDO1291"/>
      <c r="XDP1291"/>
      <c r="XDQ1291"/>
      <c r="XDR1291"/>
      <c r="XDS1291"/>
      <c r="XDT1291"/>
      <c r="XDU1291"/>
      <c r="XDV1291"/>
      <c r="XDW1291"/>
      <c r="XDX1291"/>
      <c r="XDY1291"/>
      <c r="XDZ1291"/>
      <c r="XEA1291"/>
      <c r="XEB1291"/>
      <c r="XEC1291"/>
      <c r="XED1291"/>
      <c r="XEE1291"/>
      <c r="XEF1291"/>
      <c r="XEG1291"/>
      <c r="XEH1291"/>
      <c r="XEI1291"/>
      <c r="XEJ1291"/>
      <c r="XEK1291"/>
      <c r="XEL1291"/>
      <c r="XEM1291"/>
      <c r="XEN1291"/>
      <c r="XEO1291"/>
      <c r="XEP1291"/>
      <c r="XEQ1291"/>
      <c r="XER1291"/>
      <c r="XES1291"/>
      <c r="XET1291"/>
      <c r="XEU1291"/>
      <c r="XEV1291"/>
      <c r="XEW1291"/>
      <c r="XEX1291"/>
      <c r="XEY1291"/>
      <c r="XEZ1291"/>
      <c r="XFA1291"/>
      <c r="XFB1291"/>
      <c r="XFC1291"/>
    </row>
    <row r="1292" spans="1:20 16329:16383" s="38" customFormat="1" ht="29.1" customHeight="1" outlineLevel="6" x14ac:dyDescent="0.25">
      <c r="A1292" s="49" t="s">
        <v>2373</v>
      </c>
      <c r="B1292" s="50"/>
      <c r="C1292" s="50"/>
      <c r="D1292" s="3" t="s">
        <v>2100</v>
      </c>
      <c r="E1292" s="3"/>
      <c r="F1292" s="51"/>
      <c r="G1292" s="50" t="s">
        <v>102</v>
      </c>
      <c r="H1292" s="52">
        <f>1</f>
        <v>1</v>
      </c>
      <c r="I1292" s="36"/>
      <c r="J1292" s="52">
        <v>1</v>
      </c>
      <c r="K1292" s="53">
        <f>0</f>
        <v>0</v>
      </c>
      <c r="L1292" s="53">
        <f>0</f>
        <v>0</v>
      </c>
      <c r="M1292" s="53">
        <f>0</f>
        <v>0</v>
      </c>
      <c r="N1292" s="54">
        <f>SUM(K1292:M1292)</f>
        <v>0</v>
      </c>
      <c r="O1292" s="54">
        <f>ROUND((H1292*K1292),2)</f>
        <v>0</v>
      </c>
      <c r="P1292" s="54">
        <f>ROUND((H1292*L1292),2)</f>
        <v>0</v>
      </c>
      <c r="Q1292" s="54">
        <f>ROUND((H1292*M1292),2)</f>
        <v>0</v>
      </c>
      <c r="R1292" s="54">
        <f>ROUND((H1292*N1292),2)</f>
        <v>0</v>
      </c>
      <c r="S1292" s="54"/>
      <c r="T1292" s="36"/>
      <c r="XDA1292"/>
      <c r="XDB1292"/>
      <c r="XDC1292"/>
      <c r="XDD1292"/>
      <c r="XDE1292"/>
      <c r="XDF1292"/>
      <c r="XDG1292"/>
      <c r="XDH1292"/>
      <c r="XDI1292"/>
      <c r="XDJ1292"/>
      <c r="XDK1292"/>
      <c r="XDL1292"/>
      <c r="XDM1292"/>
      <c r="XDN1292"/>
      <c r="XDO1292"/>
      <c r="XDP1292"/>
      <c r="XDQ1292"/>
      <c r="XDR1292"/>
      <c r="XDS1292"/>
      <c r="XDT1292"/>
      <c r="XDU1292"/>
      <c r="XDV1292"/>
      <c r="XDW1292"/>
      <c r="XDX1292"/>
      <c r="XDY1292"/>
      <c r="XDZ1292"/>
      <c r="XEA1292"/>
      <c r="XEB1292"/>
      <c r="XEC1292"/>
      <c r="XED1292"/>
      <c r="XEE1292"/>
      <c r="XEF1292"/>
      <c r="XEG1292"/>
      <c r="XEH1292"/>
      <c r="XEI1292"/>
      <c r="XEJ1292"/>
      <c r="XEK1292"/>
      <c r="XEL1292"/>
      <c r="XEM1292"/>
      <c r="XEN1292"/>
      <c r="XEO1292"/>
      <c r="XEP1292"/>
      <c r="XEQ1292"/>
      <c r="XER1292"/>
      <c r="XES1292"/>
      <c r="XET1292"/>
      <c r="XEU1292"/>
      <c r="XEV1292"/>
      <c r="XEW1292"/>
      <c r="XEX1292"/>
      <c r="XEY1292"/>
      <c r="XEZ1292"/>
      <c r="XFA1292"/>
      <c r="XFB1292"/>
      <c r="XFC1292"/>
    </row>
    <row r="1293" spans="1:20 16329:16383" s="38" customFormat="1" ht="29.1" customHeight="1" outlineLevel="6" x14ac:dyDescent="0.25">
      <c r="A1293" s="49" t="s">
        <v>2374</v>
      </c>
      <c r="B1293" s="50"/>
      <c r="C1293" s="50"/>
      <c r="D1293" s="3" t="s">
        <v>1890</v>
      </c>
      <c r="E1293" s="3"/>
      <c r="F1293" s="51"/>
      <c r="G1293" s="50" t="s">
        <v>102</v>
      </c>
      <c r="H1293" s="52">
        <f>1</f>
        <v>1</v>
      </c>
      <c r="I1293" s="36"/>
      <c r="J1293" s="52">
        <v>1</v>
      </c>
      <c r="K1293" s="53">
        <f>0</f>
        <v>0</v>
      </c>
      <c r="L1293" s="53">
        <f>0</f>
        <v>0</v>
      </c>
      <c r="M1293" s="53">
        <f>0</f>
        <v>0</v>
      </c>
      <c r="N1293" s="54">
        <f>SUM(K1293:M1293)</f>
        <v>0</v>
      </c>
      <c r="O1293" s="54">
        <f>ROUND((H1293*K1293),2)</f>
        <v>0</v>
      </c>
      <c r="P1293" s="54">
        <f>ROUND((H1293*L1293),2)</f>
        <v>0</v>
      </c>
      <c r="Q1293" s="54">
        <f>ROUND((H1293*M1293),2)</f>
        <v>0</v>
      </c>
      <c r="R1293" s="54">
        <f>ROUND((H1293*N1293),2)</f>
        <v>0</v>
      </c>
      <c r="S1293" s="54"/>
      <c r="T1293" s="36"/>
      <c r="XDA1293"/>
      <c r="XDB1293"/>
      <c r="XDC1293"/>
      <c r="XDD1293"/>
      <c r="XDE1293"/>
      <c r="XDF1293"/>
      <c r="XDG1293"/>
      <c r="XDH1293"/>
      <c r="XDI1293"/>
      <c r="XDJ1293"/>
      <c r="XDK1293"/>
      <c r="XDL1293"/>
      <c r="XDM1293"/>
      <c r="XDN1293"/>
      <c r="XDO1293"/>
      <c r="XDP1293"/>
      <c r="XDQ1293"/>
      <c r="XDR1293"/>
      <c r="XDS1293"/>
      <c r="XDT1293"/>
      <c r="XDU1293"/>
      <c r="XDV1293"/>
      <c r="XDW1293"/>
      <c r="XDX1293"/>
      <c r="XDY1293"/>
      <c r="XDZ1293"/>
      <c r="XEA1293"/>
      <c r="XEB1293"/>
      <c r="XEC1293"/>
      <c r="XED1293"/>
      <c r="XEE1293"/>
      <c r="XEF1293"/>
      <c r="XEG1293"/>
      <c r="XEH1293"/>
      <c r="XEI1293"/>
      <c r="XEJ1293"/>
      <c r="XEK1293"/>
      <c r="XEL1293"/>
      <c r="XEM1293"/>
      <c r="XEN1293"/>
      <c r="XEO1293"/>
      <c r="XEP1293"/>
      <c r="XEQ1293"/>
      <c r="XER1293"/>
      <c r="XES1293"/>
      <c r="XET1293"/>
      <c r="XEU1293"/>
      <c r="XEV1293"/>
      <c r="XEW1293"/>
      <c r="XEX1293"/>
      <c r="XEY1293"/>
      <c r="XEZ1293"/>
      <c r="XFA1293"/>
      <c r="XFB1293"/>
      <c r="XFC1293"/>
    </row>
    <row r="1294" spans="1:20 16329:16383" s="38" customFormat="1" ht="29.1" customHeight="1" outlineLevel="6" x14ac:dyDescent="0.25">
      <c r="A1294" s="49" t="s">
        <v>2375</v>
      </c>
      <c r="B1294" s="50"/>
      <c r="C1294" s="50"/>
      <c r="D1294" s="3" t="s">
        <v>1886</v>
      </c>
      <c r="E1294" s="3"/>
      <c r="F1294" s="51"/>
      <c r="G1294" s="50" t="s">
        <v>102</v>
      </c>
      <c r="H1294" s="52">
        <f>1</f>
        <v>1</v>
      </c>
      <c r="I1294" s="36"/>
      <c r="J1294" s="52">
        <v>1</v>
      </c>
      <c r="K1294" s="53">
        <f>0</f>
        <v>0</v>
      </c>
      <c r="L1294" s="53">
        <f>0</f>
        <v>0</v>
      </c>
      <c r="M1294" s="53">
        <f>0</f>
        <v>0</v>
      </c>
      <c r="N1294" s="54">
        <f>SUM(K1294:M1294)</f>
        <v>0</v>
      </c>
      <c r="O1294" s="54">
        <f>ROUND((H1294*K1294),2)</f>
        <v>0</v>
      </c>
      <c r="P1294" s="54">
        <f>ROUND((H1294*L1294),2)</f>
        <v>0</v>
      </c>
      <c r="Q1294" s="54">
        <f>ROUND((H1294*M1294),2)</f>
        <v>0</v>
      </c>
      <c r="R1294" s="54">
        <f>ROUND((H1294*N1294),2)</f>
        <v>0</v>
      </c>
      <c r="S1294" s="54"/>
      <c r="T1294" s="36"/>
      <c r="XDA1294"/>
      <c r="XDB1294"/>
      <c r="XDC1294"/>
      <c r="XDD1294"/>
      <c r="XDE1294"/>
      <c r="XDF1294"/>
      <c r="XDG1294"/>
      <c r="XDH1294"/>
      <c r="XDI1294"/>
      <c r="XDJ1294"/>
      <c r="XDK1294"/>
      <c r="XDL1294"/>
      <c r="XDM1294"/>
      <c r="XDN1294"/>
      <c r="XDO1294"/>
      <c r="XDP1294"/>
      <c r="XDQ1294"/>
      <c r="XDR1294"/>
      <c r="XDS1294"/>
      <c r="XDT1294"/>
      <c r="XDU1294"/>
      <c r="XDV1294"/>
      <c r="XDW1294"/>
      <c r="XDX1294"/>
      <c r="XDY1294"/>
      <c r="XDZ1294"/>
      <c r="XEA1294"/>
      <c r="XEB1294"/>
      <c r="XEC1294"/>
      <c r="XED1294"/>
      <c r="XEE1294"/>
      <c r="XEF1294"/>
      <c r="XEG1294"/>
      <c r="XEH1294"/>
      <c r="XEI1294"/>
      <c r="XEJ1294"/>
      <c r="XEK1294"/>
      <c r="XEL1294"/>
      <c r="XEM1294"/>
      <c r="XEN1294"/>
      <c r="XEO1294"/>
      <c r="XEP1294"/>
      <c r="XEQ1294"/>
      <c r="XER1294"/>
      <c r="XES1294"/>
      <c r="XET1294"/>
      <c r="XEU1294"/>
      <c r="XEV1294"/>
      <c r="XEW1294"/>
      <c r="XEX1294"/>
      <c r="XEY1294"/>
      <c r="XEZ1294"/>
      <c r="XFA1294"/>
      <c r="XFB1294"/>
      <c r="XFC1294"/>
    </row>
    <row r="1295" spans="1:20 16329:16383" s="38" customFormat="1" ht="29.1" customHeight="1" outlineLevel="6" x14ac:dyDescent="0.25">
      <c r="A1295" s="49" t="s">
        <v>2376</v>
      </c>
      <c r="B1295" s="50"/>
      <c r="C1295" s="50"/>
      <c r="D1295" s="3" t="s">
        <v>2103</v>
      </c>
      <c r="E1295" s="3"/>
      <c r="F1295" s="51"/>
      <c r="G1295" s="50" t="s">
        <v>102</v>
      </c>
      <c r="H1295" s="52">
        <f>1</f>
        <v>1</v>
      </c>
      <c r="I1295" s="36"/>
      <c r="J1295" s="52">
        <v>1</v>
      </c>
      <c r="K1295" s="53">
        <f>0</f>
        <v>0</v>
      </c>
      <c r="L1295" s="53">
        <f>0</f>
        <v>0</v>
      </c>
      <c r="M1295" s="53">
        <f>0</f>
        <v>0</v>
      </c>
      <c r="N1295" s="54">
        <f>SUM(K1295:M1295)</f>
        <v>0</v>
      </c>
      <c r="O1295" s="54">
        <f>ROUND((H1295*K1295),2)</f>
        <v>0</v>
      </c>
      <c r="P1295" s="54">
        <f>ROUND((H1295*L1295),2)</f>
        <v>0</v>
      </c>
      <c r="Q1295" s="54">
        <f>ROUND((H1295*M1295),2)</f>
        <v>0</v>
      </c>
      <c r="R1295" s="54">
        <f>ROUND((H1295*N1295),2)</f>
        <v>0</v>
      </c>
      <c r="S1295" s="54"/>
      <c r="T1295" s="36"/>
      <c r="XDA1295"/>
      <c r="XDB1295"/>
      <c r="XDC1295"/>
      <c r="XDD1295"/>
      <c r="XDE1295"/>
      <c r="XDF1295"/>
      <c r="XDG1295"/>
      <c r="XDH1295"/>
      <c r="XDI1295"/>
      <c r="XDJ1295"/>
      <c r="XDK1295"/>
      <c r="XDL1295"/>
      <c r="XDM1295"/>
      <c r="XDN1295"/>
      <c r="XDO1295"/>
      <c r="XDP1295"/>
      <c r="XDQ1295"/>
      <c r="XDR1295"/>
      <c r="XDS1295"/>
      <c r="XDT1295"/>
      <c r="XDU1295"/>
      <c r="XDV1295"/>
      <c r="XDW1295"/>
      <c r="XDX1295"/>
      <c r="XDY1295"/>
      <c r="XDZ1295"/>
      <c r="XEA1295"/>
      <c r="XEB1295"/>
      <c r="XEC1295"/>
      <c r="XED1295"/>
      <c r="XEE1295"/>
      <c r="XEF1295"/>
      <c r="XEG1295"/>
      <c r="XEH1295"/>
      <c r="XEI1295"/>
      <c r="XEJ1295"/>
      <c r="XEK1295"/>
      <c r="XEL1295"/>
      <c r="XEM1295"/>
      <c r="XEN1295"/>
      <c r="XEO1295"/>
      <c r="XEP1295"/>
      <c r="XEQ1295"/>
      <c r="XER1295"/>
      <c r="XES1295"/>
      <c r="XET1295"/>
      <c r="XEU1295"/>
      <c r="XEV1295"/>
      <c r="XEW1295"/>
      <c r="XEX1295"/>
      <c r="XEY1295"/>
      <c r="XEZ1295"/>
      <c r="XFA1295"/>
      <c r="XFB1295"/>
      <c r="XFC1295"/>
    </row>
    <row r="1296" spans="1:20 16329:16383" s="38" customFormat="1" ht="29.1" customHeight="1" outlineLevel="5" x14ac:dyDescent="0.25">
      <c r="A1296" s="65" t="s">
        <v>2377</v>
      </c>
      <c r="B1296" s="66" t="s">
        <v>2378</v>
      </c>
      <c r="C1296" s="66"/>
      <c r="D1296" s="98" t="s">
        <v>1899</v>
      </c>
      <c r="E1296" s="98"/>
      <c r="F1296" s="67"/>
      <c r="G1296" s="66"/>
      <c r="H1296" s="68"/>
      <c r="I1296" s="36"/>
      <c r="J1296" s="68"/>
      <c r="K1296" s="69"/>
      <c r="L1296" s="69"/>
      <c r="M1296" s="69"/>
      <c r="N1296" s="69"/>
      <c r="O1296" s="69">
        <f>O1297</f>
        <v>0</v>
      </c>
      <c r="P1296" s="69">
        <f>P1297</f>
        <v>0</v>
      </c>
      <c r="Q1296" s="69">
        <f>Q1297</f>
        <v>0</v>
      </c>
      <c r="R1296" s="69">
        <f>R1297</f>
        <v>0</v>
      </c>
      <c r="S1296" s="69"/>
      <c r="T1296" s="36"/>
      <c r="XDA1296"/>
      <c r="XDB1296"/>
      <c r="XDC1296"/>
      <c r="XDD1296"/>
      <c r="XDE1296"/>
      <c r="XDF1296"/>
      <c r="XDG1296"/>
      <c r="XDH1296"/>
      <c r="XDI1296"/>
      <c r="XDJ1296"/>
      <c r="XDK1296"/>
      <c r="XDL1296"/>
      <c r="XDM1296"/>
      <c r="XDN1296"/>
      <c r="XDO1296"/>
      <c r="XDP1296"/>
      <c r="XDQ1296"/>
      <c r="XDR1296"/>
      <c r="XDS1296"/>
      <c r="XDT1296"/>
      <c r="XDU1296"/>
      <c r="XDV1296"/>
      <c r="XDW1296"/>
      <c r="XDX1296"/>
      <c r="XDY1296"/>
      <c r="XDZ1296"/>
      <c r="XEA1296"/>
      <c r="XEB1296"/>
      <c r="XEC1296"/>
      <c r="XED1296"/>
      <c r="XEE1296"/>
      <c r="XEF1296"/>
      <c r="XEG1296"/>
      <c r="XEH1296"/>
      <c r="XEI1296"/>
      <c r="XEJ1296"/>
      <c r="XEK1296"/>
      <c r="XEL1296"/>
      <c r="XEM1296"/>
      <c r="XEN1296"/>
      <c r="XEO1296"/>
      <c r="XEP1296"/>
      <c r="XEQ1296"/>
      <c r="XER1296"/>
      <c r="XES1296"/>
      <c r="XET1296"/>
      <c r="XEU1296"/>
      <c r="XEV1296"/>
      <c r="XEW1296"/>
      <c r="XEX1296"/>
      <c r="XEY1296"/>
      <c r="XEZ1296"/>
      <c r="XFA1296"/>
      <c r="XFB1296"/>
      <c r="XFC1296"/>
    </row>
    <row r="1297" spans="1:20 16329:16383" s="38" customFormat="1" ht="29.1" customHeight="1" outlineLevel="6" x14ac:dyDescent="0.25">
      <c r="A1297" s="49" t="s">
        <v>2379</v>
      </c>
      <c r="B1297" s="50"/>
      <c r="C1297" s="50"/>
      <c r="D1297" s="3" t="s">
        <v>2107</v>
      </c>
      <c r="E1297" s="3"/>
      <c r="F1297" s="51"/>
      <c r="G1297" s="50" t="s">
        <v>102</v>
      </c>
      <c r="H1297" s="52">
        <f>1</f>
        <v>1</v>
      </c>
      <c r="I1297" s="36"/>
      <c r="J1297" s="52">
        <v>1</v>
      </c>
      <c r="K1297" s="53">
        <f>0</f>
        <v>0</v>
      </c>
      <c r="L1297" s="53">
        <f>0</f>
        <v>0</v>
      </c>
      <c r="M1297" s="53">
        <f>0</f>
        <v>0</v>
      </c>
      <c r="N1297" s="54">
        <f>SUM(K1297:M1297)</f>
        <v>0</v>
      </c>
      <c r="O1297" s="54">
        <f>ROUND((H1297*K1297),2)</f>
        <v>0</v>
      </c>
      <c r="P1297" s="54">
        <f>ROUND((H1297*L1297),2)</f>
        <v>0</v>
      </c>
      <c r="Q1297" s="54">
        <f>ROUND((H1297*M1297),2)</f>
        <v>0</v>
      </c>
      <c r="R1297" s="54">
        <f>ROUND((H1297*N1297),2)</f>
        <v>0</v>
      </c>
      <c r="S1297" s="54"/>
      <c r="T1297" s="36"/>
      <c r="XDA1297"/>
      <c r="XDB1297"/>
      <c r="XDC1297"/>
      <c r="XDD1297"/>
      <c r="XDE1297"/>
      <c r="XDF1297"/>
      <c r="XDG1297"/>
      <c r="XDH1297"/>
      <c r="XDI1297"/>
      <c r="XDJ1297"/>
      <c r="XDK1297"/>
      <c r="XDL1297"/>
      <c r="XDM1297"/>
      <c r="XDN1297"/>
      <c r="XDO1297"/>
      <c r="XDP1297"/>
      <c r="XDQ1297"/>
      <c r="XDR1297"/>
      <c r="XDS1297"/>
      <c r="XDT1297"/>
      <c r="XDU1297"/>
      <c r="XDV1297"/>
      <c r="XDW1297"/>
      <c r="XDX1297"/>
      <c r="XDY1297"/>
      <c r="XDZ1297"/>
      <c r="XEA1297"/>
      <c r="XEB1297"/>
      <c r="XEC1297"/>
      <c r="XED1297"/>
      <c r="XEE1297"/>
      <c r="XEF1297"/>
      <c r="XEG1297"/>
      <c r="XEH1297"/>
      <c r="XEI1297"/>
      <c r="XEJ1297"/>
      <c r="XEK1297"/>
      <c r="XEL1297"/>
      <c r="XEM1297"/>
      <c r="XEN1297"/>
      <c r="XEO1297"/>
      <c r="XEP1297"/>
      <c r="XEQ1297"/>
      <c r="XER1297"/>
      <c r="XES1297"/>
      <c r="XET1297"/>
      <c r="XEU1297"/>
      <c r="XEV1297"/>
      <c r="XEW1297"/>
      <c r="XEX1297"/>
      <c r="XEY1297"/>
      <c r="XEZ1297"/>
      <c r="XFA1297"/>
      <c r="XFB1297"/>
      <c r="XFC1297"/>
    </row>
    <row r="1298" spans="1:20 16329:16383" s="38" customFormat="1" ht="29.1" customHeight="1" outlineLevel="4" x14ac:dyDescent="0.25">
      <c r="A1298" s="60" t="s">
        <v>2380</v>
      </c>
      <c r="B1298" s="61" t="s">
        <v>2381</v>
      </c>
      <c r="C1298" s="61" t="s">
        <v>2382</v>
      </c>
      <c r="D1298" s="1" t="s">
        <v>2383</v>
      </c>
      <c r="E1298" s="1"/>
      <c r="F1298" s="62"/>
      <c r="G1298" s="61" t="s">
        <v>102</v>
      </c>
      <c r="H1298" s="63"/>
      <c r="I1298" s="36"/>
      <c r="J1298" s="63"/>
      <c r="K1298" s="64"/>
      <c r="L1298" s="64"/>
      <c r="M1298" s="64"/>
      <c r="N1298" s="64"/>
      <c r="O1298" s="64">
        <f>O1299+O1307+O1314+O1323</f>
        <v>0</v>
      </c>
      <c r="P1298" s="64">
        <f>P1299+P1307+P1314+P1323</f>
        <v>0</v>
      </c>
      <c r="Q1298" s="64">
        <f>Q1299+Q1307+Q1314+Q1323</f>
        <v>0</v>
      </c>
      <c r="R1298" s="64">
        <f>R1299+R1307+R1314+R1323</f>
        <v>0</v>
      </c>
      <c r="S1298" s="64"/>
      <c r="T1298" s="36"/>
      <c r="XDA1298"/>
      <c r="XDB1298"/>
      <c r="XDC1298"/>
      <c r="XDD1298"/>
      <c r="XDE1298"/>
      <c r="XDF1298"/>
      <c r="XDG1298"/>
      <c r="XDH1298"/>
      <c r="XDI1298"/>
      <c r="XDJ1298"/>
      <c r="XDK1298"/>
      <c r="XDL1298"/>
      <c r="XDM1298"/>
      <c r="XDN1298"/>
      <c r="XDO1298"/>
      <c r="XDP1298"/>
      <c r="XDQ1298"/>
      <c r="XDR1298"/>
      <c r="XDS1298"/>
      <c r="XDT1298"/>
      <c r="XDU1298"/>
      <c r="XDV1298"/>
      <c r="XDW1298"/>
      <c r="XDX1298"/>
      <c r="XDY1298"/>
      <c r="XDZ1298"/>
      <c r="XEA1298"/>
      <c r="XEB1298"/>
      <c r="XEC1298"/>
      <c r="XED1298"/>
      <c r="XEE1298"/>
      <c r="XEF1298"/>
      <c r="XEG1298"/>
      <c r="XEH1298"/>
      <c r="XEI1298"/>
      <c r="XEJ1298"/>
      <c r="XEK1298"/>
      <c r="XEL1298"/>
      <c r="XEM1298"/>
      <c r="XEN1298"/>
      <c r="XEO1298"/>
      <c r="XEP1298"/>
      <c r="XEQ1298"/>
      <c r="XER1298"/>
      <c r="XES1298"/>
      <c r="XET1298"/>
      <c r="XEU1298"/>
      <c r="XEV1298"/>
      <c r="XEW1298"/>
      <c r="XEX1298"/>
      <c r="XEY1298"/>
      <c r="XEZ1298"/>
      <c r="XFA1298"/>
      <c r="XFB1298"/>
      <c r="XFC1298"/>
    </row>
    <row r="1299" spans="1:20 16329:16383" s="38" customFormat="1" ht="29.1" customHeight="1" outlineLevel="5" x14ac:dyDescent="0.25">
      <c r="A1299" s="65" t="s">
        <v>2384</v>
      </c>
      <c r="B1299" s="66" t="s">
        <v>2385</v>
      </c>
      <c r="C1299" s="66"/>
      <c r="D1299" s="98" t="s">
        <v>1873</v>
      </c>
      <c r="E1299" s="98"/>
      <c r="F1299" s="67"/>
      <c r="G1299" s="66"/>
      <c r="H1299" s="68"/>
      <c r="I1299" s="36"/>
      <c r="J1299" s="68"/>
      <c r="K1299" s="69"/>
      <c r="L1299" s="69"/>
      <c r="M1299" s="69"/>
      <c r="N1299" s="69"/>
      <c r="O1299" s="69">
        <f>SUM(O1300:O1306)</f>
        <v>0</v>
      </c>
      <c r="P1299" s="69">
        <f>SUM(P1300:P1306)</f>
        <v>0</v>
      </c>
      <c r="Q1299" s="69">
        <f>SUM(Q1300:Q1306)</f>
        <v>0</v>
      </c>
      <c r="R1299" s="69">
        <f>SUM(R1300:R1306)</f>
        <v>0</v>
      </c>
      <c r="S1299" s="69"/>
      <c r="T1299" s="36"/>
      <c r="XDA1299"/>
      <c r="XDB1299"/>
      <c r="XDC1299"/>
      <c r="XDD1299"/>
      <c r="XDE1299"/>
      <c r="XDF1299"/>
      <c r="XDG1299"/>
      <c r="XDH1299"/>
      <c r="XDI1299"/>
      <c r="XDJ1299"/>
      <c r="XDK1299"/>
      <c r="XDL1299"/>
      <c r="XDM1299"/>
      <c r="XDN1299"/>
      <c r="XDO1299"/>
      <c r="XDP1299"/>
      <c r="XDQ1299"/>
      <c r="XDR1299"/>
      <c r="XDS1299"/>
      <c r="XDT1299"/>
      <c r="XDU1299"/>
      <c r="XDV1299"/>
      <c r="XDW1299"/>
      <c r="XDX1299"/>
      <c r="XDY1299"/>
      <c r="XDZ1299"/>
      <c r="XEA1299"/>
      <c r="XEB1299"/>
      <c r="XEC1299"/>
      <c r="XED1299"/>
      <c r="XEE1299"/>
      <c r="XEF1299"/>
      <c r="XEG1299"/>
      <c r="XEH1299"/>
      <c r="XEI1299"/>
      <c r="XEJ1299"/>
      <c r="XEK1299"/>
      <c r="XEL1299"/>
      <c r="XEM1299"/>
      <c r="XEN1299"/>
      <c r="XEO1299"/>
      <c r="XEP1299"/>
      <c r="XEQ1299"/>
      <c r="XER1299"/>
      <c r="XES1299"/>
      <c r="XET1299"/>
      <c r="XEU1299"/>
      <c r="XEV1299"/>
      <c r="XEW1299"/>
      <c r="XEX1299"/>
      <c r="XEY1299"/>
      <c r="XEZ1299"/>
      <c r="XFA1299"/>
      <c r="XFB1299"/>
      <c r="XFC1299"/>
    </row>
    <row r="1300" spans="1:20 16329:16383" s="38" customFormat="1" ht="29.1" customHeight="1" outlineLevel="6" x14ac:dyDescent="0.25">
      <c r="A1300" s="49" t="s">
        <v>2386</v>
      </c>
      <c r="B1300" s="50"/>
      <c r="C1300" s="50"/>
      <c r="D1300" s="3" t="s">
        <v>2387</v>
      </c>
      <c r="E1300" s="3"/>
      <c r="F1300" s="51"/>
      <c r="G1300" s="50" t="s">
        <v>102</v>
      </c>
      <c r="H1300" s="52">
        <f>1</f>
        <v>1</v>
      </c>
      <c r="I1300" s="36"/>
      <c r="J1300" s="52">
        <v>1</v>
      </c>
      <c r="K1300" s="53">
        <f>0</f>
        <v>0</v>
      </c>
      <c r="L1300" s="53">
        <f>0</f>
        <v>0</v>
      </c>
      <c r="M1300" s="53">
        <f>0</f>
        <v>0</v>
      </c>
      <c r="N1300" s="54">
        <f t="shared" ref="N1300:N1306" si="184">SUM(K1300:M1300)</f>
        <v>0</v>
      </c>
      <c r="O1300" s="54">
        <f t="shared" ref="O1300:O1306" si="185">ROUND((H1300*K1300),2)</f>
        <v>0</v>
      </c>
      <c r="P1300" s="54">
        <f t="shared" ref="P1300:P1306" si="186">ROUND((H1300*L1300),2)</f>
        <v>0</v>
      </c>
      <c r="Q1300" s="54">
        <f t="shared" ref="Q1300:Q1306" si="187">ROUND((H1300*M1300),2)</f>
        <v>0</v>
      </c>
      <c r="R1300" s="54">
        <f t="shared" ref="R1300:R1306" si="188">ROUND((H1300*N1300),2)</f>
        <v>0</v>
      </c>
      <c r="S1300" s="54"/>
      <c r="T1300" s="36"/>
      <c r="XDA1300"/>
      <c r="XDB1300"/>
      <c r="XDC1300"/>
      <c r="XDD1300"/>
      <c r="XDE1300"/>
      <c r="XDF1300"/>
      <c r="XDG1300"/>
      <c r="XDH1300"/>
      <c r="XDI1300"/>
      <c r="XDJ1300"/>
      <c r="XDK1300"/>
      <c r="XDL1300"/>
      <c r="XDM1300"/>
      <c r="XDN1300"/>
      <c r="XDO1300"/>
      <c r="XDP1300"/>
      <c r="XDQ1300"/>
      <c r="XDR1300"/>
      <c r="XDS1300"/>
      <c r="XDT1300"/>
      <c r="XDU1300"/>
      <c r="XDV1300"/>
      <c r="XDW1300"/>
      <c r="XDX1300"/>
      <c r="XDY1300"/>
      <c r="XDZ1300"/>
      <c r="XEA1300"/>
      <c r="XEB1300"/>
      <c r="XEC1300"/>
      <c r="XED1300"/>
      <c r="XEE1300"/>
      <c r="XEF1300"/>
      <c r="XEG1300"/>
      <c r="XEH1300"/>
      <c r="XEI1300"/>
      <c r="XEJ1300"/>
      <c r="XEK1300"/>
      <c r="XEL1300"/>
      <c r="XEM1300"/>
      <c r="XEN1300"/>
      <c r="XEO1300"/>
      <c r="XEP1300"/>
      <c r="XEQ1300"/>
      <c r="XER1300"/>
      <c r="XES1300"/>
      <c r="XET1300"/>
      <c r="XEU1300"/>
      <c r="XEV1300"/>
      <c r="XEW1300"/>
      <c r="XEX1300"/>
      <c r="XEY1300"/>
      <c r="XEZ1300"/>
      <c r="XFA1300"/>
      <c r="XFB1300"/>
      <c r="XFC1300"/>
    </row>
    <row r="1301" spans="1:20 16329:16383" s="38" customFormat="1" ht="29.1" customHeight="1" outlineLevel="6" x14ac:dyDescent="0.25">
      <c r="A1301" s="49" t="s">
        <v>2388</v>
      </c>
      <c r="B1301" s="50"/>
      <c r="C1301" s="50"/>
      <c r="D1301" s="3" t="s">
        <v>1875</v>
      </c>
      <c r="E1301" s="3"/>
      <c r="F1301" s="51"/>
      <c r="G1301" s="50" t="s">
        <v>102</v>
      </c>
      <c r="H1301" s="52">
        <f>1</f>
        <v>1</v>
      </c>
      <c r="I1301" s="36"/>
      <c r="J1301" s="52">
        <v>1</v>
      </c>
      <c r="K1301" s="53">
        <f>0</f>
        <v>0</v>
      </c>
      <c r="L1301" s="53">
        <f>0</f>
        <v>0</v>
      </c>
      <c r="M1301" s="53">
        <f>0</f>
        <v>0</v>
      </c>
      <c r="N1301" s="54">
        <f t="shared" si="184"/>
        <v>0</v>
      </c>
      <c r="O1301" s="54">
        <f t="shared" si="185"/>
        <v>0</v>
      </c>
      <c r="P1301" s="54">
        <f t="shared" si="186"/>
        <v>0</v>
      </c>
      <c r="Q1301" s="54">
        <f t="shared" si="187"/>
        <v>0</v>
      </c>
      <c r="R1301" s="54">
        <f t="shared" si="188"/>
        <v>0</v>
      </c>
      <c r="S1301" s="54"/>
      <c r="T1301" s="36"/>
      <c r="XDA1301"/>
      <c r="XDB1301"/>
      <c r="XDC1301"/>
      <c r="XDD1301"/>
      <c r="XDE1301"/>
      <c r="XDF1301"/>
      <c r="XDG1301"/>
      <c r="XDH1301"/>
      <c r="XDI1301"/>
      <c r="XDJ1301"/>
      <c r="XDK1301"/>
      <c r="XDL1301"/>
      <c r="XDM1301"/>
      <c r="XDN1301"/>
      <c r="XDO1301"/>
      <c r="XDP1301"/>
      <c r="XDQ1301"/>
      <c r="XDR1301"/>
      <c r="XDS1301"/>
      <c r="XDT1301"/>
      <c r="XDU1301"/>
      <c r="XDV1301"/>
      <c r="XDW1301"/>
      <c r="XDX1301"/>
      <c r="XDY1301"/>
      <c r="XDZ1301"/>
      <c r="XEA1301"/>
      <c r="XEB1301"/>
      <c r="XEC1301"/>
      <c r="XED1301"/>
      <c r="XEE1301"/>
      <c r="XEF1301"/>
      <c r="XEG1301"/>
      <c r="XEH1301"/>
      <c r="XEI1301"/>
      <c r="XEJ1301"/>
      <c r="XEK1301"/>
      <c r="XEL1301"/>
      <c r="XEM1301"/>
      <c r="XEN1301"/>
      <c r="XEO1301"/>
      <c r="XEP1301"/>
      <c r="XEQ1301"/>
      <c r="XER1301"/>
      <c r="XES1301"/>
      <c r="XET1301"/>
      <c r="XEU1301"/>
      <c r="XEV1301"/>
      <c r="XEW1301"/>
      <c r="XEX1301"/>
      <c r="XEY1301"/>
      <c r="XEZ1301"/>
      <c r="XFA1301"/>
      <c r="XFB1301"/>
      <c r="XFC1301"/>
    </row>
    <row r="1302" spans="1:20 16329:16383" s="38" customFormat="1" ht="29.1" customHeight="1" outlineLevel="6" x14ac:dyDescent="0.25">
      <c r="A1302" s="49" t="s">
        <v>2389</v>
      </c>
      <c r="B1302" s="50"/>
      <c r="C1302" s="50"/>
      <c r="D1302" s="3" t="s">
        <v>2390</v>
      </c>
      <c r="E1302" s="3"/>
      <c r="F1302" s="51"/>
      <c r="G1302" s="50" t="s">
        <v>102</v>
      </c>
      <c r="H1302" s="52">
        <f>1</f>
        <v>1</v>
      </c>
      <c r="I1302" s="36"/>
      <c r="J1302" s="52">
        <v>1</v>
      </c>
      <c r="K1302" s="53">
        <f>0</f>
        <v>0</v>
      </c>
      <c r="L1302" s="53">
        <f>0</f>
        <v>0</v>
      </c>
      <c r="M1302" s="53">
        <f>0</f>
        <v>0</v>
      </c>
      <c r="N1302" s="54">
        <f t="shared" si="184"/>
        <v>0</v>
      </c>
      <c r="O1302" s="54">
        <f t="shared" si="185"/>
        <v>0</v>
      </c>
      <c r="P1302" s="54">
        <f t="shared" si="186"/>
        <v>0</v>
      </c>
      <c r="Q1302" s="54">
        <f t="shared" si="187"/>
        <v>0</v>
      </c>
      <c r="R1302" s="54">
        <f t="shared" si="188"/>
        <v>0</v>
      </c>
      <c r="S1302" s="54"/>
      <c r="T1302" s="36"/>
      <c r="XDA1302"/>
      <c r="XDB1302"/>
      <c r="XDC1302"/>
      <c r="XDD1302"/>
      <c r="XDE1302"/>
      <c r="XDF1302"/>
      <c r="XDG1302"/>
      <c r="XDH1302"/>
      <c r="XDI1302"/>
      <c r="XDJ1302"/>
      <c r="XDK1302"/>
      <c r="XDL1302"/>
      <c r="XDM1302"/>
      <c r="XDN1302"/>
      <c r="XDO1302"/>
      <c r="XDP1302"/>
      <c r="XDQ1302"/>
      <c r="XDR1302"/>
      <c r="XDS1302"/>
      <c r="XDT1302"/>
      <c r="XDU1302"/>
      <c r="XDV1302"/>
      <c r="XDW1302"/>
      <c r="XDX1302"/>
      <c r="XDY1302"/>
      <c r="XDZ1302"/>
      <c r="XEA1302"/>
      <c r="XEB1302"/>
      <c r="XEC1302"/>
      <c r="XED1302"/>
      <c r="XEE1302"/>
      <c r="XEF1302"/>
      <c r="XEG1302"/>
      <c r="XEH1302"/>
      <c r="XEI1302"/>
      <c r="XEJ1302"/>
      <c r="XEK1302"/>
      <c r="XEL1302"/>
      <c r="XEM1302"/>
      <c r="XEN1302"/>
      <c r="XEO1302"/>
      <c r="XEP1302"/>
      <c r="XEQ1302"/>
      <c r="XER1302"/>
      <c r="XES1302"/>
      <c r="XET1302"/>
      <c r="XEU1302"/>
      <c r="XEV1302"/>
      <c r="XEW1302"/>
      <c r="XEX1302"/>
      <c r="XEY1302"/>
      <c r="XEZ1302"/>
      <c r="XFA1302"/>
      <c r="XFB1302"/>
      <c r="XFC1302"/>
    </row>
    <row r="1303" spans="1:20 16329:16383" s="38" customFormat="1" ht="29.1" customHeight="1" outlineLevel="6" x14ac:dyDescent="0.25">
      <c r="A1303" s="49" t="s">
        <v>2391</v>
      </c>
      <c r="B1303" s="50"/>
      <c r="C1303" s="50"/>
      <c r="D1303" s="3" t="s">
        <v>2392</v>
      </c>
      <c r="E1303" s="3"/>
      <c r="F1303" s="51"/>
      <c r="G1303" s="50" t="s">
        <v>102</v>
      </c>
      <c r="H1303" s="52">
        <f>1</f>
        <v>1</v>
      </c>
      <c r="I1303" s="36"/>
      <c r="J1303" s="52">
        <v>1</v>
      </c>
      <c r="K1303" s="53">
        <f>0</f>
        <v>0</v>
      </c>
      <c r="L1303" s="53">
        <f>0</f>
        <v>0</v>
      </c>
      <c r="M1303" s="53">
        <f>0</f>
        <v>0</v>
      </c>
      <c r="N1303" s="54">
        <f t="shared" si="184"/>
        <v>0</v>
      </c>
      <c r="O1303" s="54">
        <f t="shared" si="185"/>
        <v>0</v>
      </c>
      <c r="P1303" s="54">
        <f t="shared" si="186"/>
        <v>0</v>
      </c>
      <c r="Q1303" s="54">
        <f t="shared" si="187"/>
        <v>0</v>
      </c>
      <c r="R1303" s="54">
        <f t="shared" si="188"/>
        <v>0</v>
      </c>
      <c r="S1303" s="54"/>
      <c r="T1303" s="36"/>
      <c r="XDA1303"/>
      <c r="XDB1303"/>
      <c r="XDC1303"/>
      <c r="XDD1303"/>
      <c r="XDE1303"/>
      <c r="XDF1303"/>
      <c r="XDG1303"/>
      <c r="XDH1303"/>
      <c r="XDI1303"/>
      <c r="XDJ1303"/>
      <c r="XDK1303"/>
      <c r="XDL1303"/>
      <c r="XDM1303"/>
      <c r="XDN1303"/>
      <c r="XDO1303"/>
      <c r="XDP1303"/>
      <c r="XDQ1303"/>
      <c r="XDR1303"/>
      <c r="XDS1303"/>
      <c r="XDT1303"/>
      <c r="XDU1303"/>
      <c r="XDV1303"/>
      <c r="XDW1303"/>
      <c r="XDX1303"/>
      <c r="XDY1303"/>
      <c r="XDZ1303"/>
      <c r="XEA1303"/>
      <c r="XEB1303"/>
      <c r="XEC1303"/>
      <c r="XED1303"/>
      <c r="XEE1303"/>
      <c r="XEF1303"/>
      <c r="XEG1303"/>
      <c r="XEH1303"/>
      <c r="XEI1303"/>
      <c r="XEJ1303"/>
      <c r="XEK1303"/>
      <c r="XEL1303"/>
      <c r="XEM1303"/>
      <c r="XEN1303"/>
      <c r="XEO1303"/>
      <c r="XEP1303"/>
      <c r="XEQ1303"/>
      <c r="XER1303"/>
      <c r="XES1303"/>
      <c r="XET1303"/>
      <c r="XEU1303"/>
      <c r="XEV1303"/>
      <c r="XEW1303"/>
      <c r="XEX1303"/>
      <c r="XEY1303"/>
      <c r="XEZ1303"/>
      <c r="XFA1303"/>
      <c r="XFB1303"/>
      <c r="XFC1303"/>
    </row>
    <row r="1304" spans="1:20 16329:16383" s="38" customFormat="1" ht="29.1" customHeight="1" outlineLevel="6" x14ac:dyDescent="0.25">
      <c r="A1304" s="49" t="s">
        <v>2393</v>
      </c>
      <c r="B1304" s="50"/>
      <c r="C1304" s="50"/>
      <c r="D1304" s="3" t="s">
        <v>2394</v>
      </c>
      <c r="E1304" s="3"/>
      <c r="F1304" s="51"/>
      <c r="G1304" s="50" t="s">
        <v>102</v>
      </c>
      <c r="H1304" s="52">
        <f>1</f>
        <v>1</v>
      </c>
      <c r="I1304" s="36"/>
      <c r="J1304" s="52">
        <v>1</v>
      </c>
      <c r="K1304" s="53">
        <f>0</f>
        <v>0</v>
      </c>
      <c r="L1304" s="53">
        <f>0</f>
        <v>0</v>
      </c>
      <c r="M1304" s="53">
        <f>0</f>
        <v>0</v>
      </c>
      <c r="N1304" s="54">
        <f t="shared" si="184"/>
        <v>0</v>
      </c>
      <c r="O1304" s="54">
        <f t="shared" si="185"/>
        <v>0</v>
      </c>
      <c r="P1304" s="54">
        <f t="shared" si="186"/>
        <v>0</v>
      </c>
      <c r="Q1304" s="54">
        <f t="shared" si="187"/>
        <v>0</v>
      </c>
      <c r="R1304" s="54">
        <f t="shared" si="188"/>
        <v>0</v>
      </c>
      <c r="S1304" s="54"/>
      <c r="T1304" s="36"/>
      <c r="XDA1304"/>
      <c r="XDB1304"/>
      <c r="XDC1304"/>
      <c r="XDD1304"/>
      <c r="XDE1304"/>
      <c r="XDF1304"/>
      <c r="XDG1304"/>
      <c r="XDH1304"/>
      <c r="XDI1304"/>
      <c r="XDJ1304"/>
      <c r="XDK1304"/>
      <c r="XDL1304"/>
      <c r="XDM1304"/>
      <c r="XDN1304"/>
      <c r="XDO1304"/>
      <c r="XDP1304"/>
      <c r="XDQ1304"/>
      <c r="XDR1304"/>
      <c r="XDS1304"/>
      <c r="XDT1304"/>
      <c r="XDU1304"/>
      <c r="XDV1304"/>
      <c r="XDW1304"/>
      <c r="XDX1304"/>
      <c r="XDY1304"/>
      <c r="XDZ1304"/>
      <c r="XEA1304"/>
      <c r="XEB1304"/>
      <c r="XEC1304"/>
      <c r="XED1304"/>
      <c r="XEE1304"/>
      <c r="XEF1304"/>
      <c r="XEG1304"/>
      <c r="XEH1304"/>
      <c r="XEI1304"/>
      <c r="XEJ1304"/>
      <c r="XEK1304"/>
      <c r="XEL1304"/>
      <c r="XEM1304"/>
      <c r="XEN1304"/>
      <c r="XEO1304"/>
      <c r="XEP1304"/>
      <c r="XEQ1304"/>
      <c r="XER1304"/>
      <c r="XES1304"/>
      <c r="XET1304"/>
      <c r="XEU1304"/>
      <c r="XEV1304"/>
      <c r="XEW1304"/>
      <c r="XEX1304"/>
      <c r="XEY1304"/>
      <c r="XEZ1304"/>
      <c r="XFA1304"/>
      <c r="XFB1304"/>
      <c r="XFC1304"/>
    </row>
    <row r="1305" spans="1:20 16329:16383" s="38" customFormat="1" ht="29.1" customHeight="1" outlineLevel="6" x14ac:dyDescent="0.25">
      <c r="A1305" s="49" t="s">
        <v>2395</v>
      </c>
      <c r="B1305" s="50"/>
      <c r="C1305" s="50"/>
      <c r="D1305" s="3" t="s">
        <v>2194</v>
      </c>
      <c r="E1305" s="3"/>
      <c r="F1305" s="51"/>
      <c r="G1305" s="50" t="s">
        <v>102</v>
      </c>
      <c r="H1305" s="52">
        <f>1</f>
        <v>1</v>
      </c>
      <c r="I1305" s="36"/>
      <c r="J1305" s="52">
        <v>1</v>
      </c>
      <c r="K1305" s="53">
        <f>0</f>
        <v>0</v>
      </c>
      <c r="L1305" s="53">
        <f>0</f>
        <v>0</v>
      </c>
      <c r="M1305" s="53">
        <f>0</f>
        <v>0</v>
      </c>
      <c r="N1305" s="54">
        <f t="shared" si="184"/>
        <v>0</v>
      </c>
      <c r="O1305" s="54">
        <f t="shared" si="185"/>
        <v>0</v>
      </c>
      <c r="P1305" s="54">
        <f t="shared" si="186"/>
        <v>0</v>
      </c>
      <c r="Q1305" s="54">
        <f t="shared" si="187"/>
        <v>0</v>
      </c>
      <c r="R1305" s="54">
        <f t="shared" si="188"/>
        <v>0</v>
      </c>
      <c r="S1305" s="54"/>
      <c r="T1305" s="36"/>
      <c r="XDA1305"/>
      <c r="XDB1305"/>
      <c r="XDC1305"/>
      <c r="XDD1305"/>
      <c r="XDE1305"/>
      <c r="XDF1305"/>
      <c r="XDG1305"/>
      <c r="XDH1305"/>
      <c r="XDI1305"/>
      <c r="XDJ1305"/>
      <c r="XDK1305"/>
      <c r="XDL1305"/>
      <c r="XDM1305"/>
      <c r="XDN1305"/>
      <c r="XDO1305"/>
      <c r="XDP1305"/>
      <c r="XDQ1305"/>
      <c r="XDR1305"/>
      <c r="XDS1305"/>
      <c r="XDT1305"/>
      <c r="XDU1305"/>
      <c r="XDV1305"/>
      <c r="XDW1305"/>
      <c r="XDX1305"/>
      <c r="XDY1305"/>
      <c r="XDZ1305"/>
      <c r="XEA1305"/>
      <c r="XEB1305"/>
      <c r="XEC1305"/>
      <c r="XED1305"/>
      <c r="XEE1305"/>
      <c r="XEF1305"/>
      <c r="XEG1305"/>
      <c r="XEH1305"/>
      <c r="XEI1305"/>
      <c r="XEJ1305"/>
      <c r="XEK1305"/>
      <c r="XEL1305"/>
      <c r="XEM1305"/>
      <c r="XEN1305"/>
      <c r="XEO1305"/>
      <c r="XEP1305"/>
      <c r="XEQ1305"/>
      <c r="XER1305"/>
      <c r="XES1305"/>
      <c r="XET1305"/>
      <c r="XEU1305"/>
      <c r="XEV1305"/>
      <c r="XEW1305"/>
      <c r="XEX1305"/>
      <c r="XEY1305"/>
      <c r="XEZ1305"/>
      <c r="XFA1305"/>
      <c r="XFB1305"/>
      <c r="XFC1305"/>
    </row>
    <row r="1306" spans="1:20 16329:16383" s="38" customFormat="1" ht="29.1" customHeight="1" outlineLevel="6" x14ac:dyDescent="0.25">
      <c r="A1306" s="49" t="s">
        <v>2396</v>
      </c>
      <c r="B1306" s="50"/>
      <c r="C1306" s="50"/>
      <c r="D1306" s="3" t="s">
        <v>2206</v>
      </c>
      <c r="E1306" s="3"/>
      <c r="F1306" s="51" t="s">
        <v>2252</v>
      </c>
      <c r="G1306" s="50" t="s">
        <v>194</v>
      </c>
      <c r="H1306" s="52">
        <f>1</f>
        <v>1</v>
      </c>
      <c r="I1306" s="36"/>
      <c r="J1306" s="52">
        <v>1</v>
      </c>
      <c r="K1306" s="53">
        <f>0</f>
        <v>0</v>
      </c>
      <c r="L1306" s="53">
        <f>0</f>
        <v>0</v>
      </c>
      <c r="M1306" s="53">
        <f>0</f>
        <v>0</v>
      </c>
      <c r="N1306" s="54">
        <f t="shared" si="184"/>
        <v>0</v>
      </c>
      <c r="O1306" s="54">
        <f t="shared" si="185"/>
        <v>0</v>
      </c>
      <c r="P1306" s="54">
        <f t="shared" si="186"/>
        <v>0</v>
      </c>
      <c r="Q1306" s="54">
        <f t="shared" si="187"/>
        <v>0</v>
      </c>
      <c r="R1306" s="54">
        <f t="shared" si="188"/>
        <v>0</v>
      </c>
      <c r="S1306" s="54"/>
      <c r="T1306" s="36"/>
      <c r="XDA1306"/>
      <c r="XDB1306"/>
      <c r="XDC1306"/>
      <c r="XDD1306"/>
      <c r="XDE1306"/>
      <c r="XDF1306"/>
      <c r="XDG1306"/>
      <c r="XDH1306"/>
      <c r="XDI1306"/>
      <c r="XDJ1306"/>
      <c r="XDK1306"/>
      <c r="XDL1306"/>
      <c r="XDM1306"/>
      <c r="XDN1306"/>
      <c r="XDO1306"/>
      <c r="XDP1306"/>
      <c r="XDQ1306"/>
      <c r="XDR1306"/>
      <c r="XDS1306"/>
      <c r="XDT1306"/>
      <c r="XDU1306"/>
      <c r="XDV1306"/>
      <c r="XDW1306"/>
      <c r="XDX1306"/>
      <c r="XDY1306"/>
      <c r="XDZ1306"/>
      <c r="XEA1306"/>
      <c r="XEB1306"/>
      <c r="XEC1306"/>
      <c r="XED1306"/>
      <c r="XEE1306"/>
      <c r="XEF1306"/>
      <c r="XEG1306"/>
      <c r="XEH1306"/>
      <c r="XEI1306"/>
      <c r="XEJ1306"/>
      <c r="XEK1306"/>
      <c r="XEL1306"/>
      <c r="XEM1306"/>
      <c r="XEN1306"/>
      <c r="XEO1306"/>
      <c r="XEP1306"/>
      <c r="XEQ1306"/>
      <c r="XER1306"/>
      <c r="XES1306"/>
      <c r="XET1306"/>
      <c r="XEU1306"/>
      <c r="XEV1306"/>
      <c r="XEW1306"/>
      <c r="XEX1306"/>
      <c r="XEY1306"/>
      <c r="XEZ1306"/>
      <c r="XFA1306"/>
      <c r="XFB1306"/>
      <c r="XFC1306"/>
    </row>
    <row r="1307" spans="1:20 16329:16383" s="38" customFormat="1" ht="29.1" customHeight="1" outlineLevel="5" x14ac:dyDescent="0.25">
      <c r="A1307" s="65" t="s">
        <v>2397</v>
      </c>
      <c r="B1307" s="66" t="s">
        <v>2398</v>
      </c>
      <c r="C1307" s="66"/>
      <c r="D1307" s="98" t="s">
        <v>344</v>
      </c>
      <c r="E1307" s="98"/>
      <c r="F1307" s="67"/>
      <c r="G1307" s="66"/>
      <c r="H1307" s="68"/>
      <c r="I1307" s="36"/>
      <c r="J1307" s="68"/>
      <c r="K1307" s="69"/>
      <c r="L1307" s="69"/>
      <c r="M1307" s="69"/>
      <c r="N1307" s="69"/>
      <c r="O1307" s="69">
        <f>SUM(O1308:O1313)</f>
        <v>0</v>
      </c>
      <c r="P1307" s="69">
        <f>SUM(P1308:P1313)</f>
        <v>0</v>
      </c>
      <c r="Q1307" s="69">
        <f>SUM(Q1308:Q1313)</f>
        <v>0</v>
      </c>
      <c r="R1307" s="69">
        <f>SUM(R1308:R1313)</f>
        <v>0</v>
      </c>
      <c r="S1307" s="69"/>
      <c r="T1307" s="36"/>
      <c r="XDA1307"/>
      <c r="XDB1307"/>
      <c r="XDC1307"/>
      <c r="XDD1307"/>
      <c r="XDE1307"/>
      <c r="XDF1307"/>
      <c r="XDG1307"/>
      <c r="XDH1307"/>
      <c r="XDI1307"/>
      <c r="XDJ1307"/>
      <c r="XDK1307"/>
      <c r="XDL1307"/>
      <c r="XDM1307"/>
      <c r="XDN1307"/>
      <c r="XDO1307"/>
      <c r="XDP1307"/>
      <c r="XDQ1307"/>
      <c r="XDR1307"/>
      <c r="XDS1307"/>
      <c r="XDT1307"/>
      <c r="XDU1307"/>
      <c r="XDV1307"/>
      <c r="XDW1307"/>
      <c r="XDX1307"/>
      <c r="XDY1307"/>
      <c r="XDZ1307"/>
      <c r="XEA1307"/>
      <c r="XEB1307"/>
      <c r="XEC1307"/>
      <c r="XED1307"/>
      <c r="XEE1307"/>
      <c r="XEF1307"/>
      <c r="XEG1307"/>
      <c r="XEH1307"/>
      <c r="XEI1307"/>
      <c r="XEJ1307"/>
      <c r="XEK1307"/>
      <c r="XEL1307"/>
      <c r="XEM1307"/>
      <c r="XEN1307"/>
      <c r="XEO1307"/>
      <c r="XEP1307"/>
      <c r="XEQ1307"/>
      <c r="XER1307"/>
      <c r="XES1307"/>
      <c r="XET1307"/>
      <c r="XEU1307"/>
      <c r="XEV1307"/>
      <c r="XEW1307"/>
      <c r="XEX1307"/>
      <c r="XEY1307"/>
      <c r="XEZ1307"/>
      <c r="XFA1307"/>
      <c r="XFB1307"/>
      <c r="XFC1307"/>
    </row>
    <row r="1308" spans="1:20 16329:16383" s="38" customFormat="1" ht="29.1" customHeight="1" outlineLevel="6" x14ac:dyDescent="0.25">
      <c r="A1308" s="49" t="s">
        <v>2399</v>
      </c>
      <c r="B1308" s="50"/>
      <c r="C1308" s="50"/>
      <c r="D1308" s="3" t="s">
        <v>1886</v>
      </c>
      <c r="E1308" s="3"/>
      <c r="F1308" s="51"/>
      <c r="G1308" s="50" t="s">
        <v>102</v>
      </c>
      <c r="H1308" s="52">
        <f>1</f>
        <v>1</v>
      </c>
      <c r="I1308" s="36"/>
      <c r="J1308" s="52">
        <v>1</v>
      </c>
      <c r="K1308" s="53">
        <f>0</f>
        <v>0</v>
      </c>
      <c r="L1308" s="53">
        <f>0</f>
        <v>0</v>
      </c>
      <c r="M1308" s="53">
        <f>0</f>
        <v>0</v>
      </c>
      <c r="N1308" s="54">
        <f t="shared" ref="N1308:N1313" si="189">SUM(K1308:M1308)</f>
        <v>0</v>
      </c>
      <c r="O1308" s="54">
        <f t="shared" ref="O1308:O1313" si="190">ROUND((H1308*K1308),2)</f>
        <v>0</v>
      </c>
      <c r="P1308" s="54">
        <f t="shared" ref="P1308:P1313" si="191">ROUND((H1308*L1308),2)</f>
        <v>0</v>
      </c>
      <c r="Q1308" s="54">
        <f t="shared" ref="Q1308:Q1313" si="192">ROUND((H1308*M1308),2)</f>
        <v>0</v>
      </c>
      <c r="R1308" s="54">
        <f t="shared" ref="R1308:R1313" si="193">ROUND((H1308*N1308),2)</f>
        <v>0</v>
      </c>
      <c r="S1308" s="54"/>
      <c r="T1308" s="36"/>
      <c r="XDA1308"/>
      <c r="XDB1308"/>
      <c r="XDC1308"/>
      <c r="XDD1308"/>
      <c r="XDE1308"/>
      <c r="XDF1308"/>
      <c r="XDG1308"/>
      <c r="XDH1308"/>
      <c r="XDI1308"/>
      <c r="XDJ1308"/>
      <c r="XDK1308"/>
      <c r="XDL1308"/>
      <c r="XDM1308"/>
      <c r="XDN1308"/>
      <c r="XDO1308"/>
      <c r="XDP1308"/>
      <c r="XDQ1308"/>
      <c r="XDR1308"/>
      <c r="XDS1308"/>
      <c r="XDT1308"/>
      <c r="XDU1308"/>
      <c r="XDV1308"/>
      <c r="XDW1308"/>
      <c r="XDX1308"/>
      <c r="XDY1308"/>
      <c r="XDZ1308"/>
      <c r="XEA1308"/>
      <c r="XEB1308"/>
      <c r="XEC1308"/>
      <c r="XED1308"/>
      <c r="XEE1308"/>
      <c r="XEF1308"/>
      <c r="XEG1308"/>
      <c r="XEH1308"/>
      <c r="XEI1308"/>
      <c r="XEJ1308"/>
      <c r="XEK1308"/>
      <c r="XEL1308"/>
      <c r="XEM1308"/>
      <c r="XEN1308"/>
      <c r="XEO1308"/>
      <c r="XEP1308"/>
      <c r="XEQ1308"/>
      <c r="XER1308"/>
      <c r="XES1308"/>
      <c r="XET1308"/>
      <c r="XEU1308"/>
      <c r="XEV1308"/>
      <c r="XEW1308"/>
      <c r="XEX1308"/>
      <c r="XEY1308"/>
      <c r="XEZ1308"/>
      <c r="XFA1308"/>
      <c r="XFB1308"/>
      <c r="XFC1308"/>
    </row>
    <row r="1309" spans="1:20 16329:16383" s="38" customFormat="1" ht="29.1" customHeight="1" outlineLevel="6" x14ac:dyDescent="0.25">
      <c r="A1309" s="49" t="s">
        <v>2400</v>
      </c>
      <c r="B1309" s="50"/>
      <c r="C1309" s="50"/>
      <c r="D1309" s="3" t="s">
        <v>1890</v>
      </c>
      <c r="E1309" s="3"/>
      <c r="F1309" s="51"/>
      <c r="G1309" s="50" t="s">
        <v>102</v>
      </c>
      <c r="H1309" s="52">
        <f>1</f>
        <v>1</v>
      </c>
      <c r="I1309" s="36"/>
      <c r="J1309" s="52">
        <v>1</v>
      </c>
      <c r="K1309" s="53">
        <f>0</f>
        <v>0</v>
      </c>
      <c r="L1309" s="53">
        <f>0</f>
        <v>0</v>
      </c>
      <c r="M1309" s="53">
        <f>0</f>
        <v>0</v>
      </c>
      <c r="N1309" s="54">
        <f t="shared" si="189"/>
        <v>0</v>
      </c>
      <c r="O1309" s="54">
        <f t="shared" si="190"/>
        <v>0</v>
      </c>
      <c r="P1309" s="54">
        <f t="shared" si="191"/>
        <v>0</v>
      </c>
      <c r="Q1309" s="54">
        <f t="shared" si="192"/>
        <v>0</v>
      </c>
      <c r="R1309" s="54">
        <f t="shared" si="193"/>
        <v>0</v>
      </c>
      <c r="S1309" s="54"/>
      <c r="T1309" s="36"/>
      <c r="XDA1309"/>
      <c r="XDB1309"/>
      <c r="XDC1309"/>
      <c r="XDD1309"/>
      <c r="XDE1309"/>
      <c r="XDF1309"/>
      <c r="XDG1309"/>
      <c r="XDH1309"/>
      <c r="XDI1309"/>
      <c r="XDJ1309"/>
      <c r="XDK1309"/>
      <c r="XDL1309"/>
      <c r="XDM1309"/>
      <c r="XDN1309"/>
      <c r="XDO1309"/>
      <c r="XDP1309"/>
      <c r="XDQ1309"/>
      <c r="XDR1309"/>
      <c r="XDS1309"/>
      <c r="XDT1309"/>
      <c r="XDU1309"/>
      <c r="XDV1309"/>
      <c r="XDW1309"/>
      <c r="XDX1309"/>
      <c r="XDY1309"/>
      <c r="XDZ1309"/>
      <c r="XEA1309"/>
      <c r="XEB1309"/>
      <c r="XEC1309"/>
      <c r="XED1309"/>
      <c r="XEE1309"/>
      <c r="XEF1309"/>
      <c r="XEG1309"/>
      <c r="XEH1309"/>
      <c r="XEI1309"/>
      <c r="XEJ1309"/>
      <c r="XEK1309"/>
      <c r="XEL1309"/>
      <c r="XEM1309"/>
      <c r="XEN1309"/>
      <c r="XEO1309"/>
      <c r="XEP1309"/>
      <c r="XEQ1309"/>
      <c r="XER1309"/>
      <c r="XES1309"/>
      <c r="XET1309"/>
      <c r="XEU1309"/>
      <c r="XEV1309"/>
      <c r="XEW1309"/>
      <c r="XEX1309"/>
      <c r="XEY1309"/>
      <c r="XEZ1309"/>
      <c r="XFA1309"/>
      <c r="XFB1309"/>
      <c r="XFC1309"/>
    </row>
    <row r="1310" spans="1:20 16329:16383" s="38" customFormat="1" ht="29.1" customHeight="1" outlineLevel="6" x14ac:dyDescent="0.25">
      <c r="A1310" s="49" t="s">
        <v>2401</v>
      </c>
      <c r="B1310" s="50"/>
      <c r="C1310" s="50"/>
      <c r="D1310" s="3" t="s">
        <v>1888</v>
      </c>
      <c r="E1310" s="3"/>
      <c r="F1310" s="51"/>
      <c r="G1310" s="50" t="s">
        <v>102</v>
      </c>
      <c r="H1310" s="52">
        <f>1</f>
        <v>1</v>
      </c>
      <c r="I1310" s="36"/>
      <c r="J1310" s="52">
        <v>1</v>
      </c>
      <c r="K1310" s="53">
        <f>0</f>
        <v>0</v>
      </c>
      <c r="L1310" s="53">
        <f>0</f>
        <v>0</v>
      </c>
      <c r="M1310" s="53">
        <f>0</f>
        <v>0</v>
      </c>
      <c r="N1310" s="54">
        <f t="shared" si="189"/>
        <v>0</v>
      </c>
      <c r="O1310" s="54">
        <f t="shared" si="190"/>
        <v>0</v>
      </c>
      <c r="P1310" s="54">
        <f t="shared" si="191"/>
        <v>0</v>
      </c>
      <c r="Q1310" s="54">
        <f t="shared" si="192"/>
        <v>0</v>
      </c>
      <c r="R1310" s="54">
        <f t="shared" si="193"/>
        <v>0</v>
      </c>
      <c r="S1310" s="54"/>
      <c r="T1310" s="36"/>
      <c r="XDA1310"/>
      <c r="XDB1310"/>
      <c r="XDC1310"/>
      <c r="XDD1310"/>
      <c r="XDE1310"/>
      <c r="XDF1310"/>
      <c r="XDG1310"/>
      <c r="XDH1310"/>
      <c r="XDI1310"/>
      <c r="XDJ1310"/>
      <c r="XDK1310"/>
      <c r="XDL1310"/>
      <c r="XDM1310"/>
      <c r="XDN1310"/>
      <c r="XDO1310"/>
      <c r="XDP1310"/>
      <c r="XDQ1310"/>
      <c r="XDR1310"/>
      <c r="XDS1310"/>
      <c r="XDT1310"/>
      <c r="XDU1310"/>
      <c r="XDV1310"/>
      <c r="XDW1310"/>
      <c r="XDX1310"/>
      <c r="XDY1310"/>
      <c r="XDZ1310"/>
      <c r="XEA1310"/>
      <c r="XEB1310"/>
      <c r="XEC1310"/>
      <c r="XED1310"/>
      <c r="XEE1310"/>
      <c r="XEF1310"/>
      <c r="XEG1310"/>
      <c r="XEH1310"/>
      <c r="XEI1310"/>
      <c r="XEJ1310"/>
      <c r="XEK1310"/>
      <c r="XEL1310"/>
      <c r="XEM1310"/>
      <c r="XEN1310"/>
      <c r="XEO1310"/>
      <c r="XEP1310"/>
      <c r="XEQ1310"/>
      <c r="XER1310"/>
      <c r="XES1310"/>
      <c r="XET1310"/>
      <c r="XEU1310"/>
      <c r="XEV1310"/>
      <c r="XEW1310"/>
      <c r="XEX1310"/>
      <c r="XEY1310"/>
      <c r="XEZ1310"/>
      <c r="XFA1310"/>
      <c r="XFB1310"/>
      <c r="XFC1310"/>
    </row>
    <row r="1311" spans="1:20 16329:16383" s="38" customFormat="1" ht="29.1" customHeight="1" outlineLevel="6" x14ac:dyDescent="0.25">
      <c r="A1311" s="49" t="s">
        <v>2402</v>
      </c>
      <c r="B1311" s="50"/>
      <c r="C1311" s="50"/>
      <c r="D1311" s="3" t="s">
        <v>2403</v>
      </c>
      <c r="E1311" s="3"/>
      <c r="F1311" s="51"/>
      <c r="G1311" s="50" t="s">
        <v>102</v>
      </c>
      <c r="H1311" s="52">
        <f>1</f>
        <v>1</v>
      </c>
      <c r="I1311" s="36"/>
      <c r="J1311" s="52">
        <v>1</v>
      </c>
      <c r="K1311" s="53">
        <f>0</f>
        <v>0</v>
      </c>
      <c r="L1311" s="53">
        <f>0</f>
        <v>0</v>
      </c>
      <c r="M1311" s="53">
        <f>0</f>
        <v>0</v>
      </c>
      <c r="N1311" s="54">
        <f t="shared" si="189"/>
        <v>0</v>
      </c>
      <c r="O1311" s="54">
        <f t="shared" si="190"/>
        <v>0</v>
      </c>
      <c r="P1311" s="54">
        <f t="shared" si="191"/>
        <v>0</v>
      </c>
      <c r="Q1311" s="54">
        <f t="shared" si="192"/>
        <v>0</v>
      </c>
      <c r="R1311" s="54">
        <f t="shared" si="193"/>
        <v>0</v>
      </c>
      <c r="S1311" s="54"/>
      <c r="T1311" s="36"/>
      <c r="XDA1311"/>
      <c r="XDB1311"/>
      <c r="XDC1311"/>
      <c r="XDD1311"/>
      <c r="XDE1311"/>
      <c r="XDF1311"/>
      <c r="XDG1311"/>
      <c r="XDH1311"/>
      <c r="XDI1311"/>
      <c r="XDJ1311"/>
      <c r="XDK1311"/>
      <c r="XDL1311"/>
      <c r="XDM1311"/>
      <c r="XDN1311"/>
      <c r="XDO1311"/>
      <c r="XDP1311"/>
      <c r="XDQ1311"/>
      <c r="XDR1311"/>
      <c r="XDS1311"/>
      <c r="XDT1311"/>
      <c r="XDU1311"/>
      <c r="XDV1311"/>
      <c r="XDW1311"/>
      <c r="XDX1311"/>
      <c r="XDY1311"/>
      <c r="XDZ1311"/>
      <c r="XEA1311"/>
      <c r="XEB1311"/>
      <c r="XEC1311"/>
      <c r="XED1311"/>
      <c r="XEE1311"/>
      <c r="XEF1311"/>
      <c r="XEG1311"/>
      <c r="XEH1311"/>
      <c r="XEI1311"/>
      <c r="XEJ1311"/>
      <c r="XEK1311"/>
      <c r="XEL1311"/>
      <c r="XEM1311"/>
      <c r="XEN1311"/>
      <c r="XEO1311"/>
      <c r="XEP1311"/>
      <c r="XEQ1311"/>
      <c r="XER1311"/>
      <c r="XES1311"/>
      <c r="XET1311"/>
      <c r="XEU1311"/>
      <c r="XEV1311"/>
      <c r="XEW1311"/>
      <c r="XEX1311"/>
      <c r="XEY1311"/>
      <c r="XEZ1311"/>
      <c r="XFA1311"/>
      <c r="XFB1311"/>
      <c r="XFC1311"/>
    </row>
    <row r="1312" spans="1:20 16329:16383" s="38" customFormat="1" ht="29.1" customHeight="1" outlineLevel="6" x14ac:dyDescent="0.25">
      <c r="A1312" s="49" t="s">
        <v>2404</v>
      </c>
      <c r="B1312" s="50"/>
      <c r="C1312" s="50"/>
      <c r="D1312" s="3" t="s">
        <v>2405</v>
      </c>
      <c r="E1312" s="3"/>
      <c r="F1312" s="51"/>
      <c r="G1312" s="50" t="s">
        <v>102</v>
      </c>
      <c r="H1312" s="52">
        <f>1</f>
        <v>1</v>
      </c>
      <c r="I1312" s="36"/>
      <c r="J1312" s="52">
        <v>1</v>
      </c>
      <c r="K1312" s="53">
        <f>0</f>
        <v>0</v>
      </c>
      <c r="L1312" s="53">
        <f>0</f>
        <v>0</v>
      </c>
      <c r="M1312" s="53">
        <f>0</f>
        <v>0</v>
      </c>
      <c r="N1312" s="54">
        <f t="shared" si="189"/>
        <v>0</v>
      </c>
      <c r="O1312" s="54">
        <f t="shared" si="190"/>
        <v>0</v>
      </c>
      <c r="P1312" s="54">
        <f t="shared" si="191"/>
        <v>0</v>
      </c>
      <c r="Q1312" s="54">
        <f t="shared" si="192"/>
        <v>0</v>
      </c>
      <c r="R1312" s="54">
        <f t="shared" si="193"/>
        <v>0</v>
      </c>
      <c r="S1312" s="54"/>
      <c r="T1312" s="36"/>
      <c r="XDA1312"/>
      <c r="XDB1312"/>
      <c r="XDC1312"/>
      <c r="XDD1312"/>
      <c r="XDE1312"/>
      <c r="XDF1312"/>
      <c r="XDG1312"/>
      <c r="XDH1312"/>
      <c r="XDI1312"/>
      <c r="XDJ1312"/>
      <c r="XDK1312"/>
      <c r="XDL1312"/>
      <c r="XDM1312"/>
      <c r="XDN1312"/>
      <c r="XDO1312"/>
      <c r="XDP1312"/>
      <c r="XDQ1312"/>
      <c r="XDR1312"/>
      <c r="XDS1312"/>
      <c r="XDT1312"/>
      <c r="XDU1312"/>
      <c r="XDV1312"/>
      <c r="XDW1312"/>
      <c r="XDX1312"/>
      <c r="XDY1312"/>
      <c r="XDZ1312"/>
      <c r="XEA1312"/>
      <c r="XEB1312"/>
      <c r="XEC1312"/>
      <c r="XED1312"/>
      <c r="XEE1312"/>
      <c r="XEF1312"/>
      <c r="XEG1312"/>
      <c r="XEH1312"/>
      <c r="XEI1312"/>
      <c r="XEJ1312"/>
      <c r="XEK1312"/>
      <c r="XEL1312"/>
      <c r="XEM1312"/>
      <c r="XEN1312"/>
      <c r="XEO1312"/>
      <c r="XEP1312"/>
      <c r="XEQ1312"/>
      <c r="XER1312"/>
      <c r="XES1312"/>
      <c r="XET1312"/>
      <c r="XEU1312"/>
      <c r="XEV1312"/>
      <c r="XEW1312"/>
      <c r="XEX1312"/>
      <c r="XEY1312"/>
      <c r="XEZ1312"/>
      <c r="XFA1312"/>
      <c r="XFB1312"/>
      <c r="XFC1312"/>
    </row>
    <row r="1313" spans="1:20 16329:16383" s="38" customFormat="1" ht="29.1" customHeight="1" outlineLevel="6" x14ac:dyDescent="0.25">
      <c r="A1313" s="49" t="s">
        <v>2406</v>
      </c>
      <c r="B1313" s="50"/>
      <c r="C1313" s="50"/>
      <c r="D1313" s="3" t="s">
        <v>2407</v>
      </c>
      <c r="E1313" s="3"/>
      <c r="F1313" s="51" t="s">
        <v>1960</v>
      </c>
      <c r="G1313" s="50" t="s">
        <v>134</v>
      </c>
      <c r="H1313" s="52">
        <f>1</f>
        <v>1</v>
      </c>
      <c r="I1313" s="36"/>
      <c r="J1313" s="52">
        <v>1</v>
      </c>
      <c r="K1313" s="53">
        <f>0</f>
        <v>0</v>
      </c>
      <c r="L1313" s="53">
        <f>0</f>
        <v>0</v>
      </c>
      <c r="M1313" s="53">
        <f>0</f>
        <v>0</v>
      </c>
      <c r="N1313" s="54">
        <f t="shared" si="189"/>
        <v>0</v>
      </c>
      <c r="O1313" s="54">
        <f t="shared" si="190"/>
        <v>0</v>
      </c>
      <c r="P1313" s="54">
        <f t="shared" si="191"/>
        <v>0</v>
      </c>
      <c r="Q1313" s="54">
        <f t="shared" si="192"/>
        <v>0</v>
      </c>
      <c r="R1313" s="54">
        <f t="shared" si="193"/>
        <v>0</v>
      </c>
      <c r="S1313" s="54"/>
      <c r="T1313" s="36"/>
      <c r="XDA1313"/>
      <c r="XDB1313"/>
      <c r="XDC1313"/>
      <c r="XDD1313"/>
      <c r="XDE1313"/>
      <c r="XDF1313"/>
      <c r="XDG1313"/>
      <c r="XDH1313"/>
      <c r="XDI1313"/>
      <c r="XDJ1313"/>
      <c r="XDK1313"/>
      <c r="XDL1313"/>
      <c r="XDM1313"/>
      <c r="XDN1313"/>
      <c r="XDO1313"/>
      <c r="XDP1313"/>
      <c r="XDQ1313"/>
      <c r="XDR1313"/>
      <c r="XDS1313"/>
      <c r="XDT1313"/>
      <c r="XDU1313"/>
      <c r="XDV1313"/>
      <c r="XDW1313"/>
      <c r="XDX1313"/>
      <c r="XDY1313"/>
      <c r="XDZ1313"/>
      <c r="XEA1313"/>
      <c r="XEB1313"/>
      <c r="XEC1313"/>
      <c r="XED1313"/>
      <c r="XEE1313"/>
      <c r="XEF1313"/>
      <c r="XEG1313"/>
      <c r="XEH1313"/>
      <c r="XEI1313"/>
      <c r="XEJ1313"/>
      <c r="XEK1313"/>
      <c r="XEL1313"/>
      <c r="XEM1313"/>
      <c r="XEN1313"/>
      <c r="XEO1313"/>
      <c r="XEP1313"/>
      <c r="XEQ1313"/>
      <c r="XER1313"/>
      <c r="XES1313"/>
      <c r="XET1313"/>
      <c r="XEU1313"/>
      <c r="XEV1313"/>
      <c r="XEW1313"/>
      <c r="XEX1313"/>
      <c r="XEY1313"/>
      <c r="XEZ1313"/>
      <c r="XFA1313"/>
      <c r="XFB1313"/>
      <c r="XFC1313"/>
    </row>
    <row r="1314" spans="1:20 16329:16383" s="38" customFormat="1" ht="29.1" customHeight="1" outlineLevel="5" x14ac:dyDescent="0.25">
      <c r="A1314" s="65" t="s">
        <v>2408</v>
      </c>
      <c r="B1314" s="66" t="s">
        <v>2409</v>
      </c>
      <c r="C1314" s="66"/>
      <c r="D1314" s="98" t="s">
        <v>1899</v>
      </c>
      <c r="E1314" s="98"/>
      <c r="F1314" s="67"/>
      <c r="G1314" s="66"/>
      <c r="H1314" s="68"/>
      <c r="I1314" s="36"/>
      <c r="J1314" s="68"/>
      <c r="K1314" s="69"/>
      <c r="L1314" s="69"/>
      <c r="M1314" s="69"/>
      <c r="N1314" s="69"/>
      <c r="O1314" s="69">
        <f>SUM(O1315:O1322)</f>
        <v>0</v>
      </c>
      <c r="P1314" s="69">
        <f>SUM(P1315:P1322)</f>
        <v>0</v>
      </c>
      <c r="Q1314" s="69">
        <f>SUM(Q1315:Q1322)</f>
        <v>0</v>
      </c>
      <c r="R1314" s="69">
        <f>SUM(R1315:R1322)</f>
        <v>0</v>
      </c>
      <c r="S1314" s="69"/>
      <c r="T1314" s="36"/>
      <c r="XDA1314"/>
      <c r="XDB1314"/>
      <c r="XDC1314"/>
      <c r="XDD1314"/>
      <c r="XDE1314"/>
      <c r="XDF1314"/>
      <c r="XDG1314"/>
      <c r="XDH1314"/>
      <c r="XDI1314"/>
      <c r="XDJ1314"/>
      <c r="XDK1314"/>
      <c r="XDL1314"/>
      <c r="XDM1314"/>
      <c r="XDN1314"/>
      <c r="XDO1314"/>
      <c r="XDP1314"/>
      <c r="XDQ1314"/>
      <c r="XDR1314"/>
      <c r="XDS1314"/>
      <c r="XDT1314"/>
      <c r="XDU1314"/>
      <c r="XDV1314"/>
      <c r="XDW1314"/>
      <c r="XDX1314"/>
      <c r="XDY1314"/>
      <c r="XDZ1314"/>
      <c r="XEA1314"/>
      <c r="XEB1314"/>
      <c r="XEC1314"/>
      <c r="XED1314"/>
      <c r="XEE1314"/>
      <c r="XEF1314"/>
      <c r="XEG1314"/>
      <c r="XEH1314"/>
      <c r="XEI1314"/>
      <c r="XEJ1314"/>
      <c r="XEK1314"/>
      <c r="XEL1314"/>
      <c r="XEM1314"/>
      <c r="XEN1314"/>
      <c r="XEO1314"/>
      <c r="XEP1314"/>
      <c r="XEQ1314"/>
      <c r="XER1314"/>
      <c r="XES1314"/>
      <c r="XET1314"/>
      <c r="XEU1314"/>
      <c r="XEV1314"/>
      <c r="XEW1314"/>
      <c r="XEX1314"/>
      <c r="XEY1314"/>
      <c r="XEZ1314"/>
      <c r="XFA1314"/>
      <c r="XFB1314"/>
      <c r="XFC1314"/>
    </row>
    <row r="1315" spans="1:20 16329:16383" s="38" customFormat="1" ht="29.1" customHeight="1" outlineLevel="6" x14ac:dyDescent="0.25">
      <c r="A1315" s="49" t="s">
        <v>2410</v>
      </c>
      <c r="B1315" s="50"/>
      <c r="C1315" s="50"/>
      <c r="D1315" s="3" t="s">
        <v>2411</v>
      </c>
      <c r="E1315" s="3"/>
      <c r="F1315" s="51"/>
      <c r="G1315" s="50" t="s">
        <v>102</v>
      </c>
      <c r="H1315" s="52">
        <f>1</f>
        <v>1</v>
      </c>
      <c r="I1315" s="36"/>
      <c r="J1315" s="52">
        <v>1</v>
      </c>
      <c r="K1315" s="53">
        <f>0</f>
        <v>0</v>
      </c>
      <c r="L1315" s="53">
        <f>0</f>
        <v>0</v>
      </c>
      <c r="M1315" s="53">
        <f>0</f>
        <v>0</v>
      </c>
      <c r="N1315" s="54">
        <f t="shared" ref="N1315:N1322" si="194">SUM(K1315:M1315)</f>
        <v>0</v>
      </c>
      <c r="O1315" s="54">
        <f t="shared" ref="O1315:O1322" si="195">ROUND((H1315*K1315),2)</f>
        <v>0</v>
      </c>
      <c r="P1315" s="54">
        <f t="shared" ref="P1315:P1322" si="196">ROUND((H1315*L1315),2)</f>
        <v>0</v>
      </c>
      <c r="Q1315" s="54">
        <f t="shared" ref="Q1315:Q1322" si="197">ROUND((H1315*M1315),2)</f>
        <v>0</v>
      </c>
      <c r="R1315" s="54">
        <f t="shared" ref="R1315:R1322" si="198">ROUND((H1315*N1315),2)</f>
        <v>0</v>
      </c>
      <c r="S1315" s="54"/>
      <c r="T1315" s="36"/>
      <c r="XDA1315"/>
      <c r="XDB1315"/>
      <c r="XDC1315"/>
      <c r="XDD1315"/>
      <c r="XDE1315"/>
      <c r="XDF1315"/>
      <c r="XDG1315"/>
      <c r="XDH1315"/>
      <c r="XDI1315"/>
      <c r="XDJ1315"/>
      <c r="XDK1315"/>
      <c r="XDL1315"/>
      <c r="XDM1315"/>
      <c r="XDN1315"/>
      <c r="XDO1315"/>
      <c r="XDP1315"/>
      <c r="XDQ1315"/>
      <c r="XDR1315"/>
      <c r="XDS1315"/>
      <c r="XDT1315"/>
      <c r="XDU1315"/>
      <c r="XDV1315"/>
      <c r="XDW1315"/>
      <c r="XDX1315"/>
      <c r="XDY1315"/>
      <c r="XDZ1315"/>
      <c r="XEA1315"/>
      <c r="XEB1315"/>
      <c r="XEC1315"/>
      <c r="XED1315"/>
      <c r="XEE1315"/>
      <c r="XEF1315"/>
      <c r="XEG1315"/>
      <c r="XEH1315"/>
      <c r="XEI1315"/>
      <c r="XEJ1315"/>
      <c r="XEK1315"/>
      <c r="XEL1315"/>
      <c r="XEM1315"/>
      <c r="XEN1315"/>
      <c r="XEO1315"/>
      <c r="XEP1315"/>
      <c r="XEQ1315"/>
      <c r="XER1315"/>
      <c r="XES1315"/>
      <c r="XET1315"/>
      <c r="XEU1315"/>
      <c r="XEV1315"/>
      <c r="XEW1315"/>
      <c r="XEX1315"/>
      <c r="XEY1315"/>
      <c r="XEZ1315"/>
      <c r="XFA1315"/>
      <c r="XFB1315"/>
      <c r="XFC1315"/>
    </row>
    <row r="1316" spans="1:20 16329:16383" s="38" customFormat="1" ht="29.1" customHeight="1" outlineLevel="6" x14ac:dyDescent="0.25">
      <c r="A1316" s="49" t="s">
        <v>2412</v>
      </c>
      <c r="B1316" s="50"/>
      <c r="C1316" s="50"/>
      <c r="D1316" s="3" t="s">
        <v>1955</v>
      </c>
      <c r="E1316" s="3"/>
      <c r="F1316" s="51"/>
      <c r="G1316" s="50" t="s">
        <v>102</v>
      </c>
      <c r="H1316" s="52">
        <f>1</f>
        <v>1</v>
      </c>
      <c r="I1316" s="36"/>
      <c r="J1316" s="52">
        <v>1</v>
      </c>
      <c r="K1316" s="53">
        <f>0</f>
        <v>0</v>
      </c>
      <c r="L1316" s="53">
        <f>0</f>
        <v>0</v>
      </c>
      <c r="M1316" s="53">
        <f>0</f>
        <v>0</v>
      </c>
      <c r="N1316" s="54">
        <f t="shared" si="194"/>
        <v>0</v>
      </c>
      <c r="O1316" s="54">
        <f t="shared" si="195"/>
        <v>0</v>
      </c>
      <c r="P1316" s="54">
        <f t="shared" si="196"/>
        <v>0</v>
      </c>
      <c r="Q1316" s="54">
        <f t="shared" si="197"/>
        <v>0</v>
      </c>
      <c r="R1316" s="54">
        <f t="shared" si="198"/>
        <v>0</v>
      </c>
      <c r="S1316" s="54"/>
      <c r="T1316" s="36"/>
      <c r="XDA1316"/>
      <c r="XDB1316"/>
      <c r="XDC1316"/>
      <c r="XDD1316"/>
      <c r="XDE1316"/>
      <c r="XDF1316"/>
      <c r="XDG1316"/>
      <c r="XDH1316"/>
      <c r="XDI1316"/>
      <c r="XDJ1316"/>
      <c r="XDK1316"/>
      <c r="XDL1316"/>
      <c r="XDM1316"/>
      <c r="XDN1316"/>
      <c r="XDO1316"/>
      <c r="XDP1316"/>
      <c r="XDQ1316"/>
      <c r="XDR1316"/>
      <c r="XDS1316"/>
      <c r="XDT1316"/>
      <c r="XDU1316"/>
      <c r="XDV1316"/>
      <c r="XDW1316"/>
      <c r="XDX1316"/>
      <c r="XDY1316"/>
      <c r="XDZ1316"/>
      <c r="XEA1316"/>
      <c r="XEB1316"/>
      <c r="XEC1316"/>
      <c r="XED1316"/>
      <c r="XEE1316"/>
      <c r="XEF1316"/>
      <c r="XEG1316"/>
      <c r="XEH1316"/>
      <c r="XEI1316"/>
      <c r="XEJ1316"/>
      <c r="XEK1316"/>
      <c r="XEL1316"/>
      <c r="XEM1316"/>
      <c r="XEN1316"/>
      <c r="XEO1316"/>
      <c r="XEP1316"/>
      <c r="XEQ1316"/>
      <c r="XER1316"/>
      <c r="XES1316"/>
      <c r="XET1316"/>
      <c r="XEU1316"/>
      <c r="XEV1316"/>
      <c r="XEW1316"/>
      <c r="XEX1316"/>
      <c r="XEY1316"/>
      <c r="XEZ1316"/>
      <c r="XFA1316"/>
      <c r="XFB1316"/>
      <c r="XFC1316"/>
    </row>
    <row r="1317" spans="1:20 16329:16383" s="38" customFormat="1" ht="29.1" customHeight="1" outlineLevel="6" x14ac:dyDescent="0.25">
      <c r="A1317" s="49" t="s">
        <v>2413</v>
      </c>
      <c r="B1317" s="50"/>
      <c r="C1317" s="50"/>
      <c r="D1317" s="3" t="s">
        <v>2238</v>
      </c>
      <c r="E1317" s="3"/>
      <c r="F1317" s="51"/>
      <c r="G1317" s="50" t="s">
        <v>102</v>
      </c>
      <c r="H1317" s="52">
        <f>1</f>
        <v>1</v>
      </c>
      <c r="I1317" s="36"/>
      <c r="J1317" s="52">
        <v>1</v>
      </c>
      <c r="K1317" s="53">
        <f>0</f>
        <v>0</v>
      </c>
      <c r="L1317" s="53">
        <f>0</f>
        <v>0</v>
      </c>
      <c r="M1317" s="53">
        <f>0</f>
        <v>0</v>
      </c>
      <c r="N1317" s="54">
        <f t="shared" si="194"/>
        <v>0</v>
      </c>
      <c r="O1317" s="54">
        <f t="shared" si="195"/>
        <v>0</v>
      </c>
      <c r="P1317" s="54">
        <f t="shared" si="196"/>
        <v>0</v>
      </c>
      <c r="Q1317" s="54">
        <f t="shared" si="197"/>
        <v>0</v>
      </c>
      <c r="R1317" s="54">
        <f t="shared" si="198"/>
        <v>0</v>
      </c>
      <c r="S1317" s="54"/>
      <c r="T1317" s="36"/>
      <c r="XDA1317"/>
      <c r="XDB1317"/>
      <c r="XDC1317"/>
      <c r="XDD1317"/>
      <c r="XDE1317"/>
      <c r="XDF1317"/>
      <c r="XDG1317"/>
      <c r="XDH1317"/>
      <c r="XDI1317"/>
      <c r="XDJ1317"/>
      <c r="XDK1317"/>
      <c r="XDL1317"/>
      <c r="XDM1317"/>
      <c r="XDN1317"/>
      <c r="XDO1317"/>
      <c r="XDP1317"/>
      <c r="XDQ1317"/>
      <c r="XDR1317"/>
      <c r="XDS1317"/>
      <c r="XDT1317"/>
      <c r="XDU1317"/>
      <c r="XDV1317"/>
      <c r="XDW1317"/>
      <c r="XDX1317"/>
      <c r="XDY1317"/>
      <c r="XDZ1317"/>
      <c r="XEA1317"/>
      <c r="XEB1317"/>
      <c r="XEC1317"/>
      <c r="XED1317"/>
      <c r="XEE1317"/>
      <c r="XEF1317"/>
      <c r="XEG1317"/>
      <c r="XEH1317"/>
      <c r="XEI1317"/>
      <c r="XEJ1317"/>
      <c r="XEK1317"/>
      <c r="XEL1317"/>
      <c r="XEM1317"/>
      <c r="XEN1317"/>
      <c r="XEO1317"/>
      <c r="XEP1317"/>
      <c r="XEQ1317"/>
      <c r="XER1317"/>
      <c r="XES1317"/>
      <c r="XET1317"/>
      <c r="XEU1317"/>
      <c r="XEV1317"/>
      <c r="XEW1317"/>
      <c r="XEX1317"/>
      <c r="XEY1317"/>
      <c r="XEZ1317"/>
      <c r="XFA1317"/>
      <c r="XFB1317"/>
      <c r="XFC1317"/>
    </row>
    <row r="1318" spans="1:20 16329:16383" s="38" customFormat="1" ht="29.1" customHeight="1" outlineLevel="6" x14ac:dyDescent="0.25">
      <c r="A1318" s="49" t="s">
        <v>2414</v>
      </c>
      <c r="B1318" s="50"/>
      <c r="C1318" s="50"/>
      <c r="D1318" s="3" t="s">
        <v>1884</v>
      </c>
      <c r="E1318" s="3"/>
      <c r="F1318" s="51"/>
      <c r="G1318" s="50" t="s">
        <v>102</v>
      </c>
      <c r="H1318" s="52">
        <f>1</f>
        <v>1</v>
      </c>
      <c r="I1318" s="36"/>
      <c r="J1318" s="52">
        <v>1</v>
      </c>
      <c r="K1318" s="53">
        <f>0</f>
        <v>0</v>
      </c>
      <c r="L1318" s="53">
        <f>0</f>
        <v>0</v>
      </c>
      <c r="M1318" s="53">
        <f>0</f>
        <v>0</v>
      </c>
      <c r="N1318" s="54">
        <f t="shared" si="194"/>
        <v>0</v>
      </c>
      <c r="O1318" s="54">
        <f t="shared" si="195"/>
        <v>0</v>
      </c>
      <c r="P1318" s="54">
        <f t="shared" si="196"/>
        <v>0</v>
      </c>
      <c r="Q1318" s="54">
        <f t="shared" si="197"/>
        <v>0</v>
      </c>
      <c r="R1318" s="54">
        <f t="shared" si="198"/>
        <v>0</v>
      </c>
      <c r="S1318" s="54"/>
      <c r="T1318" s="36"/>
      <c r="XDA1318"/>
      <c r="XDB1318"/>
      <c r="XDC1318"/>
      <c r="XDD1318"/>
      <c r="XDE1318"/>
      <c r="XDF1318"/>
      <c r="XDG1318"/>
      <c r="XDH1318"/>
      <c r="XDI1318"/>
      <c r="XDJ1318"/>
      <c r="XDK1318"/>
      <c r="XDL1318"/>
      <c r="XDM1318"/>
      <c r="XDN1318"/>
      <c r="XDO1318"/>
      <c r="XDP1318"/>
      <c r="XDQ1318"/>
      <c r="XDR1318"/>
      <c r="XDS1318"/>
      <c r="XDT1318"/>
      <c r="XDU1318"/>
      <c r="XDV1318"/>
      <c r="XDW1318"/>
      <c r="XDX1318"/>
      <c r="XDY1318"/>
      <c r="XDZ1318"/>
      <c r="XEA1318"/>
      <c r="XEB1318"/>
      <c r="XEC1318"/>
      <c r="XED1318"/>
      <c r="XEE1318"/>
      <c r="XEF1318"/>
      <c r="XEG1318"/>
      <c r="XEH1318"/>
      <c r="XEI1318"/>
      <c r="XEJ1318"/>
      <c r="XEK1318"/>
      <c r="XEL1318"/>
      <c r="XEM1318"/>
      <c r="XEN1318"/>
      <c r="XEO1318"/>
      <c r="XEP1318"/>
      <c r="XEQ1318"/>
      <c r="XER1318"/>
      <c r="XES1318"/>
      <c r="XET1318"/>
      <c r="XEU1318"/>
      <c r="XEV1318"/>
      <c r="XEW1318"/>
      <c r="XEX1318"/>
      <c r="XEY1318"/>
      <c r="XEZ1318"/>
      <c r="XFA1318"/>
      <c r="XFB1318"/>
      <c r="XFC1318"/>
    </row>
    <row r="1319" spans="1:20 16329:16383" s="38" customFormat="1" ht="29.1" customHeight="1" outlineLevel="6" x14ac:dyDescent="0.25">
      <c r="A1319" s="49" t="s">
        <v>2415</v>
      </c>
      <c r="B1319" s="50"/>
      <c r="C1319" s="50"/>
      <c r="D1319" s="3" t="s">
        <v>2241</v>
      </c>
      <c r="E1319" s="3"/>
      <c r="F1319" s="51"/>
      <c r="G1319" s="50" t="s">
        <v>102</v>
      </c>
      <c r="H1319" s="52">
        <f>1</f>
        <v>1</v>
      </c>
      <c r="I1319" s="36"/>
      <c r="J1319" s="52">
        <v>1</v>
      </c>
      <c r="K1319" s="53">
        <f>0</f>
        <v>0</v>
      </c>
      <c r="L1319" s="53">
        <f>0</f>
        <v>0</v>
      </c>
      <c r="M1319" s="53">
        <f>0</f>
        <v>0</v>
      </c>
      <c r="N1319" s="54">
        <f t="shared" si="194"/>
        <v>0</v>
      </c>
      <c r="O1319" s="54">
        <f t="shared" si="195"/>
        <v>0</v>
      </c>
      <c r="P1319" s="54">
        <f t="shared" si="196"/>
        <v>0</v>
      </c>
      <c r="Q1319" s="54">
        <f t="shared" si="197"/>
        <v>0</v>
      </c>
      <c r="R1319" s="54">
        <f t="shared" si="198"/>
        <v>0</v>
      </c>
      <c r="S1319" s="54"/>
      <c r="T1319" s="36"/>
      <c r="XDA1319"/>
      <c r="XDB1319"/>
      <c r="XDC1319"/>
      <c r="XDD1319"/>
      <c r="XDE1319"/>
      <c r="XDF1319"/>
      <c r="XDG1319"/>
      <c r="XDH1319"/>
      <c r="XDI1319"/>
      <c r="XDJ1319"/>
      <c r="XDK1319"/>
      <c r="XDL1319"/>
      <c r="XDM1319"/>
      <c r="XDN1319"/>
      <c r="XDO1319"/>
      <c r="XDP1319"/>
      <c r="XDQ1319"/>
      <c r="XDR1319"/>
      <c r="XDS1319"/>
      <c r="XDT1319"/>
      <c r="XDU1319"/>
      <c r="XDV1319"/>
      <c r="XDW1319"/>
      <c r="XDX1319"/>
      <c r="XDY1319"/>
      <c r="XDZ1319"/>
      <c r="XEA1319"/>
      <c r="XEB1319"/>
      <c r="XEC1319"/>
      <c r="XED1319"/>
      <c r="XEE1319"/>
      <c r="XEF1319"/>
      <c r="XEG1319"/>
      <c r="XEH1319"/>
      <c r="XEI1319"/>
      <c r="XEJ1319"/>
      <c r="XEK1319"/>
      <c r="XEL1319"/>
      <c r="XEM1319"/>
      <c r="XEN1319"/>
      <c r="XEO1319"/>
      <c r="XEP1319"/>
      <c r="XEQ1319"/>
      <c r="XER1319"/>
      <c r="XES1319"/>
      <c r="XET1319"/>
      <c r="XEU1319"/>
      <c r="XEV1319"/>
      <c r="XEW1319"/>
      <c r="XEX1319"/>
      <c r="XEY1319"/>
      <c r="XEZ1319"/>
      <c r="XFA1319"/>
      <c r="XFB1319"/>
      <c r="XFC1319"/>
    </row>
    <row r="1320" spans="1:20 16329:16383" s="38" customFormat="1" ht="29.1" customHeight="1" outlineLevel="6" x14ac:dyDescent="0.25">
      <c r="A1320" s="49" t="s">
        <v>2416</v>
      </c>
      <c r="B1320" s="50"/>
      <c r="C1320" s="50"/>
      <c r="D1320" s="3" t="s">
        <v>1886</v>
      </c>
      <c r="E1320" s="3"/>
      <c r="F1320" s="51"/>
      <c r="G1320" s="50" t="s">
        <v>102</v>
      </c>
      <c r="H1320" s="52">
        <f>1</f>
        <v>1</v>
      </c>
      <c r="I1320" s="36"/>
      <c r="J1320" s="52">
        <v>1</v>
      </c>
      <c r="K1320" s="53">
        <f>0</f>
        <v>0</v>
      </c>
      <c r="L1320" s="53">
        <f>0</f>
        <v>0</v>
      </c>
      <c r="M1320" s="53">
        <f>0</f>
        <v>0</v>
      </c>
      <c r="N1320" s="54">
        <f t="shared" si="194"/>
        <v>0</v>
      </c>
      <c r="O1320" s="54">
        <f t="shared" si="195"/>
        <v>0</v>
      </c>
      <c r="P1320" s="54">
        <f t="shared" si="196"/>
        <v>0</v>
      </c>
      <c r="Q1320" s="54">
        <f t="shared" si="197"/>
        <v>0</v>
      </c>
      <c r="R1320" s="54">
        <f t="shared" si="198"/>
        <v>0</v>
      </c>
      <c r="S1320" s="54"/>
      <c r="T1320" s="36"/>
      <c r="XDA1320"/>
      <c r="XDB1320"/>
      <c r="XDC1320"/>
      <c r="XDD1320"/>
      <c r="XDE1320"/>
      <c r="XDF1320"/>
      <c r="XDG1320"/>
      <c r="XDH1320"/>
      <c r="XDI1320"/>
      <c r="XDJ1320"/>
      <c r="XDK1320"/>
      <c r="XDL1320"/>
      <c r="XDM1320"/>
      <c r="XDN1320"/>
      <c r="XDO1320"/>
      <c r="XDP1320"/>
      <c r="XDQ1320"/>
      <c r="XDR1320"/>
      <c r="XDS1320"/>
      <c r="XDT1320"/>
      <c r="XDU1320"/>
      <c r="XDV1320"/>
      <c r="XDW1320"/>
      <c r="XDX1320"/>
      <c r="XDY1320"/>
      <c r="XDZ1320"/>
      <c r="XEA1320"/>
      <c r="XEB1320"/>
      <c r="XEC1320"/>
      <c r="XED1320"/>
      <c r="XEE1320"/>
      <c r="XEF1320"/>
      <c r="XEG1320"/>
      <c r="XEH1320"/>
      <c r="XEI1320"/>
      <c r="XEJ1320"/>
      <c r="XEK1320"/>
      <c r="XEL1320"/>
      <c r="XEM1320"/>
      <c r="XEN1320"/>
      <c r="XEO1320"/>
      <c r="XEP1320"/>
      <c r="XEQ1320"/>
      <c r="XER1320"/>
      <c r="XES1320"/>
      <c r="XET1320"/>
      <c r="XEU1320"/>
      <c r="XEV1320"/>
      <c r="XEW1320"/>
      <c r="XEX1320"/>
      <c r="XEY1320"/>
      <c r="XEZ1320"/>
      <c r="XFA1320"/>
      <c r="XFB1320"/>
      <c r="XFC1320"/>
    </row>
    <row r="1321" spans="1:20 16329:16383" s="38" customFormat="1" ht="29.1" customHeight="1" outlineLevel="6" x14ac:dyDescent="0.25">
      <c r="A1321" s="49" t="s">
        <v>2417</v>
      </c>
      <c r="B1321" s="50"/>
      <c r="C1321" s="50"/>
      <c r="D1321" s="3" t="s">
        <v>2418</v>
      </c>
      <c r="E1321" s="3"/>
      <c r="F1321" s="51"/>
      <c r="G1321" s="50" t="s">
        <v>102</v>
      </c>
      <c r="H1321" s="52">
        <f>1</f>
        <v>1</v>
      </c>
      <c r="I1321" s="36"/>
      <c r="J1321" s="52">
        <v>1</v>
      </c>
      <c r="K1321" s="53">
        <f>0</f>
        <v>0</v>
      </c>
      <c r="L1321" s="53">
        <f>0</f>
        <v>0</v>
      </c>
      <c r="M1321" s="53">
        <f>0</f>
        <v>0</v>
      </c>
      <c r="N1321" s="54">
        <f t="shared" si="194"/>
        <v>0</v>
      </c>
      <c r="O1321" s="54">
        <f t="shared" si="195"/>
        <v>0</v>
      </c>
      <c r="P1321" s="54">
        <f t="shared" si="196"/>
        <v>0</v>
      </c>
      <c r="Q1321" s="54">
        <f t="shared" si="197"/>
        <v>0</v>
      </c>
      <c r="R1321" s="54">
        <f t="shared" si="198"/>
        <v>0</v>
      </c>
      <c r="S1321" s="54"/>
      <c r="T1321" s="36"/>
      <c r="XDA1321"/>
      <c r="XDB1321"/>
      <c r="XDC1321"/>
      <c r="XDD1321"/>
      <c r="XDE1321"/>
      <c r="XDF1321"/>
      <c r="XDG1321"/>
      <c r="XDH1321"/>
      <c r="XDI1321"/>
      <c r="XDJ1321"/>
      <c r="XDK1321"/>
      <c r="XDL1321"/>
      <c r="XDM1321"/>
      <c r="XDN1321"/>
      <c r="XDO1321"/>
      <c r="XDP1321"/>
      <c r="XDQ1321"/>
      <c r="XDR1321"/>
      <c r="XDS1321"/>
      <c r="XDT1321"/>
      <c r="XDU1321"/>
      <c r="XDV1321"/>
      <c r="XDW1321"/>
      <c r="XDX1321"/>
      <c r="XDY1321"/>
      <c r="XDZ1321"/>
      <c r="XEA1321"/>
      <c r="XEB1321"/>
      <c r="XEC1321"/>
      <c r="XED1321"/>
      <c r="XEE1321"/>
      <c r="XEF1321"/>
      <c r="XEG1321"/>
      <c r="XEH1321"/>
      <c r="XEI1321"/>
      <c r="XEJ1321"/>
      <c r="XEK1321"/>
      <c r="XEL1321"/>
      <c r="XEM1321"/>
      <c r="XEN1321"/>
      <c r="XEO1321"/>
      <c r="XEP1321"/>
      <c r="XEQ1321"/>
      <c r="XER1321"/>
      <c r="XES1321"/>
      <c r="XET1321"/>
      <c r="XEU1321"/>
      <c r="XEV1321"/>
      <c r="XEW1321"/>
      <c r="XEX1321"/>
      <c r="XEY1321"/>
      <c r="XEZ1321"/>
      <c r="XFA1321"/>
      <c r="XFB1321"/>
      <c r="XFC1321"/>
    </row>
    <row r="1322" spans="1:20 16329:16383" s="38" customFormat="1" ht="29.1" customHeight="1" outlineLevel="6" x14ac:dyDescent="0.25">
      <c r="A1322" s="49" t="s">
        <v>2419</v>
      </c>
      <c r="B1322" s="50"/>
      <c r="C1322" s="50"/>
      <c r="D1322" s="3" t="s">
        <v>2420</v>
      </c>
      <c r="E1322" s="3"/>
      <c r="F1322" s="51" t="s">
        <v>1960</v>
      </c>
      <c r="G1322" s="50" t="s">
        <v>134</v>
      </c>
      <c r="H1322" s="52">
        <f>1</f>
        <v>1</v>
      </c>
      <c r="I1322" s="36"/>
      <c r="J1322" s="52">
        <v>1</v>
      </c>
      <c r="K1322" s="53">
        <f>0</f>
        <v>0</v>
      </c>
      <c r="L1322" s="53">
        <f>0</f>
        <v>0</v>
      </c>
      <c r="M1322" s="53">
        <f>0</f>
        <v>0</v>
      </c>
      <c r="N1322" s="54">
        <f t="shared" si="194"/>
        <v>0</v>
      </c>
      <c r="O1322" s="54">
        <f t="shared" si="195"/>
        <v>0</v>
      </c>
      <c r="P1322" s="54">
        <f t="shared" si="196"/>
        <v>0</v>
      </c>
      <c r="Q1322" s="54">
        <f t="shared" si="197"/>
        <v>0</v>
      </c>
      <c r="R1322" s="54">
        <f t="shared" si="198"/>
        <v>0</v>
      </c>
      <c r="S1322" s="54"/>
      <c r="T1322" s="36"/>
      <c r="XDA1322"/>
      <c r="XDB1322"/>
      <c r="XDC1322"/>
      <c r="XDD1322"/>
      <c r="XDE1322"/>
      <c r="XDF1322"/>
      <c r="XDG1322"/>
      <c r="XDH1322"/>
      <c r="XDI1322"/>
      <c r="XDJ1322"/>
      <c r="XDK1322"/>
      <c r="XDL1322"/>
      <c r="XDM1322"/>
      <c r="XDN1322"/>
      <c r="XDO1322"/>
      <c r="XDP1322"/>
      <c r="XDQ1322"/>
      <c r="XDR1322"/>
      <c r="XDS1322"/>
      <c r="XDT1322"/>
      <c r="XDU1322"/>
      <c r="XDV1322"/>
      <c r="XDW1322"/>
      <c r="XDX1322"/>
      <c r="XDY1322"/>
      <c r="XDZ1322"/>
      <c r="XEA1322"/>
      <c r="XEB1322"/>
      <c r="XEC1322"/>
      <c r="XED1322"/>
      <c r="XEE1322"/>
      <c r="XEF1322"/>
      <c r="XEG1322"/>
      <c r="XEH1322"/>
      <c r="XEI1322"/>
      <c r="XEJ1322"/>
      <c r="XEK1322"/>
      <c r="XEL1322"/>
      <c r="XEM1322"/>
      <c r="XEN1322"/>
      <c r="XEO1322"/>
      <c r="XEP1322"/>
      <c r="XEQ1322"/>
      <c r="XER1322"/>
      <c r="XES1322"/>
      <c r="XET1322"/>
      <c r="XEU1322"/>
      <c r="XEV1322"/>
      <c r="XEW1322"/>
      <c r="XEX1322"/>
      <c r="XEY1322"/>
      <c r="XEZ1322"/>
      <c r="XFA1322"/>
      <c r="XFB1322"/>
      <c r="XFC1322"/>
    </row>
    <row r="1323" spans="1:20 16329:16383" s="38" customFormat="1" ht="29.1" customHeight="1" outlineLevel="5" x14ac:dyDescent="0.25">
      <c r="A1323" s="65" t="s">
        <v>2421</v>
      </c>
      <c r="B1323" s="66" t="s">
        <v>2422</v>
      </c>
      <c r="C1323" s="66"/>
      <c r="D1323" s="98" t="s">
        <v>1498</v>
      </c>
      <c r="E1323" s="98"/>
      <c r="F1323" s="67"/>
      <c r="G1323" s="66"/>
      <c r="H1323" s="68"/>
      <c r="I1323" s="36"/>
      <c r="J1323" s="68"/>
      <c r="K1323" s="69"/>
      <c r="L1323" s="69"/>
      <c r="M1323" s="69"/>
      <c r="N1323" s="69"/>
      <c r="O1323" s="69">
        <f>SUM(O1324:O1328)</f>
        <v>0</v>
      </c>
      <c r="P1323" s="69">
        <f>SUM(P1324:P1328)</f>
        <v>0</v>
      </c>
      <c r="Q1323" s="69">
        <f>SUM(Q1324:Q1328)</f>
        <v>0</v>
      </c>
      <c r="R1323" s="69">
        <f>SUM(R1324:R1328)</f>
        <v>0</v>
      </c>
      <c r="S1323" s="69"/>
      <c r="T1323" s="36"/>
      <c r="XDA1323"/>
      <c r="XDB1323"/>
      <c r="XDC1323"/>
      <c r="XDD1323"/>
      <c r="XDE1323"/>
      <c r="XDF1323"/>
      <c r="XDG1323"/>
      <c r="XDH1323"/>
      <c r="XDI1323"/>
      <c r="XDJ1323"/>
      <c r="XDK1323"/>
      <c r="XDL1323"/>
      <c r="XDM1323"/>
      <c r="XDN1323"/>
      <c r="XDO1323"/>
      <c r="XDP1323"/>
      <c r="XDQ1323"/>
      <c r="XDR1323"/>
      <c r="XDS1323"/>
      <c r="XDT1323"/>
      <c r="XDU1323"/>
      <c r="XDV1323"/>
      <c r="XDW1323"/>
      <c r="XDX1323"/>
      <c r="XDY1323"/>
      <c r="XDZ1323"/>
      <c r="XEA1323"/>
      <c r="XEB1323"/>
      <c r="XEC1323"/>
      <c r="XED1323"/>
      <c r="XEE1323"/>
      <c r="XEF1323"/>
      <c r="XEG1323"/>
      <c r="XEH1323"/>
      <c r="XEI1323"/>
      <c r="XEJ1323"/>
      <c r="XEK1323"/>
      <c r="XEL1323"/>
      <c r="XEM1323"/>
      <c r="XEN1323"/>
      <c r="XEO1323"/>
      <c r="XEP1323"/>
      <c r="XEQ1323"/>
      <c r="XER1323"/>
      <c r="XES1323"/>
      <c r="XET1323"/>
      <c r="XEU1323"/>
      <c r="XEV1323"/>
      <c r="XEW1323"/>
      <c r="XEX1323"/>
      <c r="XEY1323"/>
      <c r="XEZ1323"/>
      <c r="XFA1323"/>
      <c r="XFB1323"/>
      <c r="XFC1323"/>
    </row>
    <row r="1324" spans="1:20 16329:16383" s="38" customFormat="1" ht="29.1" customHeight="1" outlineLevel="6" x14ac:dyDescent="0.25">
      <c r="A1324" s="49" t="s">
        <v>2423</v>
      </c>
      <c r="B1324" s="50"/>
      <c r="C1324" s="50"/>
      <c r="D1324" s="3" t="s">
        <v>2251</v>
      </c>
      <c r="E1324" s="3"/>
      <c r="F1324" s="51" t="s">
        <v>2252</v>
      </c>
      <c r="G1324" s="50" t="s">
        <v>29</v>
      </c>
      <c r="H1324" s="52">
        <f>1</f>
        <v>1</v>
      </c>
      <c r="I1324" s="36"/>
      <c r="J1324" s="52">
        <v>1</v>
      </c>
      <c r="K1324" s="53">
        <f>0</f>
        <v>0</v>
      </c>
      <c r="L1324" s="53">
        <f>0</f>
        <v>0</v>
      </c>
      <c r="M1324" s="53">
        <f>0</f>
        <v>0</v>
      </c>
      <c r="N1324" s="54">
        <f>SUM(K1324:M1324)</f>
        <v>0</v>
      </c>
      <c r="O1324" s="54">
        <f>ROUND((H1324*K1324),2)</f>
        <v>0</v>
      </c>
      <c r="P1324" s="54">
        <f>ROUND((H1324*L1324),2)</f>
        <v>0</v>
      </c>
      <c r="Q1324" s="54">
        <f>ROUND((H1324*M1324),2)</f>
        <v>0</v>
      </c>
      <c r="R1324" s="54">
        <f>ROUND((H1324*N1324),2)</f>
        <v>0</v>
      </c>
      <c r="S1324" s="54"/>
      <c r="T1324" s="36"/>
      <c r="XDA1324"/>
      <c r="XDB1324"/>
      <c r="XDC1324"/>
      <c r="XDD1324"/>
      <c r="XDE1324"/>
      <c r="XDF1324"/>
      <c r="XDG1324"/>
      <c r="XDH1324"/>
      <c r="XDI1324"/>
      <c r="XDJ1324"/>
      <c r="XDK1324"/>
      <c r="XDL1324"/>
      <c r="XDM1324"/>
      <c r="XDN1324"/>
      <c r="XDO1324"/>
      <c r="XDP1324"/>
      <c r="XDQ1324"/>
      <c r="XDR1324"/>
      <c r="XDS1324"/>
      <c r="XDT1324"/>
      <c r="XDU1324"/>
      <c r="XDV1324"/>
      <c r="XDW1324"/>
      <c r="XDX1324"/>
      <c r="XDY1324"/>
      <c r="XDZ1324"/>
      <c r="XEA1324"/>
      <c r="XEB1324"/>
      <c r="XEC1324"/>
      <c r="XED1324"/>
      <c r="XEE1324"/>
      <c r="XEF1324"/>
      <c r="XEG1324"/>
      <c r="XEH1324"/>
      <c r="XEI1324"/>
      <c r="XEJ1324"/>
      <c r="XEK1324"/>
      <c r="XEL1324"/>
      <c r="XEM1324"/>
      <c r="XEN1324"/>
      <c r="XEO1324"/>
      <c r="XEP1324"/>
      <c r="XEQ1324"/>
      <c r="XER1324"/>
      <c r="XES1324"/>
      <c r="XET1324"/>
      <c r="XEU1324"/>
      <c r="XEV1324"/>
      <c r="XEW1324"/>
      <c r="XEX1324"/>
      <c r="XEY1324"/>
      <c r="XEZ1324"/>
      <c r="XFA1324"/>
      <c r="XFB1324"/>
      <c r="XFC1324"/>
    </row>
    <row r="1325" spans="1:20 16329:16383" s="38" customFormat="1" ht="29.1" customHeight="1" outlineLevel="6" x14ac:dyDescent="0.25">
      <c r="A1325" s="49" t="s">
        <v>2424</v>
      </c>
      <c r="B1325" s="50"/>
      <c r="C1325" s="50"/>
      <c r="D1325" s="3" t="s">
        <v>2260</v>
      </c>
      <c r="E1325" s="3"/>
      <c r="F1325" s="51" t="s">
        <v>2252</v>
      </c>
      <c r="G1325" s="50" t="s">
        <v>29</v>
      </c>
      <c r="H1325" s="52">
        <f>1</f>
        <v>1</v>
      </c>
      <c r="I1325" s="36"/>
      <c r="J1325" s="52">
        <v>1</v>
      </c>
      <c r="K1325" s="53">
        <f>0</f>
        <v>0</v>
      </c>
      <c r="L1325" s="53">
        <f>0</f>
        <v>0</v>
      </c>
      <c r="M1325" s="53">
        <f>0</f>
        <v>0</v>
      </c>
      <c r="N1325" s="54">
        <f>SUM(K1325:M1325)</f>
        <v>0</v>
      </c>
      <c r="O1325" s="54">
        <f>ROUND((H1325*K1325),2)</f>
        <v>0</v>
      </c>
      <c r="P1325" s="54">
        <f>ROUND((H1325*L1325),2)</f>
        <v>0</v>
      </c>
      <c r="Q1325" s="54">
        <f>ROUND((H1325*M1325),2)</f>
        <v>0</v>
      </c>
      <c r="R1325" s="54">
        <f>ROUND((H1325*N1325),2)</f>
        <v>0</v>
      </c>
      <c r="S1325" s="54"/>
      <c r="T1325" s="36"/>
      <c r="XDA1325"/>
      <c r="XDB1325"/>
      <c r="XDC1325"/>
      <c r="XDD1325"/>
      <c r="XDE1325"/>
      <c r="XDF1325"/>
      <c r="XDG1325"/>
      <c r="XDH1325"/>
      <c r="XDI1325"/>
      <c r="XDJ1325"/>
      <c r="XDK1325"/>
      <c r="XDL1325"/>
      <c r="XDM1325"/>
      <c r="XDN1325"/>
      <c r="XDO1325"/>
      <c r="XDP1325"/>
      <c r="XDQ1325"/>
      <c r="XDR1325"/>
      <c r="XDS1325"/>
      <c r="XDT1325"/>
      <c r="XDU1325"/>
      <c r="XDV1325"/>
      <c r="XDW1325"/>
      <c r="XDX1325"/>
      <c r="XDY1325"/>
      <c r="XDZ1325"/>
      <c r="XEA1325"/>
      <c r="XEB1325"/>
      <c r="XEC1325"/>
      <c r="XED1325"/>
      <c r="XEE1325"/>
      <c r="XEF1325"/>
      <c r="XEG1325"/>
      <c r="XEH1325"/>
      <c r="XEI1325"/>
      <c r="XEJ1325"/>
      <c r="XEK1325"/>
      <c r="XEL1325"/>
      <c r="XEM1325"/>
      <c r="XEN1325"/>
      <c r="XEO1325"/>
      <c r="XEP1325"/>
      <c r="XEQ1325"/>
      <c r="XER1325"/>
      <c r="XES1325"/>
      <c r="XET1325"/>
      <c r="XEU1325"/>
      <c r="XEV1325"/>
      <c r="XEW1325"/>
      <c r="XEX1325"/>
      <c r="XEY1325"/>
      <c r="XEZ1325"/>
      <c r="XFA1325"/>
      <c r="XFB1325"/>
      <c r="XFC1325"/>
    </row>
    <row r="1326" spans="1:20 16329:16383" s="38" customFormat="1" ht="29.1" customHeight="1" outlineLevel="6" x14ac:dyDescent="0.25">
      <c r="A1326" s="49" t="s">
        <v>2425</v>
      </c>
      <c r="B1326" s="50"/>
      <c r="C1326" s="50"/>
      <c r="D1326" s="3" t="s">
        <v>2258</v>
      </c>
      <c r="E1326" s="3"/>
      <c r="F1326" s="51" t="s">
        <v>2252</v>
      </c>
      <c r="G1326" s="50" t="s">
        <v>29</v>
      </c>
      <c r="H1326" s="52">
        <f>1</f>
        <v>1</v>
      </c>
      <c r="I1326" s="36"/>
      <c r="J1326" s="52">
        <v>1</v>
      </c>
      <c r="K1326" s="53">
        <f>0</f>
        <v>0</v>
      </c>
      <c r="L1326" s="53">
        <f>0</f>
        <v>0</v>
      </c>
      <c r="M1326" s="53">
        <f>0</f>
        <v>0</v>
      </c>
      <c r="N1326" s="54">
        <f>SUM(K1326:M1326)</f>
        <v>0</v>
      </c>
      <c r="O1326" s="54">
        <f>ROUND((H1326*K1326),2)</f>
        <v>0</v>
      </c>
      <c r="P1326" s="54">
        <f>ROUND((H1326*L1326),2)</f>
        <v>0</v>
      </c>
      <c r="Q1326" s="54">
        <f>ROUND((H1326*M1326),2)</f>
        <v>0</v>
      </c>
      <c r="R1326" s="54">
        <f>ROUND((H1326*N1326),2)</f>
        <v>0</v>
      </c>
      <c r="S1326" s="54"/>
      <c r="T1326" s="36"/>
      <c r="XDA1326"/>
      <c r="XDB1326"/>
      <c r="XDC1326"/>
      <c r="XDD1326"/>
      <c r="XDE1326"/>
      <c r="XDF1326"/>
      <c r="XDG1326"/>
      <c r="XDH1326"/>
      <c r="XDI1326"/>
      <c r="XDJ1326"/>
      <c r="XDK1326"/>
      <c r="XDL1326"/>
      <c r="XDM1326"/>
      <c r="XDN1326"/>
      <c r="XDO1326"/>
      <c r="XDP1326"/>
      <c r="XDQ1326"/>
      <c r="XDR1326"/>
      <c r="XDS1326"/>
      <c r="XDT1326"/>
      <c r="XDU1326"/>
      <c r="XDV1326"/>
      <c r="XDW1326"/>
      <c r="XDX1326"/>
      <c r="XDY1326"/>
      <c r="XDZ1326"/>
      <c r="XEA1326"/>
      <c r="XEB1326"/>
      <c r="XEC1326"/>
      <c r="XED1326"/>
      <c r="XEE1326"/>
      <c r="XEF1326"/>
      <c r="XEG1326"/>
      <c r="XEH1326"/>
      <c r="XEI1326"/>
      <c r="XEJ1326"/>
      <c r="XEK1326"/>
      <c r="XEL1326"/>
      <c r="XEM1326"/>
      <c r="XEN1326"/>
      <c r="XEO1326"/>
      <c r="XEP1326"/>
      <c r="XEQ1326"/>
      <c r="XER1326"/>
      <c r="XES1326"/>
      <c r="XET1326"/>
      <c r="XEU1326"/>
      <c r="XEV1326"/>
      <c r="XEW1326"/>
      <c r="XEX1326"/>
      <c r="XEY1326"/>
      <c r="XEZ1326"/>
      <c r="XFA1326"/>
      <c r="XFB1326"/>
      <c r="XFC1326"/>
    </row>
    <row r="1327" spans="1:20 16329:16383" s="38" customFormat="1" ht="29.1" customHeight="1" outlineLevel="6" x14ac:dyDescent="0.25">
      <c r="A1327" s="49" t="s">
        <v>2426</v>
      </c>
      <c r="B1327" s="50"/>
      <c r="C1327" s="50"/>
      <c r="D1327" s="3" t="s">
        <v>2324</v>
      </c>
      <c r="E1327" s="3"/>
      <c r="F1327" s="51" t="s">
        <v>2252</v>
      </c>
      <c r="G1327" s="50" t="s">
        <v>29</v>
      </c>
      <c r="H1327" s="52">
        <f>1</f>
        <v>1</v>
      </c>
      <c r="I1327" s="36"/>
      <c r="J1327" s="52">
        <v>1</v>
      </c>
      <c r="K1327" s="53">
        <f>0</f>
        <v>0</v>
      </c>
      <c r="L1327" s="53">
        <f>0</f>
        <v>0</v>
      </c>
      <c r="M1327" s="53">
        <f>0</f>
        <v>0</v>
      </c>
      <c r="N1327" s="54">
        <f>SUM(K1327:M1327)</f>
        <v>0</v>
      </c>
      <c r="O1327" s="54">
        <f>ROUND((H1327*K1327),2)</f>
        <v>0</v>
      </c>
      <c r="P1327" s="54">
        <f>ROUND((H1327*L1327),2)</f>
        <v>0</v>
      </c>
      <c r="Q1327" s="54">
        <f>ROUND((H1327*M1327),2)</f>
        <v>0</v>
      </c>
      <c r="R1327" s="54">
        <f>ROUND((H1327*N1327),2)</f>
        <v>0</v>
      </c>
      <c r="S1327" s="54"/>
      <c r="T1327" s="36"/>
      <c r="XDA1327"/>
      <c r="XDB1327"/>
      <c r="XDC1327"/>
      <c r="XDD1327"/>
      <c r="XDE1327"/>
      <c r="XDF1327"/>
      <c r="XDG1327"/>
      <c r="XDH1327"/>
      <c r="XDI1327"/>
      <c r="XDJ1327"/>
      <c r="XDK1327"/>
      <c r="XDL1327"/>
      <c r="XDM1327"/>
      <c r="XDN1327"/>
      <c r="XDO1327"/>
      <c r="XDP1327"/>
      <c r="XDQ1327"/>
      <c r="XDR1327"/>
      <c r="XDS1327"/>
      <c r="XDT1327"/>
      <c r="XDU1327"/>
      <c r="XDV1327"/>
      <c r="XDW1327"/>
      <c r="XDX1327"/>
      <c r="XDY1327"/>
      <c r="XDZ1327"/>
      <c r="XEA1327"/>
      <c r="XEB1327"/>
      <c r="XEC1327"/>
      <c r="XED1327"/>
      <c r="XEE1327"/>
      <c r="XEF1327"/>
      <c r="XEG1327"/>
      <c r="XEH1327"/>
      <c r="XEI1327"/>
      <c r="XEJ1327"/>
      <c r="XEK1327"/>
      <c r="XEL1327"/>
      <c r="XEM1327"/>
      <c r="XEN1327"/>
      <c r="XEO1327"/>
      <c r="XEP1327"/>
      <c r="XEQ1327"/>
      <c r="XER1327"/>
      <c r="XES1327"/>
      <c r="XET1327"/>
      <c r="XEU1327"/>
      <c r="XEV1327"/>
      <c r="XEW1327"/>
      <c r="XEX1327"/>
      <c r="XEY1327"/>
      <c r="XEZ1327"/>
      <c r="XFA1327"/>
      <c r="XFB1327"/>
      <c r="XFC1327"/>
    </row>
    <row r="1328" spans="1:20 16329:16383" s="38" customFormat="1" ht="29.1" customHeight="1" outlineLevel="6" x14ac:dyDescent="0.25">
      <c r="A1328" s="49" t="s">
        <v>2427</v>
      </c>
      <c r="B1328" s="50"/>
      <c r="C1328" s="50"/>
      <c r="D1328" s="3" t="s">
        <v>2326</v>
      </c>
      <c r="E1328" s="3"/>
      <c r="F1328" s="51" t="s">
        <v>2252</v>
      </c>
      <c r="G1328" s="50" t="s">
        <v>29</v>
      </c>
      <c r="H1328" s="52">
        <f>1</f>
        <v>1</v>
      </c>
      <c r="I1328" s="36"/>
      <c r="J1328" s="52">
        <v>1</v>
      </c>
      <c r="K1328" s="53">
        <f>0</f>
        <v>0</v>
      </c>
      <c r="L1328" s="53">
        <f>0</f>
        <v>0</v>
      </c>
      <c r="M1328" s="53">
        <f>0</f>
        <v>0</v>
      </c>
      <c r="N1328" s="54">
        <f>SUM(K1328:M1328)</f>
        <v>0</v>
      </c>
      <c r="O1328" s="54">
        <f>ROUND((H1328*K1328),2)</f>
        <v>0</v>
      </c>
      <c r="P1328" s="54">
        <f>ROUND((H1328*L1328),2)</f>
        <v>0</v>
      </c>
      <c r="Q1328" s="54">
        <f>ROUND((H1328*M1328),2)</f>
        <v>0</v>
      </c>
      <c r="R1328" s="54">
        <f>ROUND((H1328*N1328),2)</f>
        <v>0</v>
      </c>
      <c r="S1328" s="54"/>
      <c r="T1328" s="36"/>
      <c r="XDA1328"/>
      <c r="XDB1328"/>
      <c r="XDC1328"/>
      <c r="XDD1328"/>
      <c r="XDE1328"/>
      <c r="XDF1328"/>
      <c r="XDG1328"/>
      <c r="XDH1328"/>
      <c r="XDI1328"/>
      <c r="XDJ1328"/>
      <c r="XDK1328"/>
      <c r="XDL1328"/>
      <c r="XDM1328"/>
      <c r="XDN1328"/>
      <c r="XDO1328"/>
      <c r="XDP1328"/>
      <c r="XDQ1328"/>
      <c r="XDR1328"/>
      <c r="XDS1328"/>
      <c r="XDT1328"/>
      <c r="XDU1328"/>
      <c r="XDV1328"/>
      <c r="XDW1328"/>
      <c r="XDX1328"/>
      <c r="XDY1328"/>
      <c r="XDZ1328"/>
      <c r="XEA1328"/>
      <c r="XEB1328"/>
      <c r="XEC1328"/>
      <c r="XED1328"/>
      <c r="XEE1328"/>
      <c r="XEF1328"/>
      <c r="XEG1328"/>
      <c r="XEH1328"/>
      <c r="XEI1328"/>
      <c r="XEJ1328"/>
      <c r="XEK1328"/>
      <c r="XEL1328"/>
      <c r="XEM1328"/>
      <c r="XEN1328"/>
      <c r="XEO1328"/>
      <c r="XEP1328"/>
      <c r="XEQ1328"/>
      <c r="XER1328"/>
      <c r="XES1328"/>
      <c r="XET1328"/>
      <c r="XEU1328"/>
      <c r="XEV1328"/>
      <c r="XEW1328"/>
      <c r="XEX1328"/>
      <c r="XEY1328"/>
      <c r="XEZ1328"/>
      <c r="XFA1328"/>
      <c r="XFB1328"/>
      <c r="XFC1328"/>
    </row>
    <row r="1329" spans="1:20 16329:16383" s="38" customFormat="1" ht="29.1" customHeight="1" outlineLevel="4" x14ac:dyDescent="0.25">
      <c r="A1329" s="60" t="s">
        <v>2428</v>
      </c>
      <c r="B1329" s="61" t="s">
        <v>2429</v>
      </c>
      <c r="C1329" s="61" t="s">
        <v>2382</v>
      </c>
      <c r="D1329" s="1" t="s">
        <v>2430</v>
      </c>
      <c r="E1329" s="1"/>
      <c r="F1329" s="62"/>
      <c r="G1329" s="61" t="s">
        <v>102</v>
      </c>
      <c r="H1329" s="63"/>
      <c r="I1329" s="36"/>
      <c r="J1329" s="63"/>
      <c r="K1329" s="64"/>
      <c r="L1329" s="64"/>
      <c r="M1329" s="64"/>
      <c r="N1329" s="64"/>
      <c r="O1329" s="64">
        <f>O1330+O1338+O1345+O1355</f>
        <v>0</v>
      </c>
      <c r="P1329" s="64">
        <f>P1330+P1338+P1345+P1355</f>
        <v>0</v>
      </c>
      <c r="Q1329" s="64">
        <f>Q1330+Q1338+Q1345+Q1355</f>
        <v>0</v>
      </c>
      <c r="R1329" s="64">
        <f>R1330+R1338+R1345+R1355</f>
        <v>0</v>
      </c>
      <c r="S1329" s="64"/>
      <c r="T1329" s="36"/>
      <c r="XDA1329"/>
      <c r="XDB1329"/>
      <c r="XDC1329"/>
      <c r="XDD1329"/>
      <c r="XDE1329"/>
      <c r="XDF1329"/>
      <c r="XDG1329"/>
      <c r="XDH1329"/>
      <c r="XDI1329"/>
      <c r="XDJ1329"/>
      <c r="XDK1329"/>
      <c r="XDL1329"/>
      <c r="XDM1329"/>
      <c r="XDN1329"/>
      <c r="XDO1329"/>
      <c r="XDP1329"/>
      <c r="XDQ1329"/>
      <c r="XDR1329"/>
      <c r="XDS1329"/>
      <c r="XDT1329"/>
      <c r="XDU1329"/>
      <c r="XDV1329"/>
      <c r="XDW1329"/>
      <c r="XDX1329"/>
      <c r="XDY1329"/>
      <c r="XDZ1329"/>
      <c r="XEA1329"/>
      <c r="XEB1329"/>
      <c r="XEC1329"/>
      <c r="XED1329"/>
      <c r="XEE1329"/>
      <c r="XEF1329"/>
      <c r="XEG1329"/>
      <c r="XEH1329"/>
      <c r="XEI1329"/>
      <c r="XEJ1329"/>
      <c r="XEK1329"/>
      <c r="XEL1329"/>
      <c r="XEM1329"/>
      <c r="XEN1329"/>
      <c r="XEO1329"/>
      <c r="XEP1329"/>
      <c r="XEQ1329"/>
      <c r="XER1329"/>
      <c r="XES1329"/>
      <c r="XET1329"/>
      <c r="XEU1329"/>
      <c r="XEV1329"/>
      <c r="XEW1329"/>
      <c r="XEX1329"/>
      <c r="XEY1329"/>
      <c r="XEZ1329"/>
      <c r="XFA1329"/>
      <c r="XFB1329"/>
      <c r="XFC1329"/>
    </row>
    <row r="1330" spans="1:20 16329:16383" s="38" customFormat="1" ht="29.1" customHeight="1" outlineLevel="5" x14ac:dyDescent="0.25">
      <c r="A1330" s="65" t="s">
        <v>2431</v>
      </c>
      <c r="B1330" s="66" t="s">
        <v>2432</v>
      </c>
      <c r="C1330" s="66"/>
      <c r="D1330" s="98" t="s">
        <v>1873</v>
      </c>
      <c r="E1330" s="98"/>
      <c r="F1330" s="67"/>
      <c r="G1330" s="66"/>
      <c r="H1330" s="68"/>
      <c r="I1330" s="36"/>
      <c r="J1330" s="68"/>
      <c r="K1330" s="69"/>
      <c r="L1330" s="69"/>
      <c r="M1330" s="69"/>
      <c r="N1330" s="69"/>
      <c r="O1330" s="69">
        <f>SUM(O1331:O1337)</f>
        <v>0</v>
      </c>
      <c r="P1330" s="69">
        <f>SUM(P1331:P1337)</f>
        <v>0</v>
      </c>
      <c r="Q1330" s="69">
        <f>SUM(Q1331:Q1337)</f>
        <v>0</v>
      </c>
      <c r="R1330" s="69">
        <f>SUM(R1331:R1337)</f>
        <v>0</v>
      </c>
      <c r="S1330" s="69"/>
      <c r="T1330" s="36"/>
      <c r="XDA1330"/>
      <c r="XDB1330"/>
      <c r="XDC1330"/>
      <c r="XDD1330"/>
      <c r="XDE1330"/>
      <c r="XDF1330"/>
      <c r="XDG1330"/>
      <c r="XDH1330"/>
      <c r="XDI1330"/>
      <c r="XDJ1330"/>
      <c r="XDK1330"/>
      <c r="XDL1330"/>
      <c r="XDM1330"/>
      <c r="XDN1330"/>
      <c r="XDO1330"/>
      <c r="XDP1330"/>
      <c r="XDQ1330"/>
      <c r="XDR1330"/>
      <c r="XDS1330"/>
      <c r="XDT1330"/>
      <c r="XDU1330"/>
      <c r="XDV1330"/>
      <c r="XDW1330"/>
      <c r="XDX1330"/>
      <c r="XDY1330"/>
      <c r="XDZ1330"/>
      <c r="XEA1330"/>
      <c r="XEB1330"/>
      <c r="XEC1330"/>
      <c r="XED1330"/>
      <c r="XEE1330"/>
      <c r="XEF1330"/>
      <c r="XEG1330"/>
      <c r="XEH1330"/>
      <c r="XEI1330"/>
      <c r="XEJ1330"/>
      <c r="XEK1330"/>
      <c r="XEL1330"/>
      <c r="XEM1330"/>
      <c r="XEN1330"/>
      <c r="XEO1330"/>
      <c r="XEP1330"/>
      <c r="XEQ1330"/>
      <c r="XER1330"/>
      <c r="XES1330"/>
      <c r="XET1330"/>
      <c r="XEU1330"/>
      <c r="XEV1330"/>
      <c r="XEW1330"/>
      <c r="XEX1330"/>
      <c r="XEY1330"/>
      <c r="XEZ1330"/>
      <c r="XFA1330"/>
      <c r="XFB1330"/>
      <c r="XFC1330"/>
    </row>
    <row r="1331" spans="1:20 16329:16383" s="38" customFormat="1" ht="29.1" customHeight="1" outlineLevel="6" x14ac:dyDescent="0.25">
      <c r="A1331" s="49" t="s">
        <v>2433</v>
      </c>
      <c r="B1331" s="50"/>
      <c r="C1331" s="50"/>
      <c r="D1331" s="3" t="s">
        <v>2387</v>
      </c>
      <c r="E1331" s="3"/>
      <c r="F1331" s="51"/>
      <c r="G1331" s="50" t="s">
        <v>102</v>
      </c>
      <c r="H1331" s="52">
        <f>1</f>
        <v>1</v>
      </c>
      <c r="I1331" s="36"/>
      <c r="J1331" s="52">
        <v>1</v>
      </c>
      <c r="K1331" s="53">
        <f>0</f>
        <v>0</v>
      </c>
      <c r="L1331" s="53">
        <f>0</f>
        <v>0</v>
      </c>
      <c r="M1331" s="53">
        <f>0</f>
        <v>0</v>
      </c>
      <c r="N1331" s="54">
        <f t="shared" ref="N1331:N1337" si="199">SUM(K1331:M1331)</f>
        <v>0</v>
      </c>
      <c r="O1331" s="54">
        <f t="shared" ref="O1331:O1337" si="200">ROUND((H1331*K1331),2)</f>
        <v>0</v>
      </c>
      <c r="P1331" s="54">
        <f t="shared" ref="P1331:P1337" si="201">ROUND((H1331*L1331),2)</f>
        <v>0</v>
      </c>
      <c r="Q1331" s="54">
        <f t="shared" ref="Q1331:Q1337" si="202">ROUND((H1331*M1331),2)</f>
        <v>0</v>
      </c>
      <c r="R1331" s="54">
        <f t="shared" ref="R1331:R1337" si="203">ROUND((H1331*N1331),2)</f>
        <v>0</v>
      </c>
      <c r="S1331" s="54"/>
      <c r="T1331" s="36"/>
      <c r="XDA1331"/>
      <c r="XDB1331"/>
      <c r="XDC1331"/>
      <c r="XDD1331"/>
      <c r="XDE1331"/>
      <c r="XDF1331"/>
      <c r="XDG1331"/>
      <c r="XDH1331"/>
      <c r="XDI1331"/>
      <c r="XDJ1331"/>
      <c r="XDK1331"/>
      <c r="XDL1331"/>
      <c r="XDM1331"/>
      <c r="XDN1331"/>
      <c r="XDO1331"/>
      <c r="XDP1331"/>
      <c r="XDQ1331"/>
      <c r="XDR1331"/>
      <c r="XDS1331"/>
      <c r="XDT1331"/>
      <c r="XDU1331"/>
      <c r="XDV1331"/>
      <c r="XDW1331"/>
      <c r="XDX1331"/>
      <c r="XDY1331"/>
      <c r="XDZ1331"/>
      <c r="XEA1331"/>
      <c r="XEB1331"/>
      <c r="XEC1331"/>
      <c r="XED1331"/>
      <c r="XEE1331"/>
      <c r="XEF1331"/>
      <c r="XEG1331"/>
      <c r="XEH1331"/>
      <c r="XEI1331"/>
      <c r="XEJ1331"/>
      <c r="XEK1331"/>
      <c r="XEL1331"/>
      <c r="XEM1331"/>
      <c r="XEN1331"/>
      <c r="XEO1331"/>
      <c r="XEP1331"/>
      <c r="XEQ1331"/>
      <c r="XER1331"/>
      <c r="XES1331"/>
      <c r="XET1331"/>
      <c r="XEU1331"/>
      <c r="XEV1331"/>
      <c r="XEW1331"/>
      <c r="XEX1331"/>
      <c r="XEY1331"/>
      <c r="XEZ1331"/>
      <c r="XFA1331"/>
      <c r="XFB1331"/>
      <c r="XFC1331"/>
    </row>
    <row r="1332" spans="1:20 16329:16383" s="38" customFormat="1" ht="29.1" customHeight="1" outlineLevel="6" x14ac:dyDescent="0.25">
      <c r="A1332" s="49" t="s">
        <v>2434</v>
      </c>
      <c r="B1332" s="50"/>
      <c r="C1332" s="50"/>
      <c r="D1332" s="3" t="s">
        <v>1875</v>
      </c>
      <c r="E1332" s="3"/>
      <c r="F1332" s="51"/>
      <c r="G1332" s="50" t="s">
        <v>102</v>
      </c>
      <c r="H1332" s="52">
        <f>1</f>
        <v>1</v>
      </c>
      <c r="I1332" s="36"/>
      <c r="J1332" s="52">
        <v>1</v>
      </c>
      <c r="K1332" s="53">
        <f>0</f>
        <v>0</v>
      </c>
      <c r="L1332" s="53">
        <f>0</f>
        <v>0</v>
      </c>
      <c r="M1332" s="53">
        <f>0</f>
        <v>0</v>
      </c>
      <c r="N1332" s="54">
        <f t="shared" si="199"/>
        <v>0</v>
      </c>
      <c r="O1332" s="54">
        <f t="shared" si="200"/>
        <v>0</v>
      </c>
      <c r="P1332" s="54">
        <f t="shared" si="201"/>
        <v>0</v>
      </c>
      <c r="Q1332" s="54">
        <f t="shared" si="202"/>
        <v>0</v>
      </c>
      <c r="R1332" s="54">
        <f t="shared" si="203"/>
        <v>0</v>
      </c>
      <c r="S1332" s="54"/>
      <c r="T1332" s="36"/>
      <c r="XDA1332"/>
      <c r="XDB1332"/>
      <c r="XDC1332"/>
      <c r="XDD1332"/>
      <c r="XDE1332"/>
      <c r="XDF1332"/>
      <c r="XDG1332"/>
      <c r="XDH1332"/>
      <c r="XDI1332"/>
      <c r="XDJ1332"/>
      <c r="XDK1332"/>
      <c r="XDL1332"/>
      <c r="XDM1332"/>
      <c r="XDN1332"/>
      <c r="XDO1332"/>
      <c r="XDP1332"/>
      <c r="XDQ1332"/>
      <c r="XDR1332"/>
      <c r="XDS1332"/>
      <c r="XDT1332"/>
      <c r="XDU1332"/>
      <c r="XDV1332"/>
      <c r="XDW1332"/>
      <c r="XDX1332"/>
      <c r="XDY1332"/>
      <c r="XDZ1332"/>
      <c r="XEA1332"/>
      <c r="XEB1332"/>
      <c r="XEC1332"/>
      <c r="XED1332"/>
      <c r="XEE1332"/>
      <c r="XEF1332"/>
      <c r="XEG1332"/>
      <c r="XEH1332"/>
      <c r="XEI1332"/>
      <c r="XEJ1332"/>
      <c r="XEK1332"/>
      <c r="XEL1332"/>
      <c r="XEM1332"/>
      <c r="XEN1332"/>
      <c r="XEO1332"/>
      <c r="XEP1332"/>
      <c r="XEQ1332"/>
      <c r="XER1332"/>
      <c r="XES1332"/>
      <c r="XET1332"/>
      <c r="XEU1332"/>
      <c r="XEV1332"/>
      <c r="XEW1332"/>
      <c r="XEX1332"/>
      <c r="XEY1332"/>
      <c r="XEZ1332"/>
      <c r="XFA1332"/>
      <c r="XFB1332"/>
      <c r="XFC1332"/>
    </row>
    <row r="1333" spans="1:20 16329:16383" s="38" customFormat="1" ht="29.1" customHeight="1" outlineLevel="6" x14ac:dyDescent="0.25">
      <c r="A1333" s="49" t="s">
        <v>2435</v>
      </c>
      <c r="B1333" s="50"/>
      <c r="C1333" s="50"/>
      <c r="D1333" s="3" t="s">
        <v>2390</v>
      </c>
      <c r="E1333" s="3"/>
      <c r="F1333" s="51"/>
      <c r="G1333" s="50" t="s">
        <v>102</v>
      </c>
      <c r="H1333" s="52">
        <f>1</f>
        <v>1</v>
      </c>
      <c r="I1333" s="36"/>
      <c r="J1333" s="52">
        <v>1</v>
      </c>
      <c r="K1333" s="53">
        <f>0</f>
        <v>0</v>
      </c>
      <c r="L1333" s="53">
        <f>0</f>
        <v>0</v>
      </c>
      <c r="M1333" s="53">
        <f>0</f>
        <v>0</v>
      </c>
      <c r="N1333" s="54">
        <f t="shared" si="199"/>
        <v>0</v>
      </c>
      <c r="O1333" s="54">
        <f t="shared" si="200"/>
        <v>0</v>
      </c>
      <c r="P1333" s="54">
        <f t="shared" si="201"/>
        <v>0</v>
      </c>
      <c r="Q1333" s="54">
        <f t="shared" si="202"/>
        <v>0</v>
      </c>
      <c r="R1333" s="54">
        <f t="shared" si="203"/>
        <v>0</v>
      </c>
      <c r="S1333" s="54"/>
      <c r="T1333" s="36"/>
      <c r="XDA1333"/>
      <c r="XDB1333"/>
      <c r="XDC1333"/>
      <c r="XDD1333"/>
      <c r="XDE1333"/>
      <c r="XDF1333"/>
      <c r="XDG1333"/>
      <c r="XDH1333"/>
      <c r="XDI1333"/>
      <c r="XDJ1333"/>
      <c r="XDK1333"/>
      <c r="XDL1333"/>
      <c r="XDM1333"/>
      <c r="XDN1333"/>
      <c r="XDO1333"/>
      <c r="XDP1333"/>
      <c r="XDQ1333"/>
      <c r="XDR1333"/>
      <c r="XDS1333"/>
      <c r="XDT1333"/>
      <c r="XDU1333"/>
      <c r="XDV1333"/>
      <c r="XDW1333"/>
      <c r="XDX1333"/>
      <c r="XDY1333"/>
      <c r="XDZ1333"/>
      <c r="XEA1333"/>
      <c r="XEB1333"/>
      <c r="XEC1333"/>
      <c r="XED1333"/>
      <c r="XEE1333"/>
      <c r="XEF1333"/>
      <c r="XEG1333"/>
      <c r="XEH1333"/>
      <c r="XEI1333"/>
      <c r="XEJ1333"/>
      <c r="XEK1333"/>
      <c r="XEL1333"/>
      <c r="XEM1333"/>
      <c r="XEN1333"/>
      <c r="XEO1333"/>
      <c r="XEP1333"/>
      <c r="XEQ1333"/>
      <c r="XER1333"/>
      <c r="XES1333"/>
      <c r="XET1333"/>
      <c r="XEU1333"/>
      <c r="XEV1333"/>
      <c r="XEW1333"/>
      <c r="XEX1333"/>
      <c r="XEY1333"/>
      <c r="XEZ1333"/>
      <c r="XFA1333"/>
      <c r="XFB1333"/>
      <c r="XFC1333"/>
    </row>
    <row r="1334" spans="1:20 16329:16383" s="38" customFormat="1" ht="29.1" customHeight="1" outlineLevel="6" x14ac:dyDescent="0.25">
      <c r="A1334" s="49" t="s">
        <v>2436</v>
      </c>
      <c r="B1334" s="50"/>
      <c r="C1334" s="50"/>
      <c r="D1334" s="3" t="s">
        <v>2392</v>
      </c>
      <c r="E1334" s="3"/>
      <c r="F1334" s="51"/>
      <c r="G1334" s="50" t="s">
        <v>102</v>
      </c>
      <c r="H1334" s="52">
        <f>1</f>
        <v>1</v>
      </c>
      <c r="I1334" s="36"/>
      <c r="J1334" s="52">
        <v>1</v>
      </c>
      <c r="K1334" s="53">
        <f>0</f>
        <v>0</v>
      </c>
      <c r="L1334" s="53">
        <f>0</f>
        <v>0</v>
      </c>
      <c r="M1334" s="53">
        <f>0</f>
        <v>0</v>
      </c>
      <c r="N1334" s="54">
        <f t="shared" si="199"/>
        <v>0</v>
      </c>
      <c r="O1334" s="54">
        <f t="shared" si="200"/>
        <v>0</v>
      </c>
      <c r="P1334" s="54">
        <f t="shared" si="201"/>
        <v>0</v>
      </c>
      <c r="Q1334" s="54">
        <f t="shared" si="202"/>
        <v>0</v>
      </c>
      <c r="R1334" s="54">
        <f t="shared" si="203"/>
        <v>0</v>
      </c>
      <c r="S1334" s="54"/>
      <c r="T1334" s="36"/>
      <c r="XDA1334"/>
      <c r="XDB1334"/>
      <c r="XDC1334"/>
      <c r="XDD1334"/>
      <c r="XDE1334"/>
      <c r="XDF1334"/>
      <c r="XDG1334"/>
      <c r="XDH1334"/>
      <c r="XDI1334"/>
      <c r="XDJ1334"/>
      <c r="XDK1334"/>
      <c r="XDL1334"/>
      <c r="XDM1334"/>
      <c r="XDN1334"/>
      <c r="XDO1334"/>
      <c r="XDP1334"/>
      <c r="XDQ1334"/>
      <c r="XDR1334"/>
      <c r="XDS1334"/>
      <c r="XDT1334"/>
      <c r="XDU1334"/>
      <c r="XDV1334"/>
      <c r="XDW1334"/>
      <c r="XDX1334"/>
      <c r="XDY1334"/>
      <c r="XDZ1334"/>
      <c r="XEA1334"/>
      <c r="XEB1334"/>
      <c r="XEC1334"/>
      <c r="XED1334"/>
      <c r="XEE1334"/>
      <c r="XEF1334"/>
      <c r="XEG1334"/>
      <c r="XEH1334"/>
      <c r="XEI1334"/>
      <c r="XEJ1334"/>
      <c r="XEK1334"/>
      <c r="XEL1334"/>
      <c r="XEM1334"/>
      <c r="XEN1334"/>
      <c r="XEO1334"/>
      <c r="XEP1334"/>
      <c r="XEQ1334"/>
      <c r="XER1334"/>
      <c r="XES1334"/>
      <c r="XET1334"/>
      <c r="XEU1334"/>
      <c r="XEV1334"/>
      <c r="XEW1334"/>
      <c r="XEX1334"/>
      <c r="XEY1334"/>
      <c r="XEZ1334"/>
      <c r="XFA1334"/>
      <c r="XFB1334"/>
      <c r="XFC1334"/>
    </row>
    <row r="1335" spans="1:20 16329:16383" s="38" customFormat="1" ht="29.1" customHeight="1" outlineLevel="6" x14ac:dyDescent="0.25">
      <c r="A1335" s="49" t="s">
        <v>2437</v>
      </c>
      <c r="B1335" s="50"/>
      <c r="C1335" s="50"/>
      <c r="D1335" s="3" t="s">
        <v>2394</v>
      </c>
      <c r="E1335" s="3"/>
      <c r="F1335" s="51"/>
      <c r="G1335" s="50" t="s">
        <v>102</v>
      </c>
      <c r="H1335" s="52">
        <f>1</f>
        <v>1</v>
      </c>
      <c r="I1335" s="36"/>
      <c r="J1335" s="52">
        <v>1</v>
      </c>
      <c r="K1335" s="53">
        <f>0</f>
        <v>0</v>
      </c>
      <c r="L1335" s="53">
        <f>0</f>
        <v>0</v>
      </c>
      <c r="M1335" s="53">
        <f>0</f>
        <v>0</v>
      </c>
      <c r="N1335" s="54">
        <f t="shared" si="199"/>
        <v>0</v>
      </c>
      <c r="O1335" s="54">
        <f t="shared" si="200"/>
        <v>0</v>
      </c>
      <c r="P1335" s="54">
        <f t="shared" si="201"/>
        <v>0</v>
      </c>
      <c r="Q1335" s="54">
        <f t="shared" si="202"/>
        <v>0</v>
      </c>
      <c r="R1335" s="54">
        <f t="shared" si="203"/>
        <v>0</v>
      </c>
      <c r="S1335" s="54"/>
      <c r="T1335" s="36"/>
      <c r="XDA1335"/>
      <c r="XDB1335"/>
      <c r="XDC1335"/>
      <c r="XDD1335"/>
      <c r="XDE1335"/>
      <c r="XDF1335"/>
      <c r="XDG1335"/>
      <c r="XDH1335"/>
      <c r="XDI1335"/>
      <c r="XDJ1335"/>
      <c r="XDK1335"/>
      <c r="XDL1335"/>
      <c r="XDM1335"/>
      <c r="XDN1335"/>
      <c r="XDO1335"/>
      <c r="XDP1335"/>
      <c r="XDQ1335"/>
      <c r="XDR1335"/>
      <c r="XDS1335"/>
      <c r="XDT1335"/>
      <c r="XDU1335"/>
      <c r="XDV1335"/>
      <c r="XDW1335"/>
      <c r="XDX1335"/>
      <c r="XDY1335"/>
      <c r="XDZ1335"/>
      <c r="XEA1335"/>
      <c r="XEB1335"/>
      <c r="XEC1335"/>
      <c r="XED1335"/>
      <c r="XEE1335"/>
      <c r="XEF1335"/>
      <c r="XEG1335"/>
      <c r="XEH1335"/>
      <c r="XEI1335"/>
      <c r="XEJ1335"/>
      <c r="XEK1335"/>
      <c r="XEL1335"/>
      <c r="XEM1335"/>
      <c r="XEN1335"/>
      <c r="XEO1335"/>
      <c r="XEP1335"/>
      <c r="XEQ1335"/>
      <c r="XER1335"/>
      <c r="XES1335"/>
      <c r="XET1335"/>
      <c r="XEU1335"/>
      <c r="XEV1335"/>
      <c r="XEW1335"/>
      <c r="XEX1335"/>
      <c r="XEY1335"/>
      <c r="XEZ1335"/>
      <c r="XFA1335"/>
      <c r="XFB1335"/>
      <c r="XFC1335"/>
    </row>
    <row r="1336" spans="1:20 16329:16383" s="38" customFormat="1" ht="29.1" customHeight="1" outlineLevel="6" x14ac:dyDescent="0.25">
      <c r="A1336" s="49" t="s">
        <v>2438</v>
      </c>
      <c r="B1336" s="50"/>
      <c r="C1336" s="50"/>
      <c r="D1336" s="3" t="s">
        <v>2194</v>
      </c>
      <c r="E1336" s="3"/>
      <c r="F1336" s="51"/>
      <c r="G1336" s="50" t="s">
        <v>102</v>
      </c>
      <c r="H1336" s="52">
        <f>1</f>
        <v>1</v>
      </c>
      <c r="I1336" s="36"/>
      <c r="J1336" s="52">
        <v>1</v>
      </c>
      <c r="K1336" s="53">
        <f>0</f>
        <v>0</v>
      </c>
      <c r="L1336" s="53">
        <f>0</f>
        <v>0</v>
      </c>
      <c r="M1336" s="53">
        <f>0</f>
        <v>0</v>
      </c>
      <c r="N1336" s="54">
        <f t="shared" si="199"/>
        <v>0</v>
      </c>
      <c r="O1336" s="54">
        <f t="shared" si="200"/>
        <v>0</v>
      </c>
      <c r="P1336" s="54">
        <f t="shared" si="201"/>
        <v>0</v>
      </c>
      <c r="Q1336" s="54">
        <f t="shared" si="202"/>
        <v>0</v>
      </c>
      <c r="R1336" s="54">
        <f t="shared" si="203"/>
        <v>0</v>
      </c>
      <c r="S1336" s="54"/>
      <c r="T1336" s="36"/>
      <c r="XDA1336"/>
      <c r="XDB1336"/>
      <c r="XDC1336"/>
      <c r="XDD1336"/>
      <c r="XDE1336"/>
      <c r="XDF1336"/>
      <c r="XDG1336"/>
      <c r="XDH1336"/>
      <c r="XDI1336"/>
      <c r="XDJ1336"/>
      <c r="XDK1336"/>
      <c r="XDL1336"/>
      <c r="XDM1336"/>
      <c r="XDN1336"/>
      <c r="XDO1336"/>
      <c r="XDP1336"/>
      <c r="XDQ1336"/>
      <c r="XDR1336"/>
      <c r="XDS1336"/>
      <c r="XDT1336"/>
      <c r="XDU1336"/>
      <c r="XDV1336"/>
      <c r="XDW1336"/>
      <c r="XDX1336"/>
      <c r="XDY1336"/>
      <c r="XDZ1336"/>
      <c r="XEA1336"/>
      <c r="XEB1336"/>
      <c r="XEC1336"/>
      <c r="XED1336"/>
      <c r="XEE1336"/>
      <c r="XEF1336"/>
      <c r="XEG1336"/>
      <c r="XEH1336"/>
      <c r="XEI1336"/>
      <c r="XEJ1336"/>
      <c r="XEK1336"/>
      <c r="XEL1336"/>
      <c r="XEM1336"/>
      <c r="XEN1336"/>
      <c r="XEO1336"/>
      <c r="XEP1336"/>
      <c r="XEQ1336"/>
      <c r="XER1336"/>
      <c r="XES1336"/>
      <c r="XET1336"/>
      <c r="XEU1336"/>
      <c r="XEV1336"/>
      <c r="XEW1336"/>
      <c r="XEX1336"/>
      <c r="XEY1336"/>
      <c r="XEZ1336"/>
      <c r="XFA1336"/>
      <c r="XFB1336"/>
      <c r="XFC1336"/>
    </row>
    <row r="1337" spans="1:20 16329:16383" s="38" customFormat="1" ht="29.1" customHeight="1" outlineLevel="6" x14ac:dyDescent="0.25">
      <c r="A1337" s="49" t="s">
        <v>2439</v>
      </c>
      <c r="B1337" s="50"/>
      <c r="C1337" s="50"/>
      <c r="D1337" s="3" t="s">
        <v>2206</v>
      </c>
      <c r="E1337" s="3"/>
      <c r="F1337" s="51" t="s">
        <v>2252</v>
      </c>
      <c r="G1337" s="50" t="s">
        <v>194</v>
      </c>
      <c r="H1337" s="52">
        <f>1</f>
        <v>1</v>
      </c>
      <c r="I1337" s="36"/>
      <c r="J1337" s="52">
        <v>1</v>
      </c>
      <c r="K1337" s="53">
        <f>0</f>
        <v>0</v>
      </c>
      <c r="L1337" s="53">
        <f>0</f>
        <v>0</v>
      </c>
      <c r="M1337" s="53">
        <f>0</f>
        <v>0</v>
      </c>
      <c r="N1337" s="54">
        <f t="shared" si="199"/>
        <v>0</v>
      </c>
      <c r="O1337" s="54">
        <f t="shared" si="200"/>
        <v>0</v>
      </c>
      <c r="P1337" s="54">
        <f t="shared" si="201"/>
        <v>0</v>
      </c>
      <c r="Q1337" s="54">
        <f t="shared" si="202"/>
        <v>0</v>
      </c>
      <c r="R1337" s="54">
        <f t="shared" si="203"/>
        <v>0</v>
      </c>
      <c r="S1337" s="54"/>
      <c r="T1337" s="36"/>
      <c r="XDA1337"/>
      <c r="XDB1337"/>
      <c r="XDC1337"/>
      <c r="XDD1337"/>
      <c r="XDE1337"/>
      <c r="XDF1337"/>
      <c r="XDG1337"/>
      <c r="XDH1337"/>
      <c r="XDI1337"/>
      <c r="XDJ1337"/>
      <c r="XDK1337"/>
      <c r="XDL1337"/>
      <c r="XDM1337"/>
      <c r="XDN1337"/>
      <c r="XDO1337"/>
      <c r="XDP1337"/>
      <c r="XDQ1337"/>
      <c r="XDR1337"/>
      <c r="XDS1337"/>
      <c r="XDT1337"/>
      <c r="XDU1337"/>
      <c r="XDV1337"/>
      <c r="XDW1337"/>
      <c r="XDX1337"/>
      <c r="XDY1337"/>
      <c r="XDZ1337"/>
      <c r="XEA1337"/>
      <c r="XEB1337"/>
      <c r="XEC1337"/>
      <c r="XED1337"/>
      <c r="XEE1337"/>
      <c r="XEF1337"/>
      <c r="XEG1337"/>
      <c r="XEH1337"/>
      <c r="XEI1337"/>
      <c r="XEJ1337"/>
      <c r="XEK1337"/>
      <c r="XEL1337"/>
      <c r="XEM1337"/>
      <c r="XEN1337"/>
      <c r="XEO1337"/>
      <c r="XEP1337"/>
      <c r="XEQ1337"/>
      <c r="XER1337"/>
      <c r="XES1337"/>
      <c r="XET1337"/>
      <c r="XEU1337"/>
      <c r="XEV1337"/>
      <c r="XEW1337"/>
      <c r="XEX1337"/>
      <c r="XEY1337"/>
      <c r="XEZ1337"/>
      <c r="XFA1337"/>
      <c r="XFB1337"/>
      <c r="XFC1337"/>
    </row>
    <row r="1338" spans="1:20 16329:16383" s="38" customFormat="1" ht="29.1" customHeight="1" outlineLevel="5" x14ac:dyDescent="0.25">
      <c r="A1338" s="65" t="s">
        <v>2440</v>
      </c>
      <c r="B1338" s="66" t="s">
        <v>2441</v>
      </c>
      <c r="C1338" s="66"/>
      <c r="D1338" s="98" t="s">
        <v>344</v>
      </c>
      <c r="E1338" s="98"/>
      <c r="F1338" s="67"/>
      <c r="G1338" s="66"/>
      <c r="H1338" s="68"/>
      <c r="I1338" s="36"/>
      <c r="J1338" s="68"/>
      <c r="K1338" s="69"/>
      <c r="L1338" s="69"/>
      <c r="M1338" s="69"/>
      <c r="N1338" s="69"/>
      <c r="O1338" s="69">
        <f>SUM(O1339:O1344)</f>
        <v>0</v>
      </c>
      <c r="P1338" s="69">
        <f>SUM(P1339:P1344)</f>
        <v>0</v>
      </c>
      <c r="Q1338" s="69">
        <f>SUM(Q1339:Q1344)</f>
        <v>0</v>
      </c>
      <c r="R1338" s="69">
        <f>SUM(R1339:R1344)</f>
        <v>0</v>
      </c>
      <c r="S1338" s="69"/>
      <c r="T1338" s="36"/>
      <c r="XDA1338"/>
      <c r="XDB1338"/>
      <c r="XDC1338"/>
      <c r="XDD1338"/>
      <c r="XDE1338"/>
      <c r="XDF1338"/>
      <c r="XDG1338"/>
      <c r="XDH1338"/>
      <c r="XDI1338"/>
      <c r="XDJ1338"/>
      <c r="XDK1338"/>
      <c r="XDL1338"/>
      <c r="XDM1338"/>
      <c r="XDN1338"/>
      <c r="XDO1338"/>
      <c r="XDP1338"/>
      <c r="XDQ1338"/>
      <c r="XDR1338"/>
      <c r="XDS1338"/>
      <c r="XDT1338"/>
      <c r="XDU1338"/>
      <c r="XDV1338"/>
      <c r="XDW1338"/>
      <c r="XDX1338"/>
      <c r="XDY1338"/>
      <c r="XDZ1338"/>
      <c r="XEA1338"/>
      <c r="XEB1338"/>
      <c r="XEC1338"/>
      <c r="XED1338"/>
      <c r="XEE1338"/>
      <c r="XEF1338"/>
      <c r="XEG1338"/>
      <c r="XEH1338"/>
      <c r="XEI1338"/>
      <c r="XEJ1338"/>
      <c r="XEK1338"/>
      <c r="XEL1338"/>
      <c r="XEM1338"/>
      <c r="XEN1338"/>
      <c r="XEO1338"/>
      <c r="XEP1338"/>
      <c r="XEQ1338"/>
      <c r="XER1338"/>
      <c r="XES1338"/>
      <c r="XET1338"/>
      <c r="XEU1338"/>
      <c r="XEV1338"/>
      <c r="XEW1338"/>
      <c r="XEX1338"/>
      <c r="XEY1338"/>
      <c r="XEZ1338"/>
      <c r="XFA1338"/>
      <c r="XFB1338"/>
      <c r="XFC1338"/>
    </row>
    <row r="1339" spans="1:20 16329:16383" s="38" customFormat="1" ht="29.1" customHeight="1" outlineLevel="6" x14ac:dyDescent="0.25">
      <c r="A1339" s="49" t="s">
        <v>2442</v>
      </c>
      <c r="B1339" s="50"/>
      <c r="C1339" s="50"/>
      <c r="D1339" s="3" t="s">
        <v>1886</v>
      </c>
      <c r="E1339" s="3"/>
      <c r="F1339" s="51"/>
      <c r="G1339" s="50" t="s">
        <v>102</v>
      </c>
      <c r="H1339" s="52">
        <f>1</f>
        <v>1</v>
      </c>
      <c r="I1339" s="36"/>
      <c r="J1339" s="52">
        <v>1</v>
      </c>
      <c r="K1339" s="53">
        <f>0</f>
        <v>0</v>
      </c>
      <c r="L1339" s="53">
        <f>0</f>
        <v>0</v>
      </c>
      <c r="M1339" s="53">
        <f>0</f>
        <v>0</v>
      </c>
      <c r="N1339" s="54">
        <f t="shared" ref="N1339:N1344" si="204">SUM(K1339:M1339)</f>
        <v>0</v>
      </c>
      <c r="O1339" s="54">
        <f t="shared" ref="O1339:O1344" si="205">ROUND((H1339*K1339),2)</f>
        <v>0</v>
      </c>
      <c r="P1339" s="54">
        <f t="shared" ref="P1339:P1344" si="206">ROUND((H1339*L1339),2)</f>
        <v>0</v>
      </c>
      <c r="Q1339" s="54">
        <f t="shared" ref="Q1339:Q1344" si="207">ROUND((H1339*M1339),2)</f>
        <v>0</v>
      </c>
      <c r="R1339" s="54">
        <f t="shared" ref="R1339:R1344" si="208">ROUND((H1339*N1339),2)</f>
        <v>0</v>
      </c>
      <c r="S1339" s="54"/>
      <c r="T1339" s="36"/>
      <c r="XDA1339"/>
      <c r="XDB1339"/>
      <c r="XDC1339"/>
      <c r="XDD1339"/>
      <c r="XDE1339"/>
      <c r="XDF1339"/>
      <c r="XDG1339"/>
      <c r="XDH1339"/>
      <c r="XDI1339"/>
      <c r="XDJ1339"/>
      <c r="XDK1339"/>
      <c r="XDL1339"/>
      <c r="XDM1339"/>
      <c r="XDN1339"/>
      <c r="XDO1339"/>
      <c r="XDP1339"/>
      <c r="XDQ1339"/>
      <c r="XDR1339"/>
      <c r="XDS1339"/>
      <c r="XDT1339"/>
      <c r="XDU1339"/>
      <c r="XDV1339"/>
      <c r="XDW1339"/>
      <c r="XDX1339"/>
      <c r="XDY1339"/>
      <c r="XDZ1339"/>
      <c r="XEA1339"/>
      <c r="XEB1339"/>
      <c r="XEC1339"/>
      <c r="XED1339"/>
      <c r="XEE1339"/>
      <c r="XEF1339"/>
      <c r="XEG1339"/>
      <c r="XEH1339"/>
      <c r="XEI1339"/>
      <c r="XEJ1339"/>
      <c r="XEK1339"/>
      <c r="XEL1339"/>
      <c r="XEM1339"/>
      <c r="XEN1339"/>
      <c r="XEO1339"/>
      <c r="XEP1339"/>
      <c r="XEQ1339"/>
      <c r="XER1339"/>
      <c r="XES1339"/>
      <c r="XET1339"/>
      <c r="XEU1339"/>
      <c r="XEV1339"/>
      <c r="XEW1339"/>
      <c r="XEX1339"/>
      <c r="XEY1339"/>
      <c r="XEZ1339"/>
      <c r="XFA1339"/>
      <c r="XFB1339"/>
      <c r="XFC1339"/>
    </row>
    <row r="1340" spans="1:20 16329:16383" s="38" customFormat="1" ht="29.1" customHeight="1" outlineLevel="6" x14ac:dyDescent="0.25">
      <c r="A1340" s="49" t="s">
        <v>2443</v>
      </c>
      <c r="B1340" s="50"/>
      <c r="C1340" s="50"/>
      <c r="D1340" s="3" t="s">
        <v>1890</v>
      </c>
      <c r="E1340" s="3"/>
      <c r="F1340" s="51"/>
      <c r="G1340" s="50" t="s">
        <v>102</v>
      </c>
      <c r="H1340" s="52">
        <f>1</f>
        <v>1</v>
      </c>
      <c r="I1340" s="36"/>
      <c r="J1340" s="52">
        <v>1</v>
      </c>
      <c r="K1340" s="53">
        <f>0</f>
        <v>0</v>
      </c>
      <c r="L1340" s="53">
        <f>0</f>
        <v>0</v>
      </c>
      <c r="M1340" s="53">
        <f>0</f>
        <v>0</v>
      </c>
      <c r="N1340" s="54">
        <f t="shared" si="204"/>
        <v>0</v>
      </c>
      <c r="O1340" s="54">
        <f t="shared" si="205"/>
        <v>0</v>
      </c>
      <c r="P1340" s="54">
        <f t="shared" si="206"/>
        <v>0</v>
      </c>
      <c r="Q1340" s="54">
        <f t="shared" si="207"/>
        <v>0</v>
      </c>
      <c r="R1340" s="54">
        <f t="shared" si="208"/>
        <v>0</v>
      </c>
      <c r="S1340" s="54"/>
      <c r="T1340" s="36"/>
      <c r="XDA1340"/>
      <c r="XDB1340"/>
      <c r="XDC1340"/>
      <c r="XDD1340"/>
      <c r="XDE1340"/>
      <c r="XDF1340"/>
      <c r="XDG1340"/>
      <c r="XDH1340"/>
      <c r="XDI1340"/>
      <c r="XDJ1340"/>
      <c r="XDK1340"/>
      <c r="XDL1340"/>
      <c r="XDM1340"/>
      <c r="XDN1340"/>
      <c r="XDO1340"/>
      <c r="XDP1340"/>
      <c r="XDQ1340"/>
      <c r="XDR1340"/>
      <c r="XDS1340"/>
      <c r="XDT1340"/>
      <c r="XDU1340"/>
      <c r="XDV1340"/>
      <c r="XDW1340"/>
      <c r="XDX1340"/>
      <c r="XDY1340"/>
      <c r="XDZ1340"/>
      <c r="XEA1340"/>
      <c r="XEB1340"/>
      <c r="XEC1340"/>
      <c r="XED1340"/>
      <c r="XEE1340"/>
      <c r="XEF1340"/>
      <c r="XEG1340"/>
      <c r="XEH1340"/>
      <c r="XEI1340"/>
      <c r="XEJ1340"/>
      <c r="XEK1340"/>
      <c r="XEL1340"/>
      <c r="XEM1340"/>
      <c r="XEN1340"/>
      <c r="XEO1340"/>
      <c r="XEP1340"/>
      <c r="XEQ1340"/>
      <c r="XER1340"/>
      <c r="XES1340"/>
      <c r="XET1340"/>
      <c r="XEU1340"/>
      <c r="XEV1340"/>
      <c r="XEW1340"/>
      <c r="XEX1340"/>
      <c r="XEY1340"/>
      <c r="XEZ1340"/>
      <c r="XFA1340"/>
      <c r="XFB1340"/>
      <c r="XFC1340"/>
    </row>
    <row r="1341" spans="1:20 16329:16383" s="38" customFormat="1" ht="29.1" customHeight="1" outlineLevel="6" x14ac:dyDescent="0.25">
      <c r="A1341" s="49" t="s">
        <v>2444</v>
      </c>
      <c r="B1341" s="50"/>
      <c r="C1341" s="50"/>
      <c r="D1341" s="3" t="s">
        <v>1888</v>
      </c>
      <c r="E1341" s="3"/>
      <c r="F1341" s="51"/>
      <c r="G1341" s="50" t="s">
        <v>102</v>
      </c>
      <c r="H1341" s="52">
        <f>1</f>
        <v>1</v>
      </c>
      <c r="I1341" s="36"/>
      <c r="J1341" s="52">
        <v>1</v>
      </c>
      <c r="K1341" s="53">
        <f>0</f>
        <v>0</v>
      </c>
      <c r="L1341" s="53">
        <f>0</f>
        <v>0</v>
      </c>
      <c r="M1341" s="53">
        <f>0</f>
        <v>0</v>
      </c>
      <c r="N1341" s="54">
        <f t="shared" si="204"/>
        <v>0</v>
      </c>
      <c r="O1341" s="54">
        <f t="shared" si="205"/>
        <v>0</v>
      </c>
      <c r="P1341" s="54">
        <f t="shared" si="206"/>
        <v>0</v>
      </c>
      <c r="Q1341" s="54">
        <f t="shared" si="207"/>
        <v>0</v>
      </c>
      <c r="R1341" s="54">
        <f t="shared" si="208"/>
        <v>0</v>
      </c>
      <c r="S1341" s="54"/>
      <c r="T1341" s="36"/>
      <c r="XDA1341"/>
      <c r="XDB1341"/>
      <c r="XDC1341"/>
      <c r="XDD1341"/>
      <c r="XDE1341"/>
      <c r="XDF1341"/>
      <c r="XDG1341"/>
      <c r="XDH1341"/>
      <c r="XDI1341"/>
      <c r="XDJ1341"/>
      <c r="XDK1341"/>
      <c r="XDL1341"/>
      <c r="XDM1341"/>
      <c r="XDN1341"/>
      <c r="XDO1341"/>
      <c r="XDP1341"/>
      <c r="XDQ1341"/>
      <c r="XDR1341"/>
      <c r="XDS1341"/>
      <c r="XDT1341"/>
      <c r="XDU1341"/>
      <c r="XDV1341"/>
      <c r="XDW1341"/>
      <c r="XDX1341"/>
      <c r="XDY1341"/>
      <c r="XDZ1341"/>
      <c r="XEA1341"/>
      <c r="XEB1341"/>
      <c r="XEC1341"/>
      <c r="XED1341"/>
      <c r="XEE1341"/>
      <c r="XEF1341"/>
      <c r="XEG1341"/>
      <c r="XEH1341"/>
      <c r="XEI1341"/>
      <c r="XEJ1341"/>
      <c r="XEK1341"/>
      <c r="XEL1341"/>
      <c r="XEM1341"/>
      <c r="XEN1341"/>
      <c r="XEO1341"/>
      <c r="XEP1341"/>
      <c r="XEQ1341"/>
      <c r="XER1341"/>
      <c r="XES1341"/>
      <c r="XET1341"/>
      <c r="XEU1341"/>
      <c r="XEV1341"/>
      <c r="XEW1341"/>
      <c r="XEX1341"/>
      <c r="XEY1341"/>
      <c r="XEZ1341"/>
      <c r="XFA1341"/>
      <c r="XFB1341"/>
      <c r="XFC1341"/>
    </row>
    <row r="1342" spans="1:20 16329:16383" s="38" customFormat="1" ht="29.1" customHeight="1" outlineLevel="6" x14ac:dyDescent="0.25">
      <c r="A1342" s="49" t="s">
        <v>2445</v>
      </c>
      <c r="B1342" s="50"/>
      <c r="C1342" s="50"/>
      <c r="D1342" s="3" t="s">
        <v>2403</v>
      </c>
      <c r="E1342" s="3"/>
      <c r="F1342" s="51"/>
      <c r="G1342" s="50" t="s">
        <v>102</v>
      </c>
      <c r="H1342" s="52">
        <f>1</f>
        <v>1</v>
      </c>
      <c r="I1342" s="36"/>
      <c r="J1342" s="52">
        <v>1</v>
      </c>
      <c r="K1342" s="53">
        <f>0</f>
        <v>0</v>
      </c>
      <c r="L1342" s="53">
        <f>0</f>
        <v>0</v>
      </c>
      <c r="M1342" s="53">
        <f>0</f>
        <v>0</v>
      </c>
      <c r="N1342" s="54">
        <f t="shared" si="204"/>
        <v>0</v>
      </c>
      <c r="O1342" s="54">
        <f t="shared" si="205"/>
        <v>0</v>
      </c>
      <c r="P1342" s="54">
        <f t="shared" si="206"/>
        <v>0</v>
      </c>
      <c r="Q1342" s="54">
        <f t="shared" si="207"/>
        <v>0</v>
      </c>
      <c r="R1342" s="54">
        <f t="shared" si="208"/>
        <v>0</v>
      </c>
      <c r="S1342" s="54"/>
      <c r="T1342" s="36"/>
      <c r="XDA1342"/>
      <c r="XDB1342"/>
      <c r="XDC1342"/>
      <c r="XDD1342"/>
      <c r="XDE1342"/>
      <c r="XDF1342"/>
      <c r="XDG1342"/>
      <c r="XDH1342"/>
      <c r="XDI1342"/>
      <c r="XDJ1342"/>
      <c r="XDK1342"/>
      <c r="XDL1342"/>
      <c r="XDM1342"/>
      <c r="XDN1342"/>
      <c r="XDO1342"/>
      <c r="XDP1342"/>
      <c r="XDQ1342"/>
      <c r="XDR1342"/>
      <c r="XDS1342"/>
      <c r="XDT1342"/>
      <c r="XDU1342"/>
      <c r="XDV1342"/>
      <c r="XDW1342"/>
      <c r="XDX1342"/>
      <c r="XDY1342"/>
      <c r="XDZ1342"/>
      <c r="XEA1342"/>
      <c r="XEB1342"/>
      <c r="XEC1342"/>
      <c r="XED1342"/>
      <c r="XEE1342"/>
      <c r="XEF1342"/>
      <c r="XEG1342"/>
      <c r="XEH1342"/>
      <c r="XEI1342"/>
      <c r="XEJ1342"/>
      <c r="XEK1342"/>
      <c r="XEL1342"/>
      <c r="XEM1342"/>
      <c r="XEN1342"/>
      <c r="XEO1342"/>
      <c r="XEP1342"/>
      <c r="XEQ1342"/>
      <c r="XER1342"/>
      <c r="XES1342"/>
      <c r="XET1342"/>
      <c r="XEU1342"/>
      <c r="XEV1342"/>
      <c r="XEW1342"/>
      <c r="XEX1342"/>
      <c r="XEY1342"/>
      <c r="XEZ1342"/>
      <c r="XFA1342"/>
      <c r="XFB1342"/>
      <c r="XFC1342"/>
    </row>
    <row r="1343" spans="1:20 16329:16383" s="38" customFormat="1" ht="29.1" customHeight="1" outlineLevel="6" x14ac:dyDescent="0.25">
      <c r="A1343" s="49" t="s">
        <v>2446</v>
      </c>
      <c r="B1343" s="50"/>
      <c r="C1343" s="50"/>
      <c r="D1343" s="3" t="s">
        <v>2447</v>
      </c>
      <c r="E1343" s="3"/>
      <c r="F1343" s="51"/>
      <c r="G1343" s="50" t="s">
        <v>102</v>
      </c>
      <c r="H1343" s="52">
        <f>1</f>
        <v>1</v>
      </c>
      <c r="I1343" s="36"/>
      <c r="J1343" s="52">
        <v>1</v>
      </c>
      <c r="K1343" s="53">
        <f>0</f>
        <v>0</v>
      </c>
      <c r="L1343" s="53">
        <f>0</f>
        <v>0</v>
      </c>
      <c r="M1343" s="53">
        <f>0</f>
        <v>0</v>
      </c>
      <c r="N1343" s="54">
        <f t="shared" si="204"/>
        <v>0</v>
      </c>
      <c r="O1343" s="54">
        <f t="shared" si="205"/>
        <v>0</v>
      </c>
      <c r="P1343" s="54">
        <f t="shared" si="206"/>
        <v>0</v>
      </c>
      <c r="Q1343" s="54">
        <f t="shared" si="207"/>
        <v>0</v>
      </c>
      <c r="R1343" s="54">
        <f t="shared" si="208"/>
        <v>0</v>
      </c>
      <c r="S1343" s="54"/>
      <c r="T1343" s="36"/>
      <c r="XDA1343"/>
      <c r="XDB1343"/>
      <c r="XDC1343"/>
      <c r="XDD1343"/>
      <c r="XDE1343"/>
      <c r="XDF1343"/>
      <c r="XDG1343"/>
      <c r="XDH1343"/>
      <c r="XDI1343"/>
      <c r="XDJ1343"/>
      <c r="XDK1343"/>
      <c r="XDL1343"/>
      <c r="XDM1343"/>
      <c r="XDN1343"/>
      <c r="XDO1343"/>
      <c r="XDP1343"/>
      <c r="XDQ1343"/>
      <c r="XDR1343"/>
      <c r="XDS1343"/>
      <c r="XDT1343"/>
      <c r="XDU1343"/>
      <c r="XDV1343"/>
      <c r="XDW1343"/>
      <c r="XDX1343"/>
      <c r="XDY1343"/>
      <c r="XDZ1343"/>
      <c r="XEA1343"/>
      <c r="XEB1343"/>
      <c r="XEC1343"/>
      <c r="XED1343"/>
      <c r="XEE1343"/>
      <c r="XEF1343"/>
      <c r="XEG1343"/>
      <c r="XEH1343"/>
      <c r="XEI1343"/>
      <c r="XEJ1343"/>
      <c r="XEK1343"/>
      <c r="XEL1343"/>
      <c r="XEM1343"/>
      <c r="XEN1343"/>
      <c r="XEO1343"/>
      <c r="XEP1343"/>
      <c r="XEQ1343"/>
      <c r="XER1343"/>
      <c r="XES1343"/>
      <c r="XET1343"/>
      <c r="XEU1343"/>
      <c r="XEV1343"/>
      <c r="XEW1343"/>
      <c r="XEX1343"/>
      <c r="XEY1343"/>
      <c r="XEZ1343"/>
      <c r="XFA1343"/>
      <c r="XFB1343"/>
      <c r="XFC1343"/>
    </row>
    <row r="1344" spans="1:20 16329:16383" s="38" customFormat="1" ht="29.1" customHeight="1" outlineLevel="6" x14ac:dyDescent="0.25">
      <c r="A1344" s="49" t="s">
        <v>2448</v>
      </c>
      <c r="B1344" s="50"/>
      <c r="C1344" s="50"/>
      <c r="D1344" s="3" t="s">
        <v>2407</v>
      </c>
      <c r="E1344" s="3"/>
      <c r="F1344" s="51" t="s">
        <v>1960</v>
      </c>
      <c r="G1344" s="50" t="s">
        <v>134</v>
      </c>
      <c r="H1344" s="52">
        <f>1</f>
        <v>1</v>
      </c>
      <c r="I1344" s="36"/>
      <c r="J1344" s="52">
        <v>1</v>
      </c>
      <c r="K1344" s="53">
        <f>0</f>
        <v>0</v>
      </c>
      <c r="L1344" s="53">
        <f>0</f>
        <v>0</v>
      </c>
      <c r="M1344" s="53">
        <f>0</f>
        <v>0</v>
      </c>
      <c r="N1344" s="54">
        <f t="shared" si="204"/>
        <v>0</v>
      </c>
      <c r="O1344" s="54">
        <f t="shared" si="205"/>
        <v>0</v>
      </c>
      <c r="P1344" s="54">
        <f t="shared" si="206"/>
        <v>0</v>
      </c>
      <c r="Q1344" s="54">
        <f t="shared" si="207"/>
        <v>0</v>
      </c>
      <c r="R1344" s="54">
        <f t="shared" si="208"/>
        <v>0</v>
      </c>
      <c r="S1344" s="54"/>
      <c r="T1344" s="36"/>
      <c r="XDA1344"/>
      <c r="XDB1344"/>
      <c r="XDC1344"/>
      <c r="XDD1344"/>
      <c r="XDE1344"/>
      <c r="XDF1344"/>
      <c r="XDG1344"/>
      <c r="XDH1344"/>
      <c r="XDI1344"/>
      <c r="XDJ1344"/>
      <c r="XDK1344"/>
      <c r="XDL1344"/>
      <c r="XDM1344"/>
      <c r="XDN1344"/>
      <c r="XDO1344"/>
      <c r="XDP1344"/>
      <c r="XDQ1344"/>
      <c r="XDR1344"/>
      <c r="XDS1344"/>
      <c r="XDT1344"/>
      <c r="XDU1344"/>
      <c r="XDV1344"/>
      <c r="XDW1344"/>
      <c r="XDX1344"/>
      <c r="XDY1344"/>
      <c r="XDZ1344"/>
      <c r="XEA1344"/>
      <c r="XEB1344"/>
      <c r="XEC1344"/>
      <c r="XED1344"/>
      <c r="XEE1344"/>
      <c r="XEF1344"/>
      <c r="XEG1344"/>
      <c r="XEH1344"/>
      <c r="XEI1344"/>
      <c r="XEJ1344"/>
      <c r="XEK1344"/>
      <c r="XEL1344"/>
      <c r="XEM1344"/>
      <c r="XEN1344"/>
      <c r="XEO1344"/>
      <c r="XEP1344"/>
      <c r="XEQ1344"/>
      <c r="XER1344"/>
      <c r="XES1344"/>
      <c r="XET1344"/>
      <c r="XEU1344"/>
      <c r="XEV1344"/>
      <c r="XEW1344"/>
      <c r="XEX1344"/>
      <c r="XEY1344"/>
      <c r="XEZ1344"/>
      <c r="XFA1344"/>
      <c r="XFB1344"/>
      <c r="XFC1344"/>
    </row>
    <row r="1345" spans="1:20 16329:16383" s="38" customFormat="1" ht="29.1" customHeight="1" outlineLevel="5" x14ac:dyDescent="0.25">
      <c r="A1345" s="65" t="s">
        <v>2449</v>
      </c>
      <c r="B1345" s="66" t="s">
        <v>2450</v>
      </c>
      <c r="C1345" s="66"/>
      <c r="D1345" s="98" t="s">
        <v>1899</v>
      </c>
      <c r="E1345" s="98"/>
      <c r="F1345" s="67"/>
      <c r="G1345" s="66"/>
      <c r="H1345" s="68"/>
      <c r="I1345" s="36"/>
      <c r="J1345" s="68"/>
      <c r="K1345" s="69"/>
      <c r="L1345" s="69"/>
      <c r="M1345" s="69"/>
      <c r="N1345" s="69"/>
      <c r="O1345" s="69">
        <f>SUM(O1346:O1354)</f>
        <v>0</v>
      </c>
      <c r="P1345" s="69">
        <f>SUM(P1346:P1354)</f>
        <v>0</v>
      </c>
      <c r="Q1345" s="69">
        <f>SUM(Q1346:Q1354)</f>
        <v>0</v>
      </c>
      <c r="R1345" s="69">
        <f>SUM(R1346:R1354)</f>
        <v>0</v>
      </c>
      <c r="S1345" s="69"/>
      <c r="T1345" s="36"/>
      <c r="XDA1345"/>
      <c r="XDB1345"/>
      <c r="XDC1345"/>
      <c r="XDD1345"/>
      <c r="XDE1345"/>
      <c r="XDF1345"/>
      <c r="XDG1345"/>
      <c r="XDH1345"/>
      <c r="XDI1345"/>
      <c r="XDJ1345"/>
      <c r="XDK1345"/>
      <c r="XDL1345"/>
      <c r="XDM1345"/>
      <c r="XDN1345"/>
      <c r="XDO1345"/>
      <c r="XDP1345"/>
      <c r="XDQ1345"/>
      <c r="XDR1345"/>
      <c r="XDS1345"/>
      <c r="XDT1345"/>
      <c r="XDU1345"/>
      <c r="XDV1345"/>
      <c r="XDW1345"/>
      <c r="XDX1345"/>
      <c r="XDY1345"/>
      <c r="XDZ1345"/>
      <c r="XEA1345"/>
      <c r="XEB1345"/>
      <c r="XEC1345"/>
      <c r="XED1345"/>
      <c r="XEE1345"/>
      <c r="XEF1345"/>
      <c r="XEG1345"/>
      <c r="XEH1345"/>
      <c r="XEI1345"/>
      <c r="XEJ1345"/>
      <c r="XEK1345"/>
      <c r="XEL1345"/>
      <c r="XEM1345"/>
      <c r="XEN1345"/>
      <c r="XEO1345"/>
      <c r="XEP1345"/>
      <c r="XEQ1345"/>
      <c r="XER1345"/>
      <c r="XES1345"/>
      <c r="XET1345"/>
      <c r="XEU1345"/>
      <c r="XEV1345"/>
      <c r="XEW1345"/>
      <c r="XEX1345"/>
      <c r="XEY1345"/>
      <c r="XEZ1345"/>
      <c r="XFA1345"/>
      <c r="XFB1345"/>
      <c r="XFC1345"/>
    </row>
    <row r="1346" spans="1:20 16329:16383" s="38" customFormat="1" ht="29.1" customHeight="1" outlineLevel="6" x14ac:dyDescent="0.25">
      <c r="A1346" s="49" t="s">
        <v>2451</v>
      </c>
      <c r="B1346" s="50"/>
      <c r="C1346" s="50"/>
      <c r="D1346" s="3" t="s">
        <v>2411</v>
      </c>
      <c r="E1346" s="3"/>
      <c r="F1346" s="51"/>
      <c r="G1346" s="50" t="s">
        <v>102</v>
      </c>
      <c r="H1346" s="52">
        <f>1</f>
        <v>1</v>
      </c>
      <c r="I1346" s="36"/>
      <c r="J1346" s="52">
        <v>1</v>
      </c>
      <c r="K1346" s="53">
        <f>0</f>
        <v>0</v>
      </c>
      <c r="L1346" s="53">
        <f>0</f>
        <v>0</v>
      </c>
      <c r="M1346" s="53">
        <f>0</f>
        <v>0</v>
      </c>
      <c r="N1346" s="54">
        <f t="shared" ref="N1346:N1354" si="209">SUM(K1346:M1346)</f>
        <v>0</v>
      </c>
      <c r="O1346" s="54">
        <f t="shared" ref="O1346:O1354" si="210">ROUND((H1346*K1346),2)</f>
        <v>0</v>
      </c>
      <c r="P1346" s="54">
        <f t="shared" ref="P1346:P1354" si="211">ROUND((H1346*L1346),2)</f>
        <v>0</v>
      </c>
      <c r="Q1346" s="54">
        <f t="shared" ref="Q1346:Q1354" si="212">ROUND((H1346*M1346),2)</f>
        <v>0</v>
      </c>
      <c r="R1346" s="54">
        <f t="shared" ref="R1346:R1354" si="213">ROUND((H1346*N1346),2)</f>
        <v>0</v>
      </c>
      <c r="S1346" s="54"/>
      <c r="T1346" s="36"/>
      <c r="XDA1346"/>
      <c r="XDB1346"/>
      <c r="XDC1346"/>
      <c r="XDD1346"/>
      <c r="XDE1346"/>
      <c r="XDF1346"/>
      <c r="XDG1346"/>
      <c r="XDH1346"/>
      <c r="XDI1346"/>
      <c r="XDJ1346"/>
      <c r="XDK1346"/>
      <c r="XDL1346"/>
      <c r="XDM1346"/>
      <c r="XDN1346"/>
      <c r="XDO1346"/>
      <c r="XDP1346"/>
      <c r="XDQ1346"/>
      <c r="XDR1346"/>
      <c r="XDS1346"/>
      <c r="XDT1346"/>
      <c r="XDU1346"/>
      <c r="XDV1346"/>
      <c r="XDW1346"/>
      <c r="XDX1346"/>
      <c r="XDY1346"/>
      <c r="XDZ1346"/>
      <c r="XEA1346"/>
      <c r="XEB1346"/>
      <c r="XEC1346"/>
      <c r="XED1346"/>
      <c r="XEE1346"/>
      <c r="XEF1346"/>
      <c r="XEG1346"/>
      <c r="XEH1346"/>
      <c r="XEI1346"/>
      <c r="XEJ1346"/>
      <c r="XEK1346"/>
      <c r="XEL1346"/>
      <c r="XEM1346"/>
      <c r="XEN1346"/>
      <c r="XEO1346"/>
      <c r="XEP1346"/>
      <c r="XEQ1346"/>
      <c r="XER1346"/>
      <c r="XES1346"/>
      <c r="XET1346"/>
      <c r="XEU1346"/>
      <c r="XEV1346"/>
      <c r="XEW1346"/>
      <c r="XEX1346"/>
      <c r="XEY1346"/>
      <c r="XEZ1346"/>
      <c r="XFA1346"/>
      <c r="XFB1346"/>
      <c r="XFC1346"/>
    </row>
    <row r="1347" spans="1:20 16329:16383" s="38" customFormat="1" ht="29.1" customHeight="1" outlineLevel="6" x14ac:dyDescent="0.25">
      <c r="A1347" s="49" t="s">
        <v>2452</v>
      </c>
      <c r="B1347" s="50"/>
      <c r="C1347" s="50"/>
      <c r="D1347" s="3" t="s">
        <v>1955</v>
      </c>
      <c r="E1347" s="3"/>
      <c r="F1347" s="51"/>
      <c r="G1347" s="50" t="s">
        <v>102</v>
      </c>
      <c r="H1347" s="52">
        <f>1</f>
        <v>1</v>
      </c>
      <c r="I1347" s="36"/>
      <c r="J1347" s="52">
        <v>1</v>
      </c>
      <c r="K1347" s="53">
        <f>0</f>
        <v>0</v>
      </c>
      <c r="L1347" s="53">
        <f>0</f>
        <v>0</v>
      </c>
      <c r="M1347" s="53">
        <f>0</f>
        <v>0</v>
      </c>
      <c r="N1347" s="54">
        <f t="shared" si="209"/>
        <v>0</v>
      </c>
      <c r="O1347" s="54">
        <f t="shared" si="210"/>
        <v>0</v>
      </c>
      <c r="P1347" s="54">
        <f t="shared" si="211"/>
        <v>0</v>
      </c>
      <c r="Q1347" s="54">
        <f t="shared" si="212"/>
        <v>0</v>
      </c>
      <c r="R1347" s="54">
        <f t="shared" si="213"/>
        <v>0</v>
      </c>
      <c r="S1347" s="54"/>
      <c r="T1347" s="36"/>
      <c r="XDA1347"/>
      <c r="XDB1347"/>
      <c r="XDC1347"/>
      <c r="XDD1347"/>
      <c r="XDE1347"/>
      <c r="XDF1347"/>
      <c r="XDG1347"/>
      <c r="XDH1347"/>
      <c r="XDI1347"/>
      <c r="XDJ1347"/>
      <c r="XDK1347"/>
      <c r="XDL1347"/>
      <c r="XDM1347"/>
      <c r="XDN1347"/>
      <c r="XDO1347"/>
      <c r="XDP1347"/>
      <c r="XDQ1347"/>
      <c r="XDR1347"/>
      <c r="XDS1347"/>
      <c r="XDT1347"/>
      <c r="XDU1347"/>
      <c r="XDV1347"/>
      <c r="XDW1347"/>
      <c r="XDX1347"/>
      <c r="XDY1347"/>
      <c r="XDZ1347"/>
      <c r="XEA1347"/>
      <c r="XEB1347"/>
      <c r="XEC1347"/>
      <c r="XED1347"/>
      <c r="XEE1347"/>
      <c r="XEF1347"/>
      <c r="XEG1347"/>
      <c r="XEH1347"/>
      <c r="XEI1347"/>
      <c r="XEJ1347"/>
      <c r="XEK1347"/>
      <c r="XEL1347"/>
      <c r="XEM1347"/>
      <c r="XEN1347"/>
      <c r="XEO1347"/>
      <c r="XEP1347"/>
      <c r="XEQ1347"/>
      <c r="XER1347"/>
      <c r="XES1347"/>
      <c r="XET1347"/>
      <c r="XEU1347"/>
      <c r="XEV1347"/>
      <c r="XEW1347"/>
      <c r="XEX1347"/>
      <c r="XEY1347"/>
      <c r="XEZ1347"/>
      <c r="XFA1347"/>
      <c r="XFB1347"/>
      <c r="XFC1347"/>
    </row>
    <row r="1348" spans="1:20 16329:16383" s="38" customFormat="1" ht="29.1" customHeight="1" outlineLevel="6" x14ac:dyDescent="0.25">
      <c r="A1348" s="49" t="s">
        <v>2453</v>
      </c>
      <c r="B1348" s="50"/>
      <c r="C1348" s="50"/>
      <c r="D1348" s="3" t="s">
        <v>2238</v>
      </c>
      <c r="E1348" s="3"/>
      <c r="F1348" s="51"/>
      <c r="G1348" s="50" t="s">
        <v>102</v>
      </c>
      <c r="H1348" s="52">
        <f>1</f>
        <v>1</v>
      </c>
      <c r="I1348" s="36"/>
      <c r="J1348" s="52">
        <v>1</v>
      </c>
      <c r="K1348" s="53">
        <f>0</f>
        <v>0</v>
      </c>
      <c r="L1348" s="53">
        <f>0</f>
        <v>0</v>
      </c>
      <c r="M1348" s="53">
        <f>0</f>
        <v>0</v>
      </c>
      <c r="N1348" s="54">
        <f t="shared" si="209"/>
        <v>0</v>
      </c>
      <c r="O1348" s="54">
        <f t="shared" si="210"/>
        <v>0</v>
      </c>
      <c r="P1348" s="54">
        <f t="shared" si="211"/>
        <v>0</v>
      </c>
      <c r="Q1348" s="54">
        <f t="shared" si="212"/>
        <v>0</v>
      </c>
      <c r="R1348" s="54">
        <f t="shared" si="213"/>
        <v>0</v>
      </c>
      <c r="S1348" s="54"/>
      <c r="T1348" s="36"/>
      <c r="XDA1348"/>
      <c r="XDB1348"/>
      <c r="XDC1348"/>
      <c r="XDD1348"/>
      <c r="XDE1348"/>
      <c r="XDF1348"/>
      <c r="XDG1348"/>
      <c r="XDH1348"/>
      <c r="XDI1348"/>
      <c r="XDJ1348"/>
      <c r="XDK1348"/>
      <c r="XDL1348"/>
      <c r="XDM1348"/>
      <c r="XDN1348"/>
      <c r="XDO1348"/>
      <c r="XDP1348"/>
      <c r="XDQ1348"/>
      <c r="XDR1348"/>
      <c r="XDS1348"/>
      <c r="XDT1348"/>
      <c r="XDU1348"/>
      <c r="XDV1348"/>
      <c r="XDW1348"/>
      <c r="XDX1348"/>
      <c r="XDY1348"/>
      <c r="XDZ1348"/>
      <c r="XEA1348"/>
      <c r="XEB1348"/>
      <c r="XEC1348"/>
      <c r="XED1348"/>
      <c r="XEE1348"/>
      <c r="XEF1348"/>
      <c r="XEG1348"/>
      <c r="XEH1348"/>
      <c r="XEI1348"/>
      <c r="XEJ1348"/>
      <c r="XEK1348"/>
      <c r="XEL1348"/>
      <c r="XEM1348"/>
      <c r="XEN1348"/>
      <c r="XEO1348"/>
      <c r="XEP1348"/>
      <c r="XEQ1348"/>
      <c r="XER1348"/>
      <c r="XES1348"/>
      <c r="XET1348"/>
      <c r="XEU1348"/>
      <c r="XEV1348"/>
      <c r="XEW1348"/>
      <c r="XEX1348"/>
      <c r="XEY1348"/>
      <c r="XEZ1348"/>
      <c r="XFA1348"/>
      <c r="XFB1348"/>
      <c r="XFC1348"/>
    </row>
    <row r="1349" spans="1:20 16329:16383" s="38" customFormat="1" ht="29.1" customHeight="1" outlineLevel="6" x14ac:dyDescent="0.25">
      <c r="A1349" s="49" t="s">
        <v>2454</v>
      </c>
      <c r="B1349" s="50"/>
      <c r="C1349" s="50"/>
      <c r="D1349" s="3" t="s">
        <v>1884</v>
      </c>
      <c r="E1349" s="3"/>
      <c r="F1349" s="51"/>
      <c r="G1349" s="50" t="s">
        <v>102</v>
      </c>
      <c r="H1349" s="52">
        <f>1</f>
        <v>1</v>
      </c>
      <c r="I1349" s="36"/>
      <c r="J1349" s="52">
        <v>1</v>
      </c>
      <c r="K1349" s="53">
        <f>0</f>
        <v>0</v>
      </c>
      <c r="L1349" s="53">
        <f>0</f>
        <v>0</v>
      </c>
      <c r="M1349" s="53">
        <f>0</f>
        <v>0</v>
      </c>
      <c r="N1349" s="54">
        <f t="shared" si="209"/>
        <v>0</v>
      </c>
      <c r="O1349" s="54">
        <f t="shared" si="210"/>
        <v>0</v>
      </c>
      <c r="P1349" s="54">
        <f t="shared" si="211"/>
        <v>0</v>
      </c>
      <c r="Q1349" s="54">
        <f t="shared" si="212"/>
        <v>0</v>
      </c>
      <c r="R1349" s="54">
        <f t="shared" si="213"/>
        <v>0</v>
      </c>
      <c r="S1349" s="54"/>
      <c r="T1349" s="36"/>
      <c r="XDA1349"/>
      <c r="XDB1349"/>
      <c r="XDC1349"/>
      <c r="XDD1349"/>
      <c r="XDE1349"/>
      <c r="XDF1349"/>
      <c r="XDG1349"/>
      <c r="XDH1349"/>
      <c r="XDI1349"/>
      <c r="XDJ1349"/>
      <c r="XDK1349"/>
      <c r="XDL1349"/>
      <c r="XDM1349"/>
      <c r="XDN1349"/>
      <c r="XDO1349"/>
      <c r="XDP1349"/>
      <c r="XDQ1349"/>
      <c r="XDR1349"/>
      <c r="XDS1349"/>
      <c r="XDT1349"/>
      <c r="XDU1349"/>
      <c r="XDV1349"/>
      <c r="XDW1349"/>
      <c r="XDX1349"/>
      <c r="XDY1349"/>
      <c r="XDZ1349"/>
      <c r="XEA1349"/>
      <c r="XEB1349"/>
      <c r="XEC1349"/>
      <c r="XED1349"/>
      <c r="XEE1349"/>
      <c r="XEF1349"/>
      <c r="XEG1349"/>
      <c r="XEH1349"/>
      <c r="XEI1349"/>
      <c r="XEJ1349"/>
      <c r="XEK1349"/>
      <c r="XEL1349"/>
      <c r="XEM1349"/>
      <c r="XEN1349"/>
      <c r="XEO1349"/>
      <c r="XEP1349"/>
      <c r="XEQ1349"/>
      <c r="XER1349"/>
      <c r="XES1349"/>
      <c r="XET1349"/>
      <c r="XEU1349"/>
      <c r="XEV1349"/>
      <c r="XEW1349"/>
      <c r="XEX1349"/>
      <c r="XEY1349"/>
      <c r="XEZ1349"/>
      <c r="XFA1349"/>
      <c r="XFB1349"/>
      <c r="XFC1349"/>
    </row>
    <row r="1350" spans="1:20 16329:16383" s="38" customFormat="1" ht="29.1" customHeight="1" outlineLevel="6" x14ac:dyDescent="0.25">
      <c r="A1350" s="49" t="s">
        <v>2455</v>
      </c>
      <c r="B1350" s="50"/>
      <c r="C1350" s="50"/>
      <c r="D1350" s="3" t="s">
        <v>1886</v>
      </c>
      <c r="E1350" s="3"/>
      <c r="F1350" s="51"/>
      <c r="G1350" s="50" t="s">
        <v>102</v>
      </c>
      <c r="H1350" s="52">
        <f>1</f>
        <v>1</v>
      </c>
      <c r="I1350" s="36"/>
      <c r="J1350" s="52">
        <v>1</v>
      </c>
      <c r="K1350" s="53">
        <f>0</f>
        <v>0</v>
      </c>
      <c r="L1350" s="53">
        <f>0</f>
        <v>0</v>
      </c>
      <c r="M1350" s="53">
        <f>0</f>
        <v>0</v>
      </c>
      <c r="N1350" s="54">
        <f t="shared" si="209"/>
        <v>0</v>
      </c>
      <c r="O1350" s="54">
        <f t="shared" si="210"/>
        <v>0</v>
      </c>
      <c r="P1350" s="54">
        <f t="shared" si="211"/>
        <v>0</v>
      </c>
      <c r="Q1350" s="54">
        <f t="shared" si="212"/>
        <v>0</v>
      </c>
      <c r="R1350" s="54">
        <f t="shared" si="213"/>
        <v>0</v>
      </c>
      <c r="S1350" s="54"/>
      <c r="T1350" s="36"/>
      <c r="XDA1350"/>
      <c r="XDB1350"/>
      <c r="XDC1350"/>
      <c r="XDD1350"/>
      <c r="XDE1350"/>
      <c r="XDF1350"/>
      <c r="XDG1350"/>
      <c r="XDH1350"/>
      <c r="XDI1350"/>
      <c r="XDJ1350"/>
      <c r="XDK1350"/>
      <c r="XDL1350"/>
      <c r="XDM1350"/>
      <c r="XDN1350"/>
      <c r="XDO1350"/>
      <c r="XDP1350"/>
      <c r="XDQ1350"/>
      <c r="XDR1350"/>
      <c r="XDS1350"/>
      <c r="XDT1350"/>
      <c r="XDU1350"/>
      <c r="XDV1350"/>
      <c r="XDW1350"/>
      <c r="XDX1350"/>
      <c r="XDY1350"/>
      <c r="XDZ1350"/>
      <c r="XEA1350"/>
      <c r="XEB1350"/>
      <c r="XEC1350"/>
      <c r="XED1350"/>
      <c r="XEE1350"/>
      <c r="XEF1350"/>
      <c r="XEG1350"/>
      <c r="XEH1350"/>
      <c r="XEI1350"/>
      <c r="XEJ1350"/>
      <c r="XEK1350"/>
      <c r="XEL1350"/>
      <c r="XEM1350"/>
      <c r="XEN1350"/>
      <c r="XEO1350"/>
      <c r="XEP1350"/>
      <c r="XEQ1350"/>
      <c r="XER1350"/>
      <c r="XES1350"/>
      <c r="XET1350"/>
      <c r="XEU1350"/>
      <c r="XEV1350"/>
      <c r="XEW1350"/>
      <c r="XEX1350"/>
      <c r="XEY1350"/>
      <c r="XEZ1350"/>
      <c r="XFA1350"/>
      <c r="XFB1350"/>
      <c r="XFC1350"/>
    </row>
    <row r="1351" spans="1:20 16329:16383" s="38" customFormat="1" ht="29.1" customHeight="1" outlineLevel="6" x14ac:dyDescent="0.25">
      <c r="A1351" s="49" t="s">
        <v>2456</v>
      </c>
      <c r="B1351" s="50"/>
      <c r="C1351" s="50"/>
      <c r="D1351" s="3" t="s">
        <v>2241</v>
      </c>
      <c r="E1351" s="3"/>
      <c r="F1351" s="51"/>
      <c r="G1351" s="50" t="s">
        <v>102</v>
      </c>
      <c r="H1351" s="52">
        <f>1</f>
        <v>1</v>
      </c>
      <c r="I1351" s="36"/>
      <c r="J1351" s="52">
        <v>1</v>
      </c>
      <c r="K1351" s="53">
        <f>0</f>
        <v>0</v>
      </c>
      <c r="L1351" s="53">
        <f>0</f>
        <v>0</v>
      </c>
      <c r="M1351" s="53">
        <f>0</f>
        <v>0</v>
      </c>
      <c r="N1351" s="54">
        <f t="shared" si="209"/>
        <v>0</v>
      </c>
      <c r="O1351" s="54">
        <f t="shared" si="210"/>
        <v>0</v>
      </c>
      <c r="P1351" s="54">
        <f t="shared" si="211"/>
        <v>0</v>
      </c>
      <c r="Q1351" s="54">
        <f t="shared" si="212"/>
        <v>0</v>
      </c>
      <c r="R1351" s="54">
        <f t="shared" si="213"/>
        <v>0</v>
      </c>
      <c r="S1351" s="54"/>
      <c r="T1351" s="36"/>
      <c r="XDA1351"/>
      <c r="XDB1351"/>
      <c r="XDC1351"/>
      <c r="XDD1351"/>
      <c r="XDE1351"/>
      <c r="XDF1351"/>
      <c r="XDG1351"/>
      <c r="XDH1351"/>
      <c r="XDI1351"/>
      <c r="XDJ1351"/>
      <c r="XDK1351"/>
      <c r="XDL1351"/>
      <c r="XDM1351"/>
      <c r="XDN1351"/>
      <c r="XDO1351"/>
      <c r="XDP1351"/>
      <c r="XDQ1351"/>
      <c r="XDR1351"/>
      <c r="XDS1351"/>
      <c r="XDT1351"/>
      <c r="XDU1351"/>
      <c r="XDV1351"/>
      <c r="XDW1351"/>
      <c r="XDX1351"/>
      <c r="XDY1351"/>
      <c r="XDZ1351"/>
      <c r="XEA1351"/>
      <c r="XEB1351"/>
      <c r="XEC1351"/>
      <c r="XED1351"/>
      <c r="XEE1351"/>
      <c r="XEF1351"/>
      <c r="XEG1351"/>
      <c r="XEH1351"/>
      <c r="XEI1351"/>
      <c r="XEJ1351"/>
      <c r="XEK1351"/>
      <c r="XEL1351"/>
      <c r="XEM1351"/>
      <c r="XEN1351"/>
      <c r="XEO1351"/>
      <c r="XEP1351"/>
      <c r="XEQ1351"/>
      <c r="XER1351"/>
      <c r="XES1351"/>
      <c r="XET1351"/>
      <c r="XEU1351"/>
      <c r="XEV1351"/>
      <c r="XEW1351"/>
      <c r="XEX1351"/>
      <c r="XEY1351"/>
      <c r="XEZ1351"/>
      <c r="XFA1351"/>
      <c r="XFB1351"/>
      <c r="XFC1351"/>
    </row>
    <row r="1352" spans="1:20 16329:16383" s="38" customFormat="1" ht="29.1" customHeight="1" outlineLevel="6" x14ac:dyDescent="0.25">
      <c r="A1352" s="49" t="s">
        <v>2457</v>
      </c>
      <c r="B1352" s="50"/>
      <c r="C1352" s="50"/>
      <c r="D1352" s="3" t="s">
        <v>2458</v>
      </c>
      <c r="E1352" s="3"/>
      <c r="F1352" s="51"/>
      <c r="G1352" s="50" t="s">
        <v>102</v>
      </c>
      <c r="H1352" s="52">
        <f>1</f>
        <v>1</v>
      </c>
      <c r="I1352" s="36"/>
      <c r="J1352" s="52">
        <v>1</v>
      </c>
      <c r="K1352" s="53">
        <f>0</f>
        <v>0</v>
      </c>
      <c r="L1352" s="53">
        <f>0</f>
        <v>0</v>
      </c>
      <c r="M1352" s="53">
        <f>0</f>
        <v>0</v>
      </c>
      <c r="N1352" s="54">
        <f t="shared" si="209"/>
        <v>0</v>
      </c>
      <c r="O1352" s="54">
        <f t="shared" si="210"/>
        <v>0</v>
      </c>
      <c r="P1352" s="54">
        <f t="shared" si="211"/>
        <v>0</v>
      </c>
      <c r="Q1352" s="54">
        <f t="shared" si="212"/>
        <v>0</v>
      </c>
      <c r="R1352" s="54">
        <f t="shared" si="213"/>
        <v>0</v>
      </c>
      <c r="S1352" s="54"/>
      <c r="T1352" s="36"/>
      <c r="XDA1352"/>
      <c r="XDB1352"/>
      <c r="XDC1352"/>
      <c r="XDD1352"/>
      <c r="XDE1352"/>
      <c r="XDF1352"/>
      <c r="XDG1352"/>
      <c r="XDH1352"/>
      <c r="XDI1352"/>
      <c r="XDJ1352"/>
      <c r="XDK1352"/>
      <c r="XDL1352"/>
      <c r="XDM1352"/>
      <c r="XDN1352"/>
      <c r="XDO1352"/>
      <c r="XDP1352"/>
      <c r="XDQ1352"/>
      <c r="XDR1352"/>
      <c r="XDS1352"/>
      <c r="XDT1352"/>
      <c r="XDU1352"/>
      <c r="XDV1352"/>
      <c r="XDW1352"/>
      <c r="XDX1352"/>
      <c r="XDY1352"/>
      <c r="XDZ1352"/>
      <c r="XEA1352"/>
      <c r="XEB1352"/>
      <c r="XEC1352"/>
      <c r="XED1352"/>
      <c r="XEE1352"/>
      <c r="XEF1352"/>
      <c r="XEG1352"/>
      <c r="XEH1352"/>
      <c r="XEI1352"/>
      <c r="XEJ1352"/>
      <c r="XEK1352"/>
      <c r="XEL1352"/>
      <c r="XEM1352"/>
      <c r="XEN1352"/>
      <c r="XEO1352"/>
      <c r="XEP1352"/>
      <c r="XEQ1352"/>
      <c r="XER1352"/>
      <c r="XES1352"/>
      <c r="XET1352"/>
      <c r="XEU1352"/>
      <c r="XEV1352"/>
      <c r="XEW1352"/>
      <c r="XEX1352"/>
      <c r="XEY1352"/>
      <c r="XEZ1352"/>
      <c r="XFA1352"/>
      <c r="XFB1352"/>
      <c r="XFC1352"/>
    </row>
    <row r="1353" spans="1:20 16329:16383" s="38" customFormat="1" ht="29.1" customHeight="1" outlineLevel="6" x14ac:dyDescent="0.25">
      <c r="A1353" s="49" t="s">
        <v>2459</v>
      </c>
      <c r="B1353" s="50"/>
      <c r="C1353" s="50"/>
      <c r="D1353" s="3" t="s">
        <v>2460</v>
      </c>
      <c r="E1353" s="3"/>
      <c r="F1353" s="51"/>
      <c r="G1353" s="50" t="s">
        <v>102</v>
      </c>
      <c r="H1353" s="52">
        <f>1</f>
        <v>1</v>
      </c>
      <c r="I1353" s="36"/>
      <c r="J1353" s="52">
        <v>1</v>
      </c>
      <c r="K1353" s="53">
        <f>0</f>
        <v>0</v>
      </c>
      <c r="L1353" s="53">
        <f>0</f>
        <v>0</v>
      </c>
      <c r="M1353" s="53">
        <f>0</f>
        <v>0</v>
      </c>
      <c r="N1353" s="54">
        <f t="shared" si="209"/>
        <v>0</v>
      </c>
      <c r="O1353" s="54">
        <f t="shared" si="210"/>
        <v>0</v>
      </c>
      <c r="P1353" s="54">
        <f t="shared" si="211"/>
        <v>0</v>
      </c>
      <c r="Q1353" s="54">
        <f t="shared" si="212"/>
        <v>0</v>
      </c>
      <c r="R1353" s="54">
        <f t="shared" si="213"/>
        <v>0</v>
      </c>
      <c r="S1353" s="54"/>
      <c r="T1353" s="36"/>
      <c r="XDA1353"/>
      <c r="XDB1353"/>
      <c r="XDC1353"/>
      <c r="XDD1353"/>
      <c r="XDE1353"/>
      <c r="XDF1353"/>
      <c r="XDG1353"/>
      <c r="XDH1353"/>
      <c r="XDI1353"/>
      <c r="XDJ1353"/>
      <c r="XDK1353"/>
      <c r="XDL1353"/>
      <c r="XDM1353"/>
      <c r="XDN1353"/>
      <c r="XDO1353"/>
      <c r="XDP1353"/>
      <c r="XDQ1353"/>
      <c r="XDR1353"/>
      <c r="XDS1353"/>
      <c r="XDT1353"/>
      <c r="XDU1353"/>
      <c r="XDV1353"/>
      <c r="XDW1353"/>
      <c r="XDX1353"/>
      <c r="XDY1353"/>
      <c r="XDZ1353"/>
      <c r="XEA1353"/>
      <c r="XEB1353"/>
      <c r="XEC1353"/>
      <c r="XED1353"/>
      <c r="XEE1353"/>
      <c r="XEF1353"/>
      <c r="XEG1353"/>
      <c r="XEH1353"/>
      <c r="XEI1353"/>
      <c r="XEJ1353"/>
      <c r="XEK1353"/>
      <c r="XEL1353"/>
      <c r="XEM1353"/>
      <c r="XEN1353"/>
      <c r="XEO1353"/>
      <c r="XEP1353"/>
      <c r="XEQ1353"/>
      <c r="XER1353"/>
      <c r="XES1353"/>
      <c r="XET1353"/>
      <c r="XEU1353"/>
      <c r="XEV1353"/>
      <c r="XEW1353"/>
      <c r="XEX1353"/>
      <c r="XEY1353"/>
      <c r="XEZ1353"/>
      <c r="XFA1353"/>
      <c r="XFB1353"/>
      <c r="XFC1353"/>
    </row>
    <row r="1354" spans="1:20 16329:16383" s="38" customFormat="1" ht="29.1" customHeight="1" outlineLevel="6" x14ac:dyDescent="0.25">
      <c r="A1354" s="49" t="s">
        <v>2461</v>
      </c>
      <c r="B1354" s="50"/>
      <c r="C1354" s="50"/>
      <c r="D1354" s="3" t="s">
        <v>2420</v>
      </c>
      <c r="E1354" s="3"/>
      <c r="F1354" s="51" t="s">
        <v>1960</v>
      </c>
      <c r="G1354" s="50" t="s">
        <v>134</v>
      </c>
      <c r="H1354" s="52">
        <f>1</f>
        <v>1</v>
      </c>
      <c r="I1354" s="36"/>
      <c r="J1354" s="52">
        <v>1</v>
      </c>
      <c r="K1354" s="53">
        <f>0</f>
        <v>0</v>
      </c>
      <c r="L1354" s="53">
        <f>0</f>
        <v>0</v>
      </c>
      <c r="M1354" s="53">
        <f>0</f>
        <v>0</v>
      </c>
      <c r="N1354" s="54">
        <f t="shared" si="209"/>
        <v>0</v>
      </c>
      <c r="O1354" s="54">
        <f t="shared" si="210"/>
        <v>0</v>
      </c>
      <c r="P1354" s="54">
        <f t="shared" si="211"/>
        <v>0</v>
      </c>
      <c r="Q1354" s="54">
        <f t="shared" si="212"/>
        <v>0</v>
      </c>
      <c r="R1354" s="54">
        <f t="shared" si="213"/>
        <v>0</v>
      </c>
      <c r="S1354" s="54"/>
      <c r="T1354" s="36"/>
      <c r="XDA1354"/>
      <c r="XDB1354"/>
      <c r="XDC1354"/>
      <c r="XDD1354"/>
      <c r="XDE1354"/>
      <c r="XDF1354"/>
      <c r="XDG1354"/>
      <c r="XDH1354"/>
      <c r="XDI1354"/>
      <c r="XDJ1354"/>
      <c r="XDK1354"/>
      <c r="XDL1354"/>
      <c r="XDM1354"/>
      <c r="XDN1354"/>
      <c r="XDO1354"/>
      <c r="XDP1354"/>
      <c r="XDQ1354"/>
      <c r="XDR1354"/>
      <c r="XDS1354"/>
      <c r="XDT1354"/>
      <c r="XDU1354"/>
      <c r="XDV1354"/>
      <c r="XDW1354"/>
      <c r="XDX1354"/>
      <c r="XDY1354"/>
      <c r="XDZ1354"/>
      <c r="XEA1354"/>
      <c r="XEB1354"/>
      <c r="XEC1354"/>
      <c r="XED1354"/>
      <c r="XEE1354"/>
      <c r="XEF1354"/>
      <c r="XEG1354"/>
      <c r="XEH1354"/>
      <c r="XEI1354"/>
      <c r="XEJ1354"/>
      <c r="XEK1354"/>
      <c r="XEL1354"/>
      <c r="XEM1354"/>
      <c r="XEN1354"/>
      <c r="XEO1354"/>
      <c r="XEP1354"/>
      <c r="XEQ1354"/>
      <c r="XER1354"/>
      <c r="XES1354"/>
      <c r="XET1354"/>
      <c r="XEU1354"/>
      <c r="XEV1354"/>
      <c r="XEW1354"/>
      <c r="XEX1354"/>
      <c r="XEY1354"/>
      <c r="XEZ1354"/>
      <c r="XFA1354"/>
      <c r="XFB1354"/>
      <c r="XFC1354"/>
    </row>
    <row r="1355" spans="1:20 16329:16383" s="38" customFormat="1" ht="29.1" customHeight="1" outlineLevel="5" x14ac:dyDescent="0.25">
      <c r="A1355" s="65" t="s">
        <v>2462</v>
      </c>
      <c r="B1355" s="66" t="s">
        <v>2463</v>
      </c>
      <c r="C1355" s="66"/>
      <c r="D1355" s="98" t="s">
        <v>1498</v>
      </c>
      <c r="E1355" s="98"/>
      <c r="F1355" s="67"/>
      <c r="G1355" s="66"/>
      <c r="H1355" s="68"/>
      <c r="I1355" s="36"/>
      <c r="J1355" s="68"/>
      <c r="K1355" s="69"/>
      <c r="L1355" s="69"/>
      <c r="M1355" s="69"/>
      <c r="N1355" s="69"/>
      <c r="O1355" s="69">
        <f>SUM(O1356:O1360)</f>
        <v>0</v>
      </c>
      <c r="P1355" s="69">
        <f>SUM(P1356:P1360)</f>
        <v>0</v>
      </c>
      <c r="Q1355" s="69">
        <f>SUM(Q1356:Q1360)</f>
        <v>0</v>
      </c>
      <c r="R1355" s="69">
        <f>SUM(R1356:R1360)</f>
        <v>0</v>
      </c>
      <c r="S1355" s="69"/>
      <c r="T1355" s="36"/>
      <c r="XDA1355"/>
      <c r="XDB1355"/>
      <c r="XDC1355"/>
      <c r="XDD1355"/>
      <c r="XDE1355"/>
      <c r="XDF1355"/>
      <c r="XDG1355"/>
      <c r="XDH1355"/>
      <c r="XDI1355"/>
      <c r="XDJ1355"/>
      <c r="XDK1355"/>
      <c r="XDL1355"/>
      <c r="XDM1355"/>
      <c r="XDN1355"/>
      <c r="XDO1355"/>
      <c r="XDP1355"/>
      <c r="XDQ1355"/>
      <c r="XDR1355"/>
      <c r="XDS1355"/>
      <c r="XDT1355"/>
      <c r="XDU1355"/>
      <c r="XDV1355"/>
      <c r="XDW1355"/>
      <c r="XDX1355"/>
      <c r="XDY1355"/>
      <c r="XDZ1355"/>
      <c r="XEA1355"/>
      <c r="XEB1355"/>
      <c r="XEC1355"/>
      <c r="XED1355"/>
      <c r="XEE1355"/>
      <c r="XEF1355"/>
      <c r="XEG1355"/>
      <c r="XEH1355"/>
      <c r="XEI1355"/>
      <c r="XEJ1355"/>
      <c r="XEK1355"/>
      <c r="XEL1355"/>
      <c r="XEM1355"/>
      <c r="XEN1355"/>
      <c r="XEO1355"/>
      <c r="XEP1355"/>
      <c r="XEQ1355"/>
      <c r="XER1355"/>
      <c r="XES1355"/>
      <c r="XET1355"/>
      <c r="XEU1355"/>
      <c r="XEV1355"/>
      <c r="XEW1355"/>
      <c r="XEX1355"/>
      <c r="XEY1355"/>
      <c r="XEZ1355"/>
      <c r="XFA1355"/>
      <c r="XFB1355"/>
      <c r="XFC1355"/>
    </row>
    <row r="1356" spans="1:20 16329:16383" s="38" customFormat="1" ht="29.1" customHeight="1" outlineLevel="6" x14ac:dyDescent="0.25">
      <c r="A1356" s="49" t="s">
        <v>2464</v>
      </c>
      <c r="B1356" s="50"/>
      <c r="C1356" s="50"/>
      <c r="D1356" s="3" t="s">
        <v>2251</v>
      </c>
      <c r="E1356" s="3"/>
      <c r="F1356" s="51" t="s">
        <v>2252</v>
      </c>
      <c r="G1356" s="50" t="s">
        <v>29</v>
      </c>
      <c r="H1356" s="52">
        <f>1</f>
        <v>1</v>
      </c>
      <c r="I1356" s="36"/>
      <c r="J1356" s="52">
        <v>1</v>
      </c>
      <c r="K1356" s="53">
        <f>0</f>
        <v>0</v>
      </c>
      <c r="L1356" s="53">
        <f>0</f>
        <v>0</v>
      </c>
      <c r="M1356" s="53">
        <f>0</f>
        <v>0</v>
      </c>
      <c r="N1356" s="54">
        <f>SUM(K1356:M1356)</f>
        <v>0</v>
      </c>
      <c r="O1356" s="54">
        <f>ROUND((H1356*K1356),2)</f>
        <v>0</v>
      </c>
      <c r="P1356" s="54">
        <f>ROUND((H1356*L1356),2)</f>
        <v>0</v>
      </c>
      <c r="Q1356" s="54">
        <f>ROUND((H1356*M1356),2)</f>
        <v>0</v>
      </c>
      <c r="R1356" s="54">
        <f>ROUND((H1356*N1356),2)</f>
        <v>0</v>
      </c>
      <c r="S1356" s="54"/>
      <c r="T1356" s="36"/>
      <c r="XDA1356"/>
      <c r="XDB1356"/>
      <c r="XDC1356"/>
      <c r="XDD1356"/>
      <c r="XDE1356"/>
      <c r="XDF1356"/>
      <c r="XDG1356"/>
      <c r="XDH1356"/>
      <c r="XDI1356"/>
      <c r="XDJ1356"/>
      <c r="XDK1356"/>
      <c r="XDL1356"/>
      <c r="XDM1356"/>
      <c r="XDN1356"/>
      <c r="XDO1356"/>
      <c r="XDP1356"/>
      <c r="XDQ1356"/>
      <c r="XDR1356"/>
      <c r="XDS1356"/>
      <c r="XDT1356"/>
      <c r="XDU1356"/>
      <c r="XDV1356"/>
      <c r="XDW1356"/>
      <c r="XDX1356"/>
      <c r="XDY1356"/>
      <c r="XDZ1356"/>
      <c r="XEA1356"/>
      <c r="XEB1356"/>
      <c r="XEC1356"/>
      <c r="XED1356"/>
      <c r="XEE1356"/>
      <c r="XEF1356"/>
      <c r="XEG1356"/>
      <c r="XEH1356"/>
      <c r="XEI1356"/>
      <c r="XEJ1356"/>
      <c r="XEK1356"/>
      <c r="XEL1356"/>
      <c r="XEM1356"/>
      <c r="XEN1356"/>
      <c r="XEO1356"/>
      <c r="XEP1356"/>
      <c r="XEQ1356"/>
      <c r="XER1356"/>
      <c r="XES1356"/>
      <c r="XET1356"/>
      <c r="XEU1356"/>
      <c r="XEV1356"/>
      <c r="XEW1356"/>
      <c r="XEX1356"/>
      <c r="XEY1356"/>
      <c r="XEZ1356"/>
      <c r="XFA1356"/>
      <c r="XFB1356"/>
      <c r="XFC1356"/>
    </row>
    <row r="1357" spans="1:20 16329:16383" s="38" customFormat="1" ht="29.1" customHeight="1" outlineLevel="6" x14ac:dyDescent="0.25">
      <c r="A1357" s="49" t="s">
        <v>2465</v>
      </c>
      <c r="B1357" s="50"/>
      <c r="C1357" s="50"/>
      <c r="D1357" s="3" t="s">
        <v>2260</v>
      </c>
      <c r="E1357" s="3"/>
      <c r="F1357" s="51" t="s">
        <v>2252</v>
      </c>
      <c r="G1357" s="50" t="s">
        <v>29</v>
      </c>
      <c r="H1357" s="52">
        <f>1</f>
        <v>1</v>
      </c>
      <c r="I1357" s="36"/>
      <c r="J1357" s="52">
        <v>1</v>
      </c>
      <c r="K1357" s="53">
        <f>0</f>
        <v>0</v>
      </c>
      <c r="L1357" s="53">
        <f>0</f>
        <v>0</v>
      </c>
      <c r="M1357" s="53">
        <f>0</f>
        <v>0</v>
      </c>
      <c r="N1357" s="54">
        <f>SUM(K1357:M1357)</f>
        <v>0</v>
      </c>
      <c r="O1357" s="54">
        <f>ROUND((H1357*K1357),2)</f>
        <v>0</v>
      </c>
      <c r="P1357" s="54">
        <f>ROUND((H1357*L1357),2)</f>
        <v>0</v>
      </c>
      <c r="Q1357" s="54">
        <f>ROUND((H1357*M1357),2)</f>
        <v>0</v>
      </c>
      <c r="R1357" s="54">
        <f>ROUND((H1357*N1357),2)</f>
        <v>0</v>
      </c>
      <c r="S1357" s="54"/>
      <c r="T1357" s="36"/>
      <c r="XDA1357"/>
      <c r="XDB1357"/>
      <c r="XDC1357"/>
      <c r="XDD1357"/>
      <c r="XDE1357"/>
      <c r="XDF1357"/>
      <c r="XDG1357"/>
      <c r="XDH1357"/>
      <c r="XDI1357"/>
      <c r="XDJ1357"/>
      <c r="XDK1357"/>
      <c r="XDL1357"/>
      <c r="XDM1357"/>
      <c r="XDN1357"/>
      <c r="XDO1357"/>
      <c r="XDP1357"/>
      <c r="XDQ1357"/>
      <c r="XDR1357"/>
      <c r="XDS1357"/>
      <c r="XDT1357"/>
      <c r="XDU1357"/>
      <c r="XDV1357"/>
      <c r="XDW1357"/>
      <c r="XDX1357"/>
      <c r="XDY1357"/>
      <c r="XDZ1357"/>
      <c r="XEA1357"/>
      <c r="XEB1357"/>
      <c r="XEC1357"/>
      <c r="XED1357"/>
      <c r="XEE1357"/>
      <c r="XEF1357"/>
      <c r="XEG1357"/>
      <c r="XEH1357"/>
      <c r="XEI1357"/>
      <c r="XEJ1357"/>
      <c r="XEK1357"/>
      <c r="XEL1357"/>
      <c r="XEM1357"/>
      <c r="XEN1357"/>
      <c r="XEO1357"/>
      <c r="XEP1357"/>
      <c r="XEQ1357"/>
      <c r="XER1357"/>
      <c r="XES1357"/>
      <c r="XET1357"/>
      <c r="XEU1357"/>
      <c r="XEV1357"/>
      <c r="XEW1357"/>
      <c r="XEX1357"/>
      <c r="XEY1357"/>
      <c r="XEZ1357"/>
      <c r="XFA1357"/>
      <c r="XFB1357"/>
      <c r="XFC1357"/>
    </row>
    <row r="1358" spans="1:20 16329:16383" s="38" customFormat="1" ht="29.1" customHeight="1" outlineLevel="6" x14ac:dyDescent="0.25">
      <c r="A1358" s="49" t="s">
        <v>2466</v>
      </c>
      <c r="B1358" s="50"/>
      <c r="C1358" s="50"/>
      <c r="D1358" s="3" t="s">
        <v>2258</v>
      </c>
      <c r="E1358" s="3"/>
      <c r="F1358" s="51" t="s">
        <v>2252</v>
      </c>
      <c r="G1358" s="50" t="s">
        <v>29</v>
      </c>
      <c r="H1358" s="52">
        <f>1</f>
        <v>1</v>
      </c>
      <c r="I1358" s="36"/>
      <c r="J1358" s="52">
        <v>1</v>
      </c>
      <c r="K1358" s="53">
        <f>0</f>
        <v>0</v>
      </c>
      <c r="L1358" s="53">
        <f>0</f>
        <v>0</v>
      </c>
      <c r="M1358" s="53">
        <f>0</f>
        <v>0</v>
      </c>
      <c r="N1358" s="54">
        <f>SUM(K1358:M1358)</f>
        <v>0</v>
      </c>
      <c r="O1358" s="54">
        <f>ROUND((H1358*K1358),2)</f>
        <v>0</v>
      </c>
      <c r="P1358" s="54">
        <f>ROUND((H1358*L1358),2)</f>
        <v>0</v>
      </c>
      <c r="Q1358" s="54">
        <f>ROUND((H1358*M1358),2)</f>
        <v>0</v>
      </c>
      <c r="R1358" s="54">
        <f>ROUND((H1358*N1358),2)</f>
        <v>0</v>
      </c>
      <c r="S1358" s="54"/>
      <c r="T1358" s="36"/>
      <c r="XDA1358"/>
      <c r="XDB1358"/>
      <c r="XDC1358"/>
      <c r="XDD1358"/>
      <c r="XDE1358"/>
      <c r="XDF1358"/>
      <c r="XDG1358"/>
      <c r="XDH1358"/>
      <c r="XDI1358"/>
      <c r="XDJ1358"/>
      <c r="XDK1358"/>
      <c r="XDL1358"/>
      <c r="XDM1358"/>
      <c r="XDN1358"/>
      <c r="XDO1358"/>
      <c r="XDP1358"/>
      <c r="XDQ1358"/>
      <c r="XDR1358"/>
      <c r="XDS1358"/>
      <c r="XDT1358"/>
      <c r="XDU1358"/>
      <c r="XDV1358"/>
      <c r="XDW1358"/>
      <c r="XDX1358"/>
      <c r="XDY1358"/>
      <c r="XDZ1358"/>
      <c r="XEA1358"/>
      <c r="XEB1358"/>
      <c r="XEC1358"/>
      <c r="XED1358"/>
      <c r="XEE1358"/>
      <c r="XEF1358"/>
      <c r="XEG1358"/>
      <c r="XEH1358"/>
      <c r="XEI1358"/>
      <c r="XEJ1358"/>
      <c r="XEK1358"/>
      <c r="XEL1358"/>
      <c r="XEM1358"/>
      <c r="XEN1358"/>
      <c r="XEO1358"/>
      <c r="XEP1358"/>
      <c r="XEQ1358"/>
      <c r="XER1358"/>
      <c r="XES1358"/>
      <c r="XET1358"/>
      <c r="XEU1358"/>
      <c r="XEV1358"/>
      <c r="XEW1358"/>
      <c r="XEX1358"/>
      <c r="XEY1358"/>
      <c r="XEZ1358"/>
      <c r="XFA1358"/>
      <c r="XFB1358"/>
      <c r="XFC1358"/>
    </row>
    <row r="1359" spans="1:20 16329:16383" s="38" customFormat="1" ht="29.1" customHeight="1" outlineLevel="6" x14ac:dyDescent="0.25">
      <c r="A1359" s="49" t="s">
        <v>2467</v>
      </c>
      <c r="B1359" s="50"/>
      <c r="C1359" s="50"/>
      <c r="D1359" s="3" t="s">
        <v>2324</v>
      </c>
      <c r="E1359" s="3"/>
      <c r="F1359" s="51" t="s">
        <v>2252</v>
      </c>
      <c r="G1359" s="50" t="s">
        <v>29</v>
      </c>
      <c r="H1359" s="52">
        <f>1</f>
        <v>1</v>
      </c>
      <c r="I1359" s="36"/>
      <c r="J1359" s="52">
        <v>1</v>
      </c>
      <c r="K1359" s="53">
        <f>0</f>
        <v>0</v>
      </c>
      <c r="L1359" s="53">
        <f>0</f>
        <v>0</v>
      </c>
      <c r="M1359" s="53">
        <f>0</f>
        <v>0</v>
      </c>
      <c r="N1359" s="54">
        <f>SUM(K1359:M1359)</f>
        <v>0</v>
      </c>
      <c r="O1359" s="54">
        <f>ROUND((H1359*K1359),2)</f>
        <v>0</v>
      </c>
      <c r="P1359" s="54">
        <f>ROUND((H1359*L1359),2)</f>
        <v>0</v>
      </c>
      <c r="Q1359" s="54">
        <f>ROUND((H1359*M1359),2)</f>
        <v>0</v>
      </c>
      <c r="R1359" s="54">
        <f>ROUND((H1359*N1359),2)</f>
        <v>0</v>
      </c>
      <c r="S1359" s="54"/>
      <c r="T1359" s="36"/>
      <c r="XDA1359"/>
      <c r="XDB1359"/>
      <c r="XDC1359"/>
      <c r="XDD1359"/>
      <c r="XDE1359"/>
      <c r="XDF1359"/>
      <c r="XDG1359"/>
      <c r="XDH1359"/>
      <c r="XDI1359"/>
      <c r="XDJ1359"/>
      <c r="XDK1359"/>
      <c r="XDL1359"/>
      <c r="XDM1359"/>
      <c r="XDN1359"/>
      <c r="XDO1359"/>
      <c r="XDP1359"/>
      <c r="XDQ1359"/>
      <c r="XDR1359"/>
      <c r="XDS1359"/>
      <c r="XDT1359"/>
      <c r="XDU1359"/>
      <c r="XDV1359"/>
      <c r="XDW1359"/>
      <c r="XDX1359"/>
      <c r="XDY1359"/>
      <c r="XDZ1359"/>
      <c r="XEA1359"/>
      <c r="XEB1359"/>
      <c r="XEC1359"/>
      <c r="XED1359"/>
      <c r="XEE1359"/>
      <c r="XEF1359"/>
      <c r="XEG1359"/>
      <c r="XEH1359"/>
      <c r="XEI1359"/>
      <c r="XEJ1359"/>
      <c r="XEK1359"/>
      <c r="XEL1359"/>
      <c r="XEM1359"/>
      <c r="XEN1359"/>
      <c r="XEO1359"/>
      <c r="XEP1359"/>
      <c r="XEQ1359"/>
      <c r="XER1359"/>
      <c r="XES1359"/>
      <c r="XET1359"/>
      <c r="XEU1359"/>
      <c r="XEV1359"/>
      <c r="XEW1359"/>
      <c r="XEX1359"/>
      <c r="XEY1359"/>
      <c r="XEZ1359"/>
      <c r="XFA1359"/>
      <c r="XFB1359"/>
      <c r="XFC1359"/>
    </row>
    <row r="1360" spans="1:20 16329:16383" s="38" customFormat="1" ht="29.1" customHeight="1" outlineLevel="6" x14ac:dyDescent="0.25">
      <c r="A1360" s="49" t="s">
        <v>2468</v>
      </c>
      <c r="B1360" s="50"/>
      <c r="C1360" s="50"/>
      <c r="D1360" s="3" t="s">
        <v>2326</v>
      </c>
      <c r="E1360" s="3"/>
      <c r="F1360" s="51" t="s">
        <v>2252</v>
      </c>
      <c r="G1360" s="50" t="s">
        <v>29</v>
      </c>
      <c r="H1360" s="52">
        <f>1</f>
        <v>1</v>
      </c>
      <c r="I1360" s="36"/>
      <c r="J1360" s="52">
        <v>1</v>
      </c>
      <c r="K1360" s="53">
        <f>0</f>
        <v>0</v>
      </c>
      <c r="L1360" s="53">
        <f>0</f>
        <v>0</v>
      </c>
      <c r="M1360" s="53">
        <f>0</f>
        <v>0</v>
      </c>
      <c r="N1360" s="54">
        <f>SUM(K1360:M1360)</f>
        <v>0</v>
      </c>
      <c r="O1360" s="54">
        <f>ROUND((H1360*K1360),2)</f>
        <v>0</v>
      </c>
      <c r="P1360" s="54">
        <f>ROUND((H1360*L1360),2)</f>
        <v>0</v>
      </c>
      <c r="Q1360" s="54">
        <f>ROUND((H1360*M1360),2)</f>
        <v>0</v>
      </c>
      <c r="R1360" s="54">
        <f>ROUND((H1360*N1360),2)</f>
        <v>0</v>
      </c>
      <c r="S1360" s="54"/>
      <c r="T1360" s="36"/>
      <c r="XDA1360"/>
      <c r="XDB1360"/>
      <c r="XDC1360"/>
      <c r="XDD1360"/>
      <c r="XDE1360"/>
      <c r="XDF1360"/>
      <c r="XDG1360"/>
      <c r="XDH1360"/>
      <c r="XDI1360"/>
      <c r="XDJ1360"/>
      <c r="XDK1360"/>
      <c r="XDL1360"/>
      <c r="XDM1360"/>
      <c r="XDN1360"/>
      <c r="XDO1360"/>
      <c r="XDP1360"/>
      <c r="XDQ1360"/>
      <c r="XDR1360"/>
      <c r="XDS1360"/>
      <c r="XDT1360"/>
      <c r="XDU1360"/>
      <c r="XDV1360"/>
      <c r="XDW1360"/>
      <c r="XDX1360"/>
      <c r="XDY1360"/>
      <c r="XDZ1360"/>
      <c r="XEA1360"/>
      <c r="XEB1360"/>
      <c r="XEC1360"/>
      <c r="XED1360"/>
      <c r="XEE1360"/>
      <c r="XEF1360"/>
      <c r="XEG1360"/>
      <c r="XEH1360"/>
      <c r="XEI1360"/>
      <c r="XEJ1360"/>
      <c r="XEK1360"/>
      <c r="XEL1360"/>
      <c r="XEM1360"/>
      <c r="XEN1360"/>
      <c r="XEO1360"/>
      <c r="XEP1360"/>
      <c r="XEQ1360"/>
      <c r="XER1360"/>
      <c r="XES1360"/>
      <c r="XET1360"/>
      <c r="XEU1360"/>
      <c r="XEV1360"/>
      <c r="XEW1360"/>
      <c r="XEX1360"/>
      <c r="XEY1360"/>
      <c r="XEZ1360"/>
      <c r="XFA1360"/>
      <c r="XFB1360"/>
      <c r="XFC1360"/>
    </row>
    <row r="1361" spans="1:20 16329:16383" s="38" customFormat="1" ht="29.1" customHeight="1" outlineLevel="4" x14ac:dyDescent="0.25">
      <c r="A1361" s="60" t="s">
        <v>2469</v>
      </c>
      <c r="B1361" s="61" t="s">
        <v>2470</v>
      </c>
      <c r="C1361" s="61" t="s">
        <v>2382</v>
      </c>
      <c r="D1361" s="1" t="s">
        <v>2471</v>
      </c>
      <c r="E1361" s="1"/>
      <c r="F1361" s="62"/>
      <c r="G1361" s="61" t="s">
        <v>102</v>
      </c>
      <c r="H1361" s="63"/>
      <c r="I1361" s="36"/>
      <c r="J1361" s="63"/>
      <c r="K1361" s="64"/>
      <c r="L1361" s="64"/>
      <c r="M1361" s="64"/>
      <c r="N1361" s="64"/>
      <c r="O1361" s="64">
        <f>O1362+O1370+O1377+O1386</f>
        <v>0</v>
      </c>
      <c r="P1361" s="64">
        <f>P1362+P1370+P1377+P1386</f>
        <v>0</v>
      </c>
      <c r="Q1361" s="64">
        <f>Q1362+Q1370+Q1377+Q1386</f>
        <v>0</v>
      </c>
      <c r="R1361" s="64">
        <f>R1362+R1370+R1377+R1386</f>
        <v>0</v>
      </c>
      <c r="S1361" s="64"/>
      <c r="T1361" s="36"/>
      <c r="XDA1361"/>
      <c r="XDB1361"/>
      <c r="XDC1361"/>
      <c r="XDD1361"/>
      <c r="XDE1361"/>
      <c r="XDF1361"/>
      <c r="XDG1361"/>
      <c r="XDH1361"/>
      <c r="XDI1361"/>
      <c r="XDJ1361"/>
      <c r="XDK1361"/>
      <c r="XDL1361"/>
      <c r="XDM1361"/>
      <c r="XDN1361"/>
      <c r="XDO1361"/>
      <c r="XDP1361"/>
      <c r="XDQ1361"/>
      <c r="XDR1361"/>
      <c r="XDS1361"/>
      <c r="XDT1361"/>
      <c r="XDU1361"/>
      <c r="XDV1361"/>
      <c r="XDW1361"/>
      <c r="XDX1361"/>
      <c r="XDY1361"/>
      <c r="XDZ1361"/>
      <c r="XEA1361"/>
      <c r="XEB1361"/>
      <c r="XEC1361"/>
      <c r="XED1361"/>
      <c r="XEE1361"/>
      <c r="XEF1361"/>
      <c r="XEG1361"/>
      <c r="XEH1361"/>
      <c r="XEI1361"/>
      <c r="XEJ1361"/>
      <c r="XEK1361"/>
      <c r="XEL1361"/>
      <c r="XEM1361"/>
      <c r="XEN1361"/>
      <c r="XEO1361"/>
      <c r="XEP1361"/>
      <c r="XEQ1361"/>
      <c r="XER1361"/>
      <c r="XES1361"/>
      <c r="XET1361"/>
      <c r="XEU1361"/>
      <c r="XEV1361"/>
      <c r="XEW1361"/>
      <c r="XEX1361"/>
      <c r="XEY1361"/>
      <c r="XEZ1361"/>
      <c r="XFA1361"/>
      <c r="XFB1361"/>
      <c r="XFC1361"/>
    </row>
    <row r="1362" spans="1:20 16329:16383" s="38" customFormat="1" ht="29.1" customHeight="1" outlineLevel="5" x14ac:dyDescent="0.25">
      <c r="A1362" s="65" t="s">
        <v>2472</v>
      </c>
      <c r="B1362" s="66" t="s">
        <v>2473</v>
      </c>
      <c r="C1362" s="66"/>
      <c r="D1362" s="98" t="s">
        <v>1873</v>
      </c>
      <c r="E1362" s="98"/>
      <c r="F1362" s="67"/>
      <c r="G1362" s="66"/>
      <c r="H1362" s="68"/>
      <c r="I1362" s="36"/>
      <c r="J1362" s="68"/>
      <c r="K1362" s="69"/>
      <c r="L1362" s="69"/>
      <c r="M1362" s="69"/>
      <c r="N1362" s="69"/>
      <c r="O1362" s="69">
        <f>SUM(O1363:O1369)</f>
        <v>0</v>
      </c>
      <c r="P1362" s="69">
        <f>SUM(P1363:P1369)</f>
        <v>0</v>
      </c>
      <c r="Q1362" s="69">
        <f>SUM(Q1363:Q1369)</f>
        <v>0</v>
      </c>
      <c r="R1362" s="69">
        <f>SUM(R1363:R1369)</f>
        <v>0</v>
      </c>
      <c r="S1362" s="69"/>
      <c r="T1362" s="36"/>
      <c r="XDA1362"/>
      <c r="XDB1362"/>
      <c r="XDC1362"/>
      <c r="XDD1362"/>
      <c r="XDE1362"/>
      <c r="XDF1362"/>
      <c r="XDG1362"/>
      <c r="XDH1362"/>
      <c r="XDI1362"/>
      <c r="XDJ1362"/>
      <c r="XDK1362"/>
      <c r="XDL1362"/>
      <c r="XDM1362"/>
      <c r="XDN1362"/>
      <c r="XDO1362"/>
      <c r="XDP1362"/>
      <c r="XDQ1362"/>
      <c r="XDR1362"/>
      <c r="XDS1362"/>
      <c r="XDT1362"/>
      <c r="XDU1362"/>
      <c r="XDV1362"/>
      <c r="XDW1362"/>
      <c r="XDX1362"/>
      <c r="XDY1362"/>
      <c r="XDZ1362"/>
      <c r="XEA1362"/>
      <c r="XEB1362"/>
      <c r="XEC1362"/>
      <c r="XED1362"/>
      <c r="XEE1362"/>
      <c r="XEF1362"/>
      <c r="XEG1362"/>
      <c r="XEH1362"/>
      <c r="XEI1362"/>
      <c r="XEJ1362"/>
      <c r="XEK1362"/>
      <c r="XEL1362"/>
      <c r="XEM1362"/>
      <c r="XEN1362"/>
      <c r="XEO1362"/>
      <c r="XEP1362"/>
      <c r="XEQ1362"/>
      <c r="XER1362"/>
      <c r="XES1362"/>
      <c r="XET1362"/>
      <c r="XEU1362"/>
      <c r="XEV1362"/>
      <c r="XEW1362"/>
      <c r="XEX1362"/>
      <c r="XEY1362"/>
      <c r="XEZ1362"/>
      <c r="XFA1362"/>
      <c r="XFB1362"/>
      <c r="XFC1362"/>
    </row>
    <row r="1363" spans="1:20 16329:16383" s="38" customFormat="1" ht="29.1" customHeight="1" outlineLevel="6" x14ac:dyDescent="0.25">
      <c r="A1363" s="49" t="s">
        <v>2474</v>
      </c>
      <c r="B1363" s="50"/>
      <c r="C1363" s="50"/>
      <c r="D1363" s="3" t="s">
        <v>2387</v>
      </c>
      <c r="E1363" s="3"/>
      <c r="F1363" s="51"/>
      <c r="G1363" s="50" t="s">
        <v>102</v>
      </c>
      <c r="H1363" s="52">
        <f>1</f>
        <v>1</v>
      </c>
      <c r="I1363" s="36"/>
      <c r="J1363" s="52">
        <v>1</v>
      </c>
      <c r="K1363" s="53">
        <f>0</f>
        <v>0</v>
      </c>
      <c r="L1363" s="53">
        <f>0</f>
        <v>0</v>
      </c>
      <c r="M1363" s="53">
        <f>0</f>
        <v>0</v>
      </c>
      <c r="N1363" s="54">
        <f t="shared" ref="N1363:N1369" si="214">SUM(K1363:M1363)</f>
        <v>0</v>
      </c>
      <c r="O1363" s="54">
        <f t="shared" ref="O1363:O1369" si="215">ROUND((H1363*K1363),2)</f>
        <v>0</v>
      </c>
      <c r="P1363" s="54">
        <f t="shared" ref="P1363:P1369" si="216">ROUND((H1363*L1363),2)</f>
        <v>0</v>
      </c>
      <c r="Q1363" s="54">
        <f t="shared" ref="Q1363:Q1369" si="217">ROUND((H1363*M1363),2)</f>
        <v>0</v>
      </c>
      <c r="R1363" s="54">
        <f t="shared" ref="R1363:R1369" si="218">ROUND((H1363*N1363),2)</f>
        <v>0</v>
      </c>
      <c r="S1363" s="54"/>
      <c r="T1363" s="36"/>
      <c r="XDA1363"/>
      <c r="XDB1363"/>
      <c r="XDC1363"/>
      <c r="XDD1363"/>
      <c r="XDE1363"/>
      <c r="XDF1363"/>
      <c r="XDG1363"/>
      <c r="XDH1363"/>
      <c r="XDI1363"/>
      <c r="XDJ1363"/>
      <c r="XDK1363"/>
      <c r="XDL1363"/>
      <c r="XDM1363"/>
      <c r="XDN1363"/>
      <c r="XDO1363"/>
      <c r="XDP1363"/>
      <c r="XDQ1363"/>
      <c r="XDR1363"/>
      <c r="XDS1363"/>
      <c r="XDT1363"/>
      <c r="XDU1363"/>
      <c r="XDV1363"/>
      <c r="XDW1363"/>
      <c r="XDX1363"/>
      <c r="XDY1363"/>
      <c r="XDZ1363"/>
      <c r="XEA1363"/>
      <c r="XEB1363"/>
      <c r="XEC1363"/>
      <c r="XED1363"/>
      <c r="XEE1363"/>
      <c r="XEF1363"/>
      <c r="XEG1363"/>
      <c r="XEH1363"/>
      <c r="XEI1363"/>
      <c r="XEJ1363"/>
      <c r="XEK1363"/>
      <c r="XEL1363"/>
      <c r="XEM1363"/>
      <c r="XEN1363"/>
      <c r="XEO1363"/>
      <c r="XEP1363"/>
      <c r="XEQ1363"/>
      <c r="XER1363"/>
      <c r="XES1363"/>
      <c r="XET1363"/>
      <c r="XEU1363"/>
      <c r="XEV1363"/>
      <c r="XEW1363"/>
      <c r="XEX1363"/>
      <c r="XEY1363"/>
      <c r="XEZ1363"/>
      <c r="XFA1363"/>
      <c r="XFB1363"/>
      <c r="XFC1363"/>
    </row>
    <row r="1364" spans="1:20 16329:16383" s="38" customFormat="1" ht="29.1" customHeight="1" outlineLevel="6" x14ac:dyDescent="0.25">
      <c r="A1364" s="49" t="s">
        <v>2475</v>
      </c>
      <c r="B1364" s="50"/>
      <c r="C1364" s="50"/>
      <c r="D1364" s="3" t="s">
        <v>1875</v>
      </c>
      <c r="E1364" s="3"/>
      <c r="F1364" s="51"/>
      <c r="G1364" s="50" t="s">
        <v>102</v>
      </c>
      <c r="H1364" s="52">
        <f>1</f>
        <v>1</v>
      </c>
      <c r="I1364" s="36"/>
      <c r="J1364" s="52">
        <v>1</v>
      </c>
      <c r="K1364" s="53">
        <f>0</f>
        <v>0</v>
      </c>
      <c r="L1364" s="53">
        <f>0</f>
        <v>0</v>
      </c>
      <c r="M1364" s="53">
        <f>0</f>
        <v>0</v>
      </c>
      <c r="N1364" s="54">
        <f t="shared" si="214"/>
        <v>0</v>
      </c>
      <c r="O1364" s="54">
        <f t="shared" si="215"/>
        <v>0</v>
      </c>
      <c r="P1364" s="54">
        <f t="shared" si="216"/>
        <v>0</v>
      </c>
      <c r="Q1364" s="54">
        <f t="shared" si="217"/>
        <v>0</v>
      </c>
      <c r="R1364" s="54">
        <f t="shared" si="218"/>
        <v>0</v>
      </c>
      <c r="S1364" s="54"/>
      <c r="T1364" s="36"/>
      <c r="XDA1364"/>
      <c r="XDB1364"/>
      <c r="XDC1364"/>
      <c r="XDD1364"/>
      <c r="XDE1364"/>
      <c r="XDF1364"/>
      <c r="XDG1364"/>
      <c r="XDH1364"/>
      <c r="XDI1364"/>
      <c r="XDJ1364"/>
      <c r="XDK1364"/>
      <c r="XDL1364"/>
      <c r="XDM1364"/>
      <c r="XDN1364"/>
      <c r="XDO1364"/>
      <c r="XDP1364"/>
      <c r="XDQ1364"/>
      <c r="XDR1364"/>
      <c r="XDS1364"/>
      <c r="XDT1364"/>
      <c r="XDU1364"/>
      <c r="XDV1364"/>
      <c r="XDW1364"/>
      <c r="XDX1364"/>
      <c r="XDY1364"/>
      <c r="XDZ1364"/>
      <c r="XEA1364"/>
      <c r="XEB1364"/>
      <c r="XEC1364"/>
      <c r="XED1364"/>
      <c r="XEE1364"/>
      <c r="XEF1364"/>
      <c r="XEG1364"/>
      <c r="XEH1364"/>
      <c r="XEI1364"/>
      <c r="XEJ1364"/>
      <c r="XEK1364"/>
      <c r="XEL1364"/>
      <c r="XEM1364"/>
      <c r="XEN1364"/>
      <c r="XEO1364"/>
      <c r="XEP1364"/>
      <c r="XEQ1364"/>
      <c r="XER1364"/>
      <c r="XES1364"/>
      <c r="XET1364"/>
      <c r="XEU1364"/>
      <c r="XEV1364"/>
      <c r="XEW1364"/>
      <c r="XEX1364"/>
      <c r="XEY1364"/>
      <c r="XEZ1364"/>
      <c r="XFA1364"/>
      <c r="XFB1364"/>
      <c r="XFC1364"/>
    </row>
    <row r="1365" spans="1:20 16329:16383" s="38" customFormat="1" ht="29.1" customHeight="1" outlineLevel="6" x14ac:dyDescent="0.25">
      <c r="A1365" s="49" t="s">
        <v>2476</v>
      </c>
      <c r="B1365" s="50"/>
      <c r="C1365" s="50"/>
      <c r="D1365" s="3" t="s">
        <v>2390</v>
      </c>
      <c r="E1365" s="3"/>
      <c r="F1365" s="51"/>
      <c r="G1365" s="50" t="s">
        <v>102</v>
      </c>
      <c r="H1365" s="52">
        <f>1</f>
        <v>1</v>
      </c>
      <c r="I1365" s="36"/>
      <c r="J1365" s="52">
        <v>1</v>
      </c>
      <c r="K1365" s="53">
        <f>0</f>
        <v>0</v>
      </c>
      <c r="L1365" s="53">
        <f>0</f>
        <v>0</v>
      </c>
      <c r="M1365" s="53">
        <f>0</f>
        <v>0</v>
      </c>
      <c r="N1365" s="54">
        <f t="shared" si="214"/>
        <v>0</v>
      </c>
      <c r="O1365" s="54">
        <f t="shared" si="215"/>
        <v>0</v>
      </c>
      <c r="P1365" s="54">
        <f t="shared" si="216"/>
        <v>0</v>
      </c>
      <c r="Q1365" s="54">
        <f t="shared" si="217"/>
        <v>0</v>
      </c>
      <c r="R1365" s="54">
        <f t="shared" si="218"/>
        <v>0</v>
      </c>
      <c r="S1365" s="54"/>
      <c r="T1365" s="36"/>
      <c r="XDA1365"/>
      <c r="XDB1365"/>
      <c r="XDC1365"/>
      <c r="XDD1365"/>
      <c r="XDE1365"/>
      <c r="XDF1365"/>
      <c r="XDG1365"/>
      <c r="XDH1365"/>
      <c r="XDI1365"/>
      <c r="XDJ1365"/>
      <c r="XDK1365"/>
      <c r="XDL1365"/>
      <c r="XDM1365"/>
      <c r="XDN1365"/>
      <c r="XDO1365"/>
      <c r="XDP1365"/>
      <c r="XDQ1365"/>
      <c r="XDR1365"/>
      <c r="XDS1365"/>
      <c r="XDT1365"/>
      <c r="XDU1365"/>
      <c r="XDV1365"/>
      <c r="XDW1365"/>
      <c r="XDX1365"/>
      <c r="XDY1365"/>
      <c r="XDZ1365"/>
      <c r="XEA1365"/>
      <c r="XEB1365"/>
      <c r="XEC1365"/>
      <c r="XED1365"/>
      <c r="XEE1365"/>
      <c r="XEF1365"/>
      <c r="XEG1365"/>
      <c r="XEH1365"/>
      <c r="XEI1365"/>
      <c r="XEJ1365"/>
      <c r="XEK1365"/>
      <c r="XEL1365"/>
      <c r="XEM1365"/>
      <c r="XEN1365"/>
      <c r="XEO1365"/>
      <c r="XEP1365"/>
      <c r="XEQ1365"/>
      <c r="XER1365"/>
      <c r="XES1365"/>
      <c r="XET1365"/>
      <c r="XEU1365"/>
      <c r="XEV1365"/>
      <c r="XEW1365"/>
      <c r="XEX1365"/>
      <c r="XEY1365"/>
      <c r="XEZ1365"/>
      <c r="XFA1365"/>
      <c r="XFB1365"/>
      <c r="XFC1365"/>
    </row>
    <row r="1366" spans="1:20 16329:16383" s="38" customFormat="1" ht="29.1" customHeight="1" outlineLevel="6" x14ac:dyDescent="0.25">
      <c r="A1366" s="49" t="s">
        <v>2477</v>
      </c>
      <c r="B1366" s="50"/>
      <c r="C1366" s="50"/>
      <c r="D1366" s="3" t="s">
        <v>2392</v>
      </c>
      <c r="E1366" s="3"/>
      <c r="F1366" s="51"/>
      <c r="G1366" s="50" t="s">
        <v>102</v>
      </c>
      <c r="H1366" s="52">
        <f>1</f>
        <v>1</v>
      </c>
      <c r="I1366" s="36"/>
      <c r="J1366" s="52">
        <v>1</v>
      </c>
      <c r="K1366" s="53">
        <f>0</f>
        <v>0</v>
      </c>
      <c r="L1366" s="53">
        <f>0</f>
        <v>0</v>
      </c>
      <c r="M1366" s="53">
        <f>0</f>
        <v>0</v>
      </c>
      <c r="N1366" s="54">
        <f t="shared" si="214"/>
        <v>0</v>
      </c>
      <c r="O1366" s="54">
        <f t="shared" si="215"/>
        <v>0</v>
      </c>
      <c r="P1366" s="54">
        <f t="shared" si="216"/>
        <v>0</v>
      </c>
      <c r="Q1366" s="54">
        <f t="shared" si="217"/>
        <v>0</v>
      </c>
      <c r="R1366" s="54">
        <f t="shared" si="218"/>
        <v>0</v>
      </c>
      <c r="S1366" s="54"/>
      <c r="T1366" s="36"/>
      <c r="XDA1366"/>
      <c r="XDB1366"/>
      <c r="XDC1366"/>
      <c r="XDD1366"/>
      <c r="XDE1366"/>
      <c r="XDF1366"/>
      <c r="XDG1366"/>
      <c r="XDH1366"/>
      <c r="XDI1366"/>
      <c r="XDJ1366"/>
      <c r="XDK1366"/>
      <c r="XDL1366"/>
      <c r="XDM1366"/>
      <c r="XDN1366"/>
      <c r="XDO1366"/>
      <c r="XDP1366"/>
      <c r="XDQ1366"/>
      <c r="XDR1366"/>
      <c r="XDS1366"/>
      <c r="XDT1366"/>
      <c r="XDU1366"/>
      <c r="XDV1366"/>
      <c r="XDW1366"/>
      <c r="XDX1366"/>
      <c r="XDY1366"/>
      <c r="XDZ1366"/>
      <c r="XEA1366"/>
      <c r="XEB1366"/>
      <c r="XEC1366"/>
      <c r="XED1366"/>
      <c r="XEE1366"/>
      <c r="XEF1366"/>
      <c r="XEG1366"/>
      <c r="XEH1366"/>
      <c r="XEI1366"/>
      <c r="XEJ1366"/>
      <c r="XEK1366"/>
      <c r="XEL1366"/>
      <c r="XEM1366"/>
      <c r="XEN1366"/>
      <c r="XEO1366"/>
      <c r="XEP1366"/>
      <c r="XEQ1366"/>
      <c r="XER1366"/>
      <c r="XES1366"/>
      <c r="XET1366"/>
      <c r="XEU1366"/>
      <c r="XEV1366"/>
      <c r="XEW1366"/>
      <c r="XEX1366"/>
      <c r="XEY1366"/>
      <c r="XEZ1366"/>
      <c r="XFA1366"/>
      <c r="XFB1366"/>
      <c r="XFC1366"/>
    </row>
    <row r="1367" spans="1:20 16329:16383" s="38" customFormat="1" ht="29.1" customHeight="1" outlineLevel="6" x14ac:dyDescent="0.25">
      <c r="A1367" s="49" t="s">
        <v>2478</v>
      </c>
      <c r="B1367" s="50"/>
      <c r="C1367" s="50"/>
      <c r="D1367" s="3" t="s">
        <v>2394</v>
      </c>
      <c r="E1367" s="3"/>
      <c r="F1367" s="51"/>
      <c r="G1367" s="50" t="s">
        <v>102</v>
      </c>
      <c r="H1367" s="52">
        <f>1</f>
        <v>1</v>
      </c>
      <c r="I1367" s="36"/>
      <c r="J1367" s="52">
        <v>1</v>
      </c>
      <c r="K1367" s="53">
        <f>0</f>
        <v>0</v>
      </c>
      <c r="L1367" s="53">
        <f>0</f>
        <v>0</v>
      </c>
      <c r="M1367" s="53">
        <f>0</f>
        <v>0</v>
      </c>
      <c r="N1367" s="54">
        <f t="shared" si="214"/>
        <v>0</v>
      </c>
      <c r="O1367" s="54">
        <f t="shared" si="215"/>
        <v>0</v>
      </c>
      <c r="P1367" s="54">
        <f t="shared" si="216"/>
        <v>0</v>
      </c>
      <c r="Q1367" s="54">
        <f t="shared" si="217"/>
        <v>0</v>
      </c>
      <c r="R1367" s="54">
        <f t="shared" si="218"/>
        <v>0</v>
      </c>
      <c r="S1367" s="54"/>
      <c r="T1367" s="36"/>
      <c r="XDA1367"/>
      <c r="XDB1367"/>
      <c r="XDC1367"/>
      <c r="XDD1367"/>
      <c r="XDE1367"/>
      <c r="XDF1367"/>
      <c r="XDG1367"/>
      <c r="XDH1367"/>
      <c r="XDI1367"/>
      <c r="XDJ1367"/>
      <c r="XDK1367"/>
      <c r="XDL1367"/>
      <c r="XDM1367"/>
      <c r="XDN1367"/>
      <c r="XDO1367"/>
      <c r="XDP1367"/>
      <c r="XDQ1367"/>
      <c r="XDR1367"/>
      <c r="XDS1367"/>
      <c r="XDT1367"/>
      <c r="XDU1367"/>
      <c r="XDV1367"/>
      <c r="XDW1367"/>
      <c r="XDX1367"/>
      <c r="XDY1367"/>
      <c r="XDZ1367"/>
      <c r="XEA1367"/>
      <c r="XEB1367"/>
      <c r="XEC1367"/>
      <c r="XED1367"/>
      <c r="XEE1367"/>
      <c r="XEF1367"/>
      <c r="XEG1367"/>
      <c r="XEH1367"/>
      <c r="XEI1367"/>
      <c r="XEJ1367"/>
      <c r="XEK1367"/>
      <c r="XEL1367"/>
      <c r="XEM1367"/>
      <c r="XEN1367"/>
      <c r="XEO1367"/>
      <c r="XEP1367"/>
      <c r="XEQ1367"/>
      <c r="XER1367"/>
      <c r="XES1367"/>
      <c r="XET1367"/>
      <c r="XEU1367"/>
      <c r="XEV1367"/>
      <c r="XEW1367"/>
      <c r="XEX1367"/>
      <c r="XEY1367"/>
      <c r="XEZ1367"/>
      <c r="XFA1367"/>
      <c r="XFB1367"/>
      <c r="XFC1367"/>
    </row>
    <row r="1368" spans="1:20 16329:16383" s="38" customFormat="1" ht="29.1" customHeight="1" outlineLevel="6" x14ac:dyDescent="0.25">
      <c r="A1368" s="49" t="s">
        <v>2479</v>
      </c>
      <c r="B1368" s="50"/>
      <c r="C1368" s="50"/>
      <c r="D1368" s="3" t="s">
        <v>2194</v>
      </c>
      <c r="E1368" s="3"/>
      <c r="F1368" s="51"/>
      <c r="G1368" s="50" t="s">
        <v>102</v>
      </c>
      <c r="H1368" s="52">
        <f>1</f>
        <v>1</v>
      </c>
      <c r="I1368" s="36"/>
      <c r="J1368" s="52">
        <v>1</v>
      </c>
      <c r="K1368" s="53">
        <f>0</f>
        <v>0</v>
      </c>
      <c r="L1368" s="53">
        <f>0</f>
        <v>0</v>
      </c>
      <c r="M1368" s="53">
        <f>0</f>
        <v>0</v>
      </c>
      <c r="N1368" s="54">
        <f t="shared" si="214"/>
        <v>0</v>
      </c>
      <c r="O1368" s="54">
        <f t="shared" si="215"/>
        <v>0</v>
      </c>
      <c r="P1368" s="54">
        <f t="shared" si="216"/>
        <v>0</v>
      </c>
      <c r="Q1368" s="54">
        <f t="shared" si="217"/>
        <v>0</v>
      </c>
      <c r="R1368" s="54">
        <f t="shared" si="218"/>
        <v>0</v>
      </c>
      <c r="S1368" s="54"/>
      <c r="T1368" s="36"/>
      <c r="XDA1368"/>
      <c r="XDB1368"/>
      <c r="XDC1368"/>
      <c r="XDD1368"/>
      <c r="XDE1368"/>
      <c r="XDF1368"/>
      <c r="XDG1368"/>
      <c r="XDH1368"/>
      <c r="XDI1368"/>
      <c r="XDJ1368"/>
      <c r="XDK1368"/>
      <c r="XDL1368"/>
      <c r="XDM1368"/>
      <c r="XDN1368"/>
      <c r="XDO1368"/>
      <c r="XDP1368"/>
      <c r="XDQ1368"/>
      <c r="XDR1368"/>
      <c r="XDS1368"/>
      <c r="XDT1368"/>
      <c r="XDU1368"/>
      <c r="XDV1368"/>
      <c r="XDW1368"/>
      <c r="XDX1368"/>
      <c r="XDY1368"/>
      <c r="XDZ1368"/>
      <c r="XEA1368"/>
      <c r="XEB1368"/>
      <c r="XEC1368"/>
      <c r="XED1368"/>
      <c r="XEE1368"/>
      <c r="XEF1368"/>
      <c r="XEG1368"/>
      <c r="XEH1368"/>
      <c r="XEI1368"/>
      <c r="XEJ1368"/>
      <c r="XEK1368"/>
      <c r="XEL1368"/>
      <c r="XEM1368"/>
      <c r="XEN1368"/>
      <c r="XEO1368"/>
      <c r="XEP1368"/>
      <c r="XEQ1368"/>
      <c r="XER1368"/>
      <c r="XES1368"/>
      <c r="XET1368"/>
      <c r="XEU1368"/>
      <c r="XEV1368"/>
      <c r="XEW1368"/>
      <c r="XEX1368"/>
      <c r="XEY1368"/>
      <c r="XEZ1368"/>
      <c r="XFA1368"/>
      <c r="XFB1368"/>
      <c r="XFC1368"/>
    </row>
    <row r="1369" spans="1:20 16329:16383" s="38" customFormat="1" ht="29.1" customHeight="1" outlineLevel="6" x14ac:dyDescent="0.25">
      <c r="A1369" s="49" t="s">
        <v>2480</v>
      </c>
      <c r="B1369" s="50"/>
      <c r="C1369" s="50"/>
      <c r="D1369" s="3" t="s">
        <v>2206</v>
      </c>
      <c r="E1369" s="3"/>
      <c r="F1369" s="51"/>
      <c r="G1369" s="50" t="s">
        <v>194</v>
      </c>
      <c r="H1369" s="52">
        <f>1</f>
        <v>1</v>
      </c>
      <c r="I1369" s="36"/>
      <c r="J1369" s="52">
        <v>1</v>
      </c>
      <c r="K1369" s="53">
        <f>0</f>
        <v>0</v>
      </c>
      <c r="L1369" s="53">
        <f>0</f>
        <v>0</v>
      </c>
      <c r="M1369" s="53">
        <f>0</f>
        <v>0</v>
      </c>
      <c r="N1369" s="54">
        <f t="shared" si="214"/>
        <v>0</v>
      </c>
      <c r="O1369" s="54">
        <f t="shared" si="215"/>
        <v>0</v>
      </c>
      <c r="P1369" s="54">
        <f t="shared" si="216"/>
        <v>0</v>
      </c>
      <c r="Q1369" s="54">
        <f t="shared" si="217"/>
        <v>0</v>
      </c>
      <c r="R1369" s="54">
        <f t="shared" si="218"/>
        <v>0</v>
      </c>
      <c r="S1369" s="54"/>
      <c r="T1369" s="36"/>
      <c r="XDA1369"/>
      <c r="XDB1369"/>
      <c r="XDC1369"/>
      <c r="XDD1369"/>
      <c r="XDE1369"/>
      <c r="XDF1369"/>
      <c r="XDG1369"/>
      <c r="XDH1369"/>
      <c r="XDI1369"/>
      <c r="XDJ1369"/>
      <c r="XDK1369"/>
      <c r="XDL1369"/>
      <c r="XDM1369"/>
      <c r="XDN1369"/>
      <c r="XDO1369"/>
      <c r="XDP1369"/>
      <c r="XDQ1369"/>
      <c r="XDR1369"/>
      <c r="XDS1369"/>
      <c r="XDT1369"/>
      <c r="XDU1369"/>
      <c r="XDV1369"/>
      <c r="XDW1369"/>
      <c r="XDX1369"/>
      <c r="XDY1369"/>
      <c r="XDZ1369"/>
      <c r="XEA1369"/>
      <c r="XEB1369"/>
      <c r="XEC1369"/>
      <c r="XED1369"/>
      <c r="XEE1369"/>
      <c r="XEF1369"/>
      <c r="XEG1369"/>
      <c r="XEH1369"/>
      <c r="XEI1369"/>
      <c r="XEJ1369"/>
      <c r="XEK1369"/>
      <c r="XEL1369"/>
      <c r="XEM1369"/>
      <c r="XEN1369"/>
      <c r="XEO1369"/>
      <c r="XEP1369"/>
      <c r="XEQ1369"/>
      <c r="XER1369"/>
      <c r="XES1369"/>
      <c r="XET1369"/>
      <c r="XEU1369"/>
      <c r="XEV1369"/>
      <c r="XEW1369"/>
      <c r="XEX1369"/>
      <c r="XEY1369"/>
      <c r="XEZ1369"/>
      <c r="XFA1369"/>
      <c r="XFB1369"/>
      <c r="XFC1369"/>
    </row>
    <row r="1370" spans="1:20 16329:16383" s="38" customFormat="1" ht="29.1" customHeight="1" outlineLevel="5" x14ac:dyDescent="0.25">
      <c r="A1370" s="65" t="s">
        <v>2481</v>
      </c>
      <c r="B1370" s="66" t="s">
        <v>2482</v>
      </c>
      <c r="C1370" s="66"/>
      <c r="D1370" s="98" t="s">
        <v>344</v>
      </c>
      <c r="E1370" s="98"/>
      <c r="F1370" s="67"/>
      <c r="G1370" s="66"/>
      <c r="H1370" s="68"/>
      <c r="I1370" s="36"/>
      <c r="J1370" s="68"/>
      <c r="K1370" s="69"/>
      <c r="L1370" s="69"/>
      <c r="M1370" s="69"/>
      <c r="N1370" s="69"/>
      <c r="O1370" s="69">
        <f>SUM(O1371:O1376)</f>
        <v>0</v>
      </c>
      <c r="P1370" s="69">
        <f>SUM(P1371:P1376)</f>
        <v>0</v>
      </c>
      <c r="Q1370" s="69">
        <f>SUM(Q1371:Q1376)</f>
        <v>0</v>
      </c>
      <c r="R1370" s="69">
        <f>SUM(R1371:R1376)</f>
        <v>0</v>
      </c>
      <c r="S1370" s="69"/>
      <c r="T1370" s="36"/>
      <c r="XDA1370"/>
      <c r="XDB1370"/>
      <c r="XDC1370"/>
      <c r="XDD1370"/>
      <c r="XDE1370"/>
      <c r="XDF1370"/>
      <c r="XDG1370"/>
      <c r="XDH1370"/>
      <c r="XDI1370"/>
      <c r="XDJ1370"/>
      <c r="XDK1370"/>
      <c r="XDL1370"/>
      <c r="XDM1370"/>
      <c r="XDN1370"/>
      <c r="XDO1370"/>
      <c r="XDP1370"/>
      <c r="XDQ1370"/>
      <c r="XDR1370"/>
      <c r="XDS1370"/>
      <c r="XDT1370"/>
      <c r="XDU1370"/>
      <c r="XDV1370"/>
      <c r="XDW1370"/>
      <c r="XDX1370"/>
      <c r="XDY1370"/>
      <c r="XDZ1370"/>
      <c r="XEA1370"/>
      <c r="XEB1370"/>
      <c r="XEC1370"/>
      <c r="XED1370"/>
      <c r="XEE1370"/>
      <c r="XEF1370"/>
      <c r="XEG1370"/>
      <c r="XEH1370"/>
      <c r="XEI1370"/>
      <c r="XEJ1370"/>
      <c r="XEK1370"/>
      <c r="XEL1370"/>
      <c r="XEM1370"/>
      <c r="XEN1370"/>
      <c r="XEO1370"/>
      <c r="XEP1370"/>
      <c r="XEQ1370"/>
      <c r="XER1370"/>
      <c r="XES1370"/>
      <c r="XET1370"/>
      <c r="XEU1370"/>
      <c r="XEV1370"/>
      <c r="XEW1370"/>
      <c r="XEX1370"/>
      <c r="XEY1370"/>
      <c r="XEZ1370"/>
      <c r="XFA1370"/>
      <c r="XFB1370"/>
      <c r="XFC1370"/>
    </row>
    <row r="1371" spans="1:20 16329:16383" s="38" customFormat="1" ht="29.1" customHeight="1" outlineLevel="6" x14ac:dyDescent="0.25">
      <c r="A1371" s="49" t="s">
        <v>2483</v>
      </c>
      <c r="B1371" s="50"/>
      <c r="C1371" s="50"/>
      <c r="D1371" s="3" t="s">
        <v>1886</v>
      </c>
      <c r="E1371" s="3"/>
      <c r="F1371" s="51"/>
      <c r="G1371" s="50" t="s">
        <v>102</v>
      </c>
      <c r="H1371" s="52">
        <f>1</f>
        <v>1</v>
      </c>
      <c r="I1371" s="36"/>
      <c r="J1371" s="52">
        <v>1</v>
      </c>
      <c r="K1371" s="53">
        <f>0</f>
        <v>0</v>
      </c>
      <c r="L1371" s="53">
        <f>0</f>
        <v>0</v>
      </c>
      <c r="M1371" s="53">
        <f>0</f>
        <v>0</v>
      </c>
      <c r="N1371" s="54">
        <f t="shared" ref="N1371:N1376" si="219">SUM(K1371:M1371)</f>
        <v>0</v>
      </c>
      <c r="O1371" s="54">
        <f t="shared" ref="O1371:O1376" si="220">ROUND((H1371*K1371),2)</f>
        <v>0</v>
      </c>
      <c r="P1371" s="54">
        <f t="shared" ref="P1371:P1376" si="221">ROUND((H1371*L1371),2)</f>
        <v>0</v>
      </c>
      <c r="Q1371" s="54">
        <f t="shared" ref="Q1371:Q1376" si="222">ROUND((H1371*M1371),2)</f>
        <v>0</v>
      </c>
      <c r="R1371" s="54">
        <f t="shared" ref="R1371:R1376" si="223">ROUND((H1371*N1371),2)</f>
        <v>0</v>
      </c>
      <c r="S1371" s="54"/>
      <c r="T1371" s="36"/>
      <c r="XDA1371"/>
      <c r="XDB1371"/>
      <c r="XDC1371"/>
      <c r="XDD1371"/>
      <c r="XDE1371"/>
      <c r="XDF1371"/>
      <c r="XDG1371"/>
      <c r="XDH1371"/>
      <c r="XDI1371"/>
      <c r="XDJ1371"/>
      <c r="XDK1371"/>
      <c r="XDL1371"/>
      <c r="XDM1371"/>
      <c r="XDN1371"/>
      <c r="XDO1371"/>
      <c r="XDP1371"/>
      <c r="XDQ1371"/>
      <c r="XDR1371"/>
      <c r="XDS1371"/>
      <c r="XDT1371"/>
      <c r="XDU1371"/>
      <c r="XDV1371"/>
      <c r="XDW1371"/>
      <c r="XDX1371"/>
      <c r="XDY1371"/>
      <c r="XDZ1371"/>
      <c r="XEA1371"/>
      <c r="XEB1371"/>
      <c r="XEC1371"/>
      <c r="XED1371"/>
      <c r="XEE1371"/>
      <c r="XEF1371"/>
      <c r="XEG1371"/>
      <c r="XEH1371"/>
      <c r="XEI1371"/>
      <c r="XEJ1371"/>
      <c r="XEK1371"/>
      <c r="XEL1371"/>
      <c r="XEM1371"/>
      <c r="XEN1371"/>
      <c r="XEO1371"/>
      <c r="XEP1371"/>
      <c r="XEQ1371"/>
      <c r="XER1371"/>
      <c r="XES1371"/>
      <c r="XET1371"/>
      <c r="XEU1371"/>
      <c r="XEV1371"/>
      <c r="XEW1371"/>
      <c r="XEX1371"/>
      <c r="XEY1371"/>
      <c r="XEZ1371"/>
      <c r="XFA1371"/>
      <c r="XFB1371"/>
      <c r="XFC1371"/>
    </row>
    <row r="1372" spans="1:20 16329:16383" s="38" customFormat="1" ht="29.1" customHeight="1" outlineLevel="6" x14ac:dyDescent="0.25">
      <c r="A1372" s="49" t="s">
        <v>2484</v>
      </c>
      <c r="B1372" s="50"/>
      <c r="C1372" s="50"/>
      <c r="D1372" s="3" t="s">
        <v>1890</v>
      </c>
      <c r="E1372" s="3"/>
      <c r="F1372" s="51"/>
      <c r="G1372" s="50" t="s">
        <v>102</v>
      </c>
      <c r="H1372" s="52">
        <f>1</f>
        <v>1</v>
      </c>
      <c r="I1372" s="36"/>
      <c r="J1372" s="52">
        <v>1</v>
      </c>
      <c r="K1372" s="53">
        <f>0</f>
        <v>0</v>
      </c>
      <c r="L1372" s="53">
        <f>0</f>
        <v>0</v>
      </c>
      <c r="M1372" s="53">
        <f>0</f>
        <v>0</v>
      </c>
      <c r="N1372" s="54">
        <f t="shared" si="219"/>
        <v>0</v>
      </c>
      <c r="O1372" s="54">
        <f t="shared" si="220"/>
        <v>0</v>
      </c>
      <c r="P1372" s="54">
        <f t="shared" si="221"/>
        <v>0</v>
      </c>
      <c r="Q1372" s="54">
        <f t="shared" si="222"/>
        <v>0</v>
      </c>
      <c r="R1372" s="54">
        <f t="shared" si="223"/>
        <v>0</v>
      </c>
      <c r="S1372" s="54"/>
      <c r="T1372" s="36"/>
      <c r="XDA1372"/>
      <c r="XDB1372"/>
      <c r="XDC1372"/>
      <c r="XDD1372"/>
      <c r="XDE1372"/>
      <c r="XDF1372"/>
      <c r="XDG1372"/>
      <c r="XDH1372"/>
      <c r="XDI1372"/>
      <c r="XDJ1372"/>
      <c r="XDK1372"/>
      <c r="XDL1372"/>
      <c r="XDM1372"/>
      <c r="XDN1372"/>
      <c r="XDO1372"/>
      <c r="XDP1372"/>
      <c r="XDQ1372"/>
      <c r="XDR1372"/>
      <c r="XDS1372"/>
      <c r="XDT1372"/>
      <c r="XDU1372"/>
      <c r="XDV1372"/>
      <c r="XDW1372"/>
      <c r="XDX1372"/>
      <c r="XDY1372"/>
      <c r="XDZ1372"/>
      <c r="XEA1372"/>
      <c r="XEB1372"/>
      <c r="XEC1372"/>
      <c r="XED1372"/>
      <c r="XEE1372"/>
      <c r="XEF1372"/>
      <c r="XEG1372"/>
      <c r="XEH1372"/>
      <c r="XEI1372"/>
      <c r="XEJ1372"/>
      <c r="XEK1372"/>
      <c r="XEL1372"/>
      <c r="XEM1372"/>
      <c r="XEN1372"/>
      <c r="XEO1372"/>
      <c r="XEP1372"/>
      <c r="XEQ1372"/>
      <c r="XER1372"/>
      <c r="XES1372"/>
      <c r="XET1372"/>
      <c r="XEU1372"/>
      <c r="XEV1372"/>
      <c r="XEW1372"/>
      <c r="XEX1372"/>
      <c r="XEY1372"/>
      <c r="XEZ1372"/>
      <c r="XFA1372"/>
      <c r="XFB1372"/>
      <c r="XFC1372"/>
    </row>
    <row r="1373" spans="1:20 16329:16383" s="38" customFormat="1" ht="29.1" customHeight="1" outlineLevel="6" x14ac:dyDescent="0.25">
      <c r="A1373" s="49" t="s">
        <v>2485</v>
      </c>
      <c r="B1373" s="50"/>
      <c r="C1373" s="50"/>
      <c r="D1373" s="3" t="s">
        <v>1888</v>
      </c>
      <c r="E1373" s="3"/>
      <c r="F1373" s="51"/>
      <c r="G1373" s="50" t="s">
        <v>102</v>
      </c>
      <c r="H1373" s="52">
        <f>1</f>
        <v>1</v>
      </c>
      <c r="I1373" s="36"/>
      <c r="J1373" s="52">
        <v>1</v>
      </c>
      <c r="K1373" s="53">
        <f>0</f>
        <v>0</v>
      </c>
      <c r="L1373" s="53">
        <f>0</f>
        <v>0</v>
      </c>
      <c r="M1373" s="53">
        <f>0</f>
        <v>0</v>
      </c>
      <c r="N1373" s="54">
        <f t="shared" si="219"/>
        <v>0</v>
      </c>
      <c r="O1373" s="54">
        <f t="shared" si="220"/>
        <v>0</v>
      </c>
      <c r="P1373" s="54">
        <f t="shared" si="221"/>
        <v>0</v>
      </c>
      <c r="Q1373" s="54">
        <f t="shared" si="222"/>
        <v>0</v>
      </c>
      <c r="R1373" s="54">
        <f t="shared" si="223"/>
        <v>0</v>
      </c>
      <c r="S1373" s="54"/>
      <c r="T1373" s="36"/>
      <c r="XDA1373"/>
      <c r="XDB1373"/>
      <c r="XDC1373"/>
      <c r="XDD1373"/>
      <c r="XDE1373"/>
      <c r="XDF1373"/>
      <c r="XDG1373"/>
      <c r="XDH1373"/>
      <c r="XDI1373"/>
      <c r="XDJ1373"/>
      <c r="XDK1373"/>
      <c r="XDL1373"/>
      <c r="XDM1373"/>
      <c r="XDN1373"/>
      <c r="XDO1373"/>
      <c r="XDP1373"/>
      <c r="XDQ1373"/>
      <c r="XDR1373"/>
      <c r="XDS1373"/>
      <c r="XDT1373"/>
      <c r="XDU1373"/>
      <c r="XDV1373"/>
      <c r="XDW1373"/>
      <c r="XDX1373"/>
      <c r="XDY1373"/>
      <c r="XDZ1373"/>
      <c r="XEA1373"/>
      <c r="XEB1373"/>
      <c r="XEC1373"/>
      <c r="XED1373"/>
      <c r="XEE1373"/>
      <c r="XEF1373"/>
      <c r="XEG1373"/>
      <c r="XEH1373"/>
      <c r="XEI1373"/>
      <c r="XEJ1373"/>
      <c r="XEK1373"/>
      <c r="XEL1373"/>
      <c r="XEM1373"/>
      <c r="XEN1373"/>
      <c r="XEO1373"/>
      <c r="XEP1373"/>
      <c r="XEQ1373"/>
      <c r="XER1373"/>
      <c r="XES1373"/>
      <c r="XET1373"/>
      <c r="XEU1373"/>
      <c r="XEV1373"/>
      <c r="XEW1373"/>
      <c r="XEX1373"/>
      <c r="XEY1373"/>
      <c r="XEZ1373"/>
      <c r="XFA1373"/>
      <c r="XFB1373"/>
      <c r="XFC1373"/>
    </row>
    <row r="1374" spans="1:20 16329:16383" s="38" customFormat="1" ht="29.1" customHeight="1" outlineLevel="6" x14ac:dyDescent="0.25">
      <c r="A1374" s="49" t="s">
        <v>2486</v>
      </c>
      <c r="B1374" s="50"/>
      <c r="C1374" s="50"/>
      <c r="D1374" s="3" t="s">
        <v>2403</v>
      </c>
      <c r="E1374" s="3"/>
      <c r="F1374" s="51"/>
      <c r="G1374" s="50" t="s">
        <v>102</v>
      </c>
      <c r="H1374" s="52">
        <f>1</f>
        <v>1</v>
      </c>
      <c r="I1374" s="36"/>
      <c r="J1374" s="52">
        <v>1</v>
      </c>
      <c r="K1374" s="53">
        <f>0</f>
        <v>0</v>
      </c>
      <c r="L1374" s="53">
        <f>0</f>
        <v>0</v>
      </c>
      <c r="M1374" s="53">
        <f>0</f>
        <v>0</v>
      </c>
      <c r="N1374" s="54">
        <f t="shared" si="219"/>
        <v>0</v>
      </c>
      <c r="O1374" s="54">
        <f t="shared" si="220"/>
        <v>0</v>
      </c>
      <c r="P1374" s="54">
        <f t="shared" si="221"/>
        <v>0</v>
      </c>
      <c r="Q1374" s="54">
        <f t="shared" si="222"/>
        <v>0</v>
      </c>
      <c r="R1374" s="54">
        <f t="shared" si="223"/>
        <v>0</v>
      </c>
      <c r="S1374" s="54"/>
      <c r="T1374" s="36"/>
      <c r="XDA1374"/>
      <c r="XDB1374"/>
      <c r="XDC1374"/>
      <c r="XDD1374"/>
      <c r="XDE1374"/>
      <c r="XDF1374"/>
      <c r="XDG1374"/>
      <c r="XDH1374"/>
      <c r="XDI1374"/>
      <c r="XDJ1374"/>
      <c r="XDK1374"/>
      <c r="XDL1374"/>
      <c r="XDM1374"/>
      <c r="XDN1374"/>
      <c r="XDO1374"/>
      <c r="XDP1374"/>
      <c r="XDQ1374"/>
      <c r="XDR1374"/>
      <c r="XDS1374"/>
      <c r="XDT1374"/>
      <c r="XDU1374"/>
      <c r="XDV1374"/>
      <c r="XDW1374"/>
      <c r="XDX1374"/>
      <c r="XDY1374"/>
      <c r="XDZ1374"/>
      <c r="XEA1374"/>
      <c r="XEB1374"/>
      <c r="XEC1374"/>
      <c r="XED1374"/>
      <c r="XEE1374"/>
      <c r="XEF1374"/>
      <c r="XEG1374"/>
      <c r="XEH1374"/>
      <c r="XEI1374"/>
      <c r="XEJ1374"/>
      <c r="XEK1374"/>
      <c r="XEL1374"/>
      <c r="XEM1374"/>
      <c r="XEN1374"/>
      <c r="XEO1374"/>
      <c r="XEP1374"/>
      <c r="XEQ1374"/>
      <c r="XER1374"/>
      <c r="XES1374"/>
      <c r="XET1374"/>
      <c r="XEU1374"/>
      <c r="XEV1374"/>
      <c r="XEW1374"/>
      <c r="XEX1374"/>
      <c r="XEY1374"/>
      <c r="XEZ1374"/>
      <c r="XFA1374"/>
      <c r="XFB1374"/>
      <c r="XFC1374"/>
    </row>
    <row r="1375" spans="1:20 16329:16383" s="38" customFormat="1" ht="29.1" customHeight="1" outlineLevel="6" x14ac:dyDescent="0.25">
      <c r="A1375" s="49" t="s">
        <v>2487</v>
      </c>
      <c r="B1375" s="50"/>
      <c r="C1375" s="50"/>
      <c r="D1375" s="3" t="s">
        <v>2405</v>
      </c>
      <c r="E1375" s="3"/>
      <c r="F1375" s="51"/>
      <c r="G1375" s="50" t="s">
        <v>102</v>
      </c>
      <c r="H1375" s="52">
        <f>1</f>
        <v>1</v>
      </c>
      <c r="I1375" s="36"/>
      <c r="J1375" s="52">
        <v>1</v>
      </c>
      <c r="K1375" s="53">
        <f>0</f>
        <v>0</v>
      </c>
      <c r="L1375" s="53">
        <f>0</f>
        <v>0</v>
      </c>
      <c r="M1375" s="53">
        <f>0</f>
        <v>0</v>
      </c>
      <c r="N1375" s="54">
        <f t="shared" si="219"/>
        <v>0</v>
      </c>
      <c r="O1375" s="54">
        <f t="shared" si="220"/>
        <v>0</v>
      </c>
      <c r="P1375" s="54">
        <f t="shared" si="221"/>
        <v>0</v>
      </c>
      <c r="Q1375" s="54">
        <f t="shared" si="222"/>
        <v>0</v>
      </c>
      <c r="R1375" s="54">
        <f t="shared" si="223"/>
        <v>0</v>
      </c>
      <c r="S1375" s="54"/>
      <c r="T1375" s="36"/>
      <c r="XDA1375"/>
      <c r="XDB1375"/>
      <c r="XDC1375"/>
      <c r="XDD1375"/>
      <c r="XDE1375"/>
      <c r="XDF1375"/>
      <c r="XDG1375"/>
      <c r="XDH1375"/>
      <c r="XDI1375"/>
      <c r="XDJ1375"/>
      <c r="XDK1375"/>
      <c r="XDL1375"/>
      <c r="XDM1375"/>
      <c r="XDN1375"/>
      <c r="XDO1375"/>
      <c r="XDP1375"/>
      <c r="XDQ1375"/>
      <c r="XDR1375"/>
      <c r="XDS1375"/>
      <c r="XDT1375"/>
      <c r="XDU1375"/>
      <c r="XDV1375"/>
      <c r="XDW1375"/>
      <c r="XDX1375"/>
      <c r="XDY1375"/>
      <c r="XDZ1375"/>
      <c r="XEA1375"/>
      <c r="XEB1375"/>
      <c r="XEC1375"/>
      <c r="XED1375"/>
      <c r="XEE1375"/>
      <c r="XEF1375"/>
      <c r="XEG1375"/>
      <c r="XEH1375"/>
      <c r="XEI1375"/>
      <c r="XEJ1375"/>
      <c r="XEK1375"/>
      <c r="XEL1375"/>
      <c r="XEM1375"/>
      <c r="XEN1375"/>
      <c r="XEO1375"/>
      <c r="XEP1375"/>
      <c r="XEQ1375"/>
      <c r="XER1375"/>
      <c r="XES1375"/>
      <c r="XET1375"/>
      <c r="XEU1375"/>
      <c r="XEV1375"/>
      <c r="XEW1375"/>
      <c r="XEX1375"/>
      <c r="XEY1375"/>
      <c r="XEZ1375"/>
      <c r="XFA1375"/>
      <c r="XFB1375"/>
      <c r="XFC1375"/>
    </row>
    <row r="1376" spans="1:20 16329:16383" s="38" customFormat="1" ht="29.1" customHeight="1" outlineLevel="6" x14ac:dyDescent="0.25">
      <c r="A1376" s="49" t="s">
        <v>2488</v>
      </c>
      <c r="B1376" s="50"/>
      <c r="C1376" s="50"/>
      <c r="D1376" s="3" t="s">
        <v>2407</v>
      </c>
      <c r="E1376" s="3"/>
      <c r="F1376" s="51" t="s">
        <v>1960</v>
      </c>
      <c r="G1376" s="50" t="s">
        <v>134</v>
      </c>
      <c r="H1376" s="52">
        <f>1</f>
        <v>1</v>
      </c>
      <c r="I1376" s="36"/>
      <c r="J1376" s="52">
        <v>1</v>
      </c>
      <c r="K1376" s="53">
        <f>0</f>
        <v>0</v>
      </c>
      <c r="L1376" s="53">
        <f>0</f>
        <v>0</v>
      </c>
      <c r="M1376" s="53">
        <f>0</f>
        <v>0</v>
      </c>
      <c r="N1376" s="54">
        <f t="shared" si="219"/>
        <v>0</v>
      </c>
      <c r="O1376" s="54">
        <f t="shared" si="220"/>
        <v>0</v>
      </c>
      <c r="P1376" s="54">
        <f t="shared" si="221"/>
        <v>0</v>
      </c>
      <c r="Q1376" s="54">
        <f t="shared" si="222"/>
        <v>0</v>
      </c>
      <c r="R1376" s="54">
        <f t="shared" si="223"/>
        <v>0</v>
      </c>
      <c r="S1376" s="54"/>
      <c r="T1376" s="36"/>
      <c r="XDA1376"/>
      <c r="XDB1376"/>
      <c r="XDC1376"/>
      <c r="XDD1376"/>
      <c r="XDE1376"/>
      <c r="XDF1376"/>
      <c r="XDG1376"/>
      <c r="XDH1376"/>
      <c r="XDI1376"/>
      <c r="XDJ1376"/>
      <c r="XDK1376"/>
      <c r="XDL1376"/>
      <c r="XDM1376"/>
      <c r="XDN1376"/>
      <c r="XDO1376"/>
      <c r="XDP1376"/>
      <c r="XDQ1376"/>
      <c r="XDR1376"/>
      <c r="XDS1376"/>
      <c r="XDT1376"/>
      <c r="XDU1376"/>
      <c r="XDV1376"/>
      <c r="XDW1376"/>
      <c r="XDX1376"/>
      <c r="XDY1376"/>
      <c r="XDZ1376"/>
      <c r="XEA1376"/>
      <c r="XEB1376"/>
      <c r="XEC1376"/>
      <c r="XED1376"/>
      <c r="XEE1376"/>
      <c r="XEF1376"/>
      <c r="XEG1376"/>
      <c r="XEH1376"/>
      <c r="XEI1376"/>
      <c r="XEJ1376"/>
      <c r="XEK1376"/>
      <c r="XEL1376"/>
      <c r="XEM1376"/>
      <c r="XEN1376"/>
      <c r="XEO1376"/>
      <c r="XEP1376"/>
      <c r="XEQ1376"/>
      <c r="XER1376"/>
      <c r="XES1376"/>
      <c r="XET1376"/>
      <c r="XEU1376"/>
      <c r="XEV1376"/>
      <c r="XEW1376"/>
      <c r="XEX1376"/>
      <c r="XEY1376"/>
      <c r="XEZ1376"/>
      <c r="XFA1376"/>
      <c r="XFB1376"/>
      <c r="XFC1376"/>
    </row>
    <row r="1377" spans="1:20 16329:16383" s="38" customFormat="1" ht="29.1" customHeight="1" outlineLevel="5" x14ac:dyDescent="0.25">
      <c r="A1377" s="65" t="s">
        <v>2489</v>
      </c>
      <c r="B1377" s="66" t="s">
        <v>2490</v>
      </c>
      <c r="C1377" s="66"/>
      <c r="D1377" s="98" t="s">
        <v>1899</v>
      </c>
      <c r="E1377" s="98"/>
      <c r="F1377" s="67"/>
      <c r="G1377" s="66"/>
      <c r="H1377" s="68"/>
      <c r="I1377" s="36"/>
      <c r="J1377" s="68"/>
      <c r="K1377" s="69"/>
      <c r="L1377" s="69"/>
      <c r="M1377" s="69"/>
      <c r="N1377" s="69"/>
      <c r="O1377" s="69">
        <f>SUM(O1378:O1385)</f>
        <v>0</v>
      </c>
      <c r="P1377" s="69">
        <f>SUM(P1378:P1385)</f>
        <v>0</v>
      </c>
      <c r="Q1377" s="69">
        <f>SUM(Q1378:Q1385)</f>
        <v>0</v>
      </c>
      <c r="R1377" s="69">
        <f>SUM(R1378:R1385)</f>
        <v>0</v>
      </c>
      <c r="S1377" s="69"/>
      <c r="T1377" s="36"/>
      <c r="XDA1377"/>
      <c r="XDB1377"/>
      <c r="XDC1377"/>
      <c r="XDD1377"/>
      <c r="XDE1377"/>
      <c r="XDF1377"/>
      <c r="XDG1377"/>
      <c r="XDH1377"/>
      <c r="XDI1377"/>
      <c r="XDJ1377"/>
      <c r="XDK1377"/>
      <c r="XDL1377"/>
      <c r="XDM1377"/>
      <c r="XDN1377"/>
      <c r="XDO1377"/>
      <c r="XDP1377"/>
      <c r="XDQ1377"/>
      <c r="XDR1377"/>
      <c r="XDS1377"/>
      <c r="XDT1377"/>
      <c r="XDU1377"/>
      <c r="XDV1377"/>
      <c r="XDW1377"/>
      <c r="XDX1377"/>
      <c r="XDY1377"/>
      <c r="XDZ1377"/>
      <c r="XEA1377"/>
      <c r="XEB1377"/>
      <c r="XEC1377"/>
      <c r="XED1377"/>
      <c r="XEE1377"/>
      <c r="XEF1377"/>
      <c r="XEG1377"/>
      <c r="XEH1377"/>
      <c r="XEI1377"/>
      <c r="XEJ1377"/>
      <c r="XEK1377"/>
      <c r="XEL1377"/>
      <c r="XEM1377"/>
      <c r="XEN1377"/>
      <c r="XEO1377"/>
      <c r="XEP1377"/>
      <c r="XEQ1377"/>
      <c r="XER1377"/>
      <c r="XES1377"/>
      <c r="XET1377"/>
      <c r="XEU1377"/>
      <c r="XEV1377"/>
      <c r="XEW1377"/>
      <c r="XEX1377"/>
      <c r="XEY1377"/>
      <c r="XEZ1377"/>
      <c r="XFA1377"/>
      <c r="XFB1377"/>
      <c r="XFC1377"/>
    </row>
    <row r="1378" spans="1:20 16329:16383" s="38" customFormat="1" ht="29.1" customHeight="1" outlineLevel="6" x14ac:dyDescent="0.25">
      <c r="A1378" s="49" t="s">
        <v>2491</v>
      </c>
      <c r="B1378" s="50"/>
      <c r="C1378" s="50"/>
      <c r="D1378" s="3" t="s">
        <v>2411</v>
      </c>
      <c r="E1378" s="3"/>
      <c r="F1378" s="51"/>
      <c r="G1378" s="50" t="s">
        <v>102</v>
      </c>
      <c r="H1378" s="52">
        <f>1</f>
        <v>1</v>
      </c>
      <c r="I1378" s="36"/>
      <c r="J1378" s="52">
        <v>1</v>
      </c>
      <c r="K1378" s="53">
        <f>0</f>
        <v>0</v>
      </c>
      <c r="L1378" s="53">
        <f>0</f>
        <v>0</v>
      </c>
      <c r="M1378" s="53">
        <f>0</f>
        <v>0</v>
      </c>
      <c r="N1378" s="54">
        <f t="shared" ref="N1378:N1385" si="224">SUM(K1378:M1378)</f>
        <v>0</v>
      </c>
      <c r="O1378" s="54">
        <f t="shared" ref="O1378:O1385" si="225">ROUND((H1378*K1378),2)</f>
        <v>0</v>
      </c>
      <c r="P1378" s="54">
        <f t="shared" ref="P1378:P1385" si="226">ROUND((H1378*L1378),2)</f>
        <v>0</v>
      </c>
      <c r="Q1378" s="54">
        <f t="shared" ref="Q1378:Q1385" si="227">ROUND((H1378*M1378),2)</f>
        <v>0</v>
      </c>
      <c r="R1378" s="54">
        <f t="shared" ref="R1378:R1385" si="228">ROUND((H1378*N1378),2)</f>
        <v>0</v>
      </c>
      <c r="S1378" s="54"/>
      <c r="T1378" s="36"/>
      <c r="XDA1378"/>
      <c r="XDB1378"/>
      <c r="XDC1378"/>
      <c r="XDD1378"/>
      <c r="XDE1378"/>
      <c r="XDF1378"/>
      <c r="XDG1378"/>
      <c r="XDH1378"/>
      <c r="XDI1378"/>
      <c r="XDJ1378"/>
      <c r="XDK1378"/>
      <c r="XDL1378"/>
      <c r="XDM1378"/>
      <c r="XDN1378"/>
      <c r="XDO1378"/>
      <c r="XDP1378"/>
      <c r="XDQ1378"/>
      <c r="XDR1378"/>
      <c r="XDS1378"/>
      <c r="XDT1378"/>
      <c r="XDU1378"/>
      <c r="XDV1378"/>
      <c r="XDW1378"/>
      <c r="XDX1378"/>
      <c r="XDY1378"/>
      <c r="XDZ1378"/>
      <c r="XEA1378"/>
      <c r="XEB1378"/>
      <c r="XEC1378"/>
      <c r="XED1378"/>
      <c r="XEE1378"/>
      <c r="XEF1378"/>
      <c r="XEG1378"/>
      <c r="XEH1378"/>
      <c r="XEI1378"/>
      <c r="XEJ1378"/>
      <c r="XEK1378"/>
      <c r="XEL1378"/>
      <c r="XEM1378"/>
      <c r="XEN1378"/>
      <c r="XEO1378"/>
      <c r="XEP1378"/>
      <c r="XEQ1378"/>
      <c r="XER1378"/>
      <c r="XES1378"/>
      <c r="XET1378"/>
      <c r="XEU1378"/>
      <c r="XEV1378"/>
      <c r="XEW1378"/>
      <c r="XEX1378"/>
      <c r="XEY1378"/>
      <c r="XEZ1378"/>
      <c r="XFA1378"/>
      <c r="XFB1378"/>
      <c r="XFC1378"/>
    </row>
    <row r="1379" spans="1:20 16329:16383" s="38" customFormat="1" ht="29.1" customHeight="1" outlineLevel="6" x14ac:dyDescent="0.25">
      <c r="A1379" s="49" t="s">
        <v>2492</v>
      </c>
      <c r="B1379" s="50"/>
      <c r="C1379" s="50"/>
      <c r="D1379" s="3" t="s">
        <v>1955</v>
      </c>
      <c r="E1379" s="3"/>
      <c r="F1379" s="51"/>
      <c r="G1379" s="50" t="s">
        <v>102</v>
      </c>
      <c r="H1379" s="52">
        <f>1</f>
        <v>1</v>
      </c>
      <c r="I1379" s="36"/>
      <c r="J1379" s="52">
        <v>1</v>
      </c>
      <c r="K1379" s="53">
        <f>0</f>
        <v>0</v>
      </c>
      <c r="L1379" s="53">
        <f>0</f>
        <v>0</v>
      </c>
      <c r="M1379" s="53">
        <f>0</f>
        <v>0</v>
      </c>
      <c r="N1379" s="54">
        <f t="shared" si="224"/>
        <v>0</v>
      </c>
      <c r="O1379" s="54">
        <f t="shared" si="225"/>
        <v>0</v>
      </c>
      <c r="P1379" s="54">
        <f t="shared" si="226"/>
        <v>0</v>
      </c>
      <c r="Q1379" s="54">
        <f t="shared" si="227"/>
        <v>0</v>
      </c>
      <c r="R1379" s="54">
        <f t="shared" si="228"/>
        <v>0</v>
      </c>
      <c r="S1379" s="54"/>
      <c r="T1379" s="36"/>
      <c r="XDA1379"/>
      <c r="XDB1379"/>
      <c r="XDC1379"/>
      <c r="XDD1379"/>
      <c r="XDE1379"/>
      <c r="XDF1379"/>
      <c r="XDG1379"/>
      <c r="XDH1379"/>
      <c r="XDI1379"/>
      <c r="XDJ1379"/>
      <c r="XDK1379"/>
      <c r="XDL1379"/>
      <c r="XDM1379"/>
      <c r="XDN1379"/>
      <c r="XDO1379"/>
      <c r="XDP1379"/>
      <c r="XDQ1379"/>
      <c r="XDR1379"/>
      <c r="XDS1379"/>
      <c r="XDT1379"/>
      <c r="XDU1379"/>
      <c r="XDV1379"/>
      <c r="XDW1379"/>
      <c r="XDX1379"/>
      <c r="XDY1379"/>
      <c r="XDZ1379"/>
      <c r="XEA1379"/>
      <c r="XEB1379"/>
      <c r="XEC1379"/>
      <c r="XED1379"/>
      <c r="XEE1379"/>
      <c r="XEF1379"/>
      <c r="XEG1379"/>
      <c r="XEH1379"/>
      <c r="XEI1379"/>
      <c r="XEJ1379"/>
      <c r="XEK1379"/>
      <c r="XEL1379"/>
      <c r="XEM1379"/>
      <c r="XEN1379"/>
      <c r="XEO1379"/>
      <c r="XEP1379"/>
      <c r="XEQ1379"/>
      <c r="XER1379"/>
      <c r="XES1379"/>
      <c r="XET1379"/>
      <c r="XEU1379"/>
      <c r="XEV1379"/>
      <c r="XEW1379"/>
      <c r="XEX1379"/>
      <c r="XEY1379"/>
      <c r="XEZ1379"/>
      <c r="XFA1379"/>
      <c r="XFB1379"/>
      <c r="XFC1379"/>
    </row>
    <row r="1380" spans="1:20 16329:16383" s="38" customFormat="1" ht="29.1" customHeight="1" outlineLevel="6" x14ac:dyDescent="0.25">
      <c r="A1380" s="49" t="s">
        <v>2493</v>
      </c>
      <c r="B1380" s="50"/>
      <c r="C1380" s="50"/>
      <c r="D1380" s="3" t="s">
        <v>2238</v>
      </c>
      <c r="E1380" s="3"/>
      <c r="F1380" s="51"/>
      <c r="G1380" s="50" t="s">
        <v>102</v>
      </c>
      <c r="H1380" s="52">
        <f>1</f>
        <v>1</v>
      </c>
      <c r="I1380" s="36"/>
      <c r="J1380" s="52">
        <v>1</v>
      </c>
      <c r="K1380" s="53">
        <f>0</f>
        <v>0</v>
      </c>
      <c r="L1380" s="53">
        <f>0</f>
        <v>0</v>
      </c>
      <c r="M1380" s="53">
        <f>0</f>
        <v>0</v>
      </c>
      <c r="N1380" s="54">
        <f t="shared" si="224"/>
        <v>0</v>
      </c>
      <c r="O1380" s="54">
        <f t="shared" si="225"/>
        <v>0</v>
      </c>
      <c r="P1380" s="54">
        <f t="shared" si="226"/>
        <v>0</v>
      </c>
      <c r="Q1380" s="54">
        <f t="shared" si="227"/>
        <v>0</v>
      </c>
      <c r="R1380" s="54">
        <f t="shared" si="228"/>
        <v>0</v>
      </c>
      <c r="S1380" s="54"/>
      <c r="T1380" s="36"/>
      <c r="XDA1380"/>
      <c r="XDB1380"/>
      <c r="XDC1380"/>
      <c r="XDD1380"/>
      <c r="XDE1380"/>
      <c r="XDF1380"/>
      <c r="XDG1380"/>
      <c r="XDH1380"/>
      <c r="XDI1380"/>
      <c r="XDJ1380"/>
      <c r="XDK1380"/>
      <c r="XDL1380"/>
      <c r="XDM1380"/>
      <c r="XDN1380"/>
      <c r="XDO1380"/>
      <c r="XDP1380"/>
      <c r="XDQ1380"/>
      <c r="XDR1380"/>
      <c r="XDS1380"/>
      <c r="XDT1380"/>
      <c r="XDU1380"/>
      <c r="XDV1380"/>
      <c r="XDW1380"/>
      <c r="XDX1380"/>
      <c r="XDY1380"/>
      <c r="XDZ1380"/>
      <c r="XEA1380"/>
      <c r="XEB1380"/>
      <c r="XEC1380"/>
      <c r="XED1380"/>
      <c r="XEE1380"/>
      <c r="XEF1380"/>
      <c r="XEG1380"/>
      <c r="XEH1380"/>
      <c r="XEI1380"/>
      <c r="XEJ1380"/>
      <c r="XEK1380"/>
      <c r="XEL1380"/>
      <c r="XEM1380"/>
      <c r="XEN1380"/>
      <c r="XEO1380"/>
      <c r="XEP1380"/>
      <c r="XEQ1380"/>
      <c r="XER1380"/>
      <c r="XES1380"/>
      <c r="XET1380"/>
      <c r="XEU1380"/>
      <c r="XEV1380"/>
      <c r="XEW1380"/>
      <c r="XEX1380"/>
      <c r="XEY1380"/>
      <c r="XEZ1380"/>
      <c r="XFA1380"/>
      <c r="XFB1380"/>
      <c r="XFC1380"/>
    </row>
    <row r="1381" spans="1:20 16329:16383" s="38" customFormat="1" ht="29.1" customHeight="1" outlineLevel="6" x14ac:dyDescent="0.25">
      <c r="A1381" s="49" t="s">
        <v>2494</v>
      </c>
      <c r="B1381" s="50"/>
      <c r="C1381" s="50"/>
      <c r="D1381" s="3" t="s">
        <v>1884</v>
      </c>
      <c r="E1381" s="3"/>
      <c r="F1381" s="51"/>
      <c r="G1381" s="50" t="s">
        <v>102</v>
      </c>
      <c r="H1381" s="52">
        <f>1</f>
        <v>1</v>
      </c>
      <c r="I1381" s="36"/>
      <c r="J1381" s="52">
        <v>1</v>
      </c>
      <c r="K1381" s="53">
        <f>0</f>
        <v>0</v>
      </c>
      <c r="L1381" s="53">
        <f>0</f>
        <v>0</v>
      </c>
      <c r="M1381" s="53">
        <f>0</f>
        <v>0</v>
      </c>
      <c r="N1381" s="54">
        <f t="shared" si="224"/>
        <v>0</v>
      </c>
      <c r="O1381" s="54">
        <f t="shared" si="225"/>
        <v>0</v>
      </c>
      <c r="P1381" s="54">
        <f t="shared" si="226"/>
        <v>0</v>
      </c>
      <c r="Q1381" s="54">
        <f t="shared" si="227"/>
        <v>0</v>
      </c>
      <c r="R1381" s="54">
        <f t="shared" si="228"/>
        <v>0</v>
      </c>
      <c r="S1381" s="54"/>
      <c r="T1381" s="36"/>
      <c r="XDA1381"/>
      <c r="XDB1381"/>
      <c r="XDC1381"/>
      <c r="XDD1381"/>
      <c r="XDE1381"/>
      <c r="XDF1381"/>
      <c r="XDG1381"/>
      <c r="XDH1381"/>
      <c r="XDI1381"/>
      <c r="XDJ1381"/>
      <c r="XDK1381"/>
      <c r="XDL1381"/>
      <c r="XDM1381"/>
      <c r="XDN1381"/>
      <c r="XDO1381"/>
      <c r="XDP1381"/>
      <c r="XDQ1381"/>
      <c r="XDR1381"/>
      <c r="XDS1381"/>
      <c r="XDT1381"/>
      <c r="XDU1381"/>
      <c r="XDV1381"/>
      <c r="XDW1381"/>
      <c r="XDX1381"/>
      <c r="XDY1381"/>
      <c r="XDZ1381"/>
      <c r="XEA1381"/>
      <c r="XEB1381"/>
      <c r="XEC1381"/>
      <c r="XED1381"/>
      <c r="XEE1381"/>
      <c r="XEF1381"/>
      <c r="XEG1381"/>
      <c r="XEH1381"/>
      <c r="XEI1381"/>
      <c r="XEJ1381"/>
      <c r="XEK1381"/>
      <c r="XEL1381"/>
      <c r="XEM1381"/>
      <c r="XEN1381"/>
      <c r="XEO1381"/>
      <c r="XEP1381"/>
      <c r="XEQ1381"/>
      <c r="XER1381"/>
      <c r="XES1381"/>
      <c r="XET1381"/>
      <c r="XEU1381"/>
      <c r="XEV1381"/>
      <c r="XEW1381"/>
      <c r="XEX1381"/>
      <c r="XEY1381"/>
      <c r="XEZ1381"/>
      <c r="XFA1381"/>
      <c r="XFB1381"/>
      <c r="XFC1381"/>
    </row>
    <row r="1382" spans="1:20 16329:16383" s="38" customFormat="1" ht="29.1" customHeight="1" outlineLevel="6" x14ac:dyDescent="0.25">
      <c r="A1382" s="49" t="s">
        <v>2495</v>
      </c>
      <c r="B1382" s="50"/>
      <c r="C1382" s="50"/>
      <c r="D1382" s="3" t="s">
        <v>2241</v>
      </c>
      <c r="E1382" s="3"/>
      <c r="F1382" s="51"/>
      <c r="G1382" s="50" t="s">
        <v>102</v>
      </c>
      <c r="H1382" s="52">
        <f>1</f>
        <v>1</v>
      </c>
      <c r="I1382" s="36"/>
      <c r="J1382" s="52">
        <v>1</v>
      </c>
      <c r="K1382" s="53">
        <f>0</f>
        <v>0</v>
      </c>
      <c r="L1382" s="53">
        <f>0</f>
        <v>0</v>
      </c>
      <c r="M1382" s="53">
        <f>0</f>
        <v>0</v>
      </c>
      <c r="N1382" s="54">
        <f t="shared" si="224"/>
        <v>0</v>
      </c>
      <c r="O1382" s="54">
        <f t="shared" si="225"/>
        <v>0</v>
      </c>
      <c r="P1382" s="54">
        <f t="shared" si="226"/>
        <v>0</v>
      </c>
      <c r="Q1382" s="54">
        <f t="shared" si="227"/>
        <v>0</v>
      </c>
      <c r="R1382" s="54">
        <f t="shared" si="228"/>
        <v>0</v>
      </c>
      <c r="S1382" s="54"/>
      <c r="T1382" s="36"/>
      <c r="XDA1382"/>
      <c r="XDB1382"/>
      <c r="XDC1382"/>
      <c r="XDD1382"/>
      <c r="XDE1382"/>
      <c r="XDF1382"/>
      <c r="XDG1382"/>
      <c r="XDH1382"/>
      <c r="XDI1382"/>
      <c r="XDJ1382"/>
      <c r="XDK1382"/>
      <c r="XDL1382"/>
      <c r="XDM1382"/>
      <c r="XDN1382"/>
      <c r="XDO1382"/>
      <c r="XDP1382"/>
      <c r="XDQ1382"/>
      <c r="XDR1382"/>
      <c r="XDS1382"/>
      <c r="XDT1382"/>
      <c r="XDU1382"/>
      <c r="XDV1382"/>
      <c r="XDW1382"/>
      <c r="XDX1382"/>
      <c r="XDY1382"/>
      <c r="XDZ1382"/>
      <c r="XEA1382"/>
      <c r="XEB1382"/>
      <c r="XEC1382"/>
      <c r="XED1382"/>
      <c r="XEE1382"/>
      <c r="XEF1382"/>
      <c r="XEG1382"/>
      <c r="XEH1382"/>
      <c r="XEI1382"/>
      <c r="XEJ1382"/>
      <c r="XEK1382"/>
      <c r="XEL1382"/>
      <c r="XEM1382"/>
      <c r="XEN1382"/>
      <c r="XEO1382"/>
      <c r="XEP1382"/>
      <c r="XEQ1382"/>
      <c r="XER1382"/>
      <c r="XES1382"/>
      <c r="XET1382"/>
      <c r="XEU1382"/>
      <c r="XEV1382"/>
      <c r="XEW1382"/>
      <c r="XEX1382"/>
      <c r="XEY1382"/>
      <c r="XEZ1382"/>
      <c r="XFA1382"/>
      <c r="XFB1382"/>
      <c r="XFC1382"/>
    </row>
    <row r="1383" spans="1:20 16329:16383" s="38" customFormat="1" ht="29.1" customHeight="1" outlineLevel="6" x14ac:dyDescent="0.25">
      <c r="A1383" s="49" t="s">
        <v>2496</v>
      </c>
      <c r="B1383" s="50"/>
      <c r="C1383" s="50"/>
      <c r="D1383" s="3" t="s">
        <v>1886</v>
      </c>
      <c r="E1383" s="3"/>
      <c r="F1383" s="51"/>
      <c r="G1383" s="50" t="s">
        <v>102</v>
      </c>
      <c r="H1383" s="52">
        <f>1</f>
        <v>1</v>
      </c>
      <c r="I1383" s="36"/>
      <c r="J1383" s="52">
        <v>1</v>
      </c>
      <c r="K1383" s="53">
        <f>0</f>
        <v>0</v>
      </c>
      <c r="L1383" s="53">
        <f>0</f>
        <v>0</v>
      </c>
      <c r="M1383" s="53">
        <f>0</f>
        <v>0</v>
      </c>
      <c r="N1383" s="54">
        <f t="shared" si="224"/>
        <v>0</v>
      </c>
      <c r="O1383" s="54">
        <f t="shared" si="225"/>
        <v>0</v>
      </c>
      <c r="P1383" s="54">
        <f t="shared" si="226"/>
        <v>0</v>
      </c>
      <c r="Q1383" s="54">
        <f t="shared" si="227"/>
        <v>0</v>
      </c>
      <c r="R1383" s="54">
        <f t="shared" si="228"/>
        <v>0</v>
      </c>
      <c r="S1383" s="54"/>
      <c r="T1383" s="36"/>
      <c r="XDA1383"/>
      <c r="XDB1383"/>
      <c r="XDC1383"/>
      <c r="XDD1383"/>
      <c r="XDE1383"/>
      <c r="XDF1383"/>
      <c r="XDG1383"/>
      <c r="XDH1383"/>
      <c r="XDI1383"/>
      <c r="XDJ1383"/>
      <c r="XDK1383"/>
      <c r="XDL1383"/>
      <c r="XDM1383"/>
      <c r="XDN1383"/>
      <c r="XDO1383"/>
      <c r="XDP1383"/>
      <c r="XDQ1383"/>
      <c r="XDR1383"/>
      <c r="XDS1383"/>
      <c r="XDT1383"/>
      <c r="XDU1383"/>
      <c r="XDV1383"/>
      <c r="XDW1383"/>
      <c r="XDX1383"/>
      <c r="XDY1383"/>
      <c r="XDZ1383"/>
      <c r="XEA1383"/>
      <c r="XEB1383"/>
      <c r="XEC1383"/>
      <c r="XED1383"/>
      <c r="XEE1383"/>
      <c r="XEF1383"/>
      <c r="XEG1383"/>
      <c r="XEH1383"/>
      <c r="XEI1383"/>
      <c r="XEJ1383"/>
      <c r="XEK1383"/>
      <c r="XEL1383"/>
      <c r="XEM1383"/>
      <c r="XEN1383"/>
      <c r="XEO1383"/>
      <c r="XEP1383"/>
      <c r="XEQ1383"/>
      <c r="XER1383"/>
      <c r="XES1383"/>
      <c r="XET1383"/>
      <c r="XEU1383"/>
      <c r="XEV1383"/>
      <c r="XEW1383"/>
      <c r="XEX1383"/>
      <c r="XEY1383"/>
      <c r="XEZ1383"/>
      <c r="XFA1383"/>
      <c r="XFB1383"/>
      <c r="XFC1383"/>
    </row>
    <row r="1384" spans="1:20 16329:16383" s="38" customFormat="1" ht="29.1" customHeight="1" outlineLevel="6" x14ac:dyDescent="0.25">
      <c r="A1384" s="49" t="s">
        <v>2497</v>
      </c>
      <c r="B1384" s="50"/>
      <c r="C1384" s="50"/>
      <c r="D1384" s="3" t="s">
        <v>2418</v>
      </c>
      <c r="E1384" s="3"/>
      <c r="F1384" s="51"/>
      <c r="G1384" s="50" t="s">
        <v>102</v>
      </c>
      <c r="H1384" s="52">
        <f>1</f>
        <v>1</v>
      </c>
      <c r="I1384" s="36"/>
      <c r="J1384" s="52">
        <v>1</v>
      </c>
      <c r="K1384" s="53">
        <f>0</f>
        <v>0</v>
      </c>
      <c r="L1384" s="53">
        <f>0</f>
        <v>0</v>
      </c>
      <c r="M1384" s="53">
        <f>0</f>
        <v>0</v>
      </c>
      <c r="N1384" s="54">
        <f t="shared" si="224"/>
        <v>0</v>
      </c>
      <c r="O1384" s="54">
        <f t="shared" si="225"/>
        <v>0</v>
      </c>
      <c r="P1384" s="54">
        <f t="shared" si="226"/>
        <v>0</v>
      </c>
      <c r="Q1384" s="54">
        <f t="shared" si="227"/>
        <v>0</v>
      </c>
      <c r="R1384" s="54">
        <f t="shared" si="228"/>
        <v>0</v>
      </c>
      <c r="S1384" s="54"/>
      <c r="T1384" s="36"/>
      <c r="XDA1384"/>
      <c r="XDB1384"/>
      <c r="XDC1384"/>
      <c r="XDD1384"/>
      <c r="XDE1384"/>
      <c r="XDF1384"/>
      <c r="XDG1384"/>
      <c r="XDH1384"/>
      <c r="XDI1384"/>
      <c r="XDJ1384"/>
      <c r="XDK1384"/>
      <c r="XDL1384"/>
      <c r="XDM1384"/>
      <c r="XDN1384"/>
      <c r="XDO1384"/>
      <c r="XDP1384"/>
      <c r="XDQ1384"/>
      <c r="XDR1384"/>
      <c r="XDS1384"/>
      <c r="XDT1384"/>
      <c r="XDU1384"/>
      <c r="XDV1384"/>
      <c r="XDW1384"/>
      <c r="XDX1384"/>
      <c r="XDY1384"/>
      <c r="XDZ1384"/>
      <c r="XEA1384"/>
      <c r="XEB1384"/>
      <c r="XEC1384"/>
      <c r="XED1384"/>
      <c r="XEE1384"/>
      <c r="XEF1384"/>
      <c r="XEG1384"/>
      <c r="XEH1384"/>
      <c r="XEI1384"/>
      <c r="XEJ1384"/>
      <c r="XEK1384"/>
      <c r="XEL1384"/>
      <c r="XEM1384"/>
      <c r="XEN1384"/>
      <c r="XEO1384"/>
      <c r="XEP1384"/>
      <c r="XEQ1384"/>
      <c r="XER1384"/>
      <c r="XES1384"/>
      <c r="XET1384"/>
      <c r="XEU1384"/>
      <c r="XEV1384"/>
      <c r="XEW1384"/>
      <c r="XEX1384"/>
      <c r="XEY1384"/>
      <c r="XEZ1384"/>
      <c r="XFA1384"/>
      <c r="XFB1384"/>
      <c r="XFC1384"/>
    </row>
    <row r="1385" spans="1:20 16329:16383" s="38" customFormat="1" ht="29.1" customHeight="1" outlineLevel="6" x14ac:dyDescent="0.25">
      <c r="A1385" s="49" t="s">
        <v>2498</v>
      </c>
      <c r="B1385" s="50"/>
      <c r="C1385" s="50"/>
      <c r="D1385" s="3" t="s">
        <v>2420</v>
      </c>
      <c r="E1385" s="3"/>
      <c r="F1385" s="51" t="s">
        <v>1960</v>
      </c>
      <c r="G1385" s="50" t="s">
        <v>134</v>
      </c>
      <c r="H1385" s="52">
        <f>1</f>
        <v>1</v>
      </c>
      <c r="I1385" s="36"/>
      <c r="J1385" s="52">
        <v>1</v>
      </c>
      <c r="K1385" s="53">
        <f>0</f>
        <v>0</v>
      </c>
      <c r="L1385" s="53">
        <f>0</f>
        <v>0</v>
      </c>
      <c r="M1385" s="53">
        <f>0</f>
        <v>0</v>
      </c>
      <c r="N1385" s="54">
        <f t="shared" si="224"/>
        <v>0</v>
      </c>
      <c r="O1385" s="54">
        <f t="shared" si="225"/>
        <v>0</v>
      </c>
      <c r="P1385" s="54">
        <f t="shared" si="226"/>
        <v>0</v>
      </c>
      <c r="Q1385" s="54">
        <f t="shared" si="227"/>
        <v>0</v>
      </c>
      <c r="R1385" s="54">
        <f t="shared" si="228"/>
        <v>0</v>
      </c>
      <c r="S1385" s="54"/>
      <c r="T1385" s="36"/>
      <c r="XDA1385"/>
      <c r="XDB1385"/>
      <c r="XDC1385"/>
      <c r="XDD1385"/>
      <c r="XDE1385"/>
      <c r="XDF1385"/>
      <c r="XDG1385"/>
      <c r="XDH1385"/>
      <c r="XDI1385"/>
      <c r="XDJ1385"/>
      <c r="XDK1385"/>
      <c r="XDL1385"/>
      <c r="XDM1385"/>
      <c r="XDN1385"/>
      <c r="XDO1385"/>
      <c r="XDP1385"/>
      <c r="XDQ1385"/>
      <c r="XDR1385"/>
      <c r="XDS1385"/>
      <c r="XDT1385"/>
      <c r="XDU1385"/>
      <c r="XDV1385"/>
      <c r="XDW1385"/>
      <c r="XDX1385"/>
      <c r="XDY1385"/>
      <c r="XDZ1385"/>
      <c r="XEA1385"/>
      <c r="XEB1385"/>
      <c r="XEC1385"/>
      <c r="XED1385"/>
      <c r="XEE1385"/>
      <c r="XEF1385"/>
      <c r="XEG1385"/>
      <c r="XEH1385"/>
      <c r="XEI1385"/>
      <c r="XEJ1385"/>
      <c r="XEK1385"/>
      <c r="XEL1385"/>
      <c r="XEM1385"/>
      <c r="XEN1385"/>
      <c r="XEO1385"/>
      <c r="XEP1385"/>
      <c r="XEQ1385"/>
      <c r="XER1385"/>
      <c r="XES1385"/>
      <c r="XET1385"/>
      <c r="XEU1385"/>
      <c r="XEV1385"/>
      <c r="XEW1385"/>
      <c r="XEX1385"/>
      <c r="XEY1385"/>
      <c r="XEZ1385"/>
      <c r="XFA1385"/>
      <c r="XFB1385"/>
      <c r="XFC1385"/>
    </row>
    <row r="1386" spans="1:20 16329:16383" s="38" customFormat="1" ht="29.1" customHeight="1" outlineLevel="5" x14ac:dyDescent="0.25">
      <c r="A1386" s="65" t="s">
        <v>2499</v>
      </c>
      <c r="B1386" s="66" t="s">
        <v>2500</v>
      </c>
      <c r="C1386" s="66"/>
      <c r="D1386" s="98" t="s">
        <v>1498</v>
      </c>
      <c r="E1386" s="98"/>
      <c r="F1386" s="67"/>
      <c r="G1386" s="66"/>
      <c r="H1386" s="68"/>
      <c r="I1386" s="36"/>
      <c r="J1386" s="68"/>
      <c r="K1386" s="69"/>
      <c r="L1386" s="69"/>
      <c r="M1386" s="69"/>
      <c r="N1386" s="69"/>
      <c r="O1386" s="69">
        <f>SUM(O1387:O1391)</f>
        <v>0</v>
      </c>
      <c r="P1386" s="69">
        <f>SUM(P1387:P1391)</f>
        <v>0</v>
      </c>
      <c r="Q1386" s="69">
        <f>SUM(Q1387:Q1391)</f>
        <v>0</v>
      </c>
      <c r="R1386" s="69">
        <f>SUM(R1387:R1391)</f>
        <v>0</v>
      </c>
      <c r="S1386" s="69"/>
      <c r="T1386" s="36"/>
      <c r="XDA1386"/>
      <c r="XDB1386"/>
      <c r="XDC1386"/>
      <c r="XDD1386"/>
      <c r="XDE1386"/>
      <c r="XDF1386"/>
      <c r="XDG1386"/>
      <c r="XDH1386"/>
      <c r="XDI1386"/>
      <c r="XDJ1386"/>
      <c r="XDK1386"/>
      <c r="XDL1386"/>
      <c r="XDM1386"/>
      <c r="XDN1386"/>
      <c r="XDO1386"/>
      <c r="XDP1386"/>
      <c r="XDQ1386"/>
      <c r="XDR1386"/>
      <c r="XDS1386"/>
      <c r="XDT1386"/>
      <c r="XDU1386"/>
      <c r="XDV1386"/>
      <c r="XDW1386"/>
      <c r="XDX1386"/>
      <c r="XDY1386"/>
      <c r="XDZ1386"/>
      <c r="XEA1386"/>
      <c r="XEB1386"/>
      <c r="XEC1386"/>
      <c r="XED1386"/>
      <c r="XEE1386"/>
      <c r="XEF1386"/>
      <c r="XEG1386"/>
      <c r="XEH1386"/>
      <c r="XEI1386"/>
      <c r="XEJ1386"/>
      <c r="XEK1386"/>
      <c r="XEL1386"/>
      <c r="XEM1386"/>
      <c r="XEN1386"/>
      <c r="XEO1386"/>
      <c r="XEP1386"/>
      <c r="XEQ1386"/>
      <c r="XER1386"/>
      <c r="XES1386"/>
      <c r="XET1386"/>
      <c r="XEU1386"/>
      <c r="XEV1386"/>
      <c r="XEW1386"/>
      <c r="XEX1386"/>
      <c r="XEY1386"/>
      <c r="XEZ1386"/>
      <c r="XFA1386"/>
      <c r="XFB1386"/>
      <c r="XFC1386"/>
    </row>
    <row r="1387" spans="1:20 16329:16383" s="38" customFormat="1" ht="29.1" customHeight="1" outlineLevel="6" x14ac:dyDescent="0.25">
      <c r="A1387" s="49" t="s">
        <v>2501</v>
      </c>
      <c r="B1387" s="50"/>
      <c r="C1387" s="50"/>
      <c r="D1387" s="3" t="s">
        <v>2251</v>
      </c>
      <c r="E1387" s="3"/>
      <c r="F1387" s="51" t="s">
        <v>2252</v>
      </c>
      <c r="G1387" s="50" t="s">
        <v>29</v>
      </c>
      <c r="H1387" s="52">
        <f>1</f>
        <v>1</v>
      </c>
      <c r="I1387" s="36"/>
      <c r="J1387" s="52">
        <v>1</v>
      </c>
      <c r="K1387" s="53">
        <f>0</f>
        <v>0</v>
      </c>
      <c r="L1387" s="53">
        <f>0</f>
        <v>0</v>
      </c>
      <c r="M1387" s="53">
        <f>0</f>
        <v>0</v>
      </c>
      <c r="N1387" s="54">
        <f>SUM(K1387:M1387)</f>
        <v>0</v>
      </c>
      <c r="O1387" s="54">
        <f>ROUND((H1387*K1387),2)</f>
        <v>0</v>
      </c>
      <c r="P1387" s="54">
        <f>ROUND((H1387*L1387),2)</f>
        <v>0</v>
      </c>
      <c r="Q1387" s="54">
        <f>ROUND((H1387*M1387),2)</f>
        <v>0</v>
      </c>
      <c r="R1387" s="54">
        <f>ROUND((H1387*N1387),2)</f>
        <v>0</v>
      </c>
      <c r="S1387" s="54"/>
      <c r="T1387" s="36"/>
      <c r="XDA1387"/>
      <c r="XDB1387"/>
      <c r="XDC1387"/>
      <c r="XDD1387"/>
      <c r="XDE1387"/>
      <c r="XDF1387"/>
      <c r="XDG1387"/>
      <c r="XDH1387"/>
      <c r="XDI1387"/>
      <c r="XDJ1387"/>
      <c r="XDK1387"/>
      <c r="XDL1387"/>
      <c r="XDM1387"/>
      <c r="XDN1387"/>
      <c r="XDO1387"/>
      <c r="XDP1387"/>
      <c r="XDQ1387"/>
      <c r="XDR1387"/>
      <c r="XDS1387"/>
      <c r="XDT1387"/>
      <c r="XDU1387"/>
      <c r="XDV1387"/>
      <c r="XDW1387"/>
      <c r="XDX1387"/>
      <c r="XDY1387"/>
      <c r="XDZ1387"/>
      <c r="XEA1387"/>
      <c r="XEB1387"/>
      <c r="XEC1387"/>
      <c r="XED1387"/>
      <c r="XEE1387"/>
      <c r="XEF1387"/>
      <c r="XEG1387"/>
      <c r="XEH1387"/>
      <c r="XEI1387"/>
      <c r="XEJ1387"/>
      <c r="XEK1387"/>
      <c r="XEL1387"/>
      <c r="XEM1387"/>
      <c r="XEN1387"/>
      <c r="XEO1387"/>
      <c r="XEP1387"/>
      <c r="XEQ1387"/>
      <c r="XER1387"/>
      <c r="XES1387"/>
      <c r="XET1387"/>
      <c r="XEU1387"/>
      <c r="XEV1387"/>
      <c r="XEW1387"/>
      <c r="XEX1387"/>
      <c r="XEY1387"/>
      <c r="XEZ1387"/>
      <c r="XFA1387"/>
      <c r="XFB1387"/>
      <c r="XFC1387"/>
    </row>
    <row r="1388" spans="1:20 16329:16383" s="38" customFormat="1" ht="29.1" customHeight="1" outlineLevel="6" x14ac:dyDescent="0.25">
      <c r="A1388" s="49" t="s">
        <v>2502</v>
      </c>
      <c r="B1388" s="50"/>
      <c r="C1388" s="50"/>
      <c r="D1388" s="3" t="s">
        <v>2260</v>
      </c>
      <c r="E1388" s="3"/>
      <c r="F1388" s="51" t="s">
        <v>2252</v>
      </c>
      <c r="G1388" s="50" t="s">
        <v>29</v>
      </c>
      <c r="H1388" s="52">
        <f>1</f>
        <v>1</v>
      </c>
      <c r="I1388" s="36"/>
      <c r="J1388" s="52">
        <v>1</v>
      </c>
      <c r="K1388" s="53">
        <f>0</f>
        <v>0</v>
      </c>
      <c r="L1388" s="53">
        <f>0</f>
        <v>0</v>
      </c>
      <c r="M1388" s="53">
        <f>0</f>
        <v>0</v>
      </c>
      <c r="N1388" s="54">
        <f>SUM(K1388:M1388)</f>
        <v>0</v>
      </c>
      <c r="O1388" s="54">
        <f>ROUND((H1388*K1388),2)</f>
        <v>0</v>
      </c>
      <c r="P1388" s="54">
        <f>ROUND((H1388*L1388),2)</f>
        <v>0</v>
      </c>
      <c r="Q1388" s="54">
        <f>ROUND((H1388*M1388),2)</f>
        <v>0</v>
      </c>
      <c r="R1388" s="54">
        <f>ROUND((H1388*N1388),2)</f>
        <v>0</v>
      </c>
      <c r="S1388" s="54"/>
      <c r="T1388" s="36"/>
      <c r="XDA1388"/>
      <c r="XDB1388"/>
      <c r="XDC1388"/>
      <c r="XDD1388"/>
      <c r="XDE1388"/>
      <c r="XDF1388"/>
      <c r="XDG1388"/>
      <c r="XDH1388"/>
      <c r="XDI1388"/>
      <c r="XDJ1388"/>
      <c r="XDK1388"/>
      <c r="XDL1388"/>
      <c r="XDM1388"/>
      <c r="XDN1388"/>
      <c r="XDO1388"/>
      <c r="XDP1388"/>
      <c r="XDQ1388"/>
      <c r="XDR1388"/>
      <c r="XDS1388"/>
      <c r="XDT1388"/>
      <c r="XDU1388"/>
      <c r="XDV1388"/>
      <c r="XDW1388"/>
      <c r="XDX1388"/>
      <c r="XDY1388"/>
      <c r="XDZ1388"/>
      <c r="XEA1388"/>
      <c r="XEB1388"/>
      <c r="XEC1388"/>
      <c r="XED1388"/>
      <c r="XEE1388"/>
      <c r="XEF1388"/>
      <c r="XEG1388"/>
      <c r="XEH1388"/>
      <c r="XEI1388"/>
      <c r="XEJ1388"/>
      <c r="XEK1388"/>
      <c r="XEL1388"/>
      <c r="XEM1388"/>
      <c r="XEN1388"/>
      <c r="XEO1388"/>
      <c r="XEP1388"/>
      <c r="XEQ1388"/>
      <c r="XER1388"/>
      <c r="XES1388"/>
      <c r="XET1388"/>
      <c r="XEU1388"/>
      <c r="XEV1388"/>
      <c r="XEW1388"/>
      <c r="XEX1388"/>
      <c r="XEY1388"/>
      <c r="XEZ1388"/>
      <c r="XFA1388"/>
      <c r="XFB1388"/>
      <c r="XFC1388"/>
    </row>
    <row r="1389" spans="1:20 16329:16383" s="38" customFormat="1" ht="29.1" customHeight="1" outlineLevel="6" x14ac:dyDescent="0.25">
      <c r="A1389" s="49" t="s">
        <v>2503</v>
      </c>
      <c r="B1389" s="50"/>
      <c r="C1389" s="50"/>
      <c r="D1389" s="3" t="s">
        <v>2258</v>
      </c>
      <c r="E1389" s="3"/>
      <c r="F1389" s="51" t="s">
        <v>2252</v>
      </c>
      <c r="G1389" s="50" t="s">
        <v>29</v>
      </c>
      <c r="H1389" s="52">
        <f>1</f>
        <v>1</v>
      </c>
      <c r="I1389" s="36"/>
      <c r="J1389" s="52">
        <v>1</v>
      </c>
      <c r="K1389" s="53">
        <f>0</f>
        <v>0</v>
      </c>
      <c r="L1389" s="53">
        <f>0</f>
        <v>0</v>
      </c>
      <c r="M1389" s="53">
        <f>0</f>
        <v>0</v>
      </c>
      <c r="N1389" s="54">
        <f>SUM(K1389:M1389)</f>
        <v>0</v>
      </c>
      <c r="O1389" s="54">
        <f>ROUND((H1389*K1389),2)</f>
        <v>0</v>
      </c>
      <c r="P1389" s="54">
        <f>ROUND((H1389*L1389),2)</f>
        <v>0</v>
      </c>
      <c r="Q1389" s="54">
        <f>ROUND((H1389*M1389),2)</f>
        <v>0</v>
      </c>
      <c r="R1389" s="54">
        <f>ROUND((H1389*N1389),2)</f>
        <v>0</v>
      </c>
      <c r="S1389" s="54"/>
      <c r="T1389" s="36"/>
      <c r="XDA1389"/>
      <c r="XDB1389"/>
      <c r="XDC1389"/>
      <c r="XDD1389"/>
      <c r="XDE1389"/>
      <c r="XDF1389"/>
      <c r="XDG1389"/>
      <c r="XDH1389"/>
      <c r="XDI1389"/>
      <c r="XDJ1389"/>
      <c r="XDK1389"/>
      <c r="XDL1389"/>
      <c r="XDM1389"/>
      <c r="XDN1389"/>
      <c r="XDO1389"/>
      <c r="XDP1389"/>
      <c r="XDQ1389"/>
      <c r="XDR1389"/>
      <c r="XDS1389"/>
      <c r="XDT1389"/>
      <c r="XDU1389"/>
      <c r="XDV1389"/>
      <c r="XDW1389"/>
      <c r="XDX1389"/>
      <c r="XDY1389"/>
      <c r="XDZ1389"/>
      <c r="XEA1389"/>
      <c r="XEB1389"/>
      <c r="XEC1389"/>
      <c r="XED1389"/>
      <c r="XEE1389"/>
      <c r="XEF1389"/>
      <c r="XEG1389"/>
      <c r="XEH1389"/>
      <c r="XEI1389"/>
      <c r="XEJ1389"/>
      <c r="XEK1389"/>
      <c r="XEL1389"/>
      <c r="XEM1389"/>
      <c r="XEN1389"/>
      <c r="XEO1389"/>
      <c r="XEP1389"/>
      <c r="XEQ1389"/>
      <c r="XER1389"/>
      <c r="XES1389"/>
      <c r="XET1389"/>
      <c r="XEU1389"/>
      <c r="XEV1389"/>
      <c r="XEW1389"/>
      <c r="XEX1389"/>
      <c r="XEY1389"/>
      <c r="XEZ1389"/>
      <c r="XFA1389"/>
      <c r="XFB1389"/>
      <c r="XFC1389"/>
    </row>
    <row r="1390" spans="1:20 16329:16383" s="38" customFormat="1" ht="29.1" customHeight="1" outlineLevel="6" x14ac:dyDescent="0.25">
      <c r="A1390" s="49" t="s">
        <v>2504</v>
      </c>
      <c r="B1390" s="50"/>
      <c r="C1390" s="50"/>
      <c r="D1390" s="3" t="s">
        <v>2324</v>
      </c>
      <c r="E1390" s="3"/>
      <c r="F1390" s="51" t="s">
        <v>2252</v>
      </c>
      <c r="G1390" s="50" t="s">
        <v>29</v>
      </c>
      <c r="H1390" s="52">
        <f>1</f>
        <v>1</v>
      </c>
      <c r="I1390" s="36"/>
      <c r="J1390" s="52">
        <v>1</v>
      </c>
      <c r="K1390" s="53">
        <f>0</f>
        <v>0</v>
      </c>
      <c r="L1390" s="53">
        <f>0</f>
        <v>0</v>
      </c>
      <c r="M1390" s="53">
        <f>0</f>
        <v>0</v>
      </c>
      <c r="N1390" s="54">
        <f>SUM(K1390:M1390)</f>
        <v>0</v>
      </c>
      <c r="O1390" s="54">
        <f>ROUND((H1390*K1390),2)</f>
        <v>0</v>
      </c>
      <c r="P1390" s="54">
        <f>ROUND((H1390*L1390),2)</f>
        <v>0</v>
      </c>
      <c r="Q1390" s="54">
        <f>ROUND((H1390*M1390),2)</f>
        <v>0</v>
      </c>
      <c r="R1390" s="54">
        <f>ROUND((H1390*N1390),2)</f>
        <v>0</v>
      </c>
      <c r="S1390" s="54"/>
      <c r="T1390" s="36"/>
      <c r="XDA1390"/>
      <c r="XDB1390"/>
      <c r="XDC1390"/>
      <c r="XDD1390"/>
      <c r="XDE1390"/>
      <c r="XDF1390"/>
      <c r="XDG1390"/>
      <c r="XDH1390"/>
      <c r="XDI1390"/>
      <c r="XDJ1390"/>
      <c r="XDK1390"/>
      <c r="XDL1390"/>
      <c r="XDM1390"/>
      <c r="XDN1390"/>
      <c r="XDO1390"/>
      <c r="XDP1390"/>
      <c r="XDQ1390"/>
      <c r="XDR1390"/>
      <c r="XDS1390"/>
      <c r="XDT1390"/>
      <c r="XDU1390"/>
      <c r="XDV1390"/>
      <c r="XDW1390"/>
      <c r="XDX1390"/>
      <c r="XDY1390"/>
      <c r="XDZ1390"/>
      <c r="XEA1390"/>
      <c r="XEB1390"/>
      <c r="XEC1390"/>
      <c r="XED1390"/>
      <c r="XEE1390"/>
      <c r="XEF1390"/>
      <c r="XEG1390"/>
      <c r="XEH1390"/>
      <c r="XEI1390"/>
      <c r="XEJ1390"/>
      <c r="XEK1390"/>
      <c r="XEL1390"/>
      <c r="XEM1390"/>
      <c r="XEN1390"/>
      <c r="XEO1390"/>
      <c r="XEP1390"/>
      <c r="XEQ1390"/>
      <c r="XER1390"/>
      <c r="XES1390"/>
      <c r="XET1390"/>
      <c r="XEU1390"/>
      <c r="XEV1390"/>
      <c r="XEW1390"/>
      <c r="XEX1390"/>
      <c r="XEY1390"/>
      <c r="XEZ1390"/>
      <c r="XFA1390"/>
      <c r="XFB1390"/>
      <c r="XFC1390"/>
    </row>
    <row r="1391" spans="1:20 16329:16383" s="38" customFormat="1" ht="29.1" customHeight="1" outlineLevel="6" x14ac:dyDescent="0.25">
      <c r="A1391" s="49" t="s">
        <v>2505</v>
      </c>
      <c r="B1391" s="50"/>
      <c r="C1391" s="50"/>
      <c r="D1391" s="3" t="s">
        <v>2326</v>
      </c>
      <c r="E1391" s="3"/>
      <c r="F1391" s="51" t="s">
        <v>2252</v>
      </c>
      <c r="G1391" s="50" t="s">
        <v>29</v>
      </c>
      <c r="H1391" s="52">
        <f>1</f>
        <v>1</v>
      </c>
      <c r="I1391" s="36"/>
      <c r="J1391" s="52">
        <v>1</v>
      </c>
      <c r="K1391" s="53">
        <f>0</f>
        <v>0</v>
      </c>
      <c r="L1391" s="53">
        <f>0</f>
        <v>0</v>
      </c>
      <c r="M1391" s="53">
        <f>0</f>
        <v>0</v>
      </c>
      <c r="N1391" s="54">
        <f>SUM(K1391:M1391)</f>
        <v>0</v>
      </c>
      <c r="O1391" s="54">
        <f>ROUND((H1391*K1391),2)</f>
        <v>0</v>
      </c>
      <c r="P1391" s="54">
        <f>ROUND((H1391*L1391),2)</f>
        <v>0</v>
      </c>
      <c r="Q1391" s="54">
        <f>ROUND((H1391*M1391),2)</f>
        <v>0</v>
      </c>
      <c r="R1391" s="54">
        <f>ROUND((H1391*N1391),2)</f>
        <v>0</v>
      </c>
      <c r="S1391" s="54"/>
      <c r="T1391" s="36"/>
      <c r="XDA1391"/>
      <c r="XDB1391"/>
      <c r="XDC1391"/>
      <c r="XDD1391"/>
      <c r="XDE1391"/>
      <c r="XDF1391"/>
      <c r="XDG1391"/>
      <c r="XDH1391"/>
      <c r="XDI1391"/>
      <c r="XDJ1391"/>
      <c r="XDK1391"/>
      <c r="XDL1391"/>
      <c r="XDM1391"/>
      <c r="XDN1391"/>
      <c r="XDO1391"/>
      <c r="XDP1391"/>
      <c r="XDQ1391"/>
      <c r="XDR1391"/>
      <c r="XDS1391"/>
      <c r="XDT1391"/>
      <c r="XDU1391"/>
      <c r="XDV1391"/>
      <c r="XDW1391"/>
      <c r="XDX1391"/>
      <c r="XDY1391"/>
      <c r="XDZ1391"/>
      <c r="XEA1391"/>
      <c r="XEB1391"/>
      <c r="XEC1391"/>
      <c r="XED1391"/>
      <c r="XEE1391"/>
      <c r="XEF1391"/>
      <c r="XEG1391"/>
      <c r="XEH1391"/>
      <c r="XEI1391"/>
      <c r="XEJ1391"/>
      <c r="XEK1391"/>
      <c r="XEL1391"/>
      <c r="XEM1391"/>
      <c r="XEN1391"/>
      <c r="XEO1391"/>
      <c r="XEP1391"/>
      <c r="XEQ1391"/>
      <c r="XER1391"/>
      <c r="XES1391"/>
      <c r="XET1391"/>
      <c r="XEU1391"/>
      <c r="XEV1391"/>
      <c r="XEW1391"/>
      <c r="XEX1391"/>
      <c r="XEY1391"/>
      <c r="XEZ1391"/>
      <c r="XFA1391"/>
      <c r="XFB1391"/>
      <c r="XFC1391"/>
    </row>
    <row r="1392" spans="1:20 16329:16383" s="38" customFormat="1" ht="29.1" customHeight="1" outlineLevel="4" x14ac:dyDescent="0.25">
      <c r="A1392" s="60" t="s">
        <v>2506</v>
      </c>
      <c r="B1392" s="61" t="s">
        <v>2507</v>
      </c>
      <c r="C1392" s="61" t="s">
        <v>2382</v>
      </c>
      <c r="D1392" s="1" t="s">
        <v>2508</v>
      </c>
      <c r="E1392" s="1"/>
      <c r="F1392" s="62"/>
      <c r="G1392" s="61" t="s">
        <v>102</v>
      </c>
      <c r="H1392" s="63"/>
      <c r="I1392" s="36"/>
      <c r="J1392" s="63"/>
      <c r="K1392" s="64"/>
      <c r="L1392" s="64"/>
      <c r="M1392" s="64"/>
      <c r="N1392" s="64"/>
      <c r="O1392" s="64">
        <f>O1393+O1401+O1408+O1417</f>
        <v>0</v>
      </c>
      <c r="P1392" s="64">
        <f>P1393+P1401+P1408+P1417</f>
        <v>0</v>
      </c>
      <c r="Q1392" s="64">
        <f>Q1393+Q1401+Q1408+Q1417</f>
        <v>0</v>
      </c>
      <c r="R1392" s="64">
        <f>R1393+R1401+R1408+R1417</f>
        <v>0</v>
      </c>
      <c r="S1392" s="64"/>
      <c r="T1392" s="36"/>
      <c r="XDA1392"/>
      <c r="XDB1392"/>
      <c r="XDC1392"/>
      <c r="XDD1392"/>
      <c r="XDE1392"/>
      <c r="XDF1392"/>
      <c r="XDG1392"/>
      <c r="XDH1392"/>
      <c r="XDI1392"/>
      <c r="XDJ1392"/>
      <c r="XDK1392"/>
      <c r="XDL1392"/>
      <c r="XDM1392"/>
      <c r="XDN1392"/>
      <c r="XDO1392"/>
      <c r="XDP1392"/>
      <c r="XDQ1392"/>
      <c r="XDR1392"/>
      <c r="XDS1392"/>
      <c r="XDT1392"/>
      <c r="XDU1392"/>
      <c r="XDV1392"/>
      <c r="XDW1392"/>
      <c r="XDX1392"/>
      <c r="XDY1392"/>
      <c r="XDZ1392"/>
      <c r="XEA1392"/>
      <c r="XEB1392"/>
      <c r="XEC1392"/>
      <c r="XED1392"/>
      <c r="XEE1392"/>
      <c r="XEF1392"/>
      <c r="XEG1392"/>
      <c r="XEH1392"/>
      <c r="XEI1392"/>
      <c r="XEJ1392"/>
      <c r="XEK1392"/>
      <c r="XEL1392"/>
      <c r="XEM1392"/>
      <c r="XEN1392"/>
      <c r="XEO1392"/>
      <c r="XEP1392"/>
      <c r="XEQ1392"/>
      <c r="XER1392"/>
      <c r="XES1392"/>
      <c r="XET1392"/>
      <c r="XEU1392"/>
      <c r="XEV1392"/>
      <c r="XEW1392"/>
      <c r="XEX1392"/>
      <c r="XEY1392"/>
      <c r="XEZ1392"/>
      <c r="XFA1392"/>
      <c r="XFB1392"/>
      <c r="XFC1392"/>
    </row>
    <row r="1393" spans="1:20 16329:16383" s="38" customFormat="1" ht="29.1" customHeight="1" outlineLevel="5" x14ac:dyDescent="0.25">
      <c r="A1393" s="65" t="s">
        <v>2509</v>
      </c>
      <c r="B1393" s="66" t="s">
        <v>2510</v>
      </c>
      <c r="C1393" s="66"/>
      <c r="D1393" s="98" t="s">
        <v>1873</v>
      </c>
      <c r="E1393" s="98"/>
      <c r="F1393" s="67"/>
      <c r="G1393" s="66"/>
      <c r="H1393" s="68"/>
      <c r="I1393" s="36"/>
      <c r="J1393" s="68"/>
      <c r="K1393" s="69"/>
      <c r="L1393" s="69"/>
      <c r="M1393" s="69"/>
      <c r="N1393" s="69"/>
      <c r="O1393" s="69">
        <f>SUM(O1394:O1400)</f>
        <v>0</v>
      </c>
      <c r="P1393" s="69">
        <f>SUM(P1394:P1400)</f>
        <v>0</v>
      </c>
      <c r="Q1393" s="69">
        <f>SUM(Q1394:Q1400)</f>
        <v>0</v>
      </c>
      <c r="R1393" s="69">
        <f>SUM(R1394:R1400)</f>
        <v>0</v>
      </c>
      <c r="S1393" s="69"/>
      <c r="T1393" s="36"/>
      <c r="XDA1393"/>
      <c r="XDB1393"/>
      <c r="XDC1393"/>
      <c r="XDD1393"/>
      <c r="XDE1393"/>
      <c r="XDF1393"/>
      <c r="XDG1393"/>
      <c r="XDH1393"/>
      <c r="XDI1393"/>
      <c r="XDJ1393"/>
      <c r="XDK1393"/>
      <c r="XDL1393"/>
      <c r="XDM1393"/>
      <c r="XDN1393"/>
      <c r="XDO1393"/>
      <c r="XDP1393"/>
      <c r="XDQ1393"/>
      <c r="XDR1393"/>
      <c r="XDS1393"/>
      <c r="XDT1393"/>
      <c r="XDU1393"/>
      <c r="XDV1393"/>
      <c r="XDW1393"/>
      <c r="XDX1393"/>
      <c r="XDY1393"/>
      <c r="XDZ1393"/>
      <c r="XEA1393"/>
      <c r="XEB1393"/>
      <c r="XEC1393"/>
      <c r="XED1393"/>
      <c r="XEE1393"/>
      <c r="XEF1393"/>
      <c r="XEG1393"/>
      <c r="XEH1393"/>
      <c r="XEI1393"/>
      <c r="XEJ1393"/>
      <c r="XEK1393"/>
      <c r="XEL1393"/>
      <c r="XEM1393"/>
      <c r="XEN1393"/>
      <c r="XEO1393"/>
      <c r="XEP1393"/>
      <c r="XEQ1393"/>
      <c r="XER1393"/>
      <c r="XES1393"/>
      <c r="XET1393"/>
      <c r="XEU1393"/>
      <c r="XEV1393"/>
      <c r="XEW1393"/>
      <c r="XEX1393"/>
      <c r="XEY1393"/>
      <c r="XEZ1393"/>
      <c r="XFA1393"/>
      <c r="XFB1393"/>
      <c r="XFC1393"/>
    </row>
    <row r="1394" spans="1:20 16329:16383" s="38" customFormat="1" ht="29.1" customHeight="1" outlineLevel="6" x14ac:dyDescent="0.25">
      <c r="A1394" s="49" t="s">
        <v>2511</v>
      </c>
      <c r="B1394" s="50"/>
      <c r="C1394" s="50"/>
      <c r="D1394" s="3" t="s">
        <v>2387</v>
      </c>
      <c r="E1394" s="3"/>
      <c r="F1394" s="51"/>
      <c r="G1394" s="50" t="s">
        <v>102</v>
      </c>
      <c r="H1394" s="52">
        <f>1</f>
        <v>1</v>
      </c>
      <c r="I1394" s="36"/>
      <c r="J1394" s="52">
        <v>1</v>
      </c>
      <c r="K1394" s="53">
        <f>0</f>
        <v>0</v>
      </c>
      <c r="L1394" s="53">
        <f>0</f>
        <v>0</v>
      </c>
      <c r="M1394" s="53">
        <f>0</f>
        <v>0</v>
      </c>
      <c r="N1394" s="54">
        <f t="shared" ref="N1394:N1400" si="229">SUM(K1394:M1394)</f>
        <v>0</v>
      </c>
      <c r="O1394" s="54">
        <f t="shared" ref="O1394:O1400" si="230">ROUND((H1394*K1394),2)</f>
        <v>0</v>
      </c>
      <c r="P1394" s="54">
        <f t="shared" ref="P1394:P1400" si="231">ROUND((H1394*L1394),2)</f>
        <v>0</v>
      </c>
      <c r="Q1394" s="54">
        <f t="shared" ref="Q1394:Q1400" si="232">ROUND((H1394*M1394),2)</f>
        <v>0</v>
      </c>
      <c r="R1394" s="54">
        <f t="shared" ref="R1394:R1400" si="233">ROUND((H1394*N1394),2)</f>
        <v>0</v>
      </c>
      <c r="S1394" s="54"/>
      <c r="T1394" s="36"/>
      <c r="XDA1394"/>
      <c r="XDB1394"/>
      <c r="XDC1394"/>
      <c r="XDD1394"/>
      <c r="XDE1394"/>
      <c r="XDF1394"/>
      <c r="XDG1394"/>
      <c r="XDH1394"/>
      <c r="XDI1394"/>
      <c r="XDJ1394"/>
      <c r="XDK1394"/>
      <c r="XDL1394"/>
      <c r="XDM1394"/>
      <c r="XDN1394"/>
      <c r="XDO1394"/>
      <c r="XDP1394"/>
      <c r="XDQ1394"/>
      <c r="XDR1394"/>
      <c r="XDS1394"/>
      <c r="XDT1394"/>
      <c r="XDU1394"/>
      <c r="XDV1394"/>
      <c r="XDW1394"/>
      <c r="XDX1394"/>
      <c r="XDY1394"/>
      <c r="XDZ1394"/>
      <c r="XEA1394"/>
      <c r="XEB1394"/>
      <c r="XEC1394"/>
      <c r="XED1394"/>
      <c r="XEE1394"/>
      <c r="XEF1394"/>
      <c r="XEG1394"/>
      <c r="XEH1394"/>
      <c r="XEI1394"/>
      <c r="XEJ1394"/>
      <c r="XEK1394"/>
      <c r="XEL1394"/>
      <c r="XEM1394"/>
      <c r="XEN1394"/>
      <c r="XEO1394"/>
      <c r="XEP1394"/>
      <c r="XEQ1394"/>
      <c r="XER1394"/>
      <c r="XES1394"/>
      <c r="XET1394"/>
      <c r="XEU1394"/>
      <c r="XEV1394"/>
      <c r="XEW1394"/>
      <c r="XEX1394"/>
      <c r="XEY1394"/>
      <c r="XEZ1394"/>
      <c r="XFA1394"/>
      <c r="XFB1394"/>
      <c r="XFC1394"/>
    </row>
    <row r="1395" spans="1:20 16329:16383" s="38" customFormat="1" ht="29.1" customHeight="1" outlineLevel="6" x14ac:dyDescent="0.25">
      <c r="A1395" s="49" t="s">
        <v>2512</v>
      </c>
      <c r="B1395" s="50"/>
      <c r="C1395" s="50"/>
      <c r="D1395" s="3" t="s">
        <v>1875</v>
      </c>
      <c r="E1395" s="3"/>
      <c r="F1395" s="51"/>
      <c r="G1395" s="50" t="s">
        <v>102</v>
      </c>
      <c r="H1395" s="52">
        <f>1</f>
        <v>1</v>
      </c>
      <c r="I1395" s="36"/>
      <c r="J1395" s="52">
        <v>1</v>
      </c>
      <c r="K1395" s="53">
        <f>0</f>
        <v>0</v>
      </c>
      <c r="L1395" s="53">
        <f>0</f>
        <v>0</v>
      </c>
      <c r="M1395" s="53">
        <f>0</f>
        <v>0</v>
      </c>
      <c r="N1395" s="54">
        <f t="shared" si="229"/>
        <v>0</v>
      </c>
      <c r="O1395" s="54">
        <f t="shared" si="230"/>
        <v>0</v>
      </c>
      <c r="P1395" s="54">
        <f t="shared" si="231"/>
        <v>0</v>
      </c>
      <c r="Q1395" s="54">
        <f t="shared" si="232"/>
        <v>0</v>
      </c>
      <c r="R1395" s="54">
        <f t="shared" si="233"/>
        <v>0</v>
      </c>
      <c r="S1395" s="54"/>
      <c r="T1395" s="36"/>
      <c r="XDA1395"/>
      <c r="XDB1395"/>
      <c r="XDC1395"/>
      <c r="XDD1395"/>
      <c r="XDE1395"/>
      <c r="XDF1395"/>
      <c r="XDG1395"/>
      <c r="XDH1395"/>
      <c r="XDI1395"/>
      <c r="XDJ1395"/>
      <c r="XDK1395"/>
      <c r="XDL1395"/>
      <c r="XDM1395"/>
      <c r="XDN1395"/>
      <c r="XDO1395"/>
      <c r="XDP1395"/>
      <c r="XDQ1395"/>
      <c r="XDR1395"/>
      <c r="XDS1395"/>
      <c r="XDT1395"/>
      <c r="XDU1395"/>
      <c r="XDV1395"/>
      <c r="XDW1395"/>
      <c r="XDX1395"/>
      <c r="XDY1395"/>
      <c r="XDZ1395"/>
      <c r="XEA1395"/>
      <c r="XEB1395"/>
      <c r="XEC1395"/>
      <c r="XED1395"/>
      <c r="XEE1395"/>
      <c r="XEF1395"/>
      <c r="XEG1395"/>
      <c r="XEH1395"/>
      <c r="XEI1395"/>
      <c r="XEJ1395"/>
      <c r="XEK1395"/>
      <c r="XEL1395"/>
      <c r="XEM1395"/>
      <c r="XEN1395"/>
      <c r="XEO1395"/>
      <c r="XEP1395"/>
      <c r="XEQ1395"/>
      <c r="XER1395"/>
      <c r="XES1395"/>
      <c r="XET1395"/>
      <c r="XEU1395"/>
      <c r="XEV1395"/>
      <c r="XEW1395"/>
      <c r="XEX1395"/>
      <c r="XEY1395"/>
      <c r="XEZ1395"/>
      <c r="XFA1395"/>
      <c r="XFB1395"/>
      <c r="XFC1395"/>
    </row>
    <row r="1396" spans="1:20 16329:16383" s="38" customFormat="1" ht="29.1" customHeight="1" outlineLevel="6" x14ac:dyDescent="0.25">
      <c r="A1396" s="49" t="s">
        <v>2513</v>
      </c>
      <c r="B1396" s="50"/>
      <c r="C1396" s="50"/>
      <c r="D1396" s="3" t="s">
        <v>2390</v>
      </c>
      <c r="E1396" s="3"/>
      <c r="F1396" s="51"/>
      <c r="G1396" s="50" t="s">
        <v>102</v>
      </c>
      <c r="H1396" s="52">
        <f>1</f>
        <v>1</v>
      </c>
      <c r="I1396" s="36"/>
      <c r="J1396" s="52">
        <v>1</v>
      </c>
      <c r="K1396" s="53">
        <f>0</f>
        <v>0</v>
      </c>
      <c r="L1396" s="53">
        <f>0</f>
        <v>0</v>
      </c>
      <c r="M1396" s="53">
        <f>0</f>
        <v>0</v>
      </c>
      <c r="N1396" s="54">
        <f t="shared" si="229"/>
        <v>0</v>
      </c>
      <c r="O1396" s="54">
        <f t="shared" si="230"/>
        <v>0</v>
      </c>
      <c r="P1396" s="54">
        <f t="shared" si="231"/>
        <v>0</v>
      </c>
      <c r="Q1396" s="54">
        <f t="shared" si="232"/>
        <v>0</v>
      </c>
      <c r="R1396" s="54">
        <f t="shared" si="233"/>
        <v>0</v>
      </c>
      <c r="S1396" s="54"/>
      <c r="T1396" s="36"/>
      <c r="XDA1396"/>
      <c r="XDB1396"/>
      <c r="XDC1396"/>
      <c r="XDD1396"/>
      <c r="XDE1396"/>
      <c r="XDF1396"/>
      <c r="XDG1396"/>
      <c r="XDH1396"/>
      <c r="XDI1396"/>
      <c r="XDJ1396"/>
      <c r="XDK1396"/>
      <c r="XDL1396"/>
      <c r="XDM1396"/>
      <c r="XDN1396"/>
      <c r="XDO1396"/>
      <c r="XDP1396"/>
      <c r="XDQ1396"/>
      <c r="XDR1396"/>
      <c r="XDS1396"/>
      <c r="XDT1396"/>
      <c r="XDU1396"/>
      <c r="XDV1396"/>
      <c r="XDW1396"/>
      <c r="XDX1396"/>
      <c r="XDY1396"/>
      <c r="XDZ1396"/>
      <c r="XEA1396"/>
      <c r="XEB1396"/>
      <c r="XEC1396"/>
      <c r="XED1396"/>
      <c r="XEE1396"/>
      <c r="XEF1396"/>
      <c r="XEG1396"/>
      <c r="XEH1396"/>
      <c r="XEI1396"/>
      <c r="XEJ1396"/>
      <c r="XEK1396"/>
      <c r="XEL1396"/>
      <c r="XEM1396"/>
      <c r="XEN1396"/>
      <c r="XEO1396"/>
      <c r="XEP1396"/>
      <c r="XEQ1396"/>
      <c r="XER1396"/>
      <c r="XES1396"/>
      <c r="XET1396"/>
      <c r="XEU1396"/>
      <c r="XEV1396"/>
      <c r="XEW1396"/>
      <c r="XEX1396"/>
      <c r="XEY1396"/>
      <c r="XEZ1396"/>
      <c r="XFA1396"/>
      <c r="XFB1396"/>
      <c r="XFC1396"/>
    </row>
    <row r="1397" spans="1:20 16329:16383" s="38" customFormat="1" ht="29.1" customHeight="1" outlineLevel="6" x14ac:dyDescent="0.25">
      <c r="A1397" s="49" t="s">
        <v>2514</v>
      </c>
      <c r="B1397" s="50"/>
      <c r="C1397" s="50"/>
      <c r="D1397" s="3" t="s">
        <v>2392</v>
      </c>
      <c r="E1397" s="3"/>
      <c r="F1397" s="51"/>
      <c r="G1397" s="50" t="s">
        <v>102</v>
      </c>
      <c r="H1397" s="52">
        <f>1</f>
        <v>1</v>
      </c>
      <c r="I1397" s="36"/>
      <c r="J1397" s="52">
        <v>1</v>
      </c>
      <c r="K1397" s="53">
        <f>0</f>
        <v>0</v>
      </c>
      <c r="L1397" s="53">
        <f>0</f>
        <v>0</v>
      </c>
      <c r="M1397" s="53">
        <f>0</f>
        <v>0</v>
      </c>
      <c r="N1397" s="54">
        <f t="shared" si="229"/>
        <v>0</v>
      </c>
      <c r="O1397" s="54">
        <f t="shared" si="230"/>
        <v>0</v>
      </c>
      <c r="P1397" s="54">
        <f t="shared" si="231"/>
        <v>0</v>
      </c>
      <c r="Q1397" s="54">
        <f t="shared" si="232"/>
        <v>0</v>
      </c>
      <c r="R1397" s="54">
        <f t="shared" si="233"/>
        <v>0</v>
      </c>
      <c r="S1397" s="54"/>
      <c r="T1397" s="36"/>
      <c r="XDA1397"/>
      <c r="XDB1397"/>
      <c r="XDC1397"/>
      <c r="XDD1397"/>
      <c r="XDE1397"/>
      <c r="XDF1397"/>
      <c r="XDG1397"/>
      <c r="XDH1397"/>
      <c r="XDI1397"/>
      <c r="XDJ1397"/>
      <c r="XDK1397"/>
      <c r="XDL1397"/>
      <c r="XDM1397"/>
      <c r="XDN1397"/>
      <c r="XDO1397"/>
      <c r="XDP1397"/>
      <c r="XDQ1397"/>
      <c r="XDR1397"/>
      <c r="XDS1397"/>
      <c r="XDT1397"/>
      <c r="XDU1397"/>
      <c r="XDV1397"/>
      <c r="XDW1397"/>
      <c r="XDX1397"/>
      <c r="XDY1397"/>
      <c r="XDZ1397"/>
      <c r="XEA1397"/>
      <c r="XEB1397"/>
      <c r="XEC1397"/>
      <c r="XED1397"/>
      <c r="XEE1397"/>
      <c r="XEF1397"/>
      <c r="XEG1397"/>
      <c r="XEH1397"/>
      <c r="XEI1397"/>
      <c r="XEJ1397"/>
      <c r="XEK1397"/>
      <c r="XEL1397"/>
      <c r="XEM1397"/>
      <c r="XEN1397"/>
      <c r="XEO1397"/>
      <c r="XEP1397"/>
      <c r="XEQ1397"/>
      <c r="XER1397"/>
      <c r="XES1397"/>
      <c r="XET1397"/>
      <c r="XEU1397"/>
      <c r="XEV1397"/>
      <c r="XEW1397"/>
      <c r="XEX1397"/>
      <c r="XEY1397"/>
      <c r="XEZ1397"/>
      <c r="XFA1397"/>
      <c r="XFB1397"/>
      <c r="XFC1397"/>
    </row>
    <row r="1398" spans="1:20 16329:16383" s="38" customFormat="1" ht="29.1" customHeight="1" outlineLevel="6" x14ac:dyDescent="0.25">
      <c r="A1398" s="49" t="s">
        <v>2515</v>
      </c>
      <c r="B1398" s="50"/>
      <c r="C1398" s="50"/>
      <c r="D1398" s="3" t="s">
        <v>2394</v>
      </c>
      <c r="E1398" s="3"/>
      <c r="F1398" s="51"/>
      <c r="G1398" s="50" t="s">
        <v>102</v>
      </c>
      <c r="H1398" s="52">
        <f>1</f>
        <v>1</v>
      </c>
      <c r="I1398" s="36"/>
      <c r="J1398" s="52">
        <v>1</v>
      </c>
      <c r="K1398" s="53">
        <f>0</f>
        <v>0</v>
      </c>
      <c r="L1398" s="53">
        <f>0</f>
        <v>0</v>
      </c>
      <c r="M1398" s="53">
        <f>0</f>
        <v>0</v>
      </c>
      <c r="N1398" s="54">
        <f t="shared" si="229"/>
        <v>0</v>
      </c>
      <c r="O1398" s="54">
        <f t="shared" si="230"/>
        <v>0</v>
      </c>
      <c r="P1398" s="54">
        <f t="shared" si="231"/>
        <v>0</v>
      </c>
      <c r="Q1398" s="54">
        <f t="shared" si="232"/>
        <v>0</v>
      </c>
      <c r="R1398" s="54">
        <f t="shared" si="233"/>
        <v>0</v>
      </c>
      <c r="S1398" s="54"/>
      <c r="T1398" s="36"/>
      <c r="XDA1398"/>
      <c r="XDB1398"/>
      <c r="XDC1398"/>
      <c r="XDD1398"/>
      <c r="XDE1398"/>
      <c r="XDF1398"/>
      <c r="XDG1398"/>
      <c r="XDH1398"/>
      <c r="XDI1398"/>
      <c r="XDJ1398"/>
      <c r="XDK1398"/>
      <c r="XDL1398"/>
      <c r="XDM1398"/>
      <c r="XDN1398"/>
      <c r="XDO1398"/>
      <c r="XDP1398"/>
      <c r="XDQ1398"/>
      <c r="XDR1398"/>
      <c r="XDS1398"/>
      <c r="XDT1398"/>
      <c r="XDU1398"/>
      <c r="XDV1398"/>
      <c r="XDW1398"/>
      <c r="XDX1398"/>
      <c r="XDY1398"/>
      <c r="XDZ1398"/>
      <c r="XEA1398"/>
      <c r="XEB1398"/>
      <c r="XEC1398"/>
      <c r="XED1398"/>
      <c r="XEE1398"/>
      <c r="XEF1398"/>
      <c r="XEG1398"/>
      <c r="XEH1398"/>
      <c r="XEI1398"/>
      <c r="XEJ1398"/>
      <c r="XEK1398"/>
      <c r="XEL1398"/>
      <c r="XEM1398"/>
      <c r="XEN1398"/>
      <c r="XEO1398"/>
      <c r="XEP1398"/>
      <c r="XEQ1398"/>
      <c r="XER1398"/>
      <c r="XES1398"/>
      <c r="XET1398"/>
      <c r="XEU1398"/>
      <c r="XEV1398"/>
      <c r="XEW1398"/>
      <c r="XEX1398"/>
      <c r="XEY1398"/>
      <c r="XEZ1398"/>
      <c r="XFA1398"/>
      <c r="XFB1398"/>
      <c r="XFC1398"/>
    </row>
    <row r="1399" spans="1:20 16329:16383" s="38" customFormat="1" ht="29.1" customHeight="1" outlineLevel="6" x14ac:dyDescent="0.25">
      <c r="A1399" s="49" t="s">
        <v>2516</v>
      </c>
      <c r="B1399" s="50"/>
      <c r="C1399" s="50"/>
      <c r="D1399" s="3" t="s">
        <v>2194</v>
      </c>
      <c r="E1399" s="3"/>
      <c r="F1399" s="51"/>
      <c r="G1399" s="50" t="s">
        <v>102</v>
      </c>
      <c r="H1399" s="52">
        <f>1</f>
        <v>1</v>
      </c>
      <c r="I1399" s="36"/>
      <c r="J1399" s="52">
        <v>1</v>
      </c>
      <c r="K1399" s="53">
        <f>0</f>
        <v>0</v>
      </c>
      <c r="L1399" s="53">
        <f>0</f>
        <v>0</v>
      </c>
      <c r="M1399" s="53">
        <f>0</f>
        <v>0</v>
      </c>
      <c r="N1399" s="54">
        <f t="shared" si="229"/>
        <v>0</v>
      </c>
      <c r="O1399" s="54">
        <f t="shared" si="230"/>
        <v>0</v>
      </c>
      <c r="P1399" s="54">
        <f t="shared" si="231"/>
        <v>0</v>
      </c>
      <c r="Q1399" s="54">
        <f t="shared" si="232"/>
        <v>0</v>
      </c>
      <c r="R1399" s="54">
        <f t="shared" si="233"/>
        <v>0</v>
      </c>
      <c r="S1399" s="54"/>
      <c r="T1399" s="36"/>
      <c r="XDA1399"/>
      <c r="XDB1399"/>
      <c r="XDC1399"/>
      <c r="XDD1399"/>
      <c r="XDE1399"/>
      <c r="XDF1399"/>
      <c r="XDG1399"/>
      <c r="XDH1399"/>
      <c r="XDI1399"/>
      <c r="XDJ1399"/>
      <c r="XDK1399"/>
      <c r="XDL1399"/>
      <c r="XDM1399"/>
      <c r="XDN1399"/>
      <c r="XDO1399"/>
      <c r="XDP1399"/>
      <c r="XDQ1399"/>
      <c r="XDR1399"/>
      <c r="XDS1399"/>
      <c r="XDT1399"/>
      <c r="XDU1399"/>
      <c r="XDV1399"/>
      <c r="XDW1399"/>
      <c r="XDX1399"/>
      <c r="XDY1399"/>
      <c r="XDZ1399"/>
      <c r="XEA1399"/>
      <c r="XEB1399"/>
      <c r="XEC1399"/>
      <c r="XED1399"/>
      <c r="XEE1399"/>
      <c r="XEF1399"/>
      <c r="XEG1399"/>
      <c r="XEH1399"/>
      <c r="XEI1399"/>
      <c r="XEJ1399"/>
      <c r="XEK1399"/>
      <c r="XEL1399"/>
      <c r="XEM1399"/>
      <c r="XEN1399"/>
      <c r="XEO1399"/>
      <c r="XEP1399"/>
      <c r="XEQ1399"/>
      <c r="XER1399"/>
      <c r="XES1399"/>
      <c r="XET1399"/>
      <c r="XEU1399"/>
      <c r="XEV1399"/>
      <c r="XEW1399"/>
      <c r="XEX1399"/>
      <c r="XEY1399"/>
      <c r="XEZ1399"/>
      <c r="XFA1399"/>
      <c r="XFB1399"/>
      <c r="XFC1399"/>
    </row>
    <row r="1400" spans="1:20 16329:16383" s="38" customFormat="1" ht="29.1" customHeight="1" outlineLevel="6" x14ac:dyDescent="0.25">
      <c r="A1400" s="49" t="s">
        <v>2517</v>
      </c>
      <c r="B1400" s="50"/>
      <c r="C1400" s="50"/>
      <c r="D1400" s="3" t="s">
        <v>2206</v>
      </c>
      <c r="E1400" s="3"/>
      <c r="F1400" s="51"/>
      <c r="G1400" s="50" t="s">
        <v>194</v>
      </c>
      <c r="H1400" s="52">
        <f>1</f>
        <v>1</v>
      </c>
      <c r="I1400" s="36"/>
      <c r="J1400" s="52">
        <v>1</v>
      </c>
      <c r="K1400" s="53">
        <f>0</f>
        <v>0</v>
      </c>
      <c r="L1400" s="53">
        <f>0</f>
        <v>0</v>
      </c>
      <c r="M1400" s="53">
        <f>0</f>
        <v>0</v>
      </c>
      <c r="N1400" s="54">
        <f t="shared" si="229"/>
        <v>0</v>
      </c>
      <c r="O1400" s="54">
        <f t="shared" si="230"/>
        <v>0</v>
      </c>
      <c r="P1400" s="54">
        <f t="shared" si="231"/>
        <v>0</v>
      </c>
      <c r="Q1400" s="54">
        <f t="shared" si="232"/>
        <v>0</v>
      </c>
      <c r="R1400" s="54">
        <f t="shared" si="233"/>
        <v>0</v>
      </c>
      <c r="S1400" s="54"/>
      <c r="T1400" s="36"/>
      <c r="XDA1400"/>
      <c r="XDB1400"/>
      <c r="XDC1400"/>
      <c r="XDD1400"/>
      <c r="XDE1400"/>
      <c r="XDF1400"/>
      <c r="XDG1400"/>
      <c r="XDH1400"/>
      <c r="XDI1400"/>
      <c r="XDJ1400"/>
      <c r="XDK1400"/>
      <c r="XDL1400"/>
      <c r="XDM1400"/>
      <c r="XDN1400"/>
      <c r="XDO1400"/>
      <c r="XDP1400"/>
      <c r="XDQ1400"/>
      <c r="XDR1400"/>
      <c r="XDS1400"/>
      <c r="XDT1400"/>
      <c r="XDU1400"/>
      <c r="XDV1400"/>
      <c r="XDW1400"/>
      <c r="XDX1400"/>
      <c r="XDY1400"/>
      <c r="XDZ1400"/>
      <c r="XEA1400"/>
      <c r="XEB1400"/>
      <c r="XEC1400"/>
      <c r="XED1400"/>
      <c r="XEE1400"/>
      <c r="XEF1400"/>
      <c r="XEG1400"/>
      <c r="XEH1400"/>
      <c r="XEI1400"/>
      <c r="XEJ1400"/>
      <c r="XEK1400"/>
      <c r="XEL1400"/>
      <c r="XEM1400"/>
      <c r="XEN1400"/>
      <c r="XEO1400"/>
      <c r="XEP1400"/>
      <c r="XEQ1400"/>
      <c r="XER1400"/>
      <c r="XES1400"/>
      <c r="XET1400"/>
      <c r="XEU1400"/>
      <c r="XEV1400"/>
      <c r="XEW1400"/>
      <c r="XEX1400"/>
      <c r="XEY1400"/>
      <c r="XEZ1400"/>
      <c r="XFA1400"/>
      <c r="XFB1400"/>
      <c r="XFC1400"/>
    </row>
    <row r="1401" spans="1:20 16329:16383" s="38" customFormat="1" ht="29.1" customHeight="1" outlineLevel="5" x14ac:dyDescent="0.25">
      <c r="A1401" s="65" t="s">
        <v>2518</v>
      </c>
      <c r="B1401" s="66" t="s">
        <v>2519</v>
      </c>
      <c r="C1401" s="66"/>
      <c r="D1401" s="98" t="s">
        <v>344</v>
      </c>
      <c r="E1401" s="98"/>
      <c r="F1401" s="67"/>
      <c r="G1401" s="66"/>
      <c r="H1401" s="68"/>
      <c r="I1401" s="36"/>
      <c r="J1401" s="68"/>
      <c r="K1401" s="69"/>
      <c r="L1401" s="69"/>
      <c r="M1401" s="69"/>
      <c r="N1401" s="69"/>
      <c r="O1401" s="69">
        <f>SUM(O1402:O1407)</f>
        <v>0</v>
      </c>
      <c r="P1401" s="69">
        <f>SUM(P1402:P1407)</f>
        <v>0</v>
      </c>
      <c r="Q1401" s="69">
        <f>SUM(Q1402:Q1407)</f>
        <v>0</v>
      </c>
      <c r="R1401" s="69">
        <f>SUM(R1402:R1407)</f>
        <v>0</v>
      </c>
      <c r="S1401" s="69"/>
      <c r="T1401" s="36"/>
      <c r="XDA1401"/>
      <c r="XDB1401"/>
      <c r="XDC1401"/>
      <c r="XDD1401"/>
      <c r="XDE1401"/>
      <c r="XDF1401"/>
      <c r="XDG1401"/>
      <c r="XDH1401"/>
      <c r="XDI1401"/>
      <c r="XDJ1401"/>
      <c r="XDK1401"/>
      <c r="XDL1401"/>
      <c r="XDM1401"/>
      <c r="XDN1401"/>
      <c r="XDO1401"/>
      <c r="XDP1401"/>
      <c r="XDQ1401"/>
      <c r="XDR1401"/>
      <c r="XDS1401"/>
      <c r="XDT1401"/>
      <c r="XDU1401"/>
      <c r="XDV1401"/>
      <c r="XDW1401"/>
      <c r="XDX1401"/>
      <c r="XDY1401"/>
      <c r="XDZ1401"/>
      <c r="XEA1401"/>
      <c r="XEB1401"/>
      <c r="XEC1401"/>
      <c r="XED1401"/>
      <c r="XEE1401"/>
      <c r="XEF1401"/>
      <c r="XEG1401"/>
      <c r="XEH1401"/>
      <c r="XEI1401"/>
      <c r="XEJ1401"/>
      <c r="XEK1401"/>
      <c r="XEL1401"/>
      <c r="XEM1401"/>
      <c r="XEN1401"/>
      <c r="XEO1401"/>
      <c r="XEP1401"/>
      <c r="XEQ1401"/>
      <c r="XER1401"/>
      <c r="XES1401"/>
      <c r="XET1401"/>
      <c r="XEU1401"/>
      <c r="XEV1401"/>
      <c r="XEW1401"/>
      <c r="XEX1401"/>
      <c r="XEY1401"/>
      <c r="XEZ1401"/>
      <c r="XFA1401"/>
      <c r="XFB1401"/>
      <c r="XFC1401"/>
    </row>
    <row r="1402" spans="1:20 16329:16383" s="38" customFormat="1" ht="29.1" customHeight="1" outlineLevel="6" x14ac:dyDescent="0.25">
      <c r="A1402" s="49" t="s">
        <v>2520</v>
      </c>
      <c r="B1402" s="50"/>
      <c r="C1402" s="50"/>
      <c r="D1402" s="3" t="s">
        <v>1886</v>
      </c>
      <c r="E1402" s="3"/>
      <c r="F1402" s="51"/>
      <c r="G1402" s="50" t="s">
        <v>102</v>
      </c>
      <c r="H1402" s="52">
        <f>1</f>
        <v>1</v>
      </c>
      <c r="I1402" s="36"/>
      <c r="J1402" s="52">
        <v>1</v>
      </c>
      <c r="K1402" s="53">
        <f>0</f>
        <v>0</v>
      </c>
      <c r="L1402" s="53">
        <f>0</f>
        <v>0</v>
      </c>
      <c r="M1402" s="53">
        <f>0</f>
        <v>0</v>
      </c>
      <c r="N1402" s="54">
        <f t="shared" ref="N1402:N1407" si="234">SUM(K1402:M1402)</f>
        <v>0</v>
      </c>
      <c r="O1402" s="54">
        <f t="shared" ref="O1402:O1407" si="235">ROUND((H1402*K1402),2)</f>
        <v>0</v>
      </c>
      <c r="P1402" s="54">
        <f t="shared" ref="P1402:P1407" si="236">ROUND((H1402*L1402),2)</f>
        <v>0</v>
      </c>
      <c r="Q1402" s="54">
        <f t="shared" ref="Q1402:Q1407" si="237">ROUND((H1402*M1402),2)</f>
        <v>0</v>
      </c>
      <c r="R1402" s="54">
        <f t="shared" ref="R1402:R1407" si="238">ROUND((H1402*N1402),2)</f>
        <v>0</v>
      </c>
      <c r="S1402" s="54"/>
      <c r="T1402" s="36"/>
      <c r="XDA1402"/>
      <c r="XDB1402"/>
      <c r="XDC1402"/>
      <c r="XDD1402"/>
      <c r="XDE1402"/>
      <c r="XDF1402"/>
      <c r="XDG1402"/>
      <c r="XDH1402"/>
      <c r="XDI1402"/>
      <c r="XDJ1402"/>
      <c r="XDK1402"/>
      <c r="XDL1402"/>
      <c r="XDM1402"/>
      <c r="XDN1402"/>
      <c r="XDO1402"/>
      <c r="XDP1402"/>
      <c r="XDQ1402"/>
      <c r="XDR1402"/>
      <c r="XDS1402"/>
      <c r="XDT1402"/>
      <c r="XDU1402"/>
      <c r="XDV1402"/>
      <c r="XDW1402"/>
      <c r="XDX1402"/>
      <c r="XDY1402"/>
      <c r="XDZ1402"/>
      <c r="XEA1402"/>
      <c r="XEB1402"/>
      <c r="XEC1402"/>
      <c r="XED1402"/>
      <c r="XEE1402"/>
      <c r="XEF1402"/>
      <c r="XEG1402"/>
      <c r="XEH1402"/>
      <c r="XEI1402"/>
      <c r="XEJ1402"/>
      <c r="XEK1402"/>
      <c r="XEL1402"/>
      <c r="XEM1402"/>
      <c r="XEN1402"/>
      <c r="XEO1402"/>
      <c r="XEP1402"/>
      <c r="XEQ1402"/>
      <c r="XER1402"/>
      <c r="XES1402"/>
      <c r="XET1402"/>
      <c r="XEU1402"/>
      <c r="XEV1402"/>
      <c r="XEW1402"/>
      <c r="XEX1402"/>
      <c r="XEY1402"/>
      <c r="XEZ1402"/>
      <c r="XFA1402"/>
      <c r="XFB1402"/>
      <c r="XFC1402"/>
    </row>
    <row r="1403" spans="1:20 16329:16383" s="38" customFormat="1" ht="29.1" customHeight="1" outlineLevel="6" x14ac:dyDescent="0.25">
      <c r="A1403" s="49" t="s">
        <v>2521</v>
      </c>
      <c r="B1403" s="50"/>
      <c r="C1403" s="50"/>
      <c r="D1403" s="3" t="s">
        <v>1890</v>
      </c>
      <c r="E1403" s="3"/>
      <c r="F1403" s="51"/>
      <c r="G1403" s="50" t="s">
        <v>102</v>
      </c>
      <c r="H1403" s="52">
        <f>1</f>
        <v>1</v>
      </c>
      <c r="I1403" s="36"/>
      <c r="J1403" s="52">
        <v>1</v>
      </c>
      <c r="K1403" s="53">
        <f>0</f>
        <v>0</v>
      </c>
      <c r="L1403" s="53">
        <f>0</f>
        <v>0</v>
      </c>
      <c r="M1403" s="53">
        <f>0</f>
        <v>0</v>
      </c>
      <c r="N1403" s="54">
        <f t="shared" si="234"/>
        <v>0</v>
      </c>
      <c r="O1403" s="54">
        <f t="shared" si="235"/>
        <v>0</v>
      </c>
      <c r="P1403" s="54">
        <f t="shared" si="236"/>
        <v>0</v>
      </c>
      <c r="Q1403" s="54">
        <f t="shared" si="237"/>
        <v>0</v>
      </c>
      <c r="R1403" s="54">
        <f t="shared" si="238"/>
        <v>0</v>
      </c>
      <c r="S1403" s="54"/>
      <c r="T1403" s="36"/>
      <c r="XDA1403"/>
      <c r="XDB1403"/>
      <c r="XDC1403"/>
      <c r="XDD1403"/>
      <c r="XDE1403"/>
      <c r="XDF1403"/>
      <c r="XDG1403"/>
      <c r="XDH1403"/>
      <c r="XDI1403"/>
      <c r="XDJ1403"/>
      <c r="XDK1403"/>
      <c r="XDL1403"/>
      <c r="XDM1403"/>
      <c r="XDN1403"/>
      <c r="XDO1403"/>
      <c r="XDP1403"/>
      <c r="XDQ1403"/>
      <c r="XDR1403"/>
      <c r="XDS1403"/>
      <c r="XDT1403"/>
      <c r="XDU1403"/>
      <c r="XDV1403"/>
      <c r="XDW1403"/>
      <c r="XDX1403"/>
      <c r="XDY1403"/>
      <c r="XDZ1403"/>
      <c r="XEA1403"/>
      <c r="XEB1403"/>
      <c r="XEC1403"/>
      <c r="XED1403"/>
      <c r="XEE1403"/>
      <c r="XEF1403"/>
      <c r="XEG1403"/>
      <c r="XEH1403"/>
      <c r="XEI1403"/>
      <c r="XEJ1403"/>
      <c r="XEK1403"/>
      <c r="XEL1403"/>
      <c r="XEM1403"/>
      <c r="XEN1403"/>
      <c r="XEO1403"/>
      <c r="XEP1403"/>
      <c r="XEQ1403"/>
      <c r="XER1403"/>
      <c r="XES1403"/>
      <c r="XET1403"/>
      <c r="XEU1403"/>
      <c r="XEV1403"/>
      <c r="XEW1403"/>
      <c r="XEX1403"/>
      <c r="XEY1403"/>
      <c r="XEZ1403"/>
      <c r="XFA1403"/>
      <c r="XFB1403"/>
      <c r="XFC1403"/>
    </row>
    <row r="1404" spans="1:20 16329:16383" s="38" customFormat="1" ht="29.1" customHeight="1" outlineLevel="6" x14ac:dyDescent="0.25">
      <c r="A1404" s="49" t="s">
        <v>2522</v>
      </c>
      <c r="B1404" s="50"/>
      <c r="C1404" s="50"/>
      <c r="D1404" s="3" t="s">
        <v>1888</v>
      </c>
      <c r="E1404" s="3"/>
      <c r="F1404" s="51"/>
      <c r="G1404" s="50" t="s">
        <v>102</v>
      </c>
      <c r="H1404" s="52">
        <f>1</f>
        <v>1</v>
      </c>
      <c r="I1404" s="36"/>
      <c r="J1404" s="52">
        <v>1</v>
      </c>
      <c r="K1404" s="53">
        <f>0</f>
        <v>0</v>
      </c>
      <c r="L1404" s="53">
        <f>0</f>
        <v>0</v>
      </c>
      <c r="M1404" s="53">
        <f>0</f>
        <v>0</v>
      </c>
      <c r="N1404" s="54">
        <f t="shared" si="234"/>
        <v>0</v>
      </c>
      <c r="O1404" s="54">
        <f t="shared" si="235"/>
        <v>0</v>
      </c>
      <c r="P1404" s="54">
        <f t="shared" si="236"/>
        <v>0</v>
      </c>
      <c r="Q1404" s="54">
        <f t="shared" si="237"/>
        <v>0</v>
      </c>
      <c r="R1404" s="54">
        <f t="shared" si="238"/>
        <v>0</v>
      </c>
      <c r="S1404" s="54"/>
      <c r="T1404" s="36"/>
      <c r="XDA1404"/>
      <c r="XDB1404"/>
      <c r="XDC1404"/>
      <c r="XDD1404"/>
      <c r="XDE1404"/>
      <c r="XDF1404"/>
      <c r="XDG1404"/>
      <c r="XDH1404"/>
      <c r="XDI1404"/>
      <c r="XDJ1404"/>
      <c r="XDK1404"/>
      <c r="XDL1404"/>
      <c r="XDM1404"/>
      <c r="XDN1404"/>
      <c r="XDO1404"/>
      <c r="XDP1404"/>
      <c r="XDQ1404"/>
      <c r="XDR1404"/>
      <c r="XDS1404"/>
      <c r="XDT1404"/>
      <c r="XDU1404"/>
      <c r="XDV1404"/>
      <c r="XDW1404"/>
      <c r="XDX1404"/>
      <c r="XDY1404"/>
      <c r="XDZ1404"/>
      <c r="XEA1404"/>
      <c r="XEB1404"/>
      <c r="XEC1404"/>
      <c r="XED1404"/>
      <c r="XEE1404"/>
      <c r="XEF1404"/>
      <c r="XEG1404"/>
      <c r="XEH1404"/>
      <c r="XEI1404"/>
      <c r="XEJ1404"/>
      <c r="XEK1404"/>
      <c r="XEL1404"/>
      <c r="XEM1404"/>
      <c r="XEN1404"/>
      <c r="XEO1404"/>
      <c r="XEP1404"/>
      <c r="XEQ1404"/>
      <c r="XER1404"/>
      <c r="XES1404"/>
      <c r="XET1404"/>
      <c r="XEU1404"/>
      <c r="XEV1404"/>
      <c r="XEW1404"/>
      <c r="XEX1404"/>
      <c r="XEY1404"/>
      <c r="XEZ1404"/>
      <c r="XFA1404"/>
      <c r="XFB1404"/>
      <c r="XFC1404"/>
    </row>
    <row r="1405" spans="1:20 16329:16383" s="38" customFormat="1" ht="29.1" customHeight="1" outlineLevel="6" x14ac:dyDescent="0.25">
      <c r="A1405" s="49" t="s">
        <v>2523</v>
      </c>
      <c r="B1405" s="50"/>
      <c r="C1405" s="50"/>
      <c r="D1405" s="3" t="s">
        <v>2403</v>
      </c>
      <c r="E1405" s="3"/>
      <c r="F1405" s="51"/>
      <c r="G1405" s="50" t="s">
        <v>102</v>
      </c>
      <c r="H1405" s="52">
        <f>1</f>
        <v>1</v>
      </c>
      <c r="I1405" s="36"/>
      <c r="J1405" s="52">
        <v>1</v>
      </c>
      <c r="K1405" s="53">
        <f>0</f>
        <v>0</v>
      </c>
      <c r="L1405" s="53">
        <f>0</f>
        <v>0</v>
      </c>
      <c r="M1405" s="53">
        <f>0</f>
        <v>0</v>
      </c>
      <c r="N1405" s="54">
        <f t="shared" si="234"/>
        <v>0</v>
      </c>
      <c r="O1405" s="54">
        <f t="shared" si="235"/>
        <v>0</v>
      </c>
      <c r="P1405" s="54">
        <f t="shared" si="236"/>
        <v>0</v>
      </c>
      <c r="Q1405" s="54">
        <f t="shared" si="237"/>
        <v>0</v>
      </c>
      <c r="R1405" s="54">
        <f t="shared" si="238"/>
        <v>0</v>
      </c>
      <c r="S1405" s="54"/>
      <c r="T1405" s="36"/>
      <c r="XDA1405"/>
      <c r="XDB1405"/>
      <c r="XDC1405"/>
      <c r="XDD1405"/>
      <c r="XDE1405"/>
      <c r="XDF1405"/>
      <c r="XDG1405"/>
      <c r="XDH1405"/>
      <c r="XDI1405"/>
      <c r="XDJ1405"/>
      <c r="XDK1405"/>
      <c r="XDL1405"/>
      <c r="XDM1405"/>
      <c r="XDN1405"/>
      <c r="XDO1405"/>
      <c r="XDP1405"/>
      <c r="XDQ1405"/>
      <c r="XDR1405"/>
      <c r="XDS1405"/>
      <c r="XDT1405"/>
      <c r="XDU1405"/>
      <c r="XDV1405"/>
      <c r="XDW1405"/>
      <c r="XDX1405"/>
      <c r="XDY1405"/>
      <c r="XDZ1405"/>
      <c r="XEA1405"/>
      <c r="XEB1405"/>
      <c r="XEC1405"/>
      <c r="XED1405"/>
      <c r="XEE1405"/>
      <c r="XEF1405"/>
      <c r="XEG1405"/>
      <c r="XEH1405"/>
      <c r="XEI1405"/>
      <c r="XEJ1405"/>
      <c r="XEK1405"/>
      <c r="XEL1405"/>
      <c r="XEM1405"/>
      <c r="XEN1405"/>
      <c r="XEO1405"/>
      <c r="XEP1405"/>
      <c r="XEQ1405"/>
      <c r="XER1405"/>
      <c r="XES1405"/>
      <c r="XET1405"/>
      <c r="XEU1405"/>
      <c r="XEV1405"/>
      <c r="XEW1405"/>
      <c r="XEX1405"/>
      <c r="XEY1405"/>
      <c r="XEZ1405"/>
      <c r="XFA1405"/>
      <c r="XFB1405"/>
      <c r="XFC1405"/>
    </row>
    <row r="1406" spans="1:20 16329:16383" s="38" customFormat="1" ht="29.1" customHeight="1" outlineLevel="6" x14ac:dyDescent="0.25">
      <c r="A1406" s="49" t="s">
        <v>2524</v>
      </c>
      <c r="B1406" s="50"/>
      <c r="C1406" s="50"/>
      <c r="D1406" s="3" t="s">
        <v>2405</v>
      </c>
      <c r="E1406" s="3"/>
      <c r="F1406" s="51"/>
      <c r="G1406" s="50" t="s">
        <v>102</v>
      </c>
      <c r="H1406" s="52">
        <f>1</f>
        <v>1</v>
      </c>
      <c r="I1406" s="36"/>
      <c r="J1406" s="52">
        <v>1</v>
      </c>
      <c r="K1406" s="53">
        <f>0</f>
        <v>0</v>
      </c>
      <c r="L1406" s="53">
        <f>0</f>
        <v>0</v>
      </c>
      <c r="M1406" s="53">
        <f>0</f>
        <v>0</v>
      </c>
      <c r="N1406" s="54">
        <f t="shared" si="234"/>
        <v>0</v>
      </c>
      <c r="O1406" s="54">
        <f t="shared" si="235"/>
        <v>0</v>
      </c>
      <c r="P1406" s="54">
        <f t="shared" si="236"/>
        <v>0</v>
      </c>
      <c r="Q1406" s="54">
        <f t="shared" si="237"/>
        <v>0</v>
      </c>
      <c r="R1406" s="54">
        <f t="shared" si="238"/>
        <v>0</v>
      </c>
      <c r="S1406" s="54"/>
      <c r="T1406" s="36"/>
      <c r="XDA1406"/>
      <c r="XDB1406"/>
      <c r="XDC1406"/>
      <c r="XDD1406"/>
      <c r="XDE1406"/>
      <c r="XDF1406"/>
      <c r="XDG1406"/>
      <c r="XDH1406"/>
      <c r="XDI1406"/>
      <c r="XDJ1406"/>
      <c r="XDK1406"/>
      <c r="XDL1406"/>
      <c r="XDM1406"/>
      <c r="XDN1406"/>
      <c r="XDO1406"/>
      <c r="XDP1406"/>
      <c r="XDQ1406"/>
      <c r="XDR1406"/>
      <c r="XDS1406"/>
      <c r="XDT1406"/>
      <c r="XDU1406"/>
      <c r="XDV1406"/>
      <c r="XDW1406"/>
      <c r="XDX1406"/>
      <c r="XDY1406"/>
      <c r="XDZ1406"/>
      <c r="XEA1406"/>
      <c r="XEB1406"/>
      <c r="XEC1406"/>
      <c r="XED1406"/>
      <c r="XEE1406"/>
      <c r="XEF1406"/>
      <c r="XEG1406"/>
      <c r="XEH1406"/>
      <c r="XEI1406"/>
      <c r="XEJ1406"/>
      <c r="XEK1406"/>
      <c r="XEL1406"/>
      <c r="XEM1406"/>
      <c r="XEN1406"/>
      <c r="XEO1406"/>
      <c r="XEP1406"/>
      <c r="XEQ1406"/>
      <c r="XER1406"/>
      <c r="XES1406"/>
      <c r="XET1406"/>
      <c r="XEU1406"/>
      <c r="XEV1406"/>
      <c r="XEW1406"/>
      <c r="XEX1406"/>
      <c r="XEY1406"/>
      <c r="XEZ1406"/>
      <c r="XFA1406"/>
      <c r="XFB1406"/>
      <c r="XFC1406"/>
    </row>
    <row r="1407" spans="1:20 16329:16383" s="38" customFormat="1" ht="29.1" customHeight="1" outlineLevel="6" x14ac:dyDescent="0.25">
      <c r="A1407" s="49" t="s">
        <v>2525</v>
      </c>
      <c r="B1407" s="50"/>
      <c r="C1407" s="50"/>
      <c r="D1407" s="3" t="s">
        <v>2407</v>
      </c>
      <c r="E1407" s="3"/>
      <c r="F1407" s="51" t="s">
        <v>1960</v>
      </c>
      <c r="G1407" s="50" t="s">
        <v>134</v>
      </c>
      <c r="H1407" s="52">
        <f>1</f>
        <v>1</v>
      </c>
      <c r="I1407" s="36"/>
      <c r="J1407" s="52">
        <v>1</v>
      </c>
      <c r="K1407" s="53">
        <f>0</f>
        <v>0</v>
      </c>
      <c r="L1407" s="53">
        <f>0</f>
        <v>0</v>
      </c>
      <c r="M1407" s="53">
        <f>0</f>
        <v>0</v>
      </c>
      <c r="N1407" s="54">
        <f t="shared" si="234"/>
        <v>0</v>
      </c>
      <c r="O1407" s="54">
        <f t="shared" si="235"/>
        <v>0</v>
      </c>
      <c r="P1407" s="54">
        <f t="shared" si="236"/>
        <v>0</v>
      </c>
      <c r="Q1407" s="54">
        <f t="shared" si="237"/>
        <v>0</v>
      </c>
      <c r="R1407" s="54">
        <f t="shared" si="238"/>
        <v>0</v>
      </c>
      <c r="S1407" s="54"/>
      <c r="T1407" s="36"/>
      <c r="XDA1407"/>
      <c r="XDB1407"/>
      <c r="XDC1407"/>
      <c r="XDD1407"/>
      <c r="XDE1407"/>
      <c r="XDF1407"/>
      <c r="XDG1407"/>
      <c r="XDH1407"/>
      <c r="XDI1407"/>
      <c r="XDJ1407"/>
      <c r="XDK1407"/>
      <c r="XDL1407"/>
      <c r="XDM1407"/>
      <c r="XDN1407"/>
      <c r="XDO1407"/>
      <c r="XDP1407"/>
      <c r="XDQ1407"/>
      <c r="XDR1407"/>
      <c r="XDS1407"/>
      <c r="XDT1407"/>
      <c r="XDU1407"/>
      <c r="XDV1407"/>
      <c r="XDW1407"/>
      <c r="XDX1407"/>
      <c r="XDY1407"/>
      <c r="XDZ1407"/>
      <c r="XEA1407"/>
      <c r="XEB1407"/>
      <c r="XEC1407"/>
      <c r="XED1407"/>
      <c r="XEE1407"/>
      <c r="XEF1407"/>
      <c r="XEG1407"/>
      <c r="XEH1407"/>
      <c r="XEI1407"/>
      <c r="XEJ1407"/>
      <c r="XEK1407"/>
      <c r="XEL1407"/>
      <c r="XEM1407"/>
      <c r="XEN1407"/>
      <c r="XEO1407"/>
      <c r="XEP1407"/>
      <c r="XEQ1407"/>
      <c r="XER1407"/>
      <c r="XES1407"/>
      <c r="XET1407"/>
      <c r="XEU1407"/>
      <c r="XEV1407"/>
      <c r="XEW1407"/>
      <c r="XEX1407"/>
      <c r="XEY1407"/>
      <c r="XEZ1407"/>
      <c r="XFA1407"/>
      <c r="XFB1407"/>
      <c r="XFC1407"/>
    </row>
    <row r="1408" spans="1:20 16329:16383" s="38" customFormat="1" ht="29.1" customHeight="1" outlineLevel="5" x14ac:dyDescent="0.25">
      <c r="A1408" s="65" t="s">
        <v>2526</v>
      </c>
      <c r="B1408" s="66" t="s">
        <v>2527</v>
      </c>
      <c r="C1408" s="66"/>
      <c r="D1408" s="98" t="s">
        <v>1899</v>
      </c>
      <c r="E1408" s="98"/>
      <c r="F1408" s="67"/>
      <c r="G1408" s="66"/>
      <c r="H1408" s="68"/>
      <c r="I1408" s="36"/>
      <c r="J1408" s="68"/>
      <c r="K1408" s="69"/>
      <c r="L1408" s="69"/>
      <c r="M1408" s="69"/>
      <c r="N1408" s="69"/>
      <c r="O1408" s="69">
        <f>SUM(O1409:O1416)</f>
        <v>0</v>
      </c>
      <c r="P1408" s="69">
        <f>SUM(P1409:P1416)</f>
        <v>0</v>
      </c>
      <c r="Q1408" s="69">
        <f>SUM(Q1409:Q1416)</f>
        <v>0</v>
      </c>
      <c r="R1408" s="69">
        <f>SUM(R1409:R1416)</f>
        <v>0</v>
      </c>
      <c r="S1408" s="69"/>
      <c r="T1408" s="36"/>
      <c r="XDA1408"/>
      <c r="XDB1408"/>
      <c r="XDC1408"/>
      <c r="XDD1408"/>
      <c r="XDE1408"/>
      <c r="XDF1408"/>
      <c r="XDG1408"/>
      <c r="XDH1408"/>
      <c r="XDI1408"/>
      <c r="XDJ1408"/>
      <c r="XDK1408"/>
      <c r="XDL1408"/>
      <c r="XDM1408"/>
      <c r="XDN1408"/>
      <c r="XDO1408"/>
      <c r="XDP1408"/>
      <c r="XDQ1408"/>
      <c r="XDR1408"/>
      <c r="XDS1408"/>
      <c r="XDT1408"/>
      <c r="XDU1408"/>
      <c r="XDV1408"/>
      <c r="XDW1408"/>
      <c r="XDX1408"/>
      <c r="XDY1408"/>
      <c r="XDZ1408"/>
      <c r="XEA1408"/>
      <c r="XEB1408"/>
      <c r="XEC1408"/>
      <c r="XED1408"/>
      <c r="XEE1408"/>
      <c r="XEF1408"/>
      <c r="XEG1408"/>
      <c r="XEH1408"/>
      <c r="XEI1408"/>
      <c r="XEJ1408"/>
      <c r="XEK1408"/>
      <c r="XEL1408"/>
      <c r="XEM1408"/>
      <c r="XEN1408"/>
      <c r="XEO1408"/>
      <c r="XEP1408"/>
      <c r="XEQ1408"/>
      <c r="XER1408"/>
      <c r="XES1408"/>
      <c r="XET1408"/>
      <c r="XEU1408"/>
      <c r="XEV1408"/>
      <c r="XEW1408"/>
      <c r="XEX1408"/>
      <c r="XEY1408"/>
      <c r="XEZ1408"/>
      <c r="XFA1408"/>
      <c r="XFB1408"/>
      <c r="XFC1408"/>
    </row>
    <row r="1409" spans="1:20 16329:16383" s="38" customFormat="1" ht="29.1" customHeight="1" outlineLevel="6" x14ac:dyDescent="0.25">
      <c r="A1409" s="49" t="s">
        <v>2528</v>
      </c>
      <c r="B1409" s="50"/>
      <c r="C1409" s="50"/>
      <c r="D1409" s="3" t="s">
        <v>2411</v>
      </c>
      <c r="E1409" s="3"/>
      <c r="F1409" s="51"/>
      <c r="G1409" s="50" t="s">
        <v>102</v>
      </c>
      <c r="H1409" s="52">
        <f>1</f>
        <v>1</v>
      </c>
      <c r="I1409" s="36"/>
      <c r="J1409" s="52">
        <v>1</v>
      </c>
      <c r="K1409" s="53">
        <f>0</f>
        <v>0</v>
      </c>
      <c r="L1409" s="53">
        <f>0</f>
        <v>0</v>
      </c>
      <c r="M1409" s="53">
        <f>0</f>
        <v>0</v>
      </c>
      <c r="N1409" s="54">
        <f t="shared" ref="N1409:N1416" si="239">SUM(K1409:M1409)</f>
        <v>0</v>
      </c>
      <c r="O1409" s="54">
        <f t="shared" ref="O1409:O1416" si="240">ROUND((H1409*K1409),2)</f>
        <v>0</v>
      </c>
      <c r="P1409" s="54">
        <f t="shared" ref="P1409:P1416" si="241">ROUND((H1409*L1409),2)</f>
        <v>0</v>
      </c>
      <c r="Q1409" s="54">
        <f t="shared" ref="Q1409:Q1416" si="242">ROUND((H1409*M1409),2)</f>
        <v>0</v>
      </c>
      <c r="R1409" s="54">
        <f t="shared" ref="R1409:R1416" si="243">ROUND((H1409*N1409),2)</f>
        <v>0</v>
      </c>
      <c r="S1409" s="54"/>
      <c r="T1409" s="36"/>
      <c r="XDA1409"/>
      <c r="XDB1409"/>
      <c r="XDC1409"/>
      <c r="XDD1409"/>
      <c r="XDE1409"/>
      <c r="XDF1409"/>
      <c r="XDG1409"/>
      <c r="XDH1409"/>
      <c r="XDI1409"/>
      <c r="XDJ1409"/>
      <c r="XDK1409"/>
      <c r="XDL1409"/>
      <c r="XDM1409"/>
      <c r="XDN1409"/>
      <c r="XDO1409"/>
      <c r="XDP1409"/>
      <c r="XDQ1409"/>
      <c r="XDR1409"/>
      <c r="XDS1409"/>
      <c r="XDT1409"/>
      <c r="XDU1409"/>
      <c r="XDV1409"/>
      <c r="XDW1409"/>
      <c r="XDX1409"/>
      <c r="XDY1409"/>
      <c r="XDZ1409"/>
      <c r="XEA1409"/>
      <c r="XEB1409"/>
      <c r="XEC1409"/>
      <c r="XED1409"/>
      <c r="XEE1409"/>
      <c r="XEF1409"/>
      <c r="XEG1409"/>
      <c r="XEH1409"/>
      <c r="XEI1409"/>
      <c r="XEJ1409"/>
      <c r="XEK1409"/>
      <c r="XEL1409"/>
      <c r="XEM1409"/>
      <c r="XEN1409"/>
      <c r="XEO1409"/>
      <c r="XEP1409"/>
      <c r="XEQ1409"/>
      <c r="XER1409"/>
      <c r="XES1409"/>
      <c r="XET1409"/>
      <c r="XEU1409"/>
      <c r="XEV1409"/>
      <c r="XEW1409"/>
      <c r="XEX1409"/>
      <c r="XEY1409"/>
      <c r="XEZ1409"/>
      <c r="XFA1409"/>
      <c r="XFB1409"/>
      <c r="XFC1409"/>
    </row>
    <row r="1410" spans="1:20 16329:16383" s="38" customFormat="1" ht="29.1" customHeight="1" outlineLevel="6" x14ac:dyDescent="0.25">
      <c r="A1410" s="49" t="s">
        <v>2529</v>
      </c>
      <c r="B1410" s="50"/>
      <c r="C1410" s="50"/>
      <c r="D1410" s="3" t="s">
        <v>1955</v>
      </c>
      <c r="E1410" s="3"/>
      <c r="F1410" s="51"/>
      <c r="G1410" s="50" t="s">
        <v>102</v>
      </c>
      <c r="H1410" s="52">
        <f>1</f>
        <v>1</v>
      </c>
      <c r="I1410" s="36"/>
      <c r="J1410" s="52">
        <v>1</v>
      </c>
      <c r="K1410" s="53">
        <f>0</f>
        <v>0</v>
      </c>
      <c r="L1410" s="53">
        <f>0</f>
        <v>0</v>
      </c>
      <c r="M1410" s="53">
        <f>0</f>
        <v>0</v>
      </c>
      <c r="N1410" s="54">
        <f t="shared" si="239"/>
        <v>0</v>
      </c>
      <c r="O1410" s="54">
        <f t="shared" si="240"/>
        <v>0</v>
      </c>
      <c r="P1410" s="54">
        <f t="shared" si="241"/>
        <v>0</v>
      </c>
      <c r="Q1410" s="54">
        <f t="shared" si="242"/>
        <v>0</v>
      </c>
      <c r="R1410" s="54">
        <f t="shared" si="243"/>
        <v>0</v>
      </c>
      <c r="S1410" s="54"/>
      <c r="T1410" s="36"/>
      <c r="XDA1410"/>
      <c r="XDB1410"/>
      <c r="XDC1410"/>
      <c r="XDD1410"/>
      <c r="XDE1410"/>
      <c r="XDF1410"/>
      <c r="XDG1410"/>
      <c r="XDH1410"/>
      <c r="XDI1410"/>
      <c r="XDJ1410"/>
      <c r="XDK1410"/>
      <c r="XDL1410"/>
      <c r="XDM1410"/>
      <c r="XDN1410"/>
      <c r="XDO1410"/>
      <c r="XDP1410"/>
      <c r="XDQ1410"/>
      <c r="XDR1410"/>
      <c r="XDS1410"/>
      <c r="XDT1410"/>
      <c r="XDU1410"/>
      <c r="XDV1410"/>
      <c r="XDW1410"/>
      <c r="XDX1410"/>
      <c r="XDY1410"/>
      <c r="XDZ1410"/>
      <c r="XEA1410"/>
      <c r="XEB1410"/>
      <c r="XEC1410"/>
      <c r="XED1410"/>
      <c r="XEE1410"/>
      <c r="XEF1410"/>
      <c r="XEG1410"/>
      <c r="XEH1410"/>
      <c r="XEI1410"/>
      <c r="XEJ1410"/>
      <c r="XEK1410"/>
      <c r="XEL1410"/>
      <c r="XEM1410"/>
      <c r="XEN1410"/>
      <c r="XEO1410"/>
      <c r="XEP1410"/>
      <c r="XEQ1410"/>
      <c r="XER1410"/>
      <c r="XES1410"/>
      <c r="XET1410"/>
      <c r="XEU1410"/>
      <c r="XEV1410"/>
      <c r="XEW1410"/>
      <c r="XEX1410"/>
      <c r="XEY1410"/>
      <c r="XEZ1410"/>
      <c r="XFA1410"/>
      <c r="XFB1410"/>
      <c r="XFC1410"/>
    </row>
    <row r="1411" spans="1:20 16329:16383" s="38" customFormat="1" ht="29.1" customHeight="1" outlineLevel="6" x14ac:dyDescent="0.25">
      <c r="A1411" s="49" t="s">
        <v>2530</v>
      </c>
      <c r="B1411" s="50"/>
      <c r="C1411" s="50"/>
      <c r="D1411" s="3" t="s">
        <v>2238</v>
      </c>
      <c r="E1411" s="3"/>
      <c r="F1411" s="51"/>
      <c r="G1411" s="50" t="s">
        <v>102</v>
      </c>
      <c r="H1411" s="52">
        <f>1</f>
        <v>1</v>
      </c>
      <c r="I1411" s="36"/>
      <c r="J1411" s="52">
        <v>1</v>
      </c>
      <c r="K1411" s="53">
        <f>0</f>
        <v>0</v>
      </c>
      <c r="L1411" s="53">
        <f>0</f>
        <v>0</v>
      </c>
      <c r="M1411" s="53">
        <f>0</f>
        <v>0</v>
      </c>
      <c r="N1411" s="54">
        <f t="shared" si="239"/>
        <v>0</v>
      </c>
      <c r="O1411" s="54">
        <f t="shared" si="240"/>
        <v>0</v>
      </c>
      <c r="P1411" s="54">
        <f t="shared" si="241"/>
        <v>0</v>
      </c>
      <c r="Q1411" s="54">
        <f t="shared" si="242"/>
        <v>0</v>
      </c>
      <c r="R1411" s="54">
        <f t="shared" si="243"/>
        <v>0</v>
      </c>
      <c r="S1411" s="54"/>
      <c r="T1411" s="36"/>
      <c r="XDA1411"/>
      <c r="XDB1411"/>
      <c r="XDC1411"/>
      <c r="XDD1411"/>
      <c r="XDE1411"/>
      <c r="XDF1411"/>
      <c r="XDG1411"/>
      <c r="XDH1411"/>
      <c r="XDI1411"/>
      <c r="XDJ1411"/>
      <c r="XDK1411"/>
      <c r="XDL1411"/>
      <c r="XDM1411"/>
      <c r="XDN1411"/>
      <c r="XDO1411"/>
      <c r="XDP1411"/>
      <c r="XDQ1411"/>
      <c r="XDR1411"/>
      <c r="XDS1411"/>
      <c r="XDT1411"/>
      <c r="XDU1411"/>
      <c r="XDV1411"/>
      <c r="XDW1411"/>
      <c r="XDX1411"/>
      <c r="XDY1411"/>
      <c r="XDZ1411"/>
      <c r="XEA1411"/>
      <c r="XEB1411"/>
      <c r="XEC1411"/>
      <c r="XED1411"/>
      <c r="XEE1411"/>
      <c r="XEF1411"/>
      <c r="XEG1411"/>
      <c r="XEH1411"/>
      <c r="XEI1411"/>
      <c r="XEJ1411"/>
      <c r="XEK1411"/>
      <c r="XEL1411"/>
      <c r="XEM1411"/>
      <c r="XEN1411"/>
      <c r="XEO1411"/>
      <c r="XEP1411"/>
      <c r="XEQ1411"/>
      <c r="XER1411"/>
      <c r="XES1411"/>
      <c r="XET1411"/>
      <c r="XEU1411"/>
      <c r="XEV1411"/>
      <c r="XEW1411"/>
      <c r="XEX1411"/>
      <c r="XEY1411"/>
      <c r="XEZ1411"/>
      <c r="XFA1411"/>
      <c r="XFB1411"/>
      <c r="XFC1411"/>
    </row>
    <row r="1412" spans="1:20 16329:16383" s="38" customFormat="1" ht="29.1" customHeight="1" outlineLevel="6" x14ac:dyDescent="0.25">
      <c r="A1412" s="49" t="s">
        <v>2531</v>
      </c>
      <c r="B1412" s="50"/>
      <c r="C1412" s="50"/>
      <c r="D1412" s="3" t="s">
        <v>1884</v>
      </c>
      <c r="E1412" s="3"/>
      <c r="F1412" s="51"/>
      <c r="G1412" s="50" t="s">
        <v>102</v>
      </c>
      <c r="H1412" s="52">
        <f>1</f>
        <v>1</v>
      </c>
      <c r="I1412" s="36"/>
      <c r="J1412" s="52">
        <v>1</v>
      </c>
      <c r="K1412" s="53">
        <f>0</f>
        <v>0</v>
      </c>
      <c r="L1412" s="53">
        <f>0</f>
        <v>0</v>
      </c>
      <c r="M1412" s="53">
        <f>0</f>
        <v>0</v>
      </c>
      <c r="N1412" s="54">
        <f t="shared" si="239"/>
        <v>0</v>
      </c>
      <c r="O1412" s="54">
        <f t="shared" si="240"/>
        <v>0</v>
      </c>
      <c r="P1412" s="54">
        <f t="shared" si="241"/>
        <v>0</v>
      </c>
      <c r="Q1412" s="54">
        <f t="shared" si="242"/>
        <v>0</v>
      </c>
      <c r="R1412" s="54">
        <f t="shared" si="243"/>
        <v>0</v>
      </c>
      <c r="S1412" s="54"/>
      <c r="T1412" s="36"/>
      <c r="XDA1412"/>
      <c r="XDB1412"/>
      <c r="XDC1412"/>
      <c r="XDD1412"/>
      <c r="XDE1412"/>
      <c r="XDF1412"/>
      <c r="XDG1412"/>
      <c r="XDH1412"/>
      <c r="XDI1412"/>
      <c r="XDJ1412"/>
      <c r="XDK1412"/>
      <c r="XDL1412"/>
      <c r="XDM1412"/>
      <c r="XDN1412"/>
      <c r="XDO1412"/>
      <c r="XDP1412"/>
      <c r="XDQ1412"/>
      <c r="XDR1412"/>
      <c r="XDS1412"/>
      <c r="XDT1412"/>
      <c r="XDU1412"/>
      <c r="XDV1412"/>
      <c r="XDW1412"/>
      <c r="XDX1412"/>
      <c r="XDY1412"/>
      <c r="XDZ1412"/>
      <c r="XEA1412"/>
      <c r="XEB1412"/>
      <c r="XEC1412"/>
      <c r="XED1412"/>
      <c r="XEE1412"/>
      <c r="XEF1412"/>
      <c r="XEG1412"/>
      <c r="XEH1412"/>
      <c r="XEI1412"/>
      <c r="XEJ1412"/>
      <c r="XEK1412"/>
      <c r="XEL1412"/>
      <c r="XEM1412"/>
      <c r="XEN1412"/>
      <c r="XEO1412"/>
      <c r="XEP1412"/>
      <c r="XEQ1412"/>
      <c r="XER1412"/>
      <c r="XES1412"/>
      <c r="XET1412"/>
      <c r="XEU1412"/>
      <c r="XEV1412"/>
      <c r="XEW1412"/>
      <c r="XEX1412"/>
      <c r="XEY1412"/>
      <c r="XEZ1412"/>
      <c r="XFA1412"/>
      <c r="XFB1412"/>
      <c r="XFC1412"/>
    </row>
    <row r="1413" spans="1:20 16329:16383" s="38" customFormat="1" ht="29.1" customHeight="1" outlineLevel="6" x14ac:dyDescent="0.25">
      <c r="A1413" s="49" t="s">
        <v>2532</v>
      </c>
      <c r="B1413" s="50"/>
      <c r="C1413" s="50"/>
      <c r="D1413" s="3" t="s">
        <v>2241</v>
      </c>
      <c r="E1413" s="3"/>
      <c r="F1413" s="51"/>
      <c r="G1413" s="50" t="s">
        <v>102</v>
      </c>
      <c r="H1413" s="52">
        <f>1</f>
        <v>1</v>
      </c>
      <c r="I1413" s="36"/>
      <c r="J1413" s="52">
        <v>1</v>
      </c>
      <c r="K1413" s="53">
        <f>0</f>
        <v>0</v>
      </c>
      <c r="L1413" s="53">
        <f>0</f>
        <v>0</v>
      </c>
      <c r="M1413" s="53">
        <f>0</f>
        <v>0</v>
      </c>
      <c r="N1413" s="54">
        <f t="shared" si="239"/>
        <v>0</v>
      </c>
      <c r="O1413" s="54">
        <f t="shared" si="240"/>
        <v>0</v>
      </c>
      <c r="P1413" s="54">
        <f t="shared" si="241"/>
        <v>0</v>
      </c>
      <c r="Q1413" s="54">
        <f t="shared" si="242"/>
        <v>0</v>
      </c>
      <c r="R1413" s="54">
        <f t="shared" si="243"/>
        <v>0</v>
      </c>
      <c r="S1413" s="54"/>
      <c r="T1413" s="36"/>
      <c r="XDA1413"/>
      <c r="XDB1413"/>
      <c r="XDC1413"/>
      <c r="XDD1413"/>
      <c r="XDE1413"/>
      <c r="XDF1413"/>
      <c r="XDG1413"/>
      <c r="XDH1413"/>
      <c r="XDI1413"/>
      <c r="XDJ1413"/>
      <c r="XDK1413"/>
      <c r="XDL1413"/>
      <c r="XDM1413"/>
      <c r="XDN1413"/>
      <c r="XDO1413"/>
      <c r="XDP1413"/>
      <c r="XDQ1413"/>
      <c r="XDR1413"/>
      <c r="XDS1413"/>
      <c r="XDT1413"/>
      <c r="XDU1413"/>
      <c r="XDV1413"/>
      <c r="XDW1413"/>
      <c r="XDX1413"/>
      <c r="XDY1413"/>
      <c r="XDZ1413"/>
      <c r="XEA1413"/>
      <c r="XEB1413"/>
      <c r="XEC1413"/>
      <c r="XED1413"/>
      <c r="XEE1413"/>
      <c r="XEF1413"/>
      <c r="XEG1413"/>
      <c r="XEH1413"/>
      <c r="XEI1413"/>
      <c r="XEJ1413"/>
      <c r="XEK1413"/>
      <c r="XEL1413"/>
      <c r="XEM1413"/>
      <c r="XEN1413"/>
      <c r="XEO1413"/>
      <c r="XEP1413"/>
      <c r="XEQ1413"/>
      <c r="XER1413"/>
      <c r="XES1413"/>
      <c r="XET1413"/>
      <c r="XEU1413"/>
      <c r="XEV1413"/>
      <c r="XEW1413"/>
      <c r="XEX1413"/>
      <c r="XEY1413"/>
      <c r="XEZ1413"/>
      <c r="XFA1413"/>
      <c r="XFB1413"/>
      <c r="XFC1413"/>
    </row>
    <row r="1414" spans="1:20 16329:16383" s="38" customFormat="1" ht="29.1" customHeight="1" outlineLevel="6" x14ac:dyDescent="0.25">
      <c r="A1414" s="49" t="s">
        <v>2533</v>
      </c>
      <c r="B1414" s="50"/>
      <c r="C1414" s="50"/>
      <c r="D1414" s="3" t="s">
        <v>1886</v>
      </c>
      <c r="E1414" s="3"/>
      <c r="F1414" s="51"/>
      <c r="G1414" s="50" t="s">
        <v>102</v>
      </c>
      <c r="H1414" s="52">
        <f>1</f>
        <v>1</v>
      </c>
      <c r="I1414" s="36"/>
      <c r="J1414" s="52">
        <v>1</v>
      </c>
      <c r="K1414" s="53">
        <f>0</f>
        <v>0</v>
      </c>
      <c r="L1414" s="53">
        <f>0</f>
        <v>0</v>
      </c>
      <c r="M1414" s="53">
        <f>0</f>
        <v>0</v>
      </c>
      <c r="N1414" s="54">
        <f t="shared" si="239"/>
        <v>0</v>
      </c>
      <c r="O1414" s="54">
        <f t="shared" si="240"/>
        <v>0</v>
      </c>
      <c r="P1414" s="54">
        <f t="shared" si="241"/>
        <v>0</v>
      </c>
      <c r="Q1414" s="54">
        <f t="shared" si="242"/>
        <v>0</v>
      </c>
      <c r="R1414" s="54">
        <f t="shared" si="243"/>
        <v>0</v>
      </c>
      <c r="S1414" s="54"/>
      <c r="T1414" s="36"/>
      <c r="XDA1414"/>
      <c r="XDB1414"/>
      <c r="XDC1414"/>
      <c r="XDD1414"/>
      <c r="XDE1414"/>
      <c r="XDF1414"/>
      <c r="XDG1414"/>
      <c r="XDH1414"/>
      <c r="XDI1414"/>
      <c r="XDJ1414"/>
      <c r="XDK1414"/>
      <c r="XDL1414"/>
      <c r="XDM1414"/>
      <c r="XDN1414"/>
      <c r="XDO1414"/>
      <c r="XDP1414"/>
      <c r="XDQ1414"/>
      <c r="XDR1414"/>
      <c r="XDS1414"/>
      <c r="XDT1414"/>
      <c r="XDU1414"/>
      <c r="XDV1414"/>
      <c r="XDW1414"/>
      <c r="XDX1414"/>
      <c r="XDY1414"/>
      <c r="XDZ1414"/>
      <c r="XEA1414"/>
      <c r="XEB1414"/>
      <c r="XEC1414"/>
      <c r="XED1414"/>
      <c r="XEE1414"/>
      <c r="XEF1414"/>
      <c r="XEG1414"/>
      <c r="XEH1414"/>
      <c r="XEI1414"/>
      <c r="XEJ1414"/>
      <c r="XEK1414"/>
      <c r="XEL1414"/>
      <c r="XEM1414"/>
      <c r="XEN1414"/>
      <c r="XEO1414"/>
      <c r="XEP1414"/>
      <c r="XEQ1414"/>
      <c r="XER1414"/>
      <c r="XES1414"/>
      <c r="XET1414"/>
      <c r="XEU1414"/>
      <c r="XEV1414"/>
      <c r="XEW1414"/>
      <c r="XEX1414"/>
      <c r="XEY1414"/>
      <c r="XEZ1414"/>
      <c r="XFA1414"/>
      <c r="XFB1414"/>
      <c r="XFC1414"/>
    </row>
    <row r="1415" spans="1:20 16329:16383" s="38" customFormat="1" ht="29.1" customHeight="1" outlineLevel="6" x14ac:dyDescent="0.25">
      <c r="A1415" s="49" t="s">
        <v>2534</v>
      </c>
      <c r="B1415" s="50"/>
      <c r="C1415" s="50"/>
      <c r="D1415" s="3" t="s">
        <v>2418</v>
      </c>
      <c r="E1415" s="3"/>
      <c r="F1415" s="51"/>
      <c r="G1415" s="50" t="s">
        <v>102</v>
      </c>
      <c r="H1415" s="52">
        <f>1</f>
        <v>1</v>
      </c>
      <c r="I1415" s="36"/>
      <c r="J1415" s="52">
        <v>1</v>
      </c>
      <c r="K1415" s="53">
        <f>0</f>
        <v>0</v>
      </c>
      <c r="L1415" s="53">
        <f>0</f>
        <v>0</v>
      </c>
      <c r="M1415" s="53">
        <f>0</f>
        <v>0</v>
      </c>
      <c r="N1415" s="54">
        <f t="shared" si="239"/>
        <v>0</v>
      </c>
      <c r="O1415" s="54">
        <f t="shared" si="240"/>
        <v>0</v>
      </c>
      <c r="P1415" s="54">
        <f t="shared" si="241"/>
        <v>0</v>
      </c>
      <c r="Q1415" s="54">
        <f t="shared" si="242"/>
        <v>0</v>
      </c>
      <c r="R1415" s="54">
        <f t="shared" si="243"/>
        <v>0</v>
      </c>
      <c r="S1415" s="54"/>
      <c r="T1415" s="36"/>
      <c r="XDA1415"/>
      <c r="XDB1415"/>
      <c r="XDC1415"/>
      <c r="XDD1415"/>
      <c r="XDE1415"/>
      <c r="XDF1415"/>
      <c r="XDG1415"/>
      <c r="XDH1415"/>
      <c r="XDI1415"/>
      <c r="XDJ1415"/>
      <c r="XDK1415"/>
      <c r="XDL1415"/>
      <c r="XDM1415"/>
      <c r="XDN1415"/>
      <c r="XDO1415"/>
      <c r="XDP1415"/>
      <c r="XDQ1415"/>
      <c r="XDR1415"/>
      <c r="XDS1415"/>
      <c r="XDT1415"/>
      <c r="XDU1415"/>
      <c r="XDV1415"/>
      <c r="XDW1415"/>
      <c r="XDX1415"/>
      <c r="XDY1415"/>
      <c r="XDZ1415"/>
      <c r="XEA1415"/>
      <c r="XEB1415"/>
      <c r="XEC1415"/>
      <c r="XED1415"/>
      <c r="XEE1415"/>
      <c r="XEF1415"/>
      <c r="XEG1415"/>
      <c r="XEH1415"/>
      <c r="XEI1415"/>
      <c r="XEJ1415"/>
      <c r="XEK1415"/>
      <c r="XEL1415"/>
      <c r="XEM1415"/>
      <c r="XEN1415"/>
      <c r="XEO1415"/>
      <c r="XEP1415"/>
      <c r="XEQ1415"/>
      <c r="XER1415"/>
      <c r="XES1415"/>
      <c r="XET1415"/>
      <c r="XEU1415"/>
      <c r="XEV1415"/>
      <c r="XEW1415"/>
      <c r="XEX1415"/>
      <c r="XEY1415"/>
      <c r="XEZ1415"/>
      <c r="XFA1415"/>
      <c r="XFB1415"/>
      <c r="XFC1415"/>
    </row>
    <row r="1416" spans="1:20 16329:16383" s="38" customFormat="1" ht="29.1" customHeight="1" outlineLevel="6" x14ac:dyDescent="0.25">
      <c r="A1416" s="49" t="s">
        <v>2535</v>
      </c>
      <c r="B1416" s="50"/>
      <c r="C1416" s="50"/>
      <c r="D1416" s="3" t="s">
        <v>2420</v>
      </c>
      <c r="E1416" s="3"/>
      <c r="F1416" s="51" t="s">
        <v>1960</v>
      </c>
      <c r="G1416" s="50" t="s">
        <v>134</v>
      </c>
      <c r="H1416" s="52">
        <f>1</f>
        <v>1</v>
      </c>
      <c r="I1416" s="36"/>
      <c r="J1416" s="52">
        <v>1</v>
      </c>
      <c r="K1416" s="53">
        <f>0</f>
        <v>0</v>
      </c>
      <c r="L1416" s="53">
        <f>0</f>
        <v>0</v>
      </c>
      <c r="M1416" s="53">
        <f>0</f>
        <v>0</v>
      </c>
      <c r="N1416" s="54">
        <f t="shared" si="239"/>
        <v>0</v>
      </c>
      <c r="O1416" s="54">
        <f t="shared" si="240"/>
        <v>0</v>
      </c>
      <c r="P1416" s="54">
        <f t="shared" si="241"/>
        <v>0</v>
      </c>
      <c r="Q1416" s="54">
        <f t="shared" si="242"/>
        <v>0</v>
      </c>
      <c r="R1416" s="54">
        <f t="shared" si="243"/>
        <v>0</v>
      </c>
      <c r="S1416" s="54"/>
      <c r="T1416" s="36"/>
      <c r="XDA1416"/>
      <c r="XDB1416"/>
      <c r="XDC1416"/>
      <c r="XDD1416"/>
      <c r="XDE1416"/>
      <c r="XDF1416"/>
      <c r="XDG1416"/>
      <c r="XDH1416"/>
      <c r="XDI1416"/>
      <c r="XDJ1416"/>
      <c r="XDK1416"/>
      <c r="XDL1416"/>
      <c r="XDM1416"/>
      <c r="XDN1416"/>
      <c r="XDO1416"/>
      <c r="XDP1416"/>
      <c r="XDQ1416"/>
      <c r="XDR1416"/>
      <c r="XDS1416"/>
      <c r="XDT1416"/>
      <c r="XDU1416"/>
      <c r="XDV1416"/>
      <c r="XDW1416"/>
      <c r="XDX1416"/>
      <c r="XDY1416"/>
      <c r="XDZ1416"/>
      <c r="XEA1416"/>
      <c r="XEB1416"/>
      <c r="XEC1416"/>
      <c r="XED1416"/>
      <c r="XEE1416"/>
      <c r="XEF1416"/>
      <c r="XEG1416"/>
      <c r="XEH1416"/>
      <c r="XEI1416"/>
      <c r="XEJ1416"/>
      <c r="XEK1416"/>
      <c r="XEL1416"/>
      <c r="XEM1416"/>
      <c r="XEN1416"/>
      <c r="XEO1416"/>
      <c r="XEP1416"/>
      <c r="XEQ1416"/>
      <c r="XER1416"/>
      <c r="XES1416"/>
      <c r="XET1416"/>
      <c r="XEU1416"/>
      <c r="XEV1416"/>
      <c r="XEW1416"/>
      <c r="XEX1416"/>
      <c r="XEY1416"/>
      <c r="XEZ1416"/>
      <c r="XFA1416"/>
      <c r="XFB1416"/>
      <c r="XFC1416"/>
    </row>
    <row r="1417" spans="1:20 16329:16383" s="38" customFormat="1" ht="29.1" customHeight="1" outlineLevel="5" x14ac:dyDescent="0.25">
      <c r="A1417" s="65" t="s">
        <v>2536</v>
      </c>
      <c r="B1417" s="66" t="s">
        <v>2537</v>
      </c>
      <c r="C1417" s="66"/>
      <c r="D1417" s="98" t="s">
        <v>1498</v>
      </c>
      <c r="E1417" s="98"/>
      <c r="F1417" s="67"/>
      <c r="G1417" s="66"/>
      <c r="H1417" s="68"/>
      <c r="I1417" s="36"/>
      <c r="J1417" s="68"/>
      <c r="K1417" s="69"/>
      <c r="L1417" s="69"/>
      <c r="M1417" s="69"/>
      <c r="N1417" s="69"/>
      <c r="O1417" s="69">
        <f>SUM(O1418:O1422)</f>
        <v>0</v>
      </c>
      <c r="P1417" s="69">
        <f>SUM(P1418:P1422)</f>
        <v>0</v>
      </c>
      <c r="Q1417" s="69">
        <f>SUM(Q1418:Q1422)</f>
        <v>0</v>
      </c>
      <c r="R1417" s="69">
        <f>SUM(R1418:R1422)</f>
        <v>0</v>
      </c>
      <c r="S1417" s="69"/>
      <c r="T1417" s="36"/>
      <c r="XDA1417"/>
      <c r="XDB1417"/>
      <c r="XDC1417"/>
      <c r="XDD1417"/>
      <c r="XDE1417"/>
      <c r="XDF1417"/>
      <c r="XDG1417"/>
      <c r="XDH1417"/>
      <c r="XDI1417"/>
      <c r="XDJ1417"/>
      <c r="XDK1417"/>
      <c r="XDL1417"/>
      <c r="XDM1417"/>
      <c r="XDN1417"/>
      <c r="XDO1417"/>
      <c r="XDP1417"/>
      <c r="XDQ1417"/>
      <c r="XDR1417"/>
      <c r="XDS1417"/>
      <c r="XDT1417"/>
      <c r="XDU1417"/>
      <c r="XDV1417"/>
      <c r="XDW1417"/>
      <c r="XDX1417"/>
      <c r="XDY1417"/>
      <c r="XDZ1417"/>
      <c r="XEA1417"/>
      <c r="XEB1417"/>
      <c r="XEC1417"/>
      <c r="XED1417"/>
      <c r="XEE1417"/>
      <c r="XEF1417"/>
      <c r="XEG1417"/>
      <c r="XEH1417"/>
      <c r="XEI1417"/>
      <c r="XEJ1417"/>
      <c r="XEK1417"/>
      <c r="XEL1417"/>
      <c r="XEM1417"/>
      <c r="XEN1417"/>
      <c r="XEO1417"/>
      <c r="XEP1417"/>
      <c r="XEQ1417"/>
      <c r="XER1417"/>
      <c r="XES1417"/>
      <c r="XET1417"/>
      <c r="XEU1417"/>
      <c r="XEV1417"/>
      <c r="XEW1417"/>
      <c r="XEX1417"/>
      <c r="XEY1417"/>
      <c r="XEZ1417"/>
      <c r="XFA1417"/>
      <c r="XFB1417"/>
      <c r="XFC1417"/>
    </row>
    <row r="1418" spans="1:20 16329:16383" s="38" customFormat="1" ht="29.1" customHeight="1" outlineLevel="6" x14ac:dyDescent="0.25">
      <c r="A1418" s="49" t="s">
        <v>2538</v>
      </c>
      <c r="B1418" s="50"/>
      <c r="C1418" s="50"/>
      <c r="D1418" s="3" t="s">
        <v>2251</v>
      </c>
      <c r="E1418" s="3"/>
      <c r="F1418" s="51" t="s">
        <v>2252</v>
      </c>
      <c r="G1418" s="50" t="s">
        <v>29</v>
      </c>
      <c r="H1418" s="52">
        <f>1</f>
        <v>1</v>
      </c>
      <c r="I1418" s="36"/>
      <c r="J1418" s="52">
        <v>1</v>
      </c>
      <c r="K1418" s="53">
        <f>0</f>
        <v>0</v>
      </c>
      <c r="L1418" s="53">
        <f>0</f>
        <v>0</v>
      </c>
      <c r="M1418" s="53">
        <f>0</f>
        <v>0</v>
      </c>
      <c r="N1418" s="54">
        <f>SUM(K1418:M1418)</f>
        <v>0</v>
      </c>
      <c r="O1418" s="54">
        <f>ROUND((H1418*K1418),2)</f>
        <v>0</v>
      </c>
      <c r="P1418" s="54">
        <f>ROUND((H1418*L1418),2)</f>
        <v>0</v>
      </c>
      <c r="Q1418" s="54">
        <f>ROUND((H1418*M1418),2)</f>
        <v>0</v>
      </c>
      <c r="R1418" s="54">
        <f>ROUND((H1418*N1418),2)</f>
        <v>0</v>
      </c>
      <c r="S1418" s="54"/>
      <c r="T1418" s="36"/>
      <c r="XDA1418"/>
      <c r="XDB1418"/>
      <c r="XDC1418"/>
      <c r="XDD1418"/>
      <c r="XDE1418"/>
      <c r="XDF1418"/>
      <c r="XDG1418"/>
      <c r="XDH1418"/>
      <c r="XDI1418"/>
      <c r="XDJ1418"/>
      <c r="XDK1418"/>
      <c r="XDL1418"/>
      <c r="XDM1418"/>
      <c r="XDN1418"/>
      <c r="XDO1418"/>
      <c r="XDP1418"/>
      <c r="XDQ1418"/>
      <c r="XDR1418"/>
      <c r="XDS1418"/>
      <c r="XDT1418"/>
      <c r="XDU1418"/>
      <c r="XDV1418"/>
      <c r="XDW1418"/>
      <c r="XDX1418"/>
      <c r="XDY1418"/>
      <c r="XDZ1418"/>
      <c r="XEA1418"/>
      <c r="XEB1418"/>
      <c r="XEC1418"/>
      <c r="XED1418"/>
      <c r="XEE1418"/>
      <c r="XEF1418"/>
      <c r="XEG1418"/>
      <c r="XEH1418"/>
      <c r="XEI1418"/>
      <c r="XEJ1418"/>
      <c r="XEK1418"/>
      <c r="XEL1418"/>
      <c r="XEM1418"/>
      <c r="XEN1418"/>
      <c r="XEO1418"/>
      <c r="XEP1418"/>
      <c r="XEQ1418"/>
      <c r="XER1418"/>
      <c r="XES1418"/>
      <c r="XET1418"/>
      <c r="XEU1418"/>
      <c r="XEV1418"/>
      <c r="XEW1418"/>
      <c r="XEX1418"/>
      <c r="XEY1418"/>
      <c r="XEZ1418"/>
      <c r="XFA1418"/>
      <c r="XFB1418"/>
      <c r="XFC1418"/>
    </row>
    <row r="1419" spans="1:20 16329:16383" s="38" customFormat="1" ht="29.1" customHeight="1" outlineLevel="6" x14ac:dyDescent="0.25">
      <c r="A1419" s="49" t="s">
        <v>2539</v>
      </c>
      <c r="B1419" s="50"/>
      <c r="C1419" s="50"/>
      <c r="D1419" s="3" t="s">
        <v>2260</v>
      </c>
      <c r="E1419" s="3"/>
      <c r="F1419" s="51" t="s">
        <v>2252</v>
      </c>
      <c r="G1419" s="50" t="s">
        <v>29</v>
      </c>
      <c r="H1419" s="52">
        <f>1</f>
        <v>1</v>
      </c>
      <c r="I1419" s="36"/>
      <c r="J1419" s="52">
        <v>1</v>
      </c>
      <c r="K1419" s="53">
        <f>0</f>
        <v>0</v>
      </c>
      <c r="L1419" s="53">
        <f>0</f>
        <v>0</v>
      </c>
      <c r="M1419" s="53">
        <f>0</f>
        <v>0</v>
      </c>
      <c r="N1419" s="54">
        <f>SUM(K1419:M1419)</f>
        <v>0</v>
      </c>
      <c r="O1419" s="54">
        <f>ROUND((H1419*K1419),2)</f>
        <v>0</v>
      </c>
      <c r="P1419" s="54">
        <f>ROUND((H1419*L1419),2)</f>
        <v>0</v>
      </c>
      <c r="Q1419" s="54">
        <f>ROUND((H1419*M1419),2)</f>
        <v>0</v>
      </c>
      <c r="R1419" s="54">
        <f>ROUND((H1419*N1419),2)</f>
        <v>0</v>
      </c>
      <c r="S1419" s="54"/>
      <c r="T1419" s="36"/>
      <c r="XDA1419"/>
      <c r="XDB1419"/>
      <c r="XDC1419"/>
      <c r="XDD1419"/>
      <c r="XDE1419"/>
      <c r="XDF1419"/>
      <c r="XDG1419"/>
      <c r="XDH1419"/>
      <c r="XDI1419"/>
      <c r="XDJ1419"/>
      <c r="XDK1419"/>
      <c r="XDL1419"/>
      <c r="XDM1419"/>
      <c r="XDN1419"/>
      <c r="XDO1419"/>
      <c r="XDP1419"/>
      <c r="XDQ1419"/>
      <c r="XDR1419"/>
      <c r="XDS1419"/>
      <c r="XDT1419"/>
      <c r="XDU1419"/>
      <c r="XDV1419"/>
      <c r="XDW1419"/>
      <c r="XDX1419"/>
      <c r="XDY1419"/>
      <c r="XDZ1419"/>
      <c r="XEA1419"/>
      <c r="XEB1419"/>
      <c r="XEC1419"/>
      <c r="XED1419"/>
      <c r="XEE1419"/>
      <c r="XEF1419"/>
      <c r="XEG1419"/>
      <c r="XEH1419"/>
      <c r="XEI1419"/>
      <c r="XEJ1419"/>
      <c r="XEK1419"/>
      <c r="XEL1419"/>
      <c r="XEM1419"/>
      <c r="XEN1419"/>
      <c r="XEO1419"/>
      <c r="XEP1419"/>
      <c r="XEQ1419"/>
      <c r="XER1419"/>
      <c r="XES1419"/>
      <c r="XET1419"/>
      <c r="XEU1419"/>
      <c r="XEV1419"/>
      <c r="XEW1419"/>
      <c r="XEX1419"/>
      <c r="XEY1419"/>
      <c r="XEZ1419"/>
      <c r="XFA1419"/>
      <c r="XFB1419"/>
      <c r="XFC1419"/>
    </row>
    <row r="1420" spans="1:20 16329:16383" s="38" customFormat="1" ht="29.1" customHeight="1" outlineLevel="6" x14ac:dyDescent="0.25">
      <c r="A1420" s="49" t="s">
        <v>2540</v>
      </c>
      <c r="B1420" s="50"/>
      <c r="C1420" s="50"/>
      <c r="D1420" s="3" t="s">
        <v>2258</v>
      </c>
      <c r="E1420" s="3"/>
      <c r="F1420" s="51" t="s">
        <v>2252</v>
      </c>
      <c r="G1420" s="50" t="s">
        <v>29</v>
      </c>
      <c r="H1420" s="52">
        <f>1</f>
        <v>1</v>
      </c>
      <c r="I1420" s="36"/>
      <c r="J1420" s="52">
        <v>1</v>
      </c>
      <c r="K1420" s="53">
        <f>0</f>
        <v>0</v>
      </c>
      <c r="L1420" s="53">
        <f>0</f>
        <v>0</v>
      </c>
      <c r="M1420" s="53">
        <f>0</f>
        <v>0</v>
      </c>
      <c r="N1420" s="54">
        <f>SUM(K1420:M1420)</f>
        <v>0</v>
      </c>
      <c r="O1420" s="54">
        <f>ROUND((H1420*K1420),2)</f>
        <v>0</v>
      </c>
      <c r="P1420" s="54">
        <f>ROUND((H1420*L1420),2)</f>
        <v>0</v>
      </c>
      <c r="Q1420" s="54">
        <f>ROUND((H1420*M1420),2)</f>
        <v>0</v>
      </c>
      <c r="R1420" s="54">
        <f>ROUND((H1420*N1420),2)</f>
        <v>0</v>
      </c>
      <c r="S1420" s="54"/>
      <c r="T1420" s="36"/>
      <c r="XDA1420"/>
      <c r="XDB1420"/>
      <c r="XDC1420"/>
      <c r="XDD1420"/>
      <c r="XDE1420"/>
      <c r="XDF1420"/>
      <c r="XDG1420"/>
      <c r="XDH1420"/>
      <c r="XDI1420"/>
      <c r="XDJ1420"/>
      <c r="XDK1420"/>
      <c r="XDL1420"/>
      <c r="XDM1420"/>
      <c r="XDN1420"/>
      <c r="XDO1420"/>
      <c r="XDP1420"/>
      <c r="XDQ1420"/>
      <c r="XDR1420"/>
      <c r="XDS1420"/>
      <c r="XDT1420"/>
      <c r="XDU1420"/>
      <c r="XDV1420"/>
      <c r="XDW1420"/>
      <c r="XDX1420"/>
      <c r="XDY1420"/>
      <c r="XDZ1420"/>
      <c r="XEA1420"/>
      <c r="XEB1420"/>
      <c r="XEC1420"/>
      <c r="XED1420"/>
      <c r="XEE1420"/>
      <c r="XEF1420"/>
      <c r="XEG1420"/>
      <c r="XEH1420"/>
      <c r="XEI1420"/>
      <c r="XEJ1420"/>
      <c r="XEK1420"/>
      <c r="XEL1420"/>
      <c r="XEM1420"/>
      <c r="XEN1420"/>
      <c r="XEO1420"/>
      <c r="XEP1420"/>
      <c r="XEQ1420"/>
      <c r="XER1420"/>
      <c r="XES1420"/>
      <c r="XET1420"/>
      <c r="XEU1420"/>
      <c r="XEV1420"/>
      <c r="XEW1420"/>
      <c r="XEX1420"/>
      <c r="XEY1420"/>
      <c r="XEZ1420"/>
      <c r="XFA1420"/>
      <c r="XFB1420"/>
      <c r="XFC1420"/>
    </row>
    <row r="1421" spans="1:20 16329:16383" s="38" customFormat="1" ht="29.1" customHeight="1" outlineLevel="6" x14ac:dyDescent="0.25">
      <c r="A1421" s="49" t="s">
        <v>2541</v>
      </c>
      <c r="B1421" s="50"/>
      <c r="C1421" s="50"/>
      <c r="D1421" s="3" t="s">
        <v>2324</v>
      </c>
      <c r="E1421" s="3"/>
      <c r="F1421" s="51" t="s">
        <v>2252</v>
      </c>
      <c r="G1421" s="50" t="s">
        <v>29</v>
      </c>
      <c r="H1421" s="52">
        <f>1</f>
        <v>1</v>
      </c>
      <c r="I1421" s="36"/>
      <c r="J1421" s="52">
        <v>1</v>
      </c>
      <c r="K1421" s="53">
        <f>0</f>
        <v>0</v>
      </c>
      <c r="L1421" s="53">
        <f>0</f>
        <v>0</v>
      </c>
      <c r="M1421" s="53">
        <f>0</f>
        <v>0</v>
      </c>
      <c r="N1421" s="54">
        <f>SUM(K1421:M1421)</f>
        <v>0</v>
      </c>
      <c r="O1421" s="54">
        <f>ROUND((H1421*K1421),2)</f>
        <v>0</v>
      </c>
      <c r="P1421" s="54">
        <f>ROUND((H1421*L1421),2)</f>
        <v>0</v>
      </c>
      <c r="Q1421" s="54">
        <f>ROUND((H1421*M1421),2)</f>
        <v>0</v>
      </c>
      <c r="R1421" s="54">
        <f>ROUND((H1421*N1421),2)</f>
        <v>0</v>
      </c>
      <c r="S1421" s="54"/>
      <c r="T1421" s="36"/>
      <c r="XDA1421"/>
      <c r="XDB1421"/>
      <c r="XDC1421"/>
      <c r="XDD1421"/>
      <c r="XDE1421"/>
      <c r="XDF1421"/>
      <c r="XDG1421"/>
      <c r="XDH1421"/>
      <c r="XDI1421"/>
      <c r="XDJ1421"/>
      <c r="XDK1421"/>
      <c r="XDL1421"/>
      <c r="XDM1421"/>
      <c r="XDN1421"/>
      <c r="XDO1421"/>
      <c r="XDP1421"/>
      <c r="XDQ1421"/>
      <c r="XDR1421"/>
      <c r="XDS1421"/>
      <c r="XDT1421"/>
      <c r="XDU1421"/>
      <c r="XDV1421"/>
      <c r="XDW1421"/>
      <c r="XDX1421"/>
      <c r="XDY1421"/>
      <c r="XDZ1421"/>
      <c r="XEA1421"/>
      <c r="XEB1421"/>
      <c r="XEC1421"/>
      <c r="XED1421"/>
      <c r="XEE1421"/>
      <c r="XEF1421"/>
      <c r="XEG1421"/>
      <c r="XEH1421"/>
      <c r="XEI1421"/>
      <c r="XEJ1421"/>
      <c r="XEK1421"/>
      <c r="XEL1421"/>
      <c r="XEM1421"/>
      <c r="XEN1421"/>
      <c r="XEO1421"/>
      <c r="XEP1421"/>
      <c r="XEQ1421"/>
      <c r="XER1421"/>
      <c r="XES1421"/>
      <c r="XET1421"/>
      <c r="XEU1421"/>
      <c r="XEV1421"/>
      <c r="XEW1421"/>
      <c r="XEX1421"/>
      <c r="XEY1421"/>
      <c r="XEZ1421"/>
      <c r="XFA1421"/>
      <c r="XFB1421"/>
      <c r="XFC1421"/>
    </row>
    <row r="1422" spans="1:20 16329:16383" s="38" customFormat="1" ht="29.1" customHeight="1" outlineLevel="6" x14ac:dyDescent="0.25">
      <c r="A1422" s="49" t="s">
        <v>2542</v>
      </c>
      <c r="B1422" s="50"/>
      <c r="C1422" s="50"/>
      <c r="D1422" s="3" t="s">
        <v>2326</v>
      </c>
      <c r="E1422" s="3"/>
      <c r="F1422" s="51" t="s">
        <v>2252</v>
      </c>
      <c r="G1422" s="50" t="s">
        <v>29</v>
      </c>
      <c r="H1422" s="52">
        <f>1</f>
        <v>1</v>
      </c>
      <c r="I1422" s="36"/>
      <c r="J1422" s="52">
        <v>1</v>
      </c>
      <c r="K1422" s="53">
        <f>0</f>
        <v>0</v>
      </c>
      <c r="L1422" s="53">
        <f>0</f>
        <v>0</v>
      </c>
      <c r="M1422" s="53">
        <f>0</f>
        <v>0</v>
      </c>
      <c r="N1422" s="54">
        <f>SUM(K1422:M1422)</f>
        <v>0</v>
      </c>
      <c r="O1422" s="54">
        <f>ROUND((H1422*K1422),2)</f>
        <v>0</v>
      </c>
      <c r="P1422" s="54">
        <f>ROUND((H1422*L1422),2)</f>
        <v>0</v>
      </c>
      <c r="Q1422" s="54">
        <f>ROUND((H1422*M1422),2)</f>
        <v>0</v>
      </c>
      <c r="R1422" s="54">
        <f>ROUND((H1422*N1422),2)</f>
        <v>0</v>
      </c>
      <c r="S1422" s="54"/>
      <c r="T1422" s="36"/>
      <c r="XDA1422"/>
      <c r="XDB1422"/>
      <c r="XDC1422"/>
      <c r="XDD1422"/>
      <c r="XDE1422"/>
      <c r="XDF1422"/>
      <c r="XDG1422"/>
      <c r="XDH1422"/>
      <c r="XDI1422"/>
      <c r="XDJ1422"/>
      <c r="XDK1422"/>
      <c r="XDL1422"/>
      <c r="XDM1422"/>
      <c r="XDN1422"/>
      <c r="XDO1422"/>
      <c r="XDP1422"/>
      <c r="XDQ1422"/>
      <c r="XDR1422"/>
      <c r="XDS1422"/>
      <c r="XDT1422"/>
      <c r="XDU1422"/>
      <c r="XDV1422"/>
      <c r="XDW1422"/>
      <c r="XDX1422"/>
      <c r="XDY1422"/>
      <c r="XDZ1422"/>
      <c r="XEA1422"/>
      <c r="XEB1422"/>
      <c r="XEC1422"/>
      <c r="XED1422"/>
      <c r="XEE1422"/>
      <c r="XEF1422"/>
      <c r="XEG1422"/>
      <c r="XEH1422"/>
      <c r="XEI1422"/>
      <c r="XEJ1422"/>
      <c r="XEK1422"/>
      <c r="XEL1422"/>
      <c r="XEM1422"/>
      <c r="XEN1422"/>
      <c r="XEO1422"/>
      <c r="XEP1422"/>
      <c r="XEQ1422"/>
      <c r="XER1422"/>
      <c r="XES1422"/>
      <c r="XET1422"/>
      <c r="XEU1422"/>
      <c r="XEV1422"/>
      <c r="XEW1422"/>
      <c r="XEX1422"/>
      <c r="XEY1422"/>
      <c r="XEZ1422"/>
      <c r="XFA1422"/>
      <c r="XFB1422"/>
      <c r="XFC1422"/>
    </row>
    <row r="1423" spans="1:20 16329:16383" s="38" customFormat="1" ht="29.1" customHeight="1" outlineLevel="3" x14ac:dyDescent="0.25">
      <c r="A1423" s="55" t="s">
        <v>2543</v>
      </c>
      <c r="B1423" s="56" t="s">
        <v>2544</v>
      </c>
      <c r="C1423" s="56"/>
      <c r="D1423" s="2" t="s">
        <v>2545</v>
      </c>
      <c r="E1423" s="2"/>
      <c r="F1423" s="57"/>
      <c r="G1423" s="56"/>
      <c r="H1423" s="58"/>
      <c r="I1423" s="36"/>
      <c r="J1423" s="58"/>
      <c r="K1423" s="59"/>
      <c r="L1423" s="59"/>
      <c r="M1423" s="59"/>
      <c r="N1423" s="59"/>
      <c r="O1423" s="59">
        <f>O1424+O1455+O1487+O1503</f>
        <v>0</v>
      </c>
      <c r="P1423" s="59">
        <f>P1424+P1455+P1487+P1503</f>
        <v>0</v>
      </c>
      <c r="Q1423" s="59">
        <f>Q1424+Q1455+Q1487+Q1503</f>
        <v>0</v>
      </c>
      <c r="R1423" s="59">
        <f>R1424+R1455+R1487+R1503</f>
        <v>0</v>
      </c>
      <c r="S1423" s="59"/>
      <c r="T1423" s="36"/>
      <c r="XDA1423"/>
      <c r="XDB1423"/>
      <c r="XDC1423"/>
      <c r="XDD1423"/>
      <c r="XDE1423"/>
      <c r="XDF1423"/>
      <c r="XDG1423"/>
      <c r="XDH1423"/>
      <c r="XDI1423"/>
      <c r="XDJ1423"/>
      <c r="XDK1423"/>
      <c r="XDL1423"/>
      <c r="XDM1423"/>
      <c r="XDN1423"/>
      <c r="XDO1423"/>
      <c r="XDP1423"/>
      <c r="XDQ1423"/>
      <c r="XDR1423"/>
      <c r="XDS1423"/>
      <c r="XDT1423"/>
      <c r="XDU1423"/>
      <c r="XDV1423"/>
      <c r="XDW1423"/>
      <c r="XDX1423"/>
      <c r="XDY1423"/>
      <c r="XDZ1423"/>
      <c r="XEA1423"/>
      <c r="XEB1423"/>
      <c r="XEC1423"/>
      <c r="XED1423"/>
      <c r="XEE1423"/>
      <c r="XEF1423"/>
      <c r="XEG1423"/>
      <c r="XEH1423"/>
      <c r="XEI1423"/>
      <c r="XEJ1423"/>
      <c r="XEK1423"/>
      <c r="XEL1423"/>
      <c r="XEM1423"/>
      <c r="XEN1423"/>
      <c r="XEO1423"/>
      <c r="XEP1423"/>
      <c r="XEQ1423"/>
      <c r="XER1423"/>
      <c r="XES1423"/>
      <c r="XET1423"/>
      <c r="XEU1423"/>
      <c r="XEV1423"/>
      <c r="XEW1423"/>
      <c r="XEX1423"/>
      <c r="XEY1423"/>
      <c r="XEZ1423"/>
      <c r="XFA1423"/>
      <c r="XFB1423"/>
      <c r="XFC1423"/>
    </row>
    <row r="1424" spans="1:20 16329:16383" s="38" customFormat="1" ht="29.1" customHeight="1" outlineLevel="4" x14ac:dyDescent="0.25">
      <c r="A1424" s="60" t="s">
        <v>2546</v>
      </c>
      <c r="B1424" s="61" t="s">
        <v>2547</v>
      </c>
      <c r="C1424" s="61" t="s">
        <v>2382</v>
      </c>
      <c r="D1424" s="1" t="s">
        <v>2548</v>
      </c>
      <c r="E1424" s="1"/>
      <c r="F1424" s="62"/>
      <c r="G1424" s="61" t="s">
        <v>102</v>
      </c>
      <c r="H1424" s="63"/>
      <c r="I1424" s="36"/>
      <c r="J1424" s="63"/>
      <c r="K1424" s="64"/>
      <c r="L1424" s="64"/>
      <c r="M1424" s="64"/>
      <c r="N1424" s="64"/>
      <c r="O1424" s="64">
        <f>O1425+O1434+O1445+O1449</f>
        <v>0</v>
      </c>
      <c r="P1424" s="64">
        <f>P1425+P1434+P1445+P1449</f>
        <v>0</v>
      </c>
      <c r="Q1424" s="64">
        <f>Q1425+Q1434+Q1445+Q1449</f>
        <v>0</v>
      </c>
      <c r="R1424" s="64">
        <f>R1425+R1434+R1445+R1449</f>
        <v>0</v>
      </c>
      <c r="S1424" s="64"/>
      <c r="T1424" s="36"/>
      <c r="XDA1424"/>
      <c r="XDB1424"/>
      <c r="XDC1424"/>
      <c r="XDD1424"/>
      <c r="XDE1424"/>
      <c r="XDF1424"/>
      <c r="XDG1424"/>
      <c r="XDH1424"/>
      <c r="XDI1424"/>
      <c r="XDJ1424"/>
      <c r="XDK1424"/>
      <c r="XDL1424"/>
      <c r="XDM1424"/>
      <c r="XDN1424"/>
      <c r="XDO1424"/>
      <c r="XDP1424"/>
      <c r="XDQ1424"/>
      <c r="XDR1424"/>
      <c r="XDS1424"/>
      <c r="XDT1424"/>
      <c r="XDU1424"/>
      <c r="XDV1424"/>
      <c r="XDW1424"/>
      <c r="XDX1424"/>
      <c r="XDY1424"/>
      <c r="XDZ1424"/>
      <c r="XEA1424"/>
      <c r="XEB1424"/>
      <c r="XEC1424"/>
      <c r="XED1424"/>
      <c r="XEE1424"/>
      <c r="XEF1424"/>
      <c r="XEG1424"/>
      <c r="XEH1424"/>
      <c r="XEI1424"/>
      <c r="XEJ1424"/>
      <c r="XEK1424"/>
      <c r="XEL1424"/>
      <c r="XEM1424"/>
      <c r="XEN1424"/>
      <c r="XEO1424"/>
      <c r="XEP1424"/>
      <c r="XEQ1424"/>
      <c r="XER1424"/>
      <c r="XES1424"/>
      <c r="XET1424"/>
      <c r="XEU1424"/>
      <c r="XEV1424"/>
      <c r="XEW1424"/>
      <c r="XEX1424"/>
      <c r="XEY1424"/>
      <c r="XEZ1424"/>
      <c r="XFA1424"/>
      <c r="XFB1424"/>
      <c r="XFC1424"/>
    </row>
    <row r="1425" spans="1:20 16329:16383" s="38" customFormat="1" ht="29.1" customHeight="1" outlineLevel="5" x14ac:dyDescent="0.25">
      <c r="A1425" s="65" t="s">
        <v>2549</v>
      </c>
      <c r="B1425" s="66" t="s">
        <v>2550</v>
      </c>
      <c r="C1425" s="66"/>
      <c r="D1425" s="98" t="s">
        <v>1873</v>
      </c>
      <c r="E1425" s="98"/>
      <c r="F1425" s="67"/>
      <c r="G1425" s="66"/>
      <c r="H1425" s="68"/>
      <c r="I1425" s="36"/>
      <c r="J1425" s="68"/>
      <c r="K1425" s="69"/>
      <c r="L1425" s="69"/>
      <c r="M1425" s="69"/>
      <c r="N1425" s="69"/>
      <c r="O1425" s="69">
        <f>SUM(O1426:O1433)</f>
        <v>0</v>
      </c>
      <c r="P1425" s="69">
        <f>SUM(P1426:P1433)</f>
        <v>0</v>
      </c>
      <c r="Q1425" s="69">
        <f>SUM(Q1426:Q1433)</f>
        <v>0</v>
      </c>
      <c r="R1425" s="69">
        <f>SUM(R1426:R1433)</f>
        <v>0</v>
      </c>
      <c r="S1425" s="69"/>
      <c r="T1425" s="36"/>
      <c r="XDA1425"/>
      <c r="XDB1425"/>
      <c r="XDC1425"/>
      <c r="XDD1425"/>
      <c r="XDE1425"/>
      <c r="XDF1425"/>
      <c r="XDG1425"/>
      <c r="XDH1425"/>
      <c r="XDI1425"/>
      <c r="XDJ1425"/>
      <c r="XDK1425"/>
      <c r="XDL1425"/>
      <c r="XDM1425"/>
      <c r="XDN1425"/>
      <c r="XDO1425"/>
      <c r="XDP1425"/>
      <c r="XDQ1425"/>
      <c r="XDR1425"/>
      <c r="XDS1425"/>
      <c r="XDT1425"/>
      <c r="XDU1425"/>
      <c r="XDV1425"/>
      <c r="XDW1425"/>
      <c r="XDX1425"/>
      <c r="XDY1425"/>
      <c r="XDZ1425"/>
      <c r="XEA1425"/>
      <c r="XEB1425"/>
      <c r="XEC1425"/>
      <c r="XED1425"/>
      <c r="XEE1425"/>
      <c r="XEF1425"/>
      <c r="XEG1425"/>
      <c r="XEH1425"/>
      <c r="XEI1425"/>
      <c r="XEJ1425"/>
      <c r="XEK1425"/>
      <c r="XEL1425"/>
      <c r="XEM1425"/>
      <c r="XEN1425"/>
      <c r="XEO1425"/>
      <c r="XEP1425"/>
      <c r="XEQ1425"/>
      <c r="XER1425"/>
      <c r="XES1425"/>
      <c r="XET1425"/>
      <c r="XEU1425"/>
      <c r="XEV1425"/>
      <c r="XEW1425"/>
      <c r="XEX1425"/>
      <c r="XEY1425"/>
      <c r="XEZ1425"/>
      <c r="XFA1425"/>
      <c r="XFB1425"/>
      <c r="XFC1425"/>
    </row>
    <row r="1426" spans="1:20 16329:16383" s="38" customFormat="1" ht="29.1" customHeight="1" outlineLevel="6" x14ac:dyDescent="0.25">
      <c r="A1426" s="49" t="s">
        <v>2551</v>
      </c>
      <c r="B1426" s="50"/>
      <c r="C1426" s="50"/>
      <c r="D1426" s="3" t="s">
        <v>2387</v>
      </c>
      <c r="E1426" s="3"/>
      <c r="F1426" s="51"/>
      <c r="G1426" s="50" t="s">
        <v>102</v>
      </c>
      <c r="H1426" s="52">
        <f>1</f>
        <v>1</v>
      </c>
      <c r="I1426" s="36"/>
      <c r="J1426" s="52">
        <v>1</v>
      </c>
      <c r="K1426" s="53">
        <f>0</f>
        <v>0</v>
      </c>
      <c r="L1426" s="53">
        <f>0</f>
        <v>0</v>
      </c>
      <c r="M1426" s="53">
        <f>0</f>
        <v>0</v>
      </c>
      <c r="N1426" s="54">
        <f t="shared" ref="N1426:N1433" si="244">SUM(K1426:M1426)</f>
        <v>0</v>
      </c>
      <c r="O1426" s="54">
        <f t="shared" ref="O1426:O1433" si="245">ROUND((H1426*K1426),2)</f>
        <v>0</v>
      </c>
      <c r="P1426" s="54">
        <f t="shared" ref="P1426:P1433" si="246">ROUND((H1426*L1426),2)</f>
        <v>0</v>
      </c>
      <c r="Q1426" s="54">
        <f t="shared" ref="Q1426:Q1433" si="247">ROUND((H1426*M1426),2)</f>
        <v>0</v>
      </c>
      <c r="R1426" s="54">
        <f t="shared" ref="R1426:R1433" si="248">ROUND((H1426*N1426),2)</f>
        <v>0</v>
      </c>
      <c r="S1426" s="54"/>
      <c r="T1426" s="36"/>
      <c r="XDA1426"/>
      <c r="XDB1426"/>
      <c r="XDC1426"/>
      <c r="XDD1426"/>
      <c r="XDE1426"/>
      <c r="XDF1426"/>
      <c r="XDG1426"/>
      <c r="XDH1426"/>
      <c r="XDI1426"/>
      <c r="XDJ1426"/>
      <c r="XDK1426"/>
      <c r="XDL1426"/>
      <c r="XDM1426"/>
      <c r="XDN1426"/>
      <c r="XDO1426"/>
      <c r="XDP1426"/>
      <c r="XDQ1426"/>
      <c r="XDR1426"/>
      <c r="XDS1426"/>
      <c r="XDT1426"/>
      <c r="XDU1426"/>
      <c r="XDV1426"/>
      <c r="XDW1426"/>
      <c r="XDX1426"/>
      <c r="XDY1426"/>
      <c r="XDZ1426"/>
      <c r="XEA1426"/>
      <c r="XEB1426"/>
      <c r="XEC1426"/>
      <c r="XED1426"/>
      <c r="XEE1426"/>
      <c r="XEF1426"/>
      <c r="XEG1426"/>
      <c r="XEH1426"/>
      <c r="XEI1426"/>
      <c r="XEJ1426"/>
      <c r="XEK1426"/>
      <c r="XEL1426"/>
      <c r="XEM1426"/>
      <c r="XEN1426"/>
      <c r="XEO1426"/>
      <c r="XEP1426"/>
      <c r="XEQ1426"/>
      <c r="XER1426"/>
      <c r="XES1426"/>
      <c r="XET1426"/>
      <c r="XEU1426"/>
      <c r="XEV1426"/>
      <c r="XEW1426"/>
      <c r="XEX1426"/>
      <c r="XEY1426"/>
      <c r="XEZ1426"/>
      <c r="XFA1426"/>
      <c r="XFB1426"/>
      <c r="XFC1426"/>
    </row>
    <row r="1427" spans="1:20 16329:16383" s="38" customFormat="1" ht="29.1" customHeight="1" outlineLevel="6" x14ac:dyDescent="0.25">
      <c r="A1427" s="49" t="s">
        <v>2552</v>
      </c>
      <c r="B1427" s="50"/>
      <c r="C1427" s="50"/>
      <c r="D1427" s="3" t="s">
        <v>1875</v>
      </c>
      <c r="E1427" s="3"/>
      <c r="F1427" s="51"/>
      <c r="G1427" s="50" t="s">
        <v>102</v>
      </c>
      <c r="H1427" s="52">
        <f>1</f>
        <v>1</v>
      </c>
      <c r="I1427" s="36"/>
      <c r="J1427" s="52">
        <v>1</v>
      </c>
      <c r="K1427" s="53">
        <f>0</f>
        <v>0</v>
      </c>
      <c r="L1427" s="53">
        <f>0</f>
        <v>0</v>
      </c>
      <c r="M1427" s="53">
        <f>0</f>
        <v>0</v>
      </c>
      <c r="N1427" s="54">
        <f t="shared" si="244"/>
        <v>0</v>
      </c>
      <c r="O1427" s="54">
        <f t="shared" si="245"/>
        <v>0</v>
      </c>
      <c r="P1427" s="54">
        <f t="shared" si="246"/>
        <v>0</v>
      </c>
      <c r="Q1427" s="54">
        <f t="shared" si="247"/>
        <v>0</v>
      </c>
      <c r="R1427" s="54">
        <f t="shared" si="248"/>
        <v>0</v>
      </c>
      <c r="S1427" s="54"/>
      <c r="T1427" s="36"/>
      <c r="XDA1427"/>
      <c r="XDB1427"/>
      <c r="XDC1427"/>
      <c r="XDD1427"/>
      <c r="XDE1427"/>
      <c r="XDF1427"/>
      <c r="XDG1427"/>
      <c r="XDH1427"/>
      <c r="XDI1427"/>
      <c r="XDJ1427"/>
      <c r="XDK1427"/>
      <c r="XDL1427"/>
      <c r="XDM1427"/>
      <c r="XDN1427"/>
      <c r="XDO1427"/>
      <c r="XDP1427"/>
      <c r="XDQ1427"/>
      <c r="XDR1427"/>
      <c r="XDS1427"/>
      <c r="XDT1427"/>
      <c r="XDU1427"/>
      <c r="XDV1427"/>
      <c r="XDW1427"/>
      <c r="XDX1427"/>
      <c r="XDY1427"/>
      <c r="XDZ1427"/>
      <c r="XEA1427"/>
      <c r="XEB1427"/>
      <c r="XEC1427"/>
      <c r="XED1427"/>
      <c r="XEE1427"/>
      <c r="XEF1427"/>
      <c r="XEG1427"/>
      <c r="XEH1427"/>
      <c r="XEI1427"/>
      <c r="XEJ1427"/>
      <c r="XEK1427"/>
      <c r="XEL1427"/>
      <c r="XEM1427"/>
      <c r="XEN1427"/>
      <c r="XEO1427"/>
      <c r="XEP1427"/>
      <c r="XEQ1427"/>
      <c r="XER1427"/>
      <c r="XES1427"/>
      <c r="XET1427"/>
      <c r="XEU1427"/>
      <c r="XEV1427"/>
      <c r="XEW1427"/>
      <c r="XEX1427"/>
      <c r="XEY1427"/>
      <c r="XEZ1427"/>
      <c r="XFA1427"/>
      <c r="XFB1427"/>
      <c r="XFC1427"/>
    </row>
    <row r="1428" spans="1:20 16329:16383" s="38" customFormat="1" ht="29.1" customHeight="1" outlineLevel="6" x14ac:dyDescent="0.25">
      <c r="A1428" s="49" t="s">
        <v>2553</v>
      </c>
      <c r="B1428" s="50"/>
      <c r="C1428" s="50"/>
      <c r="D1428" s="3" t="s">
        <v>2390</v>
      </c>
      <c r="E1428" s="3"/>
      <c r="F1428" s="51"/>
      <c r="G1428" s="50" t="s">
        <v>102</v>
      </c>
      <c r="H1428" s="52">
        <f>1</f>
        <v>1</v>
      </c>
      <c r="I1428" s="36"/>
      <c r="J1428" s="52">
        <v>1</v>
      </c>
      <c r="K1428" s="53">
        <f>0</f>
        <v>0</v>
      </c>
      <c r="L1428" s="53">
        <f>0</f>
        <v>0</v>
      </c>
      <c r="M1428" s="53">
        <f>0</f>
        <v>0</v>
      </c>
      <c r="N1428" s="54">
        <f t="shared" si="244"/>
        <v>0</v>
      </c>
      <c r="O1428" s="54">
        <f t="shared" si="245"/>
        <v>0</v>
      </c>
      <c r="P1428" s="54">
        <f t="shared" si="246"/>
        <v>0</v>
      </c>
      <c r="Q1428" s="54">
        <f t="shared" si="247"/>
        <v>0</v>
      </c>
      <c r="R1428" s="54">
        <f t="shared" si="248"/>
        <v>0</v>
      </c>
      <c r="S1428" s="54"/>
      <c r="T1428" s="36"/>
      <c r="XDA1428"/>
      <c r="XDB1428"/>
      <c r="XDC1428"/>
      <c r="XDD1428"/>
      <c r="XDE1428"/>
      <c r="XDF1428"/>
      <c r="XDG1428"/>
      <c r="XDH1428"/>
      <c r="XDI1428"/>
      <c r="XDJ1428"/>
      <c r="XDK1428"/>
      <c r="XDL1428"/>
      <c r="XDM1428"/>
      <c r="XDN1428"/>
      <c r="XDO1428"/>
      <c r="XDP1428"/>
      <c r="XDQ1428"/>
      <c r="XDR1428"/>
      <c r="XDS1428"/>
      <c r="XDT1428"/>
      <c r="XDU1428"/>
      <c r="XDV1428"/>
      <c r="XDW1428"/>
      <c r="XDX1428"/>
      <c r="XDY1428"/>
      <c r="XDZ1428"/>
      <c r="XEA1428"/>
      <c r="XEB1428"/>
      <c r="XEC1428"/>
      <c r="XED1428"/>
      <c r="XEE1428"/>
      <c r="XEF1428"/>
      <c r="XEG1428"/>
      <c r="XEH1428"/>
      <c r="XEI1428"/>
      <c r="XEJ1428"/>
      <c r="XEK1428"/>
      <c r="XEL1428"/>
      <c r="XEM1428"/>
      <c r="XEN1428"/>
      <c r="XEO1428"/>
      <c r="XEP1428"/>
      <c r="XEQ1428"/>
      <c r="XER1428"/>
      <c r="XES1428"/>
      <c r="XET1428"/>
      <c r="XEU1428"/>
      <c r="XEV1428"/>
      <c r="XEW1428"/>
      <c r="XEX1428"/>
      <c r="XEY1428"/>
      <c r="XEZ1428"/>
      <c r="XFA1428"/>
      <c r="XFB1428"/>
      <c r="XFC1428"/>
    </row>
    <row r="1429" spans="1:20 16329:16383" s="38" customFormat="1" ht="29.1" customHeight="1" outlineLevel="6" x14ac:dyDescent="0.25">
      <c r="A1429" s="49" t="s">
        <v>2554</v>
      </c>
      <c r="B1429" s="50"/>
      <c r="C1429" s="50"/>
      <c r="D1429" s="3" t="s">
        <v>2392</v>
      </c>
      <c r="E1429" s="3"/>
      <c r="F1429" s="51"/>
      <c r="G1429" s="50" t="s">
        <v>102</v>
      </c>
      <c r="H1429" s="52">
        <f>1</f>
        <v>1</v>
      </c>
      <c r="I1429" s="36"/>
      <c r="J1429" s="52">
        <v>1</v>
      </c>
      <c r="K1429" s="53">
        <f>0</f>
        <v>0</v>
      </c>
      <c r="L1429" s="53">
        <f>0</f>
        <v>0</v>
      </c>
      <c r="M1429" s="53">
        <f>0</f>
        <v>0</v>
      </c>
      <c r="N1429" s="54">
        <f t="shared" si="244"/>
        <v>0</v>
      </c>
      <c r="O1429" s="54">
        <f t="shared" si="245"/>
        <v>0</v>
      </c>
      <c r="P1429" s="54">
        <f t="shared" si="246"/>
        <v>0</v>
      </c>
      <c r="Q1429" s="54">
        <f t="shared" si="247"/>
        <v>0</v>
      </c>
      <c r="R1429" s="54">
        <f t="shared" si="248"/>
        <v>0</v>
      </c>
      <c r="S1429" s="54"/>
      <c r="T1429" s="36"/>
      <c r="XDA1429"/>
      <c r="XDB1429"/>
      <c r="XDC1429"/>
      <c r="XDD1429"/>
      <c r="XDE1429"/>
      <c r="XDF1429"/>
      <c r="XDG1429"/>
      <c r="XDH1429"/>
      <c r="XDI1429"/>
      <c r="XDJ1429"/>
      <c r="XDK1429"/>
      <c r="XDL1429"/>
      <c r="XDM1429"/>
      <c r="XDN1429"/>
      <c r="XDO1429"/>
      <c r="XDP1429"/>
      <c r="XDQ1429"/>
      <c r="XDR1429"/>
      <c r="XDS1429"/>
      <c r="XDT1429"/>
      <c r="XDU1429"/>
      <c r="XDV1429"/>
      <c r="XDW1429"/>
      <c r="XDX1429"/>
      <c r="XDY1429"/>
      <c r="XDZ1429"/>
      <c r="XEA1429"/>
      <c r="XEB1429"/>
      <c r="XEC1429"/>
      <c r="XED1429"/>
      <c r="XEE1429"/>
      <c r="XEF1429"/>
      <c r="XEG1429"/>
      <c r="XEH1429"/>
      <c r="XEI1429"/>
      <c r="XEJ1429"/>
      <c r="XEK1429"/>
      <c r="XEL1429"/>
      <c r="XEM1429"/>
      <c r="XEN1429"/>
      <c r="XEO1429"/>
      <c r="XEP1429"/>
      <c r="XEQ1429"/>
      <c r="XER1429"/>
      <c r="XES1429"/>
      <c r="XET1429"/>
      <c r="XEU1429"/>
      <c r="XEV1429"/>
      <c r="XEW1429"/>
      <c r="XEX1429"/>
      <c r="XEY1429"/>
      <c r="XEZ1429"/>
      <c r="XFA1429"/>
      <c r="XFB1429"/>
      <c r="XFC1429"/>
    </row>
    <row r="1430" spans="1:20 16329:16383" s="38" customFormat="1" ht="29.1" customHeight="1" outlineLevel="6" x14ac:dyDescent="0.25">
      <c r="A1430" s="49" t="s">
        <v>2555</v>
      </c>
      <c r="B1430" s="50"/>
      <c r="C1430" s="50"/>
      <c r="D1430" s="3" t="s">
        <v>2394</v>
      </c>
      <c r="E1430" s="3"/>
      <c r="F1430" s="51"/>
      <c r="G1430" s="50" t="s">
        <v>102</v>
      </c>
      <c r="H1430" s="52">
        <f>1</f>
        <v>1</v>
      </c>
      <c r="I1430" s="36"/>
      <c r="J1430" s="52">
        <v>1</v>
      </c>
      <c r="K1430" s="53">
        <f>0</f>
        <v>0</v>
      </c>
      <c r="L1430" s="53">
        <f>0</f>
        <v>0</v>
      </c>
      <c r="M1430" s="53">
        <f>0</f>
        <v>0</v>
      </c>
      <c r="N1430" s="54">
        <f t="shared" si="244"/>
        <v>0</v>
      </c>
      <c r="O1430" s="54">
        <f t="shared" si="245"/>
        <v>0</v>
      </c>
      <c r="P1430" s="54">
        <f t="shared" si="246"/>
        <v>0</v>
      </c>
      <c r="Q1430" s="54">
        <f t="shared" si="247"/>
        <v>0</v>
      </c>
      <c r="R1430" s="54">
        <f t="shared" si="248"/>
        <v>0</v>
      </c>
      <c r="S1430" s="54"/>
      <c r="T1430" s="36"/>
      <c r="XDA1430"/>
      <c r="XDB1430"/>
      <c r="XDC1430"/>
      <c r="XDD1430"/>
      <c r="XDE1430"/>
      <c r="XDF1430"/>
      <c r="XDG1430"/>
      <c r="XDH1430"/>
      <c r="XDI1430"/>
      <c r="XDJ1430"/>
      <c r="XDK1430"/>
      <c r="XDL1430"/>
      <c r="XDM1430"/>
      <c r="XDN1430"/>
      <c r="XDO1430"/>
      <c r="XDP1430"/>
      <c r="XDQ1430"/>
      <c r="XDR1430"/>
      <c r="XDS1430"/>
      <c r="XDT1430"/>
      <c r="XDU1430"/>
      <c r="XDV1430"/>
      <c r="XDW1430"/>
      <c r="XDX1430"/>
      <c r="XDY1430"/>
      <c r="XDZ1430"/>
      <c r="XEA1430"/>
      <c r="XEB1430"/>
      <c r="XEC1430"/>
      <c r="XED1430"/>
      <c r="XEE1430"/>
      <c r="XEF1430"/>
      <c r="XEG1430"/>
      <c r="XEH1430"/>
      <c r="XEI1430"/>
      <c r="XEJ1430"/>
      <c r="XEK1430"/>
      <c r="XEL1430"/>
      <c r="XEM1430"/>
      <c r="XEN1430"/>
      <c r="XEO1430"/>
      <c r="XEP1430"/>
      <c r="XEQ1430"/>
      <c r="XER1430"/>
      <c r="XES1430"/>
      <c r="XET1430"/>
      <c r="XEU1430"/>
      <c r="XEV1430"/>
      <c r="XEW1430"/>
      <c r="XEX1430"/>
      <c r="XEY1430"/>
      <c r="XEZ1430"/>
      <c r="XFA1430"/>
      <c r="XFB1430"/>
      <c r="XFC1430"/>
    </row>
    <row r="1431" spans="1:20 16329:16383" s="38" customFormat="1" ht="29.1" customHeight="1" outlineLevel="6" x14ac:dyDescent="0.25">
      <c r="A1431" s="49" t="s">
        <v>2556</v>
      </c>
      <c r="B1431" s="50"/>
      <c r="C1431" s="50"/>
      <c r="D1431" s="3" t="s">
        <v>2557</v>
      </c>
      <c r="E1431" s="3"/>
      <c r="F1431" s="51"/>
      <c r="G1431" s="50" t="s">
        <v>102</v>
      </c>
      <c r="H1431" s="52">
        <f>1</f>
        <v>1</v>
      </c>
      <c r="I1431" s="36"/>
      <c r="J1431" s="52">
        <v>1</v>
      </c>
      <c r="K1431" s="53">
        <f>0</f>
        <v>0</v>
      </c>
      <c r="L1431" s="53">
        <f>0</f>
        <v>0</v>
      </c>
      <c r="M1431" s="53">
        <f>0</f>
        <v>0</v>
      </c>
      <c r="N1431" s="54">
        <f t="shared" si="244"/>
        <v>0</v>
      </c>
      <c r="O1431" s="54">
        <f t="shared" si="245"/>
        <v>0</v>
      </c>
      <c r="P1431" s="54">
        <f t="shared" si="246"/>
        <v>0</v>
      </c>
      <c r="Q1431" s="54">
        <f t="shared" si="247"/>
        <v>0</v>
      </c>
      <c r="R1431" s="54">
        <f t="shared" si="248"/>
        <v>0</v>
      </c>
      <c r="S1431" s="54"/>
      <c r="T1431" s="36"/>
      <c r="XDA1431"/>
      <c r="XDB1431"/>
      <c r="XDC1431"/>
      <c r="XDD1431"/>
      <c r="XDE1431"/>
      <c r="XDF1431"/>
      <c r="XDG1431"/>
      <c r="XDH1431"/>
      <c r="XDI1431"/>
      <c r="XDJ1431"/>
      <c r="XDK1431"/>
      <c r="XDL1431"/>
      <c r="XDM1431"/>
      <c r="XDN1431"/>
      <c r="XDO1431"/>
      <c r="XDP1431"/>
      <c r="XDQ1431"/>
      <c r="XDR1431"/>
      <c r="XDS1431"/>
      <c r="XDT1431"/>
      <c r="XDU1431"/>
      <c r="XDV1431"/>
      <c r="XDW1431"/>
      <c r="XDX1431"/>
      <c r="XDY1431"/>
      <c r="XDZ1431"/>
      <c r="XEA1431"/>
      <c r="XEB1431"/>
      <c r="XEC1431"/>
      <c r="XED1431"/>
      <c r="XEE1431"/>
      <c r="XEF1431"/>
      <c r="XEG1431"/>
      <c r="XEH1431"/>
      <c r="XEI1431"/>
      <c r="XEJ1431"/>
      <c r="XEK1431"/>
      <c r="XEL1431"/>
      <c r="XEM1431"/>
      <c r="XEN1431"/>
      <c r="XEO1431"/>
      <c r="XEP1431"/>
      <c r="XEQ1431"/>
      <c r="XER1431"/>
      <c r="XES1431"/>
      <c r="XET1431"/>
      <c r="XEU1431"/>
      <c r="XEV1431"/>
      <c r="XEW1431"/>
      <c r="XEX1431"/>
      <c r="XEY1431"/>
      <c r="XEZ1431"/>
      <c r="XFA1431"/>
      <c r="XFB1431"/>
      <c r="XFC1431"/>
    </row>
    <row r="1432" spans="1:20 16329:16383" s="38" customFormat="1" ht="29.1" customHeight="1" outlineLevel="6" x14ac:dyDescent="0.25">
      <c r="A1432" s="49" t="s">
        <v>2558</v>
      </c>
      <c r="B1432" s="50"/>
      <c r="C1432" s="50"/>
      <c r="D1432" s="3" t="s">
        <v>2206</v>
      </c>
      <c r="E1432" s="3"/>
      <c r="F1432" s="51"/>
      <c r="G1432" s="50" t="s">
        <v>194</v>
      </c>
      <c r="H1432" s="52">
        <f>1</f>
        <v>1</v>
      </c>
      <c r="I1432" s="36"/>
      <c r="J1432" s="52">
        <v>1</v>
      </c>
      <c r="K1432" s="53">
        <f>0</f>
        <v>0</v>
      </c>
      <c r="L1432" s="53">
        <f>0</f>
        <v>0</v>
      </c>
      <c r="M1432" s="53">
        <f>0</f>
        <v>0</v>
      </c>
      <c r="N1432" s="54">
        <f t="shared" si="244"/>
        <v>0</v>
      </c>
      <c r="O1432" s="54">
        <f t="shared" si="245"/>
        <v>0</v>
      </c>
      <c r="P1432" s="54">
        <f t="shared" si="246"/>
        <v>0</v>
      </c>
      <c r="Q1432" s="54">
        <f t="shared" si="247"/>
        <v>0</v>
      </c>
      <c r="R1432" s="54">
        <f t="shared" si="248"/>
        <v>0</v>
      </c>
      <c r="S1432" s="54"/>
      <c r="T1432" s="36"/>
      <c r="XDA1432"/>
      <c r="XDB1432"/>
      <c r="XDC1432"/>
      <c r="XDD1432"/>
      <c r="XDE1432"/>
      <c r="XDF1432"/>
      <c r="XDG1432"/>
      <c r="XDH1432"/>
      <c r="XDI1432"/>
      <c r="XDJ1432"/>
      <c r="XDK1432"/>
      <c r="XDL1432"/>
      <c r="XDM1432"/>
      <c r="XDN1432"/>
      <c r="XDO1432"/>
      <c r="XDP1432"/>
      <c r="XDQ1432"/>
      <c r="XDR1432"/>
      <c r="XDS1432"/>
      <c r="XDT1432"/>
      <c r="XDU1432"/>
      <c r="XDV1432"/>
      <c r="XDW1432"/>
      <c r="XDX1432"/>
      <c r="XDY1432"/>
      <c r="XDZ1432"/>
      <c r="XEA1432"/>
      <c r="XEB1432"/>
      <c r="XEC1432"/>
      <c r="XED1432"/>
      <c r="XEE1432"/>
      <c r="XEF1432"/>
      <c r="XEG1432"/>
      <c r="XEH1432"/>
      <c r="XEI1432"/>
      <c r="XEJ1432"/>
      <c r="XEK1432"/>
      <c r="XEL1432"/>
      <c r="XEM1432"/>
      <c r="XEN1432"/>
      <c r="XEO1432"/>
      <c r="XEP1432"/>
      <c r="XEQ1432"/>
      <c r="XER1432"/>
      <c r="XES1432"/>
      <c r="XET1432"/>
      <c r="XEU1432"/>
      <c r="XEV1432"/>
      <c r="XEW1432"/>
      <c r="XEX1432"/>
      <c r="XEY1432"/>
      <c r="XEZ1432"/>
      <c r="XFA1432"/>
      <c r="XFB1432"/>
      <c r="XFC1432"/>
    </row>
    <row r="1433" spans="1:20 16329:16383" s="38" customFormat="1" ht="29.1" customHeight="1" outlineLevel="6" x14ac:dyDescent="0.25">
      <c r="A1433" s="49" t="s">
        <v>2559</v>
      </c>
      <c r="B1433" s="50"/>
      <c r="C1433" s="50"/>
      <c r="D1433" s="3" t="s">
        <v>2278</v>
      </c>
      <c r="E1433" s="3"/>
      <c r="F1433" s="51"/>
      <c r="G1433" s="50" t="s">
        <v>194</v>
      </c>
      <c r="H1433" s="52">
        <f>1</f>
        <v>1</v>
      </c>
      <c r="I1433" s="36"/>
      <c r="J1433" s="52">
        <v>1</v>
      </c>
      <c r="K1433" s="53">
        <f>0</f>
        <v>0</v>
      </c>
      <c r="L1433" s="53">
        <f>0</f>
        <v>0</v>
      </c>
      <c r="M1433" s="53">
        <f>0</f>
        <v>0</v>
      </c>
      <c r="N1433" s="54">
        <f t="shared" si="244"/>
        <v>0</v>
      </c>
      <c r="O1433" s="54">
        <f t="shared" si="245"/>
        <v>0</v>
      </c>
      <c r="P1433" s="54">
        <f t="shared" si="246"/>
        <v>0</v>
      </c>
      <c r="Q1433" s="54">
        <f t="shared" si="247"/>
        <v>0</v>
      </c>
      <c r="R1433" s="54">
        <f t="shared" si="248"/>
        <v>0</v>
      </c>
      <c r="S1433" s="54"/>
      <c r="T1433" s="36"/>
      <c r="XDA1433"/>
      <c r="XDB1433"/>
      <c r="XDC1433"/>
      <c r="XDD1433"/>
      <c r="XDE1433"/>
      <c r="XDF1433"/>
      <c r="XDG1433"/>
      <c r="XDH1433"/>
      <c r="XDI1433"/>
      <c r="XDJ1433"/>
      <c r="XDK1433"/>
      <c r="XDL1433"/>
      <c r="XDM1433"/>
      <c r="XDN1433"/>
      <c r="XDO1433"/>
      <c r="XDP1433"/>
      <c r="XDQ1433"/>
      <c r="XDR1433"/>
      <c r="XDS1433"/>
      <c r="XDT1433"/>
      <c r="XDU1433"/>
      <c r="XDV1433"/>
      <c r="XDW1433"/>
      <c r="XDX1433"/>
      <c r="XDY1433"/>
      <c r="XDZ1433"/>
      <c r="XEA1433"/>
      <c r="XEB1433"/>
      <c r="XEC1433"/>
      <c r="XED1433"/>
      <c r="XEE1433"/>
      <c r="XEF1433"/>
      <c r="XEG1433"/>
      <c r="XEH1433"/>
      <c r="XEI1433"/>
      <c r="XEJ1433"/>
      <c r="XEK1433"/>
      <c r="XEL1433"/>
      <c r="XEM1433"/>
      <c r="XEN1433"/>
      <c r="XEO1433"/>
      <c r="XEP1433"/>
      <c r="XEQ1433"/>
      <c r="XER1433"/>
      <c r="XES1433"/>
      <c r="XET1433"/>
      <c r="XEU1433"/>
      <c r="XEV1433"/>
      <c r="XEW1433"/>
      <c r="XEX1433"/>
      <c r="XEY1433"/>
      <c r="XEZ1433"/>
      <c r="XFA1433"/>
      <c r="XFB1433"/>
      <c r="XFC1433"/>
    </row>
    <row r="1434" spans="1:20 16329:16383" s="38" customFormat="1" ht="29.1" customHeight="1" outlineLevel="5" x14ac:dyDescent="0.25">
      <c r="A1434" s="65" t="s">
        <v>2560</v>
      </c>
      <c r="B1434" s="66" t="s">
        <v>2561</v>
      </c>
      <c r="C1434" s="66"/>
      <c r="D1434" s="98" t="s">
        <v>344</v>
      </c>
      <c r="E1434" s="98"/>
      <c r="F1434" s="67"/>
      <c r="G1434" s="66"/>
      <c r="H1434" s="68"/>
      <c r="I1434" s="36"/>
      <c r="J1434" s="68"/>
      <c r="K1434" s="69"/>
      <c r="L1434" s="69"/>
      <c r="M1434" s="69"/>
      <c r="N1434" s="69"/>
      <c r="O1434" s="69">
        <f>SUM(O1435:O1444)</f>
        <v>0</v>
      </c>
      <c r="P1434" s="69">
        <f>SUM(P1435:P1444)</f>
        <v>0</v>
      </c>
      <c r="Q1434" s="69">
        <f>SUM(Q1435:Q1444)</f>
        <v>0</v>
      </c>
      <c r="R1434" s="69">
        <f>SUM(R1435:R1444)</f>
        <v>0</v>
      </c>
      <c r="S1434" s="69"/>
      <c r="T1434" s="36"/>
      <c r="XDA1434"/>
      <c r="XDB1434"/>
      <c r="XDC1434"/>
      <c r="XDD1434"/>
      <c r="XDE1434"/>
      <c r="XDF1434"/>
      <c r="XDG1434"/>
      <c r="XDH1434"/>
      <c r="XDI1434"/>
      <c r="XDJ1434"/>
      <c r="XDK1434"/>
      <c r="XDL1434"/>
      <c r="XDM1434"/>
      <c r="XDN1434"/>
      <c r="XDO1434"/>
      <c r="XDP1434"/>
      <c r="XDQ1434"/>
      <c r="XDR1434"/>
      <c r="XDS1434"/>
      <c r="XDT1434"/>
      <c r="XDU1434"/>
      <c r="XDV1434"/>
      <c r="XDW1434"/>
      <c r="XDX1434"/>
      <c r="XDY1434"/>
      <c r="XDZ1434"/>
      <c r="XEA1434"/>
      <c r="XEB1434"/>
      <c r="XEC1434"/>
      <c r="XED1434"/>
      <c r="XEE1434"/>
      <c r="XEF1434"/>
      <c r="XEG1434"/>
      <c r="XEH1434"/>
      <c r="XEI1434"/>
      <c r="XEJ1434"/>
      <c r="XEK1434"/>
      <c r="XEL1434"/>
      <c r="XEM1434"/>
      <c r="XEN1434"/>
      <c r="XEO1434"/>
      <c r="XEP1434"/>
      <c r="XEQ1434"/>
      <c r="XER1434"/>
      <c r="XES1434"/>
      <c r="XET1434"/>
      <c r="XEU1434"/>
      <c r="XEV1434"/>
      <c r="XEW1434"/>
      <c r="XEX1434"/>
      <c r="XEY1434"/>
      <c r="XEZ1434"/>
      <c r="XFA1434"/>
      <c r="XFB1434"/>
      <c r="XFC1434"/>
    </row>
    <row r="1435" spans="1:20 16329:16383" s="38" customFormat="1" ht="29.1" customHeight="1" outlineLevel="6" x14ac:dyDescent="0.25">
      <c r="A1435" s="49" t="s">
        <v>2562</v>
      </c>
      <c r="B1435" s="50"/>
      <c r="C1435" s="50"/>
      <c r="D1435" s="3" t="s">
        <v>1886</v>
      </c>
      <c r="E1435" s="3"/>
      <c r="F1435" s="51"/>
      <c r="G1435" s="50" t="s">
        <v>102</v>
      </c>
      <c r="H1435" s="52">
        <f>1</f>
        <v>1</v>
      </c>
      <c r="I1435" s="36"/>
      <c r="J1435" s="52">
        <v>1</v>
      </c>
      <c r="K1435" s="53">
        <f>0</f>
        <v>0</v>
      </c>
      <c r="L1435" s="53">
        <f>0</f>
        <v>0</v>
      </c>
      <c r="M1435" s="53">
        <f>0</f>
        <v>0</v>
      </c>
      <c r="N1435" s="54">
        <f t="shared" ref="N1435:N1444" si="249">SUM(K1435:M1435)</f>
        <v>0</v>
      </c>
      <c r="O1435" s="54">
        <f t="shared" ref="O1435:O1444" si="250">ROUND((H1435*K1435),2)</f>
        <v>0</v>
      </c>
      <c r="P1435" s="54">
        <f t="shared" ref="P1435:P1444" si="251">ROUND((H1435*L1435),2)</f>
        <v>0</v>
      </c>
      <c r="Q1435" s="54">
        <f t="shared" ref="Q1435:Q1444" si="252">ROUND((H1435*M1435),2)</f>
        <v>0</v>
      </c>
      <c r="R1435" s="54">
        <f t="shared" ref="R1435:R1444" si="253">ROUND((H1435*N1435),2)</f>
        <v>0</v>
      </c>
      <c r="S1435" s="54"/>
      <c r="T1435" s="36"/>
      <c r="XDA1435"/>
      <c r="XDB1435"/>
      <c r="XDC1435"/>
      <c r="XDD1435"/>
      <c r="XDE1435"/>
      <c r="XDF1435"/>
      <c r="XDG1435"/>
      <c r="XDH1435"/>
      <c r="XDI1435"/>
      <c r="XDJ1435"/>
      <c r="XDK1435"/>
      <c r="XDL1435"/>
      <c r="XDM1435"/>
      <c r="XDN1435"/>
      <c r="XDO1435"/>
      <c r="XDP1435"/>
      <c r="XDQ1435"/>
      <c r="XDR1435"/>
      <c r="XDS1435"/>
      <c r="XDT1435"/>
      <c r="XDU1435"/>
      <c r="XDV1435"/>
      <c r="XDW1435"/>
      <c r="XDX1435"/>
      <c r="XDY1435"/>
      <c r="XDZ1435"/>
      <c r="XEA1435"/>
      <c r="XEB1435"/>
      <c r="XEC1435"/>
      <c r="XED1435"/>
      <c r="XEE1435"/>
      <c r="XEF1435"/>
      <c r="XEG1435"/>
      <c r="XEH1435"/>
      <c r="XEI1435"/>
      <c r="XEJ1435"/>
      <c r="XEK1435"/>
      <c r="XEL1435"/>
      <c r="XEM1435"/>
      <c r="XEN1435"/>
      <c r="XEO1435"/>
      <c r="XEP1435"/>
      <c r="XEQ1435"/>
      <c r="XER1435"/>
      <c r="XES1435"/>
      <c r="XET1435"/>
      <c r="XEU1435"/>
      <c r="XEV1435"/>
      <c r="XEW1435"/>
      <c r="XEX1435"/>
      <c r="XEY1435"/>
      <c r="XEZ1435"/>
      <c r="XFA1435"/>
      <c r="XFB1435"/>
      <c r="XFC1435"/>
    </row>
    <row r="1436" spans="1:20 16329:16383" s="38" customFormat="1" ht="29.1" customHeight="1" outlineLevel="6" x14ac:dyDescent="0.25">
      <c r="A1436" s="49" t="s">
        <v>2563</v>
      </c>
      <c r="B1436" s="50"/>
      <c r="C1436" s="50"/>
      <c r="D1436" s="3" t="s">
        <v>1890</v>
      </c>
      <c r="E1436" s="3"/>
      <c r="F1436" s="51"/>
      <c r="G1436" s="50" t="s">
        <v>102</v>
      </c>
      <c r="H1436" s="52">
        <f>1</f>
        <v>1</v>
      </c>
      <c r="I1436" s="36"/>
      <c r="J1436" s="52">
        <v>1</v>
      </c>
      <c r="K1436" s="53">
        <f>0</f>
        <v>0</v>
      </c>
      <c r="L1436" s="53">
        <f>0</f>
        <v>0</v>
      </c>
      <c r="M1436" s="53">
        <f>0</f>
        <v>0</v>
      </c>
      <c r="N1436" s="54">
        <f t="shared" si="249"/>
        <v>0</v>
      </c>
      <c r="O1436" s="54">
        <f t="shared" si="250"/>
        <v>0</v>
      </c>
      <c r="P1436" s="54">
        <f t="shared" si="251"/>
        <v>0</v>
      </c>
      <c r="Q1436" s="54">
        <f t="shared" si="252"/>
        <v>0</v>
      </c>
      <c r="R1436" s="54">
        <f t="shared" si="253"/>
        <v>0</v>
      </c>
      <c r="S1436" s="54"/>
      <c r="T1436" s="36"/>
      <c r="XDA1436"/>
      <c r="XDB1436"/>
      <c r="XDC1436"/>
      <c r="XDD1436"/>
      <c r="XDE1436"/>
      <c r="XDF1436"/>
      <c r="XDG1436"/>
      <c r="XDH1436"/>
      <c r="XDI1436"/>
      <c r="XDJ1436"/>
      <c r="XDK1436"/>
      <c r="XDL1436"/>
      <c r="XDM1436"/>
      <c r="XDN1436"/>
      <c r="XDO1436"/>
      <c r="XDP1436"/>
      <c r="XDQ1436"/>
      <c r="XDR1436"/>
      <c r="XDS1436"/>
      <c r="XDT1436"/>
      <c r="XDU1436"/>
      <c r="XDV1436"/>
      <c r="XDW1436"/>
      <c r="XDX1436"/>
      <c r="XDY1436"/>
      <c r="XDZ1436"/>
      <c r="XEA1436"/>
      <c r="XEB1436"/>
      <c r="XEC1436"/>
      <c r="XED1436"/>
      <c r="XEE1436"/>
      <c r="XEF1436"/>
      <c r="XEG1436"/>
      <c r="XEH1436"/>
      <c r="XEI1436"/>
      <c r="XEJ1436"/>
      <c r="XEK1436"/>
      <c r="XEL1436"/>
      <c r="XEM1436"/>
      <c r="XEN1436"/>
      <c r="XEO1436"/>
      <c r="XEP1436"/>
      <c r="XEQ1436"/>
      <c r="XER1436"/>
      <c r="XES1436"/>
      <c r="XET1436"/>
      <c r="XEU1436"/>
      <c r="XEV1436"/>
      <c r="XEW1436"/>
      <c r="XEX1436"/>
      <c r="XEY1436"/>
      <c r="XEZ1436"/>
      <c r="XFA1436"/>
      <c r="XFB1436"/>
      <c r="XFC1436"/>
    </row>
    <row r="1437" spans="1:20 16329:16383" s="38" customFormat="1" ht="29.1" customHeight="1" outlineLevel="6" x14ac:dyDescent="0.25">
      <c r="A1437" s="49" t="s">
        <v>2564</v>
      </c>
      <c r="B1437" s="50"/>
      <c r="C1437" s="50"/>
      <c r="D1437" s="3" t="s">
        <v>1888</v>
      </c>
      <c r="E1437" s="3"/>
      <c r="F1437" s="51"/>
      <c r="G1437" s="50" t="s">
        <v>102</v>
      </c>
      <c r="H1437" s="52">
        <f>1</f>
        <v>1</v>
      </c>
      <c r="I1437" s="36"/>
      <c r="J1437" s="52">
        <v>1</v>
      </c>
      <c r="K1437" s="53">
        <f>0</f>
        <v>0</v>
      </c>
      <c r="L1437" s="53">
        <f>0</f>
        <v>0</v>
      </c>
      <c r="M1437" s="53">
        <f>0</f>
        <v>0</v>
      </c>
      <c r="N1437" s="54">
        <f t="shared" si="249"/>
        <v>0</v>
      </c>
      <c r="O1437" s="54">
        <f t="shared" si="250"/>
        <v>0</v>
      </c>
      <c r="P1437" s="54">
        <f t="shared" si="251"/>
        <v>0</v>
      </c>
      <c r="Q1437" s="54">
        <f t="shared" si="252"/>
        <v>0</v>
      </c>
      <c r="R1437" s="54">
        <f t="shared" si="253"/>
        <v>0</v>
      </c>
      <c r="S1437" s="54"/>
      <c r="T1437" s="36"/>
      <c r="XDA1437"/>
      <c r="XDB1437"/>
      <c r="XDC1437"/>
      <c r="XDD1437"/>
      <c r="XDE1437"/>
      <c r="XDF1437"/>
      <c r="XDG1437"/>
      <c r="XDH1437"/>
      <c r="XDI1437"/>
      <c r="XDJ1437"/>
      <c r="XDK1437"/>
      <c r="XDL1437"/>
      <c r="XDM1437"/>
      <c r="XDN1437"/>
      <c r="XDO1437"/>
      <c r="XDP1437"/>
      <c r="XDQ1437"/>
      <c r="XDR1437"/>
      <c r="XDS1437"/>
      <c r="XDT1437"/>
      <c r="XDU1437"/>
      <c r="XDV1437"/>
      <c r="XDW1437"/>
      <c r="XDX1437"/>
      <c r="XDY1437"/>
      <c r="XDZ1437"/>
      <c r="XEA1437"/>
      <c r="XEB1437"/>
      <c r="XEC1437"/>
      <c r="XED1437"/>
      <c r="XEE1437"/>
      <c r="XEF1437"/>
      <c r="XEG1437"/>
      <c r="XEH1437"/>
      <c r="XEI1437"/>
      <c r="XEJ1437"/>
      <c r="XEK1437"/>
      <c r="XEL1437"/>
      <c r="XEM1437"/>
      <c r="XEN1437"/>
      <c r="XEO1437"/>
      <c r="XEP1437"/>
      <c r="XEQ1437"/>
      <c r="XER1437"/>
      <c r="XES1437"/>
      <c r="XET1437"/>
      <c r="XEU1437"/>
      <c r="XEV1437"/>
      <c r="XEW1437"/>
      <c r="XEX1437"/>
      <c r="XEY1437"/>
      <c r="XEZ1437"/>
      <c r="XFA1437"/>
      <c r="XFB1437"/>
      <c r="XFC1437"/>
    </row>
    <row r="1438" spans="1:20 16329:16383" s="38" customFormat="1" ht="29.1" customHeight="1" outlineLevel="6" x14ac:dyDescent="0.25">
      <c r="A1438" s="49" t="s">
        <v>2565</v>
      </c>
      <c r="B1438" s="50"/>
      <c r="C1438" s="50"/>
      <c r="D1438" s="3" t="s">
        <v>2403</v>
      </c>
      <c r="E1438" s="3"/>
      <c r="F1438" s="51"/>
      <c r="G1438" s="50" t="s">
        <v>102</v>
      </c>
      <c r="H1438" s="52">
        <f>1</f>
        <v>1</v>
      </c>
      <c r="I1438" s="36"/>
      <c r="J1438" s="52">
        <v>1</v>
      </c>
      <c r="K1438" s="53">
        <f>0</f>
        <v>0</v>
      </c>
      <c r="L1438" s="53">
        <f>0</f>
        <v>0</v>
      </c>
      <c r="M1438" s="53">
        <f>0</f>
        <v>0</v>
      </c>
      <c r="N1438" s="54">
        <f t="shared" si="249"/>
        <v>0</v>
      </c>
      <c r="O1438" s="54">
        <f t="shared" si="250"/>
        <v>0</v>
      </c>
      <c r="P1438" s="54">
        <f t="shared" si="251"/>
        <v>0</v>
      </c>
      <c r="Q1438" s="54">
        <f t="shared" si="252"/>
        <v>0</v>
      </c>
      <c r="R1438" s="54">
        <f t="shared" si="253"/>
        <v>0</v>
      </c>
      <c r="S1438" s="54"/>
      <c r="T1438" s="36"/>
      <c r="XDA1438"/>
      <c r="XDB1438"/>
      <c r="XDC1438"/>
      <c r="XDD1438"/>
      <c r="XDE1438"/>
      <c r="XDF1438"/>
      <c r="XDG1438"/>
      <c r="XDH1438"/>
      <c r="XDI1438"/>
      <c r="XDJ1438"/>
      <c r="XDK1438"/>
      <c r="XDL1438"/>
      <c r="XDM1438"/>
      <c r="XDN1438"/>
      <c r="XDO1438"/>
      <c r="XDP1438"/>
      <c r="XDQ1438"/>
      <c r="XDR1438"/>
      <c r="XDS1438"/>
      <c r="XDT1438"/>
      <c r="XDU1438"/>
      <c r="XDV1438"/>
      <c r="XDW1438"/>
      <c r="XDX1438"/>
      <c r="XDY1438"/>
      <c r="XDZ1438"/>
      <c r="XEA1438"/>
      <c r="XEB1438"/>
      <c r="XEC1438"/>
      <c r="XED1438"/>
      <c r="XEE1438"/>
      <c r="XEF1438"/>
      <c r="XEG1438"/>
      <c r="XEH1438"/>
      <c r="XEI1438"/>
      <c r="XEJ1438"/>
      <c r="XEK1438"/>
      <c r="XEL1438"/>
      <c r="XEM1438"/>
      <c r="XEN1438"/>
      <c r="XEO1438"/>
      <c r="XEP1438"/>
      <c r="XEQ1438"/>
      <c r="XER1438"/>
      <c r="XES1438"/>
      <c r="XET1438"/>
      <c r="XEU1438"/>
      <c r="XEV1438"/>
      <c r="XEW1438"/>
      <c r="XEX1438"/>
      <c r="XEY1438"/>
      <c r="XEZ1438"/>
      <c r="XFA1438"/>
      <c r="XFB1438"/>
      <c r="XFC1438"/>
    </row>
    <row r="1439" spans="1:20 16329:16383" s="38" customFormat="1" ht="29.1" customHeight="1" outlineLevel="6" x14ac:dyDescent="0.25">
      <c r="A1439" s="49" t="s">
        <v>2566</v>
      </c>
      <c r="B1439" s="50"/>
      <c r="C1439" s="50"/>
      <c r="D1439" s="3" t="s">
        <v>2567</v>
      </c>
      <c r="E1439" s="3"/>
      <c r="F1439" s="51"/>
      <c r="G1439" s="50" t="s">
        <v>102</v>
      </c>
      <c r="H1439" s="52">
        <f>1</f>
        <v>1</v>
      </c>
      <c r="I1439" s="36"/>
      <c r="J1439" s="52">
        <v>1</v>
      </c>
      <c r="K1439" s="53">
        <f>0</f>
        <v>0</v>
      </c>
      <c r="L1439" s="53">
        <f>0</f>
        <v>0</v>
      </c>
      <c r="M1439" s="53">
        <f>0</f>
        <v>0</v>
      </c>
      <c r="N1439" s="54">
        <f t="shared" si="249"/>
        <v>0</v>
      </c>
      <c r="O1439" s="54">
        <f t="shared" si="250"/>
        <v>0</v>
      </c>
      <c r="P1439" s="54">
        <f t="shared" si="251"/>
        <v>0</v>
      </c>
      <c r="Q1439" s="54">
        <f t="shared" si="252"/>
        <v>0</v>
      </c>
      <c r="R1439" s="54">
        <f t="shared" si="253"/>
        <v>0</v>
      </c>
      <c r="S1439" s="54"/>
      <c r="T1439" s="36"/>
      <c r="XDA1439"/>
      <c r="XDB1439"/>
      <c r="XDC1439"/>
      <c r="XDD1439"/>
      <c r="XDE1439"/>
      <c r="XDF1439"/>
      <c r="XDG1439"/>
      <c r="XDH1439"/>
      <c r="XDI1439"/>
      <c r="XDJ1439"/>
      <c r="XDK1439"/>
      <c r="XDL1439"/>
      <c r="XDM1439"/>
      <c r="XDN1439"/>
      <c r="XDO1439"/>
      <c r="XDP1439"/>
      <c r="XDQ1439"/>
      <c r="XDR1439"/>
      <c r="XDS1439"/>
      <c r="XDT1439"/>
      <c r="XDU1439"/>
      <c r="XDV1439"/>
      <c r="XDW1439"/>
      <c r="XDX1439"/>
      <c r="XDY1439"/>
      <c r="XDZ1439"/>
      <c r="XEA1439"/>
      <c r="XEB1439"/>
      <c r="XEC1439"/>
      <c r="XED1439"/>
      <c r="XEE1439"/>
      <c r="XEF1439"/>
      <c r="XEG1439"/>
      <c r="XEH1439"/>
      <c r="XEI1439"/>
      <c r="XEJ1439"/>
      <c r="XEK1439"/>
      <c r="XEL1439"/>
      <c r="XEM1439"/>
      <c r="XEN1439"/>
      <c r="XEO1439"/>
      <c r="XEP1439"/>
      <c r="XEQ1439"/>
      <c r="XER1439"/>
      <c r="XES1439"/>
      <c r="XET1439"/>
      <c r="XEU1439"/>
      <c r="XEV1439"/>
      <c r="XEW1439"/>
      <c r="XEX1439"/>
      <c r="XEY1439"/>
      <c r="XEZ1439"/>
      <c r="XFA1439"/>
      <c r="XFB1439"/>
      <c r="XFC1439"/>
    </row>
    <row r="1440" spans="1:20 16329:16383" s="38" customFormat="1" ht="29.1" customHeight="1" outlineLevel="6" x14ac:dyDescent="0.25">
      <c r="A1440" s="49" t="s">
        <v>2568</v>
      </c>
      <c r="B1440" s="50"/>
      <c r="C1440" s="50"/>
      <c r="D1440" s="3" t="s">
        <v>2407</v>
      </c>
      <c r="E1440" s="3"/>
      <c r="F1440" s="51" t="s">
        <v>1960</v>
      </c>
      <c r="G1440" s="50" t="s">
        <v>134</v>
      </c>
      <c r="H1440" s="52">
        <f>1</f>
        <v>1</v>
      </c>
      <c r="I1440" s="36"/>
      <c r="J1440" s="52">
        <v>1</v>
      </c>
      <c r="K1440" s="53">
        <f>0</f>
        <v>0</v>
      </c>
      <c r="L1440" s="53">
        <f>0</f>
        <v>0</v>
      </c>
      <c r="M1440" s="53">
        <f>0</f>
        <v>0</v>
      </c>
      <c r="N1440" s="54">
        <f t="shared" si="249"/>
        <v>0</v>
      </c>
      <c r="O1440" s="54">
        <f t="shared" si="250"/>
        <v>0</v>
      </c>
      <c r="P1440" s="54">
        <f t="shared" si="251"/>
        <v>0</v>
      </c>
      <c r="Q1440" s="54">
        <f t="shared" si="252"/>
        <v>0</v>
      </c>
      <c r="R1440" s="54">
        <f t="shared" si="253"/>
        <v>0</v>
      </c>
      <c r="S1440" s="54"/>
      <c r="T1440" s="36"/>
      <c r="XDA1440"/>
      <c r="XDB1440"/>
      <c r="XDC1440"/>
      <c r="XDD1440"/>
      <c r="XDE1440"/>
      <c r="XDF1440"/>
      <c r="XDG1440"/>
      <c r="XDH1440"/>
      <c r="XDI1440"/>
      <c r="XDJ1440"/>
      <c r="XDK1440"/>
      <c r="XDL1440"/>
      <c r="XDM1440"/>
      <c r="XDN1440"/>
      <c r="XDO1440"/>
      <c r="XDP1440"/>
      <c r="XDQ1440"/>
      <c r="XDR1440"/>
      <c r="XDS1440"/>
      <c r="XDT1440"/>
      <c r="XDU1440"/>
      <c r="XDV1440"/>
      <c r="XDW1440"/>
      <c r="XDX1440"/>
      <c r="XDY1440"/>
      <c r="XDZ1440"/>
      <c r="XEA1440"/>
      <c r="XEB1440"/>
      <c r="XEC1440"/>
      <c r="XED1440"/>
      <c r="XEE1440"/>
      <c r="XEF1440"/>
      <c r="XEG1440"/>
      <c r="XEH1440"/>
      <c r="XEI1440"/>
      <c r="XEJ1440"/>
      <c r="XEK1440"/>
      <c r="XEL1440"/>
      <c r="XEM1440"/>
      <c r="XEN1440"/>
      <c r="XEO1440"/>
      <c r="XEP1440"/>
      <c r="XEQ1440"/>
      <c r="XER1440"/>
      <c r="XES1440"/>
      <c r="XET1440"/>
      <c r="XEU1440"/>
      <c r="XEV1440"/>
      <c r="XEW1440"/>
      <c r="XEX1440"/>
      <c r="XEY1440"/>
      <c r="XEZ1440"/>
      <c r="XFA1440"/>
      <c r="XFB1440"/>
      <c r="XFC1440"/>
    </row>
    <row r="1441" spans="1:20 16329:16383" s="38" customFormat="1" ht="29.1" customHeight="1" outlineLevel="6" x14ac:dyDescent="0.25">
      <c r="A1441" s="49" t="s">
        <v>2569</v>
      </c>
      <c r="B1441" s="50"/>
      <c r="C1441" s="50"/>
      <c r="D1441" s="3" t="s">
        <v>2570</v>
      </c>
      <c r="E1441" s="3"/>
      <c r="F1441" s="51"/>
      <c r="G1441" s="50" t="s">
        <v>102</v>
      </c>
      <c r="H1441" s="52">
        <f>1</f>
        <v>1</v>
      </c>
      <c r="I1441" s="36"/>
      <c r="J1441" s="52">
        <v>1</v>
      </c>
      <c r="K1441" s="53">
        <f>0</f>
        <v>0</v>
      </c>
      <c r="L1441" s="53">
        <f>0</f>
        <v>0</v>
      </c>
      <c r="M1441" s="53">
        <f>0</f>
        <v>0</v>
      </c>
      <c r="N1441" s="54">
        <f t="shared" si="249"/>
        <v>0</v>
      </c>
      <c r="O1441" s="54">
        <f t="shared" si="250"/>
        <v>0</v>
      </c>
      <c r="P1441" s="54">
        <f t="shared" si="251"/>
        <v>0</v>
      </c>
      <c r="Q1441" s="54">
        <f t="shared" si="252"/>
        <v>0</v>
      </c>
      <c r="R1441" s="54">
        <f t="shared" si="253"/>
        <v>0</v>
      </c>
      <c r="S1441" s="54"/>
      <c r="T1441" s="36"/>
      <c r="XDA1441"/>
      <c r="XDB1441"/>
      <c r="XDC1441"/>
      <c r="XDD1441"/>
      <c r="XDE1441"/>
      <c r="XDF1441"/>
      <c r="XDG1441"/>
      <c r="XDH1441"/>
      <c r="XDI1441"/>
      <c r="XDJ1441"/>
      <c r="XDK1441"/>
      <c r="XDL1441"/>
      <c r="XDM1441"/>
      <c r="XDN1441"/>
      <c r="XDO1441"/>
      <c r="XDP1441"/>
      <c r="XDQ1441"/>
      <c r="XDR1441"/>
      <c r="XDS1441"/>
      <c r="XDT1441"/>
      <c r="XDU1441"/>
      <c r="XDV1441"/>
      <c r="XDW1441"/>
      <c r="XDX1441"/>
      <c r="XDY1441"/>
      <c r="XDZ1441"/>
      <c r="XEA1441"/>
      <c r="XEB1441"/>
      <c r="XEC1441"/>
      <c r="XED1441"/>
      <c r="XEE1441"/>
      <c r="XEF1441"/>
      <c r="XEG1441"/>
      <c r="XEH1441"/>
      <c r="XEI1441"/>
      <c r="XEJ1441"/>
      <c r="XEK1441"/>
      <c r="XEL1441"/>
      <c r="XEM1441"/>
      <c r="XEN1441"/>
      <c r="XEO1441"/>
      <c r="XEP1441"/>
      <c r="XEQ1441"/>
      <c r="XER1441"/>
      <c r="XES1441"/>
      <c r="XET1441"/>
      <c r="XEU1441"/>
      <c r="XEV1441"/>
      <c r="XEW1441"/>
      <c r="XEX1441"/>
      <c r="XEY1441"/>
      <c r="XEZ1441"/>
      <c r="XFA1441"/>
      <c r="XFB1441"/>
      <c r="XFC1441"/>
    </row>
    <row r="1442" spans="1:20 16329:16383" s="38" customFormat="1" ht="29.1" customHeight="1" outlineLevel="6" x14ac:dyDescent="0.25">
      <c r="A1442" s="49" t="s">
        <v>2571</v>
      </c>
      <c r="B1442" s="50"/>
      <c r="C1442" s="50"/>
      <c r="D1442" s="3" t="s">
        <v>2572</v>
      </c>
      <c r="E1442" s="3"/>
      <c r="F1442" s="51" t="s">
        <v>1960</v>
      </c>
      <c r="G1442" s="50" t="s">
        <v>134</v>
      </c>
      <c r="H1442" s="52">
        <f>1</f>
        <v>1</v>
      </c>
      <c r="I1442" s="36"/>
      <c r="J1442" s="52">
        <v>1</v>
      </c>
      <c r="K1442" s="53">
        <f>0</f>
        <v>0</v>
      </c>
      <c r="L1442" s="53">
        <f>0</f>
        <v>0</v>
      </c>
      <c r="M1442" s="53">
        <f>0</f>
        <v>0</v>
      </c>
      <c r="N1442" s="54">
        <f t="shared" si="249"/>
        <v>0</v>
      </c>
      <c r="O1442" s="54">
        <f t="shared" si="250"/>
        <v>0</v>
      </c>
      <c r="P1442" s="54">
        <f t="shared" si="251"/>
        <v>0</v>
      </c>
      <c r="Q1442" s="54">
        <f t="shared" si="252"/>
        <v>0</v>
      </c>
      <c r="R1442" s="54">
        <f t="shared" si="253"/>
        <v>0</v>
      </c>
      <c r="S1442" s="54"/>
      <c r="T1442" s="36"/>
      <c r="XDA1442"/>
      <c r="XDB1442"/>
      <c r="XDC1442"/>
      <c r="XDD1442"/>
      <c r="XDE1442"/>
      <c r="XDF1442"/>
      <c r="XDG1442"/>
      <c r="XDH1442"/>
      <c r="XDI1442"/>
      <c r="XDJ1442"/>
      <c r="XDK1442"/>
      <c r="XDL1442"/>
      <c r="XDM1442"/>
      <c r="XDN1442"/>
      <c r="XDO1442"/>
      <c r="XDP1442"/>
      <c r="XDQ1442"/>
      <c r="XDR1442"/>
      <c r="XDS1442"/>
      <c r="XDT1442"/>
      <c r="XDU1442"/>
      <c r="XDV1442"/>
      <c r="XDW1442"/>
      <c r="XDX1442"/>
      <c r="XDY1442"/>
      <c r="XDZ1442"/>
      <c r="XEA1442"/>
      <c r="XEB1442"/>
      <c r="XEC1442"/>
      <c r="XED1442"/>
      <c r="XEE1442"/>
      <c r="XEF1442"/>
      <c r="XEG1442"/>
      <c r="XEH1442"/>
      <c r="XEI1442"/>
      <c r="XEJ1442"/>
      <c r="XEK1442"/>
      <c r="XEL1442"/>
      <c r="XEM1442"/>
      <c r="XEN1442"/>
      <c r="XEO1442"/>
      <c r="XEP1442"/>
      <c r="XEQ1442"/>
      <c r="XER1442"/>
      <c r="XES1442"/>
      <c r="XET1442"/>
      <c r="XEU1442"/>
      <c r="XEV1442"/>
      <c r="XEW1442"/>
      <c r="XEX1442"/>
      <c r="XEY1442"/>
      <c r="XEZ1442"/>
      <c r="XFA1442"/>
      <c r="XFB1442"/>
      <c r="XFC1442"/>
    </row>
    <row r="1443" spans="1:20 16329:16383" s="38" customFormat="1" ht="29.1" customHeight="1" outlineLevel="6" x14ac:dyDescent="0.25">
      <c r="A1443" s="49" t="s">
        <v>2573</v>
      </c>
      <c r="B1443" s="50"/>
      <c r="C1443" s="50"/>
      <c r="D1443" s="3" t="s">
        <v>2574</v>
      </c>
      <c r="E1443" s="3"/>
      <c r="F1443" s="51" t="s">
        <v>1960</v>
      </c>
      <c r="G1443" s="50" t="s">
        <v>134</v>
      </c>
      <c r="H1443" s="52">
        <f>1</f>
        <v>1</v>
      </c>
      <c r="I1443" s="36"/>
      <c r="J1443" s="52">
        <v>1</v>
      </c>
      <c r="K1443" s="53">
        <f>0</f>
        <v>0</v>
      </c>
      <c r="L1443" s="53">
        <f>0</f>
        <v>0</v>
      </c>
      <c r="M1443" s="53">
        <f>0</f>
        <v>0</v>
      </c>
      <c r="N1443" s="54">
        <f t="shared" si="249"/>
        <v>0</v>
      </c>
      <c r="O1443" s="54">
        <f t="shared" si="250"/>
        <v>0</v>
      </c>
      <c r="P1443" s="54">
        <f t="shared" si="251"/>
        <v>0</v>
      </c>
      <c r="Q1443" s="54">
        <f t="shared" si="252"/>
        <v>0</v>
      </c>
      <c r="R1443" s="54">
        <f t="shared" si="253"/>
        <v>0</v>
      </c>
      <c r="S1443" s="54"/>
      <c r="T1443" s="36"/>
      <c r="XDA1443"/>
      <c r="XDB1443"/>
      <c r="XDC1443"/>
      <c r="XDD1443"/>
      <c r="XDE1443"/>
      <c r="XDF1443"/>
      <c r="XDG1443"/>
      <c r="XDH1443"/>
      <c r="XDI1443"/>
      <c r="XDJ1443"/>
      <c r="XDK1443"/>
      <c r="XDL1443"/>
      <c r="XDM1443"/>
      <c r="XDN1443"/>
      <c r="XDO1443"/>
      <c r="XDP1443"/>
      <c r="XDQ1443"/>
      <c r="XDR1443"/>
      <c r="XDS1443"/>
      <c r="XDT1443"/>
      <c r="XDU1443"/>
      <c r="XDV1443"/>
      <c r="XDW1443"/>
      <c r="XDX1443"/>
      <c r="XDY1443"/>
      <c r="XDZ1443"/>
      <c r="XEA1443"/>
      <c r="XEB1443"/>
      <c r="XEC1443"/>
      <c r="XED1443"/>
      <c r="XEE1443"/>
      <c r="XEF1443"/>
      <c r="XEG1443"/>
      <c r="XEH1443"/>
      <c r="XEI1443"/>
      <c r="XEJ1443"/>
      <c r="XEK1443"/>
      <c r="XEL1443"/>
      <c r="XEM1443"/>
      <c r="XEN1443"/>
      <c r="XEO1443"/>
      <c r="XEP1443"/>
      <c r="XEQ1443"/>
      <c r="XER1443"/>
      <c r="XES1443"/>
      <c r="XET1443"/>
      <c r="XEU1443"/>
      <c r="XEV1443"/>
      <c r="XEW1443"/>
      <c r="XEX1443"/>
      <c r="XEY1443"/>
      <c r="XEZ1443"/>
      <c r="XFA1443"/>
      <c r="XFB1443"/>
      <c r="XFC1443"/>
    </row>
    <row r="1444" spans="1:20 16329:16383" s="38" customFormat="1" ht="29.1" customHeight="1" outlineLevel="6" x14ac:dyDescent="0.25">
      <c r="A1444" s="49" t="s">
        <v>2575</v>
      </c>
      <c r="B1444" s="50"/>
      <c r="C1444" s="50"/>
      <c r="D1444" s="3" t="s">
        <v>2576</v>
      </c>
      <c r="E1444" s="3"/>
      <c r="F1444" s="51" t="s">
        <v>1960</v>
      </c>
      <c r="G1444" s="50" t="s">
        <v>134</v>
      </c>
      <c r="H1444" s="52">
        <f>1</f>
        <v>1</v>
      </c>
      <c r="I1444" s="36"/>
      <c r="J1444" s="52">
        <v>1</v>
      </c>
      <c r="K1444" s="53">
        <f>0</f>
        <v>0</v>
      </c>
      <c r="L1444" s="53">
        <f>0</f>
        <v>0</v>
      </c>
      <c r="M1444" s="53">
        <f>0</f>
        <v>0</v>
      </c>
      <c r="N1444" s="54">
        <f t="shared" si="249"/>
        <v>0</v>
      </c>
      <c r="O1444" s="54">
        <f t="shared" si="250"/>
        <v>0</v>
      </c>
      <c r="P1444" s="54">
        <f t="shared" si="251"/>
        <v>0</v>
      </c>
      <c r="Q1444" s="54">
        <f t="shared" si="252"/>
        <v>0</v>
      </c>
      <c r="R1444" s="54">
        <f t="shared" si="253"/>
        <v>0</v>
      </c>
      <c r="S1444" s="54"/>
      <c r="T1444" s="36"/>
      <c r="XDA1444"/>
      <c r="XDB1444"/>
      <c r="XDC1444"/>
      <c r="XDD1444"/>
      <c r="XDE1444"/>
      <c r="XDF1444"/>
      <c r="XDG1444"/>
      <c r="XDH1444"/>
      <c r="XDI1444"/>
      <c r="XDJ1444"/>
      <c r="XDK1444"/>
      <c r="XDL1444"/>
      <c r="XDM1444"/>
      <c r="XDN1444"/>
      <c r="XDO1444"/>
      <c r="XDP1444"/>
      <c r="XDQ1444"/>
      <c r="XDR1444"/>
      <c r="XDS1444"/>
      <c r="XDT1444"/>
      <c r="XDU1444"/>
      <c r="XDV1444"/>
      <c r="XDW1444"/>
      <c r="XDX1444"/>
      <c r="XDY1444"/>
      <c r="XDZ1444"/>
      <c r="XEA1444"/>
      <c r="XEB1444"/>
      <c r="XEC1444"/>
      <c r="XED1444"/>
      <c r="XEE1444"/>
      <c r="XEF1444"/>
      <c r="XEG1444"/>
      <c r="XEH1444"/>
      <c r="XEI1444"/>
      <c r="XEJ1444"/>
      <c r="XEK1444"/>
      <c r="XEL1444"/>
      <c r="XEM1444"/>
      <c r="XEN1444"/>
      <c r="XEO1444"/>
      <c r="XEP1444"/>
      <c r="XEQ1444"/>
      <c r="XER1444"/>
      <c r="XES1444"/>
      <c r="XET1444"/>
      <c r="XEU1444"/>
      <c r="XEV1444"/>
      <c r="XEW1444"/>
      <c r="XEX1444"/>
      <c r="XEY1444"/>
      <c r="XEZ1444"/>
      <c r="XFA1444"/>
      <c r="XFB1444"/>
      <c r="XFC1444"/>
    </row>
    <row r="1445" spans="1:20 16329:16383" s="38" customFormat="1" ht="29.1" customHeight="1" outlineLevel="5" x14ac:dyDescent="0.25">
      <c r="A1445" s="65" t="s">
        <v>2577</v>
      </c>
      <c r="B1445" s="66" t="s">
        <v>2578</v>
      </c>
      <c r="C1445" s="66"/>
      <c r="D1445" s="98" t="s">
        <v>1899</v>
      </c>
      <c r="E1445" s="98"/>
      <c r="F1445" s="67"/>
      <c r="G1445" s="66"/>
      <c r="H1445" s="68"/>
      <c r="I1445" s="36"/>
      <c r="J1445" s="68"/>
      <c r="K1445" s="69"/>
      <c r="L1445" s="69"/>
      <c r="M1445" s="69"/>
      <c r="N1445" s="69"/>
      <c r="O1445" s="69">
        <f>SUM(O1446:O1448)</f>
        <v>0</v>
      </c>
      <c r="P1445" s="69">
        <f>SUM(P1446:P1448)</f>
        <v>0</v>
      </c>
      <c r="Q1445" s="69">
        <f>SUM(Q1446:Q1448)</f>
        <v>0</v>
      </c>
      <c r="R1445" s="69">
        <f>SUM(R1446:R1448)</f>
        <v>0</v>
      </c>
      <c r="S1445" s="69"/>
      <c r="T1445" s="36"/>
      <c r="XDA1445"/>
      <c r="XDB1445"/>
      <c r="XDC1445"/>
      <c r="XDD1445"/>
      <c r="XDE1445"/>
      <c r="XDF1445"/>
      <c r="XDG1445"/>
      <c r="XDH1445"/>
      <c r="XDI1445"/>
      <c r="XDJ1445"/>
      <c r="XDK1445"/>
      <c r="XDL1445"/>
      <c r="XDM1445"/>
      <c r="XDN1445"/>
      <c r="XDO1445"/>
      <c r="XDP1445"/>
      <c r="XDQ1445"/>
      <c r="XDR1445"/>
      <c r="XDS1445"/>
      <c r="XDT1445"/>
      <c r="XDU1445"/>
      <c r="XDV1445"/>
      <c r="XDW1445"/>
      <c r="XDX1445"/>
      <c r="XDY1445"/>
      <c r="XDZ1445"/>
      <c r="XEA1445"/>
      <c r="XEB1445"/>
      <c r="XEC1445"/>
      <c r="XED1445"/>
      <c r="XEE1445"/>
      <c r="XEF1445"/>
      <c r="XEG1445"/>
      <c r="XEH1445"/>
      <c r="XEI1445"/>
      <c r="XEJ1445"/>
      <c r="XEK1445"/>
      <c r="XEL1445"/>
      <c r="XEM1445"/>
      <c r="XEN1445"/>
      <c r="XEO1445"/>
      <c r="XEP1445"/>
      <c r="XEQ1445"/>
      <c r="XER1445"/>
      <c r="XES1445"/>
      <c r="XET1445"/>
      <c r="XEU1445"/>
      <c r="XEV1445"/>
      <c r="XEW1445"/>
      <c r="XEX1445"/>
      <c r="XEY1445"/>
      <c r="XEZ1445"/>
      <c r="XFA1445"/>
      <c r="XFB1445"/>
      <c r="XFC1445"/>
    </row>
    <row r="1446" spans="1:20 16329:16383" s="38" customFormat="1" ht="29.1" customHeight="1" outlineLevel="6" x14ac:dyDescent="0.25">
      <c r="A1446" s="49" t="s">
        <v>2579</v>
      </c>
      <c r="B1446" s="50"/>
      <c r="C1446" s="50"/>
      <c r="D1446" s="3" t="s">
        <v>1884</v>
      </c>
      <c r="E1446" s="3"/>
      <c r="F1446" s="51"/>
      <c r="G1446" s="50" t="s">
        <v>102</v>
      </c>
      <c r="H1446" s="52">
        <f>1</f>
        <v>1</v>
      </c>
      <c r="I1446" s="36"/>
      <c r="J1446" s="52">
        <v>1</v>
      </c>
      <c r="K1446" s="53">
        <f>0</f>
        <v>0</v>
      </c>
      <c r="L1446" s="53">
        <f>0</f>
        <v>0</v>
      </c>
      <c r="M1446" s="53">
        <f>0</f>
        <v>0</v>
      </c>
      <c r="N1446" s="54">
        <f>SUM(K1446:M1446)</f>
        <v>0</v>
      </c>
      <c r="O1446" s="54">
        <f>ROUND((H1446*K1446),2)</f>
        <v>0</v>
      </c>
      <c r="P1446" s="54">
        <f>ROUND((H1446*L1446),2)</f>
        <v>0</v>
      </c>
      <c r="Q1446" s="54">
        <f>ROUND((H1446*M1446),2)</f>
        <v>0</v>
      </c>
      <c r="R1446" s="54">
        <f>ROUND((H1446*N1446),2)</f>
        <v>0</v>
      </c>
      <c r="S1446" s="54"/>
      <c r="T1446" s="36"/>
      <c r="XDA1446"/>
      <c r="XDB1446"/>
      <c r="XDC1446"/>
      <c r="XDD1446"/>
      <c r="XDE1446"/>
      <c r="XDF1446"/>
      <c r="XDG1446"/>
      <c r="XDH1446"/>
      <c r="XDI1446"/>
      <c r="XDJ1446"/>
      <c r="XDK1446"/>
      <c r="XDL1446"/>
      <c r="XDM1446"/>
      <c r="XDN1446"/>
      <c r="XDO1446"/>
      <c r="XDP1446"/>
      <c r="XDQ1446"/>
      <c r="XDR1446"/>
      <c r="XDS1446"/>
      <c r="XDT1446"/>
      <c r="XDU1446"/>
      <c r="XDV1446"/>
      <c r="XDW1446"/>
      <c r="XDX1446"/>
      <c r="XDY1446"/>
      <c r="XDZ1446"/>
      <c r="XEA1446"/>
      <c r="XEB1446"/>
      <c r="XEC1446"/>
      <c r="XED1446"/>
      <c r="XEE1446"/>
      <c r="XEF1446"/>
      <c r="XEG1446"/>
      <c r="XEH1446"/>
      <c r="XEI1446"/>
      <c r="XEJ1446"/>
      <c r="XEK1446"/>
      <c r="XEL1446"/>
      <c r="XEM1446"/>
      <c r="XEN1446"/>
      <c r="XEO1446"/>
      <c r="XEP1446"/>
      <c r="XEQ1446"/>
      <c r="XER1446"/>
      <c r="XES1446"/>
      <c r="XET1446"/>
      <c r="XEU1446"/>
      <c r="XEV1446"/>
      <c r="XEW1446"/>
      <c r="XEX1446"/>
      <c r="XEY1446"/>
      <c r="XEZ1446"/>
      <c r="XFA1446"/>
      <c r="XFB1446"/>
      <c r="XFC1446"/>
    </row>
    <row r="1447" spans="1:20 16329:16383" s="38" customFormat="1" ht="29.1" customHeight="1" outlineLevel="6" x14ac:dyDescent="0.25">
      <c r="A1447" s="49" t="s">
        <v>2580</v>
      </c>
      <c r="B1447" s="50"/>
      <c r="C1447" s="50"/>
      <c r="D1447" s="3" t="s">
        <v>2241</v>
      </c>
      <c r="E1447" s="3"/>
      <c r="F1447" s="51"/>
      <c r="G1447" s="50" t="s">
        <v>102</v>
      </c>
      <c r="H1447" s="52">
        <f>1</f>
        <v>1</v>
      </c>
      <c r="I1447" s="36"/>
      <c r="J1447" s="52">
        <v>1</v>
      </c>
      <c r="K1447" s="53">
        <f>0</f>
        <v>0</v>
      </c>
      <c r="L1447" s="53">
        <f>0</f>
        <v>0</v>
      </c>
      <c r="M1447" s="53">
        <f>0</f>
        <v>0</v>
      </c>
      <c r="N1447" s="54">
        <f>SUM(K1447:M1447)</f>
        <v>0</v>
      </c>
      <c r="O1447" s="54">
        <f>ROUND((H1447*K1447),2)</f>
        <v>0</v>
      </c>
      <c r="P1447" s="54">
        <f>ROUND((H1447*L1447),2)</f>
        <v>0</v>
      </c>
      <c r="Q1447" s="54">
        <f>ROUND((H1447*M1447),2)</f>
        <v>0</v>
      </c>
      <c r="R1447" s="54">
        <f>ROUND((H1447*N1447),2)</f>
        <v>0</v>
      </c>
      <c r="S1447" s="54"/>
      <c r="T1447" s="36"/>
      <c r="XDA1447"/>
      <c r="XDB1447"/>
      <c r="XDC1447"/>
      <c r="XDD1447"/>
      <c r="XDE1447"/>
      <c r="XDF1447"/>
      <c r="XDG1447"/>
      <c r="XDH1447"/>
      <c r="XDI1447"/>
      <c r="XDJ1447"/>
      <c r="XDK1447"/>
      <c r="XDL1447"/>
      <c r="XDM1447"/>
      <c r="XDN1447"/>
      <c r="XDO1447"/>
      <c r="XDP1447"/>
      <c r="XDQ1447"/>
      <c r="XDR1447"/>
      <c r="XDS1447"/>
      <c r="XDT1447"/>
      <c r="XDU1447"/>
      <c r="XDV1447"/>
      <c r="XDW1447"/>
      <c r="XDX1447"/>
      <c r="XDY1447"/>
      <c r="XDZ1447"/>
      <c r="XEA1447"/>
      <c r="XEB1447"/>
      <c r="XEC1447"/>
      <c r="XED1447"/>
      <c r="XEE1447"/>
      <c r="XEF1447"/>
      <c r="XEG1447"/>
      <c r="XEH1447"/>
      <c r="XEI1447"/>
      <c r="XEJ1447"/>
      <c r="XEK1447"/>
      <c r="XEL1447"/>
      <c r="XEM1447"/>
      <c r="XEN1447"/>
      <c r="XEO1447"/>
      <c r="XEP1447"/>
      <c r="XEQ1447"/>
      <c r="XER1447"/>
      <c r="XES1447"/>
      <c r="XET1447"/>
      <c r="XEU1447"/>
      <c r="XEV1447"/>
      <c r="XEW1447"/>
      <c r="XEX1447"/>
      <c r="XEY1447"/>
      <c r="XEZ1447"/>
      <c r="XFA1447"/>
      <c r="XFB1447"/>
      <c r="XFC1447"/>
    </row>
    <row r="1448" spans="1:20 16329:16383" s="38" customFormat="1" ht="29.1" customHeight="1" outlineLevel="6" x14ac:dyDescent="0.25">
      <c r="A1448" s="49" t="s">
        <v>2581</v>
      </c>
      <c r="B1448" s="50"/>
      <c r="C1448" s="50"/>
      <c r="D1448" s="3" t="s">
        <v>2582</v>
      </c>
      <c r="E1448" s="3"/>
      <c r="F1448" s="51"/>
      <c r="G1448" s="50" t="s">
        <v>102</v>
      </c>
      <c r="H1448" s="52">
        <f>1</f>
        <v>1</v>
      </c>
      <c r="I1448" s="36"/>
      <c r="J1448" s="52">
        <v>1</v>
      </c>
      <c r="K1448" s="53">
        <f>0</f>
        <v>0</v>
      </c>
      <c r="L1448" s="53">
        <f>0</f>
        <v>0</v>
      </c>
      <c r="M1448" s="53">
        <f>0</f>
        <v>0</v>
      </c>
      <c r="N1448" s="54">
        <f>SUM(K1448:M1448)</f>
        <v>0</v>
      </c>
      <c r="O1448" s="54">
        <f>ROUND((H1448*K1448),2)</f>
        <v>0</v>
      </c>
      <c r="P1448" s="54">
        <f>ROUND((H1448*L1448),2)</f>
        <v>0</v>
      </c>
      <c r="Q1448" s="54">
        <f>ROUND((H1448*M1448),2)</f>
        <v>0</v>
      </c>
      <c r="R1448" s="54">
        <f>ROUND((H1448*N1448),2)</f>
        <v>0</v>
      </c>
      <c r="S1448" s="54"/>
      <c r="T1448" s="36"/>
      <c r="XDA1448"/>
      <c r="XDB1448"/>
      <c r="XDC1448"/>
      <c r="XDD1448"/>
      <c r="XDE1448"/>
      <c r="XDF1448"/>
      <c r="XDG1448"/>
      <c r="XDH1448"/>
      <c r="XDI1448"/>
      <c r="XDJ1448"/>
      <c r="XDK1448"/>
      <c r="XDL1448"/>
      <c r="XDM1448"/>
      <c r="XDN1448"/>
      <c r="XDO1448"/>
      <c r="XDP1448"/>
      <c r="XDQ1448"/>
      <c r="XDR1448"/>
      <c r="XDS1448"/>
      <c r="XDT1448"/>
      <c r="XDU1448"/>
      <c r="XDV1448"/>
      <c r="XDW1448"/>
      <c r="XDX1448"/>
      <c r="XDY1448"/>
      <c r="XDZ1448"/>
      <c r="XEA1448"/>
      <c r="XEB1448"/>
      <c r="XEC1448"/>
      <c r="XED1448"/>
      <c r="XEE1448"/>
      <c r="XEF1448"/>
      <c r="XEG1448"/>
      <c r="XEH1448"/>
      <c r="XEI1448"/>
      <c r="XEJ1448"/>
      <c r="XEK1448"/>
      <c r="XEL1448"/>
      <c r="XEM1448"/>
      <c r="XEN1448"/>
      <c r="XEO1448"/>
      <c r="XEP1448"/>
      <c r="XEQ1448"/>
      <c r="XER1448"/>
      <c r="XES1448"/>
      <c r="XET1448"/>
      <c r="XEU1448"/>
      <c r="XEV1448"/>
      <c r="XEW1448"/>
      <c r="XEX1448"/>
      <c r="XEY1448"/>
      <c r="XEZ1448"/>
      <c r="XFA1448"/>
      <c r="XFB1448"/>
      <c r="XFC1448"/>
    </row>
    <row r="1449" spans="1:20 16329:16383" s="38" customFormat="1" ht="29.1" customHeight="1" outlineLevel="5" x14ac:dyDescent="0.25">
      <c r="A1449" s="65" t="s">
        <v>2583</v>
      </c>
      <c r="B1449" s="66" t="s">
        <v>2584</v>
      </c>
      <c r="C1449" s="66"/>
      <c r="D1449" s="98" t="s">
        <v>1498</v>
      </c>
      <c r="E1449" s="98"/>
      <c r="F1449" s="67"/>
      <c r="G1449" s="66"/>
      <c r="H1449" s="68"/>
      <c r="I1449" s="36"/>
      <c r="J1449" s="68"/>
      <c r="K1449" s="69"/>
      <c r="L1449" s="69"/>
      <c r="M1449" s="69"/>
      <c r="N1449" s="69"/>
      <c r="O1449" s="69">
        <f>SUM(O1450:O1454)</f>
        <v>0</v>
      </c>
      <c r="P1449" s="69">
        <f>SUM(P1450:P1454)</f>
        <v>0</v>
      </c>
      <c r="Q1449" s="69">
        <f>SUM(Q1450:Q1454)</f>
        <v>0</v>
      </c>
      <c r="R1449" s="69">
        <f>SUM(R1450:R1454)</f>
        <v>0</v>
      </c>
      <c r="S1449" s="69"/>
      <c r="T1449" s="36"/>
      <c r="XDA1449"/>
      <c r="XDB1449"/>
      <c r="XDC1449"/>
      <c r="XDD1449"/>
      <c r="XDE1449"/>
      <c r="XDF1449"/>
      <c r="XDG1449"/>
      <c r="XDH1449"/>
      <c r="XDI1449"/>
      <c r="XDJ1449"/>
      <c r="XDK1449"/>
      <c r="XDL1449"/>
      <c r="XDM1449"/>
      <c r="XDN1449"/>
      <c r="XDO1449"/>
      <c r="XDP1449"/>
      <c r="XDQ1449"/>
      <c r="XDR1449"/>
      <c r="XDS1449"/>
      <c r="XDT1449"/>
      <c r="XDU1449"/>
      <c r="XDV1449"/>
      <c r="XDW1449"/>
      <c r="XDX1449"/>
      <c r="XDY1449"/>
      <c r="XDZ1449"/>
      <c r="XEA1449"/>
      <c r="XEB1449"/>
      <c r="XEC1449"/>
      <c r="XED1449"/>
      <c r="XEE1449"/>
      <c r="XEF1449"/>
      <c r="XEG1449"/>
      <c r="XEH1449"/>
      <c r="XEI1449"/>
      <c r="XEJ1449"/>
      <c r="XEK1449"/>
      <c r="XEL1449"/>
      <c r="XEM1449"/>
      <c r="XEN1449"/>
      <c r="XEO1449"/>
      <c r="XEP1449"/>
      <c r="XEQ1449"/>
      <c r="XER1449"/>
      <c r="XES1449"/>
      <c r="XET1449"/>
      <c r="XEU1449"/>
      <c r="XEV1449"/>
      <c r="XEW1449"/>
      <c r="XEX1449"/>
      <c r="XEY1449"/>
      <c r="XEZ1449"/>
      <c r="XFA1449"/>
      <c r="XFB1449"/>
      <c r="XFC1449"/>
    </row>
    <row r="1450" spans="1:20 16329:16383" s="38" customFormat="1" ht="29.1" customHeight="1" outlineLevel="6" x14ac:dyDescent="0.25">
      <c r="A1450" s="49" t="s">
        <v>2585</v>
      </c>
      <c r="B1450" s="50"/>
      <c r="C1450" s="50"/>
      <c r="D1450" s="3" t="s">
        <v>2251</v>
      </c>
      <c r="E1450" s="3"/>
      <c r="F1450" s="51" t="s">
        <v>2252</v>
      </c>
      <c r="G1450" s="50" t="s">
        <v>29</v>
      </c>
      <c r="H1450" s="52">
        <f>1</f>
        <v>1</v>
      </c>
      <c r="I1450" s="36"/>
      <c r="J1450" s="52">
        <v>1</v>
      </c>
      <c r="K1450" s="53">
        <f>0</f>
        <v>0</v>
      </c>
      <c r="L1450" s="53">
        <f>0</f>
        <v>0</v>
      </c>
      <c r="M1450" s="53">
        <f>0</f>
        <v>0</v>
      </c>
      <c r="N1450" s="54">
        <f>SUM(K1450:M1450)</f>
        <v>0</v>
      </c>
      <c r="O1450" s="54">
        <f>ROUND((H1450*K1450),2)</f>
        <v>0</v>
      </c>
      <c r="P1450" s="54">
        <f>ROUND((H1450*L1450),2)</f>
        <v>0</v>
      </c>
      <c r="Q1450" s="54">
        <f>ROUND((H1450*M1450),2)</f>
        <v>0</v>
      </c>
      <c r="R1450" s="54">
        <f>ROUND((H1450*N1450),2)</f>
        <v>0</v>
      </c>
      <c r="S1450" s="54"/>
      <c r="T1450" s="36"/>
      <c r="XDA1450"/>
      <c r="XDB1450"/>
      <c r="XDC1450"/>
      <c r="XDD1450"/>
      <c r="XDE1450"/>
      <c r="XDF1450"/>
      <c r="XDG1450"/>
      <c r="XDH1450"/>
      <c r="XDI1450"/>
      <c r="XDJ1450"/>
      <c r="XDK1450"/>
      <c r="XDL1450"/>
      <c r="XDM1450"/>
      <c r="XDN1450"/>
      <c r="XDO1450"/>
      <c r="XDP1450"/>
      <c r="XDQ1450"/>
      <c r="XDR1450"/>
      <c r="XDS1450"/>
      <c r="XDT1450"/>
      <c r="XDU1450"/>
      <c r="XDV1450"/>
      <c r="XDW1450"/>
      <c r="XDX1450"/>
      <c r="XDY1450"/>
      <c r="XDZ1450"/>
      <c r="XEA1450"/>
      <c r="XEB1450"/>
      <c r="XEC1450"/>
      <c r="XED1450"/>
      <c r="XEE1450"/>
      <c r="XEF1450"/>
      <c r="XEG1450"/>
      <c r="XEH1450"/>
      <c r="XEI1450"/>
      <c r="XEJ1450"/>
      <c r="XEK1450"/>
      <c r="XEL1450"/>
      <c r="XEM1450"/>
      <c r="XEN1450"/>
      <c r="XEO1450"/>
      <c r="XEP1450"/>
      <c r="XEQ1450"/>
      <c r="XER1450"/>
      <c r="XES1450"/>
      <c r="XET1450"/>
      <c r="XEU1450"/>
      <c r="XEV1450"/>
      <c r="XEW1450"/>
      <c r="XEX1450"/>
      <c r="XEY1450"/>
      <c r="XEZ1450"/>
      <c r="XFA1450"/>
      <c r="XFB1450"/>
      <c r="XFC1450"/>
    </row>
    <row r="1451" spans="1:20 16329:16383" s="38" customFormat="1" ht="29.1" customHeight="1" outlineLevel="6" x14ac:dyDescent="0.25">
      <c r="A1451" s="49" t="s">
        <v>2586</v>
      </c>
      <c r="B1451" s="50"/>
      <c r="C1451" s="50"/>
      <c r="D1451" s="3" t="s">
        <v>2260</v>
      </c>
      <c r="E1451" s="3"/>
      <c r="F1451" s="51" t="s">
        <v>2252</v>
      </c>
      <c r="G1451" s="50" t="s">
        <v>29</v>
      </c>
      <c r="H1451" s="52">
        <f>1</f>
        <v>1</v>
      </c>
      <c r="I1451" s="36"/>
      <c r="J1451" s="52">
        <v>1</v>
      </c>
      <c r="K1451" s="53">
        <f>0</f>
        <v>0</v>
      </c>
      <c r="L1451" s="53">
        <f>0</f>
        <v>0</v>
      </c>
      <c r="M1451" s="53">
        <f>0</f>
        <v>0</v>
      </c>
      <c r="N1451" s="54">
        <f>SUM(K1451:M1451)</f>
        <v>0</v>
      </c>
      <c r="O1451" s="54">
        <f>ROUND((H1451*K1451),2)</f>
        <v>0</v>
      </c>
      <c r="P1451" s="54">
        <f>ROUND((H1451*L1451),2)</f>
        <v>0</v>
      </c>
      <c r="Q1451" s="54">
        <f>ROUND((H1451*M1451),2)</f>
        <v>0</v>
      </c>
      <c r="R1451" s="54">
        <f>ROUND((H1451*N1451),2)</f>
        <v>0</v>
      </c>
      <c r="S1451" s="54"/>
      <c r="T1451" s="36"/>
      <c r="XDA1451"/>
      <c r="XDB1451"/>
      <c r="XDC1451"/>
      <c r="XDD1451"/>
      <c r="XDE1451"/>
      <c r="XDF1451"/>
      <c r="XDG1451"/>
      <c r="XDH1451"/>
      <c r="XDI1451"/>
      <c r="XDJ1451"/>
      <c r="XDK1451"/>
      <c r="XDL1451"/>
      <c r="XDM1451"/>
      <c r="XDN1451"/>
      <c r="XDO1451"/>
      <c r="XDP1451"/>
      <c r="XDQ1451"/>
      <c r="XDR1451"/>
      <c r="XDS1451"/>
      <c r="XDT1451"/>
      <c r="XDU1451"/>
      <c r="XDV1451"/>
      <c r="XDW1451"/>
      <c r="XDX1451"/>
      <c r="XDY1451"/>
      <c r="XDZ1451"/>
      <c r="XEA1451"/>
      <c r="XEB1451"/>
      <c r="XEC1451"/>
      <c r="XED1451"/>
      <c r="XEE1451"/>
      <c r="XEF1451"/>
      <c r="XEG1451"/>
      <c r="XEH1451"/>
      <c r="XEI1451"/>
      <c r="XEJ1451"/>
      <c r="XEK1451"/>
      <c r="XEL1451"/>
      <c r="XEM1451"/>
      <c r="XEN1451"/>
      <c r="XEO1451"/>
      <c r="XEP1451"/>
      <c r="XEQ1451"/>
      <c r="XER1451"/>
      <c r="XES1451"/>
      <c r="XET1451"/>
      <c r="XEU1451"/>
      <c r="XEV1451"/>
      <c r="XEW1451"/>
      <c r="XEX1451"/>
      <c r="XEY1451"/>
      <c r="XEZ1451"/>
      <c r="XFA1451"/>
      <c r="XFB1451"/>
      <c r="XFC1451"/>
    </row>
    <row r="1452" spans="1:20 16329:16383" s="38" customFormat="1" ht="29.1" customHeight="1" outlineLevel="6" x14ac:dyDescent="0.25">
      <c r="A1452" s="49" t="s">
        <v>2587</v>
      </c>
      <c r="B1452" s="50"/>
      <c r="C1452" s="50"/>
      <c r="D1452" s="3" t="s">
        <v>2258</v>
      </c>
      <c r="E1452" s="3"/>
      <c r="F1452" s="51" t="s">
        <v>2252</v>
      </c>
      <c r="G1452" s="50" t="s">
        <v>29</v>
      </c>
      <c r="H1452" s="52">
        <f>1</f>
        <v>1</v>
      </c>
      <c r="I1452" s="36"/>
      <c r="J1452" s="52">
        <v>1</v>
      </c>
      <c r="K1452" s="53">
        <f>0</f>
        <v>0</v>
      </c>
      <c r="L1452" s="53">
        <f>0</f>
        <v>0</v>
      </c>
      <c r="M1452" s="53">
        <f>0</f>
        <v>0</v>
      </c>
      <c r="N1452" s="54">
        <f>SUM(K1452:M1452)</f>
        <v>0</v>
      </c>
      <c r="O1452" s="54">
        <f>ROUND((H1452*K1452),2)</f>
        <v>0</v>
      </c>
      <c r="P1452" s="54">
        <f>ROUND((H1452*L1452),2)</f>
        <v>0</v>
      </c>
      <c r="Q1452" s="54">
        <f>ROUND((H1452*M1452),2)</f>
        <v>0</v>
      </c>
      <c r="R1452" s="54">
        <f>ROUND((H1452*N1452),2)</f>
        <v>0</v>
      </c>
      <c r="S1452" s="54"/>
      <c r="T1452" s="36"/>
      <c r="XDA1452"/>
      <c r="XDB1452"/>
      <c r="XDC1452"/>
      <c r="XDD1452"/>
      <c r="XDE1452"/>
      <c r="XDF1452"/>
      <c r="XDG1452"/>
      <c r="XDH1452"/>
      <c r="XDI1452"/>
      <c r="XDJ1452"/>
      <c r="XDK1452"/>
      <c r="XDL1452"/>
      <c r="XDM1452"/>
      <c r="XDN1452"/>
      <c r="XDO1452"/>
      <c r="XDP1452"/>
      <c r="XDQ1452"/>
      <c r="XDR1452"/>
      <c r="XDS1452"/>
      <c r="XDT1452"/>
      <c r="XDU1452"/>
      <c r="XDV1452"/>
      <c r="XDW1452"/>
      <c r="XDX1452"/>
      <c r="XDY1452"/>
      <c r="XDZ1452"/>
      <c r="XEA1452"/>
      <c r="XEB1452"/>
      <c r="XEC1452"/>
      <c r="XED1452"/>
      <c r="XEE1452"/>
      <c r="XEF1452"/>
      <c r="XEG1452"/>
      <c r="XEH1452"/>
      <c r="XEI1452"/>
      <c r="XEJ1452"/>
      <c r="XEK1452"/>
      <c r="XEL1452"/>
      <c r="XEM1452"/>
      <c r="XEN1452"/>
      <c r="XEO1452"/>
      <c r="XEP1452"/>
      <c r="XEQ1452"/>
      <c r="XER1452"/>
      <c r="XES1452"/>
      <c r="XET1452"/>
      <c r="XEU1452"/>
      <c r="XEV1452"/>
      <c r="XEW1452"/>
      <c r="XEX1452"/>
      <c r="XEY1452"/>
      <c r="XEZ1452"/>
      <c r="XFA1452"/>
      <c r="XFB1452"/>
      <c r="XFC1452"/>
    </row>
    <row r="1453" spans="1:20 16329:16383" s="38" customFormat="1" ht="29.1" customHeight="1" outlineLevel="6" x14ac:dyDescent="0.25">
      <c r="A1453" s="49" t="s">
        <v>2588</v>
      </c>
      <c r="B1453" s="50"/>
      <c r="C1453" s="50"/>
      <c r="D1453" s="3" t="s">
        <v>2324</v>
      </c>
      <c r="E1453" s="3"/>
      <c r="F1453" s="51" t="s">
        <v>2252</v>
      </c>
      <c r="G1453" s="50" t="s">
        <v>29</v>
      </c>
      <c r="H1453" s="52">
        <f>1</f>
        <v>1</v>
      </c>
      <c r="I1453" s="36"/>
      <c r="J1453" s="52">
        <v>1</v>
      </c>
      <c r="K1453" s="53">
        <f>0</f>
        <v>0</v>
      </c>
      <c r="L1453" s="53">
        <f>0</f>
        <v>0</v>
      </c>
      <c r="M1453" s="53">
        <f>0</f>
        <v>0</v>
      </c>
      <c r="N1453" s="54">
        <f>SUM(K1453:M1453)</f>
        <v>0</v>
      </c>
      <c r="O1453" s="54">
        <f>ROUND((H1453*K1453),2)</f>
        <v>0</v>
      </c>
      <c r="P1453" s="54">
        <f>ROUND((H1453*L1453),2)</f>
        <v>0</v>
      </c>
      <c r="Q1453" s="54">
        <f>ROUND((H1453*M1453),2)</f>
        <v>0</v>
      </c>
      <c r="R1453" s="54">
        <f>ROUND((H1453*N1453),2)</f>
        <v>0</v>
      </c>
      <c r="S1453" s="54"/>
      <c r="T1453" s="36"/>
      <c r="XDA1453"/>
      <c r="XDB1453"/>
      <c r="XDC1453"/>
      <c r="XDD1453"/>
      <c r="XDE1453"/>
      <c r="XDF1453"/>
      <c r="XDG1453"/>
      <c r="XDH1453"/>
      <c r="XDI1453"/>
      <c r="XDJ1453"/>
      <c r="XDK1453"/>
      <c r="XDL1453"/>
      <c r="XDM1453"/>
      <c r="XDN1453"/>
      <c r="XDO1453"/>
      <c r="XDP1453"/>
      <c r="XDQ1453"/>
      <c r="XDR1453"/>
      <c r="XDS1453"/>
      <c r="XDT1453"/>
      <c r="XDU1453"/>
      <c r="XDV1453"/>
      <c r="XDW1453"/>
      <c r="XDX1453"/>
      <c r="XDY1453"/>
      <c r="XDZ1453"/>
      <c r="XEA1453"/>
      <c r="XEB1453"/>
      <c r="XEC1453"/>
      <c r="XED1453"/>
      <c r="XEE1453"/>
      <c r="XEF1453"/>
      <c r="XEG1453"/>
      <c r="XEH1453"/>
      <c r="XEI1453"/>
      <c r="XEJ1453"/>
      <c r="XEK1453"/>
      <c r="XEL1453"/>
      <c r="XEM1453"/>
      <c r="XEN1453"/>
      <c r="XEO1453"/>
      <c r="XEP1453"/>
      <c r="XEQ1453"/>
      <c r="XER1453"/>
      <c r="XES1453"/>
      <c r="XET1453"/>
      <c r="XEU1453"/>
      <c r="XEV1453"/>
      <c r="XEW1453"/>
      <c r="XEX1453"/>
      <c r="XEY1453"/>
      <c r="XEZ1453"/>
      <c r="XFA1453"/>
      <c r="XFB1453"/>
      <c r="XFC1453"/>
    </row>
    <row r="1454" spans="1:20 16329:16383" s="38" customFormat="1" ht="29.1" customHeight="1" outlineLevel="6" x14ac:dyDescent="0.25">
      <c r="A1454" s="49" t="s">
        <v>2589</v>
      </c>
      <c r="B1454" s="50"/>
      <c r="C1454" s="50"/>
      <c r="D1454" s="3" t="s">
        <v>2326</v>
      </c>
      <c r="E1454" s="3"/>
      <c r="F1454" s="51" t="s">
        <v>2252</v>
      </c>
      <c r="G1454" s="50" t="s">
        <v>29</v>
      </c>
      <c r="H1454" s="52">
        <f>1</f>
        <v>1</v>
      </c>
      <c r="I1454" s="36"/>
      <c r="J1454" s="52">
        <v>1</v>
      </c>
      <c r="K1454" s="53">
        <f>0</f>
        <v>0</v>
      </c>
      <c r="L1454" s="53">
        <f>0</f>
        <v>0</v>
      </c>
      <c r="M1454" s="53">
        <f>0</f>
        <v>0</v>
      </c>
      <c r="N1454" s="54">
        <f>SUM(K1454:M1454)</f>
        <v>0</v>
      </c>
      <c r="O1454" s="54">
        <f>ROUND((H1454*K1454),2)</f>
        <v>0</v>
      </c>
      <c r="P1454" s="54">
        <f>ROUND((H1454*L1454),2)</f>
        <v>0</v>
      </c>
      <c r="Q1454" s="54">
        <f>ROUND((H1454*M1454),2)</f>
        <v>0</v>
      </c>
      <c r="R1454" s="54">
        <f>ROUND((H1454*N1454),2)</f>
        <v>0</v>
      </c>
      <c r="S1454" s="54"/>
      <c r="T1454" s="36"/>
      <c r="XDA1454"/>
      <c r="XDB1454"/>
      <c r="XDC1454"/>
      <c r="XDD1454"/>
      <c r="XDE1454"/>
      <c r="XDF1454"/>
      <c r="XDG1454"/>
      <c r="XDH1454"/>
      <c r="XDI1454"/>
      <c r="XDJ1454"/>
      <c r="XDK1454"/>
      <c r="XDL1454"/>
      <c r="XDM1454"/>
      <c r="XDN1454"/>
      <c r="XDO1454"/>
      <c r="XDP1454"/>
      <c r="XDQ1454"/>
      <c r="XDR1454"/>
      <c r="XDS1454"/>
      <c r="XDT1454"/>
      <c r="XDU1454"/>
      <c r="XDV1454"/>
      <c r="XDW1454"/>
      <c r="XDX1454"/>
      <c r="XDY1454"/>
      <c r="XDZ1454"/>
      <c r="XEA1454"/>
      <c r="XEB1454"/>
      <c r="XEC1454"/>
      <c r="XED1454"/>
      <c r="XEE1454"/>
      <c r="XEF1454"/>
      <c r="XEG1454"/>
      <c r="XEH1454"/>
      <c r="XEI1454"/>
      <c r="XEJ1454"/>
      <c r="XEK1454"/>
      <c r="XEL1454"/>
      <c r="XEM1454"/>
      <c r="XEN1454"/>
      <c r="XEO1454"/>
      <c r="XEP1454"/>
      <c r="XEQ1454"/>
      <c r="XER1454"/>
      <c r="XES1454"/>
      <c r="XET1454"/>
      <c r="XEU1454"/>
      <c r="XEV1454"/>
      <c r="XEW1454"/>
      <c r="XEX1454"/>
      <c r="XEY1454"/>
      <c r="XEZ1454"/>
      <c r="XFA1454"/>
      <c r="XFB1454"/>
      <c r="XFC1454"/>
    </row>
    <row r="1455" spans="1:20 16329:16383" s="38" customFormat="1" ht="29.1" customHeight="1" outlineLevel="4" x14ac:dyDescent="0.25">
      <c r="A1455" s="60" t="s">
        <v>2590</v>
      </c>
      <c r="B1455" s="61" t="s">
        <v>2591</v>
      </c>
      <c r="C1455" s="61" t="s">
        <v>2382</v>
      </c>
      <c r="D1455" s="1" t="s">
        <v>2592</v>
      </c>
      <c r="E1455" s="1"/>
      <c r="F1455" s="62"/>
      <c r="G1455" s="61" t="s">
        <v>102</v>
      </c>
      <c r="H1455" s="63"/>
      <c r="I1455" s="36"/>
      <c r="J1455" s="63"/>
      <c r="K1455" s="64"/>
      <c r="L1455" s="64"/>
      <c r="M1455" s="64"/>
      <c r="N1455" s="64"/>
      <c r="O1455" s="64">
        <f>O1456+O1465+O1472+O1481</f>
        <v>0</v>
      </c>
      <c r="P1455" s="64">
        <f>P1456+P1465+P1472+P1481</f>
        <v>0</v>
      </c>
      <c r="Q1455" s="64">
        <f>Q1456+Q1465+Q1472+Q1481</f>
        <v>0</v>
      </c>
      <c r="R1455" s="64">
        <f>R1456+R1465+R1472+R1481</f>
        <v>0</v>
      </c>
      <c r="S1455" s="64"/>
      <c r="T1455" s="36"/>
      <c r="XDA1455"/>
      <c r="XDB1455"/>
      <c r="XDC1455"/>
      <c r="XDD1455"/>
      <c r="XDE1455"/>
      <c r="XDF1455"/>
      <c r="XDG1455"/>
      <c r="XDH1455"/>
      <c r="XDI1455"/>
      <c r="XDJ1455"/>
      <c r="XDK1455"/>
      <c r="XDL1455"/>
      <c r="XDM1455"/>
      <c r="XDN1455"/>
      <c r="XDO1455"/>
      <c r="XDP1455"/>
      <c r="XDQ1455"/>
      <c r="XDR1455"/>
      <c r="XDS1455"/>
      <c r="XDT1455"/>
      <c r="XDU1455"/>
      <c r="XDV1455"/>
      <c r="XDW1455"/>
      <c r="XDX1455"/>
      <c r="XDY1455"/>
      <c r="XDZ1455"/>
      <c r="XEA1455"/>
      <c r="XEB1455"/>
      <c r="XEC1455"/>
      <c r="XED1455"/>
      <c r="XEE1455"/>
      <c r="XEF1455"/>
      <c r="XEG1455"/>
      <c r="XEH1455"/>
      <c r="XEI1455"/>
      <c r="XEJ1455"/>
      <c r="XEK1455"/>
      <c r="XEL1455"/>
      <c r="XEM1455"/>
      <c r="XEN1455"/>
      <c r="XEO1455"/>
      <c r="XEP1455"/>
      <c r="XEQ1455"/>
      <c r="XER1455"/>
      <c r="XES1455"/>
      <c r="XET1455"/>
      <c r="XEU1455"/>
      <c r="XEV1455"/>
      <c r="XEW1455"/>
      <c r="XEX1455"/>
      <c r="XEY1455"/>
      <c r="XEZ1455"/>
      <c r="XFA1455"/>
      <c r="XFB1455"/>
      <c r="XFC1455"/>
    </row>
    <row r="1456" spans="1:20 16329:16383" s="38" customFormat="1" ht="29.1" customHeight="1" outlineLevel="5" x14ac:dyDescent="0.25">
      <c r="A1456" s="65" t="s">
        <v>2593</v>
      </c>
      <c r="B1456" s="66" t="s">
        <v>2594</v>
      </c>
      <c r="C1456" s="66"/>
      <c r="D1456" s="98" t="s">
        <v>1873</v>
      </c>
      <c r="E1456" s="98"/>
      <c r="F1456" s="67"/>
      <c r="G1456" s="66"/>
      <c r="H1456" s="68"/>
      <c r="I1456" s="36"/>
      <c r="J1456" s="68"/>
      <c r="K1456" s="69"/>
      <c r="L1456" s="69"/>
      <c r="M1456" s="69"/>
      <c r="N1456" s="69"/>
      <c r="O1456" s="69">
        <f>SUM(O1457:O1464)</f>
        <v>0</v>
      </c>
      <c r="P1456" s="69">
        <f>SUM(P1457:P1464)</f>
        <v>0</v>
      </c>
      <c r="Q1456" s="69">
        <f>SUM(Q1457:Q1464)</f>
        <v>0</v>
      </c>
      <c r="R1456" s="69">
        <f>SUM(R1457:R1464)</f>
        <v>0</v>
      </c>
      <c r="S1456" s="69"/>
      <c r="T1456" s="36"/>
      <c r="XDA1456"/>
      <c r="XDB1456"/>
      <c r="XDC1456"/>
      <c r="XDD1456"/>
      <c r="XDE1456"/>
      <c r="XDF1456"/>
      <c r="XDG1456"/>
      <c r="XDH1456"/>
      <c r="XDI1456"/>
      <c r="XDJ1456"/>
      <c r="XDK1456"/>
      <c r="XDL1456"/>
      <c r="XDM1456"/>
      <c r="XDN1456"/>
      <c r="XDO1456"/>
      <c r="XDP1456"/>
      <c r="XDQ1456"/>
      <c r="XDR1456"/>
      <c r="XDS1456"/>
      <c r="XDT1456"/>
      <c r="XDU1456"/>
      <c r="XDV1456"/>
      <c r="XDW1456"/>
      <c r="XDX1456"/>
      <c r="XDY1456"/>
      <c r="XDZ1456"/>
      <c r="XEA1456"/>
      <c r="XEB1456"/>
      <c r="XEC1456"/>
      <c r="XED1456"/>
      <c r="XEE1456"/>
      <c r="XEF1456"/>
      <c r="XEG1456"/>
      <c r="XEH1456"/>
      <c r="XEI1456"/>
      <c r="XEJ1456"/>
      <c r="XEK1456"/>
      <c r="XEL1456"/>
      <c r="XEM1456"/>
      <c r="XEN1456"/>
      <c r="XEO1456"/>
      <c r="XEP1456"/>
      <c r="XEQ1456"/>
      <c r="XER1456"/>
      <c r="XES1456"/>
      <c r="XET1456"/>
      <c r="XEU1456"/>
      <c r="XEV1456"/>
      <c r="XEW1456"/>
      <c r="XEX1456"/>
      <c r="XEY1456"/>
      <c r="XEZ1456"/>
      <c r="XFA1456"/>
      <c r="XFB1456"/>
      <c r="XFC1456"/>
    </row>
    <row r="1457" spans="1:20 16329:16383" s="38" customFormat="1" ht="29.1" customHeight="1" outlineLevel="6" x14ac:dyDescent="0.25">
      <c r="A1457" s="49" t="s">
        <v>2595</v>
      </c>
      <c r="B1457" s="50"/>
      <c r="C1457" s="50"/>
      <c r="D1457" s="3" t="s">
        <v>2387</v>
      </c>
      <c r="E1457" s="3"/>
      <c r="F1457" s="51"/>
      <c r="G1457" s="50" t="s">
        <v>102</v>
      </c>
      <c r="H1457" s="52">
        <f>1</f>
        <v>1</v>
      </c>
      <c r="I1457" s="36"/>
      <c r="J1457" s="52">
        <v>1</v>
      </c>
      <c r="K1457" s="53">
        <f>0</f>
        <v>0</v>
      </c>
      <c r="L1457" s="53">
        <f>0</f>
        <v>0</v>
      </c>
      <c r="M1457" s="53">
        <f>0</f>
        <v>0</v>
      </c>
      <c r="N1457" s="54">
        <f t="shared" ref="N1457:N1464" si="254">SUM(K1457:M1457)</f>
        <v>0</v>
      </c>
      <c r="O1457" s="54">
        <f t="shared" ref="O1457:O1464" si="255">ROUND((H1457*K1457),2)</f>
        <v>0</v>
      </c>
      <c r="P1457" s="54">
        <f t="shared" ref="P1457:P1464" si="256">ROUND((H1457*L1457),2)</f>
        <v>0</v>
      </c>
      <c r="Q1457" s="54">
        <f t="shared" ref="Q1457:Q1464" si="257">ROUND((H1457*M1457),2)</f>
        <v>0</v>
      </c>
      <c r="R1457" s="54">
        <f t="shared" ref="R1457:R1464" si="258">ROUND((H1457*N1457),2)</f>
        <v>0</v>
      </c>
      <c r="S1457" s="54"/>
      <c r="T1457" s="36"/>
      <c r="XDA1457"/>
      <c r="XDB1457"/>
      <c r="XDC1457"/>
      <c r="XDD1457"/>
      <c r="XDE1457"/>
      <c r="XDF1457"/>
      <c r="XDG1457"/>
      <c r="XDH1457"/>
      <c r="XDI1457"/>
      <c r="XDJ1457"/>
      <c r="XDK1457"/>
      <c r="XDL1457"/>
      <c r="XDM1457"/>
      <c r="XDN1457"/>
      <c r="XDO1457"/>
      <c r="XDP1457"/>
      <c r="XDQ1457"/>
      <c r="XDR1457"/>
      <c r="XDS1457"/>
      <c r="XDT1457"/>
      <c r="XDU1457"/>
      <c r="XDV1457"/>
      <c r="XDW1457"/>
      <c r="XDX1457"/>
      <c r="XDY1457"/>
      <c r="XDZ1457"/>
      <c r="XEA1457"/>
      <c r="XEB1457"/>
      <c r="XEC1457"/>
      <c r="XED1457"/>
      <c r="XEE1457"/>
      <c r="XEF1457"/>
      <c r="XEG1457"/>
      <c r="XEH1457"/>
      <c r="XEI1457"/>
      <c r="XEJ1457"/>
      <c r="XEK1457"/>
      <c r="XEL1457"/>
      <c r="XEM1457"/>
      <c r="XEN1457"/>
      <c r="XEO1457"/>
      <c r="XEP1457"/>
      <c r="XEQ1457"/>
      <c r="XER1457"/>
      <c r="XES1457"/>
      <c r="XET1457"/>
      <c r="XEU1457"/>
      <c r="XEV1457"/>
      <c r="XEW1457"/>
      <c r="XEX1457"/>
      <c r="XEY1457"/>
      <c r="XEZ1457"/>
      <c r="XFA1457"/>
      <c r="XFB1457"/>
      <c r="XFC1457"/>
    </row>
    <row r="1458" spans="1:20 16329:16383" s="38" customFormat="1" ht="29.1" customHeight="1" outlineLevel="6" x14ac:dyDescent="0.25">
      <c r="A1458" s="49" t="s">
        <v>2596</v>
      </c>
      <c r="B1458" s="50"/>
      <c r="C1458" s="50"/>
      <c r="D1458" s="3" t="s">
        <v>1875</v>
      </c>
      <c r="E1458" s="3"/>
      <c r="F1458" s="51"/>
      <c r="G1458" s="50" t="s">
        <v>102</v>
      </c>
      <c r="H1458" s="52">
        <f>1</f>
        <v>1</v>
      </c>
      <c r="I1458" s="36"/>
      <c r="J1458" s="52">
        <v>1</v>
      </c>
      <c r="K1458" s="53">
        <f>0</f>
        <v>0</v>
      </c>
      <c r="L1458" s="53">
        <f>0</f>
        <v>0</v>
      </c>
      <c r="M1458" s="53">
        <f>0</f>
        <v>0</v>
      </c>
      <c r="N1458" s="54">
        <f t="shared" si="254"/>
        <v>0</v>
      </c>
      <c r="O1458" s="54">
        <f t="shared" si="255"/>
        <v>0</v>
      </c>
      <c r="P1458" s="54">
        <f t="shared" si="256"/>
        <v>0</v>
      </c>
      <c r="Q1458" s="54">
        <f t="shared" si="257"/>
        <v>0</v>
      </c>
      <c r="R1458" s="54">
        <f t="shared" si="258"/>
        <v>0</v>
      </c>
      <c r="S1458" s="54"/>
      <c r="T1458" s="36"/>
      <c r="XDA1458"/>
      <c r="XDB1458"/>
      <c r="XDC1458"/>
      <c r="XDD1458"/>
      <c r="XDE1458"/>
      <c r="XDF1458"/>
      <c r="XDG1458"/>
      <c r="XDH1458"/>
      <c r="XDI1458"/>
      <c r="XDJ1458"/>
      <c r="XDK1458"/>
      <c r="XDL1458"/>
      <c r="XDM1458"/>
      <c r="XDN1458"/>
      <c r="XDO1458"/>
      <c r="XDP1458"/>
      <c r="XDQ1458"/>
      <c r="XDR1458"/>
      <c r="XDS1458"/>
      <c r="XDT1458"/>
      <c r="XDU1458"/>
      <c r="XDV1458"/>
      <c r="XDW1458"/>
      <c r="XDX1458"/>
      <c r="XDY1458"/>
      <c r="XDZ1458"/>
      <c r="XEA1458"/>
      <c r="XEB1458"/>
      <c r="XEC1458"/>
      <c r="XED1458"/>
      <c r="XEE1458"/>
      <c r="XEF1458"/>
      <c r="XEG1458"/>
      <c r="XEH1458"/>
      <c r="XEI1458"/>
      <c r="XEJ1458"/>
      <c r="XEK1458"/>
      <c r="XEL1458"/>
      <c r="XEM1458"/>
      <c r="XEN1458"/>
      <c r="XEO1458"/>
      <c r="XEP1458"/>
      <c r="XEQ1458"/>
      <c r="XER1458"/>
      <c r="XES1458"/>
      <c r="XET1458"/>
      <c r="XEU1458"/>
      <c r="XEV1458"/>
      <c r="XEW1458"/>
      <c r="XEX1458"/>
      <c r="XEY1458"/>
      <c r="XEZ1458"/>
      <c r="XFA1458"/>
      <c r="XFB1458"/>
      <c r="XFC1458"/>
    </row>
    <row r="1459" spans="1:20 16329:16383" s="38" customFormat="1" ht="29.1" customHeight="1" outlineLevel="6" x14ac:dyDescent="0.25">
      <c r="A1459" s="49" t="s">
        <v>2597</v>
      </c>
      <c r="B1459" s="50"/>
      <c r="C1459" s="50"/>
      <c r="D1459" s="3" t="s">
        <v>2390</v>
      </c>
      <c r="E1459" s="3"/>
      <c r="F1459" s="51"/>
      <c r="G1459" s="50" t="s">
        <v>102</v>
      </c>
      <c r="H1459" s="52">
        <f>1</f>
        <v>1</v>
      </c>
      <c r="I1459" s="36"/>
      <c r="J1459" s="52">
        <v>1</v>
      </c>
      <c r="K1459" s="53">
        <f>0</f>
        <v>0</v>
      </c>
      <c r="L1459" s="53">
        <f>0</f>
        <v>0</v>
      </c>
      <c r="M1459" s="53">
        <f>0</f>
        <v>0</v>
      </c>
      <c r="N1459" s="54">
        <f t="shared" si="254"/>
        <v>0</v>
      </c>
      <c r="O1459" s="54">
        <f t="shared" si="255"/>
        <v>0</v>
      </c>
      <c r="P1459" s="54">
        <f t="shared" si="256"/>
        <v>0</v>
      </c>
      <c r="Q1459" s="54">
        <f t="shared" si="257"/>
        <v>0</v>
      </c>
      <c r="R1459" s="54">
        <f t="shared" si="258"/>
        <v>0</v>
      </c>
      <c r="S1459" s="54"/>
      <c r="T1459" s="36"/>
      <c r="XDA1459"/>
      <c r="XDB1459"/>
      <c r="XDC1459"/>
      <c r="XDD1459"/>
      <c r="XDE1459"/>
      <c r="XDF1459"/>
      <c r="XDG1459"/>
      <c r="XDH1459"/>
      <c r="XDI1459"/>
      <c r="XDJ1459"/>
      <c r="XDK1459"/>
      <c r="XDL1459"/>
      <c r="XDM1459"/>
      <c r="XDN1459"/>
      <c r="XDO1459"/>
      <c r="XDP1459"/>
      <c r="XDQ1459"/>
      <c r="XDR1459"/>
      <c r="XDS1459"/>
      <c r="XDT1459"/>
      <c r="XDU1459"/>
      <c r="XDV1459"/>
      <c r="XDW1459"/>
      <c r="XDX1459"/>
      <c r="XDY1459"/>
      <c r="XDZ1459"/>
      <c r="XEA1459"/>
      <c r="XEB1459"/>
      <c r="XEC1459"/>
      <c r="XED1459"/>
      <c r="XEE1459"/>
      <c r="XEF1459"/>
      <c r="XEG1459"/>
      <c r="XEH1459"/>
      <c r="XEI1459"/>
      <c r="XEJ1459"/>
      <c r="XEK1459"/>
      <c r="XEL1459"/>
      <c r="XEM1459"/>
      <c r="XEN1459"/>
      <c r="XEO1459"/>
      <c r="XEP1459"/>
      <c r="XEQ1459"/>
      <c r="XER1459"/>
      <c r="XES1459"/>
      <c r="XET1459"/>
      <c r="XEU1459"/>
      <c r="XEV1459"/>
      <c r="XEW1459"/>
      <c r="XEX1459"/>
      <c r="XEY1459"/>
      <c r="XEZ1459"/>
      <c r="XFA1459"/>
      <c r="XFB1459"/>
      <c r="XFC1459"/>
    </row>
    <row r="1460" spans="1:20 16329:16383" s="38" customFormat="1" ht="29.1" customHeight="1" outlineLevel="6" x14ac:dyDescent="0.25">
      <c r="A1460" s="49" t="s">
        <v>2598</v>
      </c>
      <c r="B1460" s="50"/>
      <c r="C1460" s="50"/>
      <c r="D1460" s="3" t="s">
        <v>2392</v>
      </c>
      <c r="E1460" s="3"/>
      <c r="F1460" s="51"/>
      <c r="G1460" s="50" t="s">
        <v>102</v>
      </c>
      <c r="H1460" s="52">
        <f>1</f>
        <v>1</v>
      </c>
      <c r="I1460" s="36"/>
      <c r="J1460" s="52">
        <v>1</v>
      </c>
      <c r="K1460" s="53">
        <f>0</f>
        <v>0</v>
      </c>
      <c r="L1460" s="53">
        <f>0</f>
        <v>0</v>
      </c>
      <c r="M1460" s="53">
        <f>0</f>
        <v>0</v>
      </c>
      <c r="N1460" s="54">
        <f t="shared" si="254"/>
        <v>0</v>
      </c>
      <c r="O1460" s="54">
        <f t="shared" si="255"/>
        <v>0</v>
      </c>
      <c r="P1460" s="54">
        <f t="shared" si="256"/>
        <v>0</v>
      </c>
      <c r="Q1460" s="54">
        <f t="shared" si="257"/>
        <v>0</v>
      </c>
      <c r="R1460" s="54">
        <f t="shared" si="258"/>
        <v>0</v>
      </c>
      <c r="S1460" s="54"/>
      <c r="T1460" s="36"/>
      <c r="XDA1460"/>
      <c r="XDB1460"/>
      <c r="XDC1460"/>
      <c r="XDD1460"/>
      <c r="XDE1460"/>
      <c r="XDF1460"/>
      <c r="XDG1460"/>
      <c r="XDH1460"/>
      <c r="XDI1460"/>
      <c r="XDJ1460"/>
      <c r="XDK1460"/>
      <c r="XDL1460"/>
      <c r="XDM1460"/>
      <c r="XDN1460"/>
      <c r="XDO1460"/>
      <c r="XDP1460"/>
      <c r="XDQ1460"/>
      <c r="XDR1460"/>
      <c r="XDS1460"/>
      <c r="XDT1460"/>
      <c r="XDU1460"/>
      <c r="XDV1460"/>
      <c r="XDW1460"/>
      <c r="XDX1460"/>
      <c r="XDY1460"/>
      <c r="XDZ1460"/>
      <c r="XEA1460"/>
      <c r="XEB1460"/>
      <c r="XEC1460"/>
      <c r="XED1460"/>
      <c r="XEE1460"/>
      <c r="XEF1460"/>
      <c r="XEG1460"/>
      <c r="XEH1460"/>
      <c r="XEI1460"/>
      <c r="XEJ1460"/>
      <c r="XEK1460"/>
      <c r="XEL1460"/>
      <c r="XEM1460"/>
      <c r="XEN1460"/>
      <c r="XEO1460"/>
      <c r="XEP1460"/>
      <c r="XEQ1460"/>
      <c r="XER1460"/>
      <c r="XES1460"/>
      <c r="XET1460"/>
      <c r="XEU1460"/>
      <c r="XEV1460"/>
      <c r="XEW1460"/>
      <c r="XEX1460"/>
      <c r="XEY1460"/>
      <c r="XEZ1460"/>
      <c r="XFA1460"/>
      <c r="XFB1460"/>
      <c r="XFC1460"/>
    </row>
    <row r="1461" spans="1:20 16329:16383" s="38" customFormat="1" ht="29.1" customHeight="1" outlineLevel="6" x14ac:dyDescent="0.25">
      <c r="A1461" s="49" t="s">
        <v>2599</v>
      </c>
      <c r="B1461" s="50"/>
      <c r="C1461" s="50"/>
      <c r="D1461" s="3" t="s">
        <v>2394</v>
      </c>
      <c r="E1461" s="3"/>
      <c r="F1461" s="51"/>
      <c r="G1461" s="50" t="s">
        <v>102</v>
      </c>
      <c r="H1461" s="52">
        <f>1</f>
        <v>1</v>
      </c>
      <c r="I1461" s="36"/>
      <c r="J1461" s="52">
        <v>1</v>
      </c>
      <c r="K1461" s="53">
        <f>0</f>
        <v>0</v>
      </c>
      <c r="L1461" s="53">
        <f>0</f>
        <v>0</v>
      </c>
      <c r="M1461" s="53">
        <f>0</f>
        <v>0</v>
      </c>
      <c r="N1461" s="54">
        <f t="shared" si="254"/>
        <v>0</v>
      </c>
      <c r="O1461" s="54">
        <f t="shared" si="255"/>
        <v>0</v>
      </c>
      <c r="P1461" s="54">
        <f t="shared" si="256"/>
        <v>0</v>
      </c>
      <c r="Q1461" s="54">
        <f t="shared" si="257"/>
        <v>0</v>
      </c>
      <c r="R1461" s="54">
        <f t="shared" si="258"/>
        <v>0</v>
      </c>
      <c r="S1461" s="54"/>
      <c r="T1461" s="36"/>
      <c r="XDA1461"/>
      <c r="XDB1461"/>
      <c r="XDC1461"/>
      <c r="XDD1461"/>
      <c r="XDE1461"/>
      <c r="XDF1461"/>
      <c r="XDG1461"/>
      <c r="XDH1461"/>
      <c r="XDI1461"/>
      <c r="XDJ1461"/>
      <c r="XDK1461"/>
      <c r="XDL1461"/>
      <c r="XDM1461"/>
      <c r="XDN1461"/>
      <c r="XDO1461"/>
      <c r="XDP1461"/>
      <c r="XDQ1461"/>
      <c r="XDR1461"/>
      <c r="XDS1461"/>
      <c r="XDT1461"/>
      <c r="XDU1461"/>
      <c r="XDV1461"/>
      <c r="XDW1461"/>
      <c r="XDX1461"/>
      <c r="XDY1461"/>
      <c r="XDZ1461"/>
      <c r="XEA1461"/>
      <c r="XEB1461"/>
      <c r="XEC1461"/>
      <c r="XED1461"/>
      <c r="XEE1461"/>
      <c r="XEF1461"/>
      <c r="XEG1461"/>
      <c r="XEH1461"/>
      <c r="XEI1461"/>
      <c r="XEJ1461"/>
      <c r="XEK1461"/>
      <c r="XEL1461"/>
      <c r="XEM1461"/>
      <c r="XEN1461"/>
      <c r="XEO1461"/>
      <c r="XEP1461"/>
      <c r="XEQ1461"/>
      <c r="XER1461"/>
      <c r="XES1461"/>
      <c r="XET1461"/>
      <c r="XEU1461"/>
      <c r="XEV1461"/>
      <c r="XEW1461"/>
      <c r="XEX1461"/>
      <c r="XEY1461"/>
      <c r="XEZ1461"/>
      <c r="XFA1461"/>
      <c r="XFB1461"/>
      <c r="XFC1461"/>
    </row>
    <row r="1462" spans="1:20 16329:16383" s="38" customFormat="1" ht="29.1" customHeight="1" outlineLevel="6" x14ac:dyDescent="0.25">
      <c r="A1462" s="49" t="s">
        <v>2600</v>
      </c>
      <c r="B1462" s="50"/>
      <c r="C1462" s="50"/>
      <c r="D1462" s="3" t="s">
        <v>2557</v>
      </c>
      <c r="E1462" s="3"/>
      <c r="F1462" s="51"/>
      <c r="G1462" s="50" t="s">
        <v>102</v>
      </c>
      <c r="H1462" s="52">
        <f>1</f>
        <v>1</v>
      </c>
      <c r="I1462" s="36"/>
      <c r="J1462" s="52">
        <v>1</v>
      </c>
      <c r="K1462" s="53">
        <f>0</f>
        <v>0</v>
      </c>
      <c r="L1462" s="53">
        <f>0</f>
        <v>0</v>
      </c>
      <c r="M1462" s="53">
        <f>0</f>
        <v>0</v>
      </c>
      <c r="N1462" s="54">
        <f t="shared" si="254"/>
        <v>0</v>
      </c>
      <c r="O1462" s="54">
        <f t="shared" si="255"/>
        <v>0</v>
      </c>
      <c r="P1462" s="54">
        <f t="shared" si="256"/>
        <v>0</v>
      </c>
      <c r="Q1462" s="54">
        <f t="shared" si="257"/>
        <v>0</v>
      </c>
      <c r="R1462" s="54">
        <f t="shared" si="258"/>
        <v>0</v>
      </c>
      <c r="S1462" s="54"/>
      <c r="T1462" s="36"/>
      <c r="XDA1462"/>
      <c r="XDB1462"/>
      <c r="XDC1462"/>
      <c r="XDD1462"/>
      <c r="XDE1462"/>
      <c r="XDF1462"/>
      <c r="XDG1462"/>
      <c r="XDH1462"/>
      <c r="XDI1462"/>
      <c r="XDJ1462"/>
      <c r="XDK1462"/>
      <c r="XDL1462"/>
      <c r="XDM1462"/>
      <c r="XDN1462"/>
      <c r="XDO1462"/>
      <c r="XDP1462"/>
      <c r="XDQ1462"/>
      <c r="XDR1462"/>
      <c r="XDS1462"/>
      <c r="XDT1462"/>
      <c r="XDU1462"/>
      <c r="XDV1462"/>
      <c r="XDW1462"/>
      <c r="XDX1462"/>
      <c r="XDY1462"/>
      <c r="XDZ1462"/>
      <c r="XEA1462"/>
      <c r="XEB1462"/>
      <c r="XEC1462"/>
      <c r="XED1462"/>
      <c r="XEE1462"/>
      <c r="XEF1462"/>
      <c r="XEG1462"/>
      <c r="XEH1462"/>
      <c r="XEI1462"/>
      <c r="XEJ1462"/>
      <c r="XEK1462"/>
      <c r="XEL1462"/>
      <c r="XEM1462"/>
      <c r="XEN1462"/>
      <c r="XEO1462"/>
      <c r="XEP1462"/>
      <c r="XEQ1462"/>
      <c r="XER1462"/>
      <c r="XES1462"/>
      <c r="XET1462"/>
      <c r="XEU1462"/>
      <c r="XEV1462"/>
      <c r="XEW1462"/>
      <c r="XEX1462"/>
      <c r="XEY1462"/>
      <c r="XEZ1462"/>
      <c r="XFA1462"/>
      <c r="XFB1462"/>
      <c r="XFC1462"/>
    </row>
    <row r="1463" spans="1:20 16329:16383" s="38" customFormat="1" ht="29.1" customHeight="1" outlineLevel="6" x14ac:dyDescent="0.25">
      <c r="A1463" s="49" t="s">
        <v>2601</v>
      </c>
      <c r="B1463" s="50"/>
      <c r="C1463" s="50"/>
      <c r="D1463" s="3" t="s">
        <v>2206</v>
      </c>
      <c r="E1463" s="3"/>
      <c r="F1463" s="51"/>
      <c r="G1463" s="50" t="s">
        <v>194</v>
      </c>
      <c r="H1463" s="52">
        <f>1</f>
        <v>1</v>
      </c>
      <c r="I1463" s="36"/>
      <c r="J1463" s="52">
        <v>1</v>
      </c>
      <c r="K1463" s="53">
        <f>0</f>
        <v>0</v>
      </c>
      <c r="L1463" s="53">
        <f>0</f>
        <v>0</v>
      </c>
      <c r="M1463" s="53">
        <f>0</f>
        <v>0</v>
      </c>
      <c r="N1463" s="54">
        <f t="shared" si="254"/>
        <v>0</v>
      </c>
      <c r="O1463" s="54">
        <f t="shared" si="255"/>
        <v>0</v>
      </c>
      <c r="P1463" s="54">
        <f t="shared" si="256"/>
        <v>0</v>
      </c>
      <c r="Q1463" s="54">
        <f t="shared" si="257"/>
        <v>0</v>
      </c>
      <c r="R1463" s="54">
        <f t="shared" si="258"/>
        <v>0</v>
      </c>
      <c r="S1463" s="54"/>
      <c r="T1463" s="36"/>
      <c r="XDA1463"/>
      <c r="XDB1463"/>
      <c r="XDC1463"/>
      <c r="XDD1463"/>
      <c r="XDE1463"/>
      <c r="XDF1463"/>
      <c r="XDG1463"/>
      <c r="XDH1463"/>
      <c r="XDI1463"/>
      <c r="XDJ1463"/>
      <c r="XDK1463"/>
      <c r="XDL1463"/>
      <c r="XDM1463"/>
      <c r="XDN1463"/>
      <c r="XDO1463"/>
      <c r="XDP1463"/>
      <c r="XDQ1463"/>
      <c r="XDR1463"/>
      <c r="XDS1463"/>
      <c r="XDT1463"/>
      <c r="XDU1463"/>
      <c r="XDV1463"/>
      <c r="XDW1463"/>
      <c r="XDX1463"/>
      <c r="XDY1463"/>
      <c r="XDZ1463"/>
      <c r="XEA1463"/>
      <c r="XEB1463"/>
      <c r="XEC1463"/>
      <c r="XED1463"/>
      <c r="XEE1463"/>
      <c r="XEF1463"/>
      <c r="XEG1463"/>
      <c r="XEH1463"/>
      <c r="XEI1463"/>
      <c r="XEJ1463"/>
      <c r="XEK1463"/>
      <c r="XEL1463"/>
      <c r="XEM1463"/>
      <c r="XEN1463"/>
      <c r="XEO1463"/>
      <c r="XEP1463"/>
      <c r="XEQ1463"/>
      <c r="XER1463"/>
      <c r="XES1463"/>
      <c r="XET1463"/>
      <c r="XEU1463"/>
      <c r="XEV1463"/>
      <c r="XEW1463"/>
      <c r="XEX1463"/>
      <c r="XEY1463"/>
      <c r="XEZ1463"/>
      <c r="XFA1463"/>
      <c r="XFB1463"/>
      <c r="XFC1463"/>
    </row>
    <row r="1464" spans="1:20 16329:16383" s="38" customFormat="1" ht="29.1" customHeight="1" outlineLevel="6" x14ac:dyDescent="0.25">
      <c r="A1464" s="49" t="s">
        <v>2602</v>
      </c>
      <c r="B1464" s="50"/>
      <c r="C1464" s="50"/>
      <c r="D1464" s="3" t="s">
        <v>2278</v>
      </c>
      <c r="E1464" s="3"/>
      <c r="F1464" s="51"/>
      <c r="G1464" s="50" t="s">
        <v>194</v>
      </c>
      <c r="H1464" s="52">
        <f>1</f>
        <v>1</v>
      </c>
      <c r="I1464" s="36"/>
      <c r="J1464" s="52">
        <v>1</v>
      </c>
      <c r="K1464" s="53">
        <f>0</f>
        <v>0</v>
      </c>
      <c r="L1464" s="53">
        <f>0</f>
        <v>0</v>
      </c>
      <c r="M1464" s="53">
        <f>0</f>
        <v>0</v>
      </c>
      <c r="N1464" s="54">
        <f t="shared" si="254"/>
        <v>0</v>
      </c>
      <c r="O1464" s="54">
        <f t="shared" si="255"/>
        <v>0</v>
      </c>
      <c r="P1464" s="54">
        <f t="shared" si="256"/>
        <v>0</v>
      </c>
      <c r="Q1464" s="54">
        <f t="shared" si="257"/>
        <v>0</v>
      </c>
      <c r="R1464" s="54">
        <f t="shared" si="258"/>
        <v>0</v>
      </c>
      <c r="S1464" s="54"/>
      <c r="T1464" s="36"/>
      <c r="XDA1464"/>
      <c r="XDB1464"/>
      <c r="XDC1464"/>
      <c r="XDD1464"/>
      <c r="XDE1464"/>
      <c r="XDF1464"/>
      <c r="XDG1464"/>
      <c r="XDH1464"/>
      <c r="XDI1464"/>
      <c r="XDJ1464"/>
      <c r="XDK1464"/>
      <c r="XDL1464"/>
      <c r="XDM1464"/>
      <c r="XDN1464"/>
      <c r="XDO1464"/>
      <c r="XDP1464"/>
      <c r="XDQ1464"/>
      <c r="XDR1464"/>
      <c r="XDS1464"/>
      <c r="XDT1464"/>
      <c r="XDU1464"/>
      <c r="XDV1464"/>
      <c r="XDW1464"/>
      <c r="XDX1464"/>
      <c r="XDY1464"/>
      <c r="XDZ1464"/>
      <c r="XEA1464"/>
      <c r="XEB1464"/>
      <c r="XEC1464"/>
      <c r="XED1464"/>
      <c r="XEE1464"/>
      <c r="XEF1464"/>
      <c r="XEG1464"/>
      <c r="XEH1464"/>
      <c r="XEI1464"/>
      <c r="XEJ1464"/>
      <c r="XEK1464"/>
      <c r="XEL1464"/>
      <c r="XEM1464"/>
      <c r="XEN1464"/>
      <c r="XEO1464"/>
      <c r="XEP1464"/>
      <c r="XEQ1464"/>
      <c r="XER1464"/>
      <c r="XES1464"/>
      <c r="XET1464"/>
      <c r="XEU1464"/>
      <c r="XEV1464"/>
      <c r="XEW1464"/>
      <c r="XEX1464"/>
      <c r="XEY1464"/>
      <c r="XEZ1464"/>
      <c r="XFA1464"/>
      <c r="XFB1464"/>
      <c r="XFC1464"/>
    </row>
    <row r="1465" spans="1:20 16329:16383" s="38" customFormat="1" ht="29.1" customHeight="1" outlineLevel="5" x14ac:dyDescent="0.25">
      <c r="A1465" s="65" t="s">
        <v>2603</v>
      </c>
      <c r="B1465" s="66" t="s">
        <v>2604</v>
      </c>
      <c r="C1465" s="66"/>
      <c r="D1465" s="98" t="s">
        <v>344</v>
      </c>
      <c r="E1465" s="98"/>
      <c r="F1465" s="67"/>
      <c r="G1465" s="66"/>
      <c r="H1465" s="68"/>
      <c r="I1465" s="36"/>
      <c r="J1465" s="68"/>
      <c r="K1465" s="69"/>
      <c r="L1465" s="69"/>
      <c r="M1465" s="69"/>
      <c r="N1465" s="69"/>
      <c r="O1465" s="69">
        <f>SUM(O1466:O1471)</f>
        <v>0</v>
      </c>
      <c r="P1465" s="69">
        <f>SUM(P1466:P1471)</f>
        <v>0</v>
      </c>
      <c r="Q1465" s="69">
        <f>SUM(Q1466:Q1471)</f>
        <v>0</v>
      </c>
      <c r="R1465" s="69">
        <f>SUM(R1466:R1471)</f>
        <v>0</v>
      </c>
      <c r="S1465" s="69"/>
      <c r="T1465" s="36"/>
      <c r="XDA1465"/>
      <c r="XDB1465"/>
      <c r="XDC1465"/>
      <c r="XDD1465"/>
      <c r="XDE1465"/>
      <c r="XDF1465"/>
      <c r="XDG1465"/>
      <c r="XDH1465"/>
      <c r="XDI1465"/>
      <c r="XDJ1465"/>
      <c r="XDK1465"/>
      <c r="XDL1465"/>
      <c r="XDM1465"/>
      <c r="XDN1465"/>
      <c r="XDO1465"/>
      <c r="XDP1465"/>
      <c r="XDQ1465"/>
      <c r="XDR1465"/>
      <c r="XDS1465"/>
      <c r="XDT1465"/>
      <c r="XDU1465"/>
      <c r="XDV1465"/>
      <c r="XDW1465"/>
      <c r="XDX1465"/>
      <c r="XDY1465"/>
      <c r="XDZ1465"/>
      <c r="XEA1465"/>
      <c r="XEB1465"/>
      <c r="XEC1465"/>
      <c r="XED1465"/>
      <c r="XEE1465"/>
      <c r="XEF1465"/>
      <c r="XEG1465"/>
      <c r="XEH1465"/>
      <c r="XEI1465"/>
      <c r="XEJ1465"/>
      <c r="XEK1465"/>
      <c r="XEL1465"/>
      <c r="XEM1465"/>
      <c r="XEN1465"/>
      <c r="XEO1465"/>
      <c r="XEP1465"/>
      <c r="XEQ1465"/>
      <c r="XER1465"/>
      <c r="XES1465"/>
      <c r="XET1465"/>
      <c r="XEU1465"/>
      <c r="XEV1465"/>
      <c r="XEW1465"/>
      <c r="XEX1465"/>
      <c r="XEY1465"/>
      <c r="XEZ1465"/>
      <c r="XFA1465"/>
      <c r="XFB1465"/>
      <c r="XFC1465"/>
    </row>
    <row r="1466" spans="1:20 16329:16383" s="38" customFormat="1" ht="29.1" customHeight="1" outlineLevel="6" x14ac:dyDescent="0.25">
      <c r="A1466" s="49" t="s">
        <v>2605</v>
      </c>
      <c r="B1466" s="50"/>
      <c r="C1466" s="50"/>
      <c r="D1466" s="3" t="s">
        <v>1886</v>
      </c>
      <c r="E1466" s="3"/>
      <c r="F1466" s="51"/>
      <c r="G1466" s="50" t="s">
        <v>102</v>
      </c>
      <c r="H1466" s="52">
        <f>1</f>
        <v>1</v>
      </c>
      <c r="I1466" s="36"/>
      <c r="J1466" s="52">
        <v>1</v>
      </c>
      <c r="K1466" s="53">
        <f>0</f>
        <v>0</v>
      </c>
      <c r="L1466" s="53">
        <f>0</f>
        <v>0</v>
      </c>
      <c r="M1466" s="53">
        <f>0</f>
        <v>0</v>
      </c>
      <c r="N1466" s="54">
        <f t="shared" ref="N1466:N1471" si="259">SUM(K1466:M1466)</f>
        <v>0</v>
      </c>
      <c r="O1466" s="54">
        <f t="shared" ref="O1466:O1471" si="260">ROUND((H1466*K1466),2)</f>
        <v>0</v>
      </c>
      <c r="P1466" s="54">
        <f t="shared" ref="P1466:P1471" si="261">ROUND((H1466*L1466),2)</f>
        <v>0</v>
      </c>
      <c r="Q1466" s="54">
        <f t="shared" ref="Q1466:Q1471" si="262">ROUND((H1466*M1466),2)</f>
        <v>0</v>
      </c>
      <c r="R1466" s="54">
        <f t="shared" ref="R1466:R1471" si="263">ROUND((H1466*N1466),2)</f>
        <v>0</v>
      </c>
      <c r="S1466" s="54"/>
      <c r="T1466" s="36"/>
      <c r="XDA1466"/>
      <c r="XDB1466"/>
      <c r="XDC1466"/>
      <c r="XDD1466"/>
      <c r="XDE1466"/>
      <c r="XDF1466"/>
      <c r="XDG1466"/>
      <c r="XDH1466"/>
      <c r="XDI1466"/>
      <c r="XDJ1466"/>
      <c r="XDK1466"/>
      <c r="XDL1466"/>
      <c r="XDM1466"/>
      <c r="XDN1466"/>
      <c r="XDO1466"/>
      <c r="XDP1466"/>
      <c r="XDQ1466"/>
      <c r="XDR1466"/>
      <c r="XDS1466"/>
      <c r="XDT1466"/>
      <c r="XDU1466"/>
      <c r="XDV1466"/>
      <c r="XDW1466"/>
      <c r="XDX1466"/>
      <c r="XDY1466"/>
      <c r="XDZ1466"/>
      <c r="XEA1466"/>
      <c r="XEB1466"/>
      <c r="XEC1466"/>
      <c r="XED1466"/>
      <c r="XEE1466"/>
      <c r="XEF1466"/>
      <c r="XEG1466"/>
      <c r="XEH1466"/>
      <c r="XEI1466"/>
      <c r="XEJ1466"/>
      <c r="XEK1466"/>
      <c r="XEL1466"/>
      <c r="XEM1466"/>
      <c r="XEN1466"/>
      <c r="XEO1466"/>
      <c r="XEP1466"/>
      <c r="XEQ1466"/>
      <c r="XER1466"/>
      <c r="XES1466"/>
      <c r="XET1466"/>
      <c r="XEU1466"/>
      <c r="XEV1466"/>
      <c r="XEW1466"/>
      <c r="XEX1466"/>
      <c r="XEY1466"/>
      <c r="XEZ1466"/>
      <c r="XFA1466"/>
      <c r="XFB1466"/>
      <c r="XFC1466"/>
    </row>
    <row r="1467" spans="1:20 16329:16383" s="38" customFormat="1" ht="29.1" customHeight="1" outlineLevel="6" x14ac:dyDescent="0.25">
      <c r="A1467" s="49" t="s">
        <v>2606</v>
      </c>
      <c r="B1467" s="50"/>
      <c r="C1467" s="50"/>
      <c r="D1467" s="3" t="s">
        <v>1955</v>
      </c>
      <c r="E1467" s="3"/>
      <c r="F1467" s="51"/>
      <c r="G1467" s="50" t="s">
        <v>102</v>
      </c>
      <c r="H1467" s="52">
        <f>1</f>
        <v>1</v>
      </c>
      <c r="I1467" s="36"/>
      <c r="J1467" s="52">
        <v>1</v>
      </c>
      <c r="K1467" s="53">
        <f>0</f>
        <v>0</v>
      </c>
      <c r="L1467" s="53">
        <f>0</f>
        <v>0</v>
      </c>
      <c r="M1467" s="53">
        <f>0</f>
        <v>0</v>
      </c>
      <c r="N1467" s="54">
        <f t="shared" si="259"/>
        <v>0</v>
      </c>
      <c r="O1467" s="54">
        <f t="shared" si="260"/>
        <v>0</v>
      </c>
      <c r="P1467" s="54">
        <f t="shared" si="261"/>
        <v>0</v>
      </c>
      <c r="Q1467" s="54">
        <f t="shared" si="262"/>
        <v>0</v>
      </c>
      <c r="R1467" s="54">
        <f t="shared" si="263"/>
        <v>0</v>
      </c>
      <c r="S1467" s="54"/>
      <c r="T1467" s="36"/>
      <c r="XDA1467"/>
      <c r="XDB1467"/>
      <c r="XDC1467"/>
      <c r="XDD1467"/>
      <c r="XDE1467"/>
      <c r="XDF1467"/>
      <c r="XDG1467"/>
      <c r="XDH1467"/>
      <c r="XDI1467"/>
      <c r="XDJ1467"/>
      <c r="XDK1467"/>
      <c r="XDL1467"/>
      <c r="XDM1467"/>
      <c r="XDN1467"/>
      <c r="XDO1467"/>
      <c r="XDP1467"/>
      <c r="XDQ1467"/>
      <c r="XDR1467"/>
      <c r="XDS1467"/>
      <c r="XDT1467"/>
      <c r="XDU1467"/>
      <c r="XDV1467"/>
      <c r="XDW1467"/>
      <c r="XDX1467"/>
      <c r="XDY1467"/>
      <c r="XDZ1467"/>
      <c r="XEA1467"/>
      <c r="XEB1467"/>
      <c r="XEC1467"/>
      <c r="XED1467"/>
      <c r="XEE1467"/>
      <c r="XEF1467"/>
      <c r="XEG1467"/>
      <c r="XEH1467"/>
      <c r="XEI1467"/>
      <c r="XEJ1467"/>
      <c r="XEK1467"/>
      <c r="XEL1467"/>
      <c r="XEM1467"/>
      <c r="XEN1467"/>
      <c r="XEO1467"/>
      <c r="XEP1467"/>
      <c r="XEQ1467"/>
      <c r="XER1467"/>
      <c r="XES1467"/>
      <c r="XET1467"/>
      <c r="XEU1467"/>
      <c r="XEV1467"/>
      <c r="XEW1467"/>
      <c r="XEX1467"/>
      <c r="XEY1467"/>
      <c r="XEZ1467"/>
      <c r="XFA1467"/>
      <c r="XFB1467"/>
      <c r="XFC1467"/>
    </row>
    <row r="1468" spans="1:20 16329:16383" s="38" customFormat="1" ht="29.1" customHeight="1" outlineLevel="6" x14ac:dyDescent="0.25">
      <c r="A1468" s="49" t="s">
        <v>2607</v>
      </c>
      <c r="B1468" s="50"/>
      <c r="C1468" s="50"/>
      <c r="D1468" s="3" t="s">
        <v>1888</v>
      </c>
      <c r="E1468" s="3"/>
      <c r="F1468" s="51"/>
      <c r="G1468" s="50" t="s">
        <v>102</v>
      </c>
      <c r="H1468" s="52">
        <f>1</f>
        <v>1</v>
      </c>
      <c r="I1468" s="36"/>
      <c r="J1468" s="52">
        <v>1</v>
      </c>
      <c r="K1468" s="53">
        <f>0</f>
        <v>0</v>
      </c>
      <c r="L1468" s="53">
        <f>0</f>
        <v>0</v>
      </c>
      <c r="M1468" s="53">
        <f>0</f>
        <v>0</v>
      </c>
      <c r="N1468" s="54">
        <f t="shared" si="259"/>
        <v>0</v>
      </c>
      <c r="O1468" s="54">
        <f t="shared" si="260"/>
        <v>0</v>
      </c>
      <c r="P1468" s="54">
        <f t="shared" si="261"/>
        <v>0</v>
      </c>
      <c r="Q1468" s="54">
        <f t="shared" si="262"/>
        <v>0</v>
      </c>
      <c r="R1468" s="54">
        <f t="shared" si="263"/>
        <v>0</v>
      </c>
      <c r="S1468" s="54"/>
      <c r="T1468" s="36"/>
      <c r="XDA1468"/>
      <c r="XDB1468"/>
      <c r="XDC1468"/>
      <c r="XDD1468"/>
      <c r="XDE1468"/>
      <c r="XDF1468"/>
      <c r="XDG1468"/>
      <c r="XDH1468"/>
      <c r="XDI1468"/>
      <c r="XDJ1468"/>
      <c r="XDK1468"/>
      <c r="XDL1468"/>
      <c r="XDM1468"/>
      <c r="XDN1468"/>
      <c r="XDO1468"/>
      <c r="XDP1468"/>
      <c r="XDQ1468"/>
      <c r="XDR1468"/>
      <c r="XDS1468"/>
      <c r="XDT1468"/>
      <c r="XDU1468"/>
      <c r="XDV1468"/>
      <c r="XDW1468"/>
      <c r="XDX1468"/>
      <c r="XDY1468"/>
      <c r="XDZ1468"/>
      <c r="XEA1468"/>
      <c r="XEB1468"/>
      <c r="XEC1468"/>
      <c r="XED1468"/>
      <c r="XEE1468"/>
      <c r="XEF1468"/>
      <c r="XEG1468"/>
      <c r="XEH1468"/>
      <c r="XEI1468"/>
      <c r="XEJ1468"/>
      <c r="XEK1468"/>
      <c r="XEL1468"/>
      <c r="XEM1468"/>
      <c r="XEN1468"/>
      <c r="XEO1468"/>
      <c r="XEP1468"/>
      <c r="XEQ1468"/>
      <c r="XER1468"/>
      <c r="XES1468"/>
      <c r="XET1468"/>
      <c r="XEU1468"/>
      <c r="XEV1468"/>
      <c r="XEW1468"/>
      <c r="XEX1468"/>
      <c r="XEY1468"/>
      <c r="XEZ1468"/>
      <c r="XFA1468"/>
      <c r="XFB1468"/>
      <c r="XFC1468"/>
    </row>
    <row r="1469" spans="1:20 16329:16383" s="38" customFormat="1" ht="29.1" customHeight="1" outlineLevel="6" x14ac:dyDescent="0.25">
      <c r="A1469" s="49" t="s">
        <v>2608</v>
      </c>
      <c r="B1469" s="50"/>
      <c r="C1469" s="50"/>
      <c r="D1469" s="3" t="s">
        <v>2609</v>
      </c>
      <c r="E1469" s="3"/>
      <c r="F1469" s="51"/>
      <c r="G1469" s="50" t="s">
        <v>102</v>
      </c>
      <c r="H1469" s="52">
        <f>1</f>
        <v>1</v>
      </c>
      <c r="I1469" s="36"/>
      <c r="J1469" s="52">
        <v>1</v>
      </c>
      <c r="K1469" s="53">
        <f>0</f>
        <v>0</v>
      </c>
      <c r="L1469" s="53">
        <f>0</f>
        <v>0</v>
      </c>
      <c r="M1469" s="53">
        <f>0</f>
        <v>0</v>
      </c>
      <c r="N1469" s="54">
        <f t="shared" si="259"/>
        <v>0</v>
      </c>
      <c r="O1469" s="54">
        <f t="shared" si="260"/>
        <v>0</v>
      </c>
      <c r="P1469" s="54">
        <f t="shared" si="261"/>
        <v>0</v>
      </c>
      <c r="Q1469" s="54">
        <f t="shared" si="262"/>
        <v>0</v>
      </c>
      <c r="R1469" s="54">
        <f t="shared" si="263"/>
        <v>0</v>
      </c>
      <c r="S1469" s="54"/>
      <c r="T1469" s="36"/>
      <c r="XDA1469"/>
      <c r="XDB1469"/>
      <c r="XDC1469"/>
      <c r="XDD1469"/>
      <c r="XDE1469"/>
      <c r="XDF1469"/>
      <c r="XDG1469"/>
      <c r="XDH1469"/>
      <c r="XDI1469"/>
      <c r="XDJ1469"/>
      <c r="XDK1469"/>
      <c r="XDL1469"/>
      <c r="XDM1469"/>
      <c r="XDN1469"/>
      <c r="XDO1469"/>
      <c r="XDP1469"/>
      <c r="XDQ1469"/>
      <c r="XDR1469"/>
      <c r="XDS1469"/>
      <c r="XDT1469"/>
      <c r="XDU1469"/>
      <c r="XDV1469"/>
      <c r="XDW1469"/>
      <c r="XDX1469"/>
      <c r="XDY1469"/>
      <c r="XDZ1469"/>
      <c r="XEA1469"/>
      <c r="XEB1469"/>
      <c r="XEC1469"/>
      <c r="XED1469"/>
      <c r="XEE1469"/>
      <c r="XEF1469"/>
      <c r="XEG1469"/>
      <c r="XEH1469"/>
      <c r="XEI1469"/>
      <c r="XEJ1469"/>
      <c r="XEK1469"/>
      <c r="XEL1469"/>
      <c r="XEM1469"/>
      <c r="XEN1469"/>
      <c r="XEO1469"/>
      <c r="XEP1469"/>
      <c r="XEQ1469"/>
      <c r="XER1469"/>
      <c r="XES1469"/>
      <c r="XET1469"/>
      <c r="XEU1469"/>
      <c r="XEV1469"/>
      <c r="XEW1469"/>
      <c r="XEX1469"/>
      <c r="XEY1469"/>
      <c r="XEZ1469"/>
      <c r="XFA1469"/>
      <c r="XFB1469"/>
      <c r="XFC1469"/>
    </row>
    <row r="1470" spans="1:20 16329:16383" s="38" customFormat="1" ht="29.1" customHeight="1" outlineLevel="6" x14ac:dyDescent="0.25">
      <c r="A1470" s="49" t="s">
        <v>2610</v>
      </c>
      <c r="B1470" s="50"/>
      <c r="C1470" s="50"/>
      <c r="D1470" s="3" t="s">
        <v>2299</v>
      </c>
      <c r="E1470" s="3"/>
      <c r="F1470" s="51" t="s">
        <v>2300</v>
      </c>
      <c r="G1470" s="50" t="s">
        <v>29</v>
      </c>
      <c r="H1470" s="52">
        <f>1</f>
        <v>1</v>
      </c>
      <c r="I1470" s="36"/>
      <c r="J1470" s="52">
        <v>1</v>
      </c>
      <c r="K1470" s="53">
        <f>0</f>
        <v>0</v>
      </c>
      <c r="L1470" s="53">
        <f>0</f>
        <v>0</v>
      </c>
      <c r="M1470" s="53">
        <f>0</f>
        <v>0</v>
      </c>
      <c r="N1470" s="54">
        <f t="shared" si="259"/>
        <v>0</v>
      </c>
      <c r="O1470" s="54">
        <f t="shared" si="260"/>
        <v>0</v>
      </c>
      <c r="P1470" s="54">
        <f t="shared" si="261"/>
        <v>0</v>
      </c>
      <c r="Q1470" s="54">
        <f t="shared" si="262"/>
        <v>0</v>
      </c>
      <c r="R1470" s="54">
        <f t="shared" si="263"/>
        <v>0</v>
      </c>
      <c r="S1470" s="54"/>
      <c r="T1470" s="36"/>
      <c r="XDA1470"/>
      <c r="XDB1470"/>
      <c r="XDC1470"/>
      <c r="XDD1470"/>
      <c r="XDE1470"/>
      <c r="XDF1470"/>
      <c r="XDG1470"/>
      <c r="XDH1470"/>
      <c r="XDI1470"/>
      <c r="XDJ1470"/>
      <c r="XDK1470"/>
      <c r="XDL1470"/>
      <c r="XDM1470"/>
      <c r="XDN1470"/>
      <c r="XDO1470"/>
      <c r="XDP1470"/>
      <c r="XDQ1470"/>
      <c r="XDR1470"/>
      <c r="XDS1470"/>
      <c r="XDT1470"/>
      <c r="XDU1470"/>
      <c r="XDV1470"/>
      <c r="XDW1470"/>
      <c r="XDX1470"/>
      <c r="XDY1470"/>
      <c r="XDZ1470"/>
      <c r="XEA1470"/>
      <c r="XEB1470"/>
      <c r="XEC1470"/>
      <c r="XED1470"/>
      <c r="XEE1470"/>
      <c r="XEF1470"/>
      <c r="XEG1470"/>
      <c r="XEH1470"/>
      <c r="XEI1470"/>
      <c r="XEJ1470"/>
      <c r="XEK1470"/>
      <c r="XEL1470"/>
      <c r="XEM1470"/>
      <c r="XEN1470"/>
      <c r="XEO1470"/>
      <c r="XEP1470"/>
      <c r="XEQ1470"/>
      <c r="XER1470"/>
      <c r="XES1470"/>
      <c r="XET1470"/>
      <c r="XEU1470"/>
      <c r="XEV1470"/>
      <c r="XEW1470"/>
      <c r="XEX1470"/>
      <c r="XEY1470"/>
      <c r="XEZ1470"/>
      <c r="XFA1470"/>
      <c r="XFB1470"/>
      <c r="XFC1470"/>
    </row>
    <row r="1471" spans="1:20 16329:16383" s="38" customFormat="1" ht="29.1" customHeight="1" outlineLevel="6" x14ac:dyDescent="0.25">
      <c r="A1471" s="49" t="s">
        <v>2611</v>
      </c>
      <c r="B1471" s="50"/>
      <c r="C1471" s="50"/>
      <c r="D1471" s="3" t="s">
        <v>2407</v>
      </c>
      <c r="E1471" s="3"/>
      <c r="F1471" s="51" t="s">
        <v>1960</v>
      </c>
      <c r="G1471" s="50" t="s">
        <v>134</v>
      </c>
      <c r="H1471" s="52">
        <f>1</f>
        <v>1</v>
      </c>
      <c r="I1471" s="36"/>
      <c r="J1471" s="52">
        <v>1</v>
      </c>
      <c r="K1471" s="53">
        <f>0</f>
        <v>0</v>
      </c>
      <c r="L1471" s="53">
        <f>0</f>
        <v>0</v>
      </c>
      <c r="M1471" s="53">
        <f>0</f>
        <v>0</v>
      </c>
      <c r="N1471" s="54">
        <f t="shared" si="259"/>
        <v>0</v>
      </c>
      <c r="O1471" s="54">
        <f t="shared" si="260"/>
        <v>0</v>
      </c>
      <c r="P1471" s="54">
        <f t="shared" si="261"/>
        <v>0</v>
      </c>
      <c r="Q1471" s="54">
        <f t="shared" si="262"/>
        <v>0</v>
      </c>
      <c r="R1471" s="54">
        <f t="shared" si="263"/>
        <v>0</v>
      </c>
      <c r="S1471" s="54"/>
      <c r="T1471" s="36"/>
      <c r="XDA1471"/>
      <c r="XDB1471"/>
      <c r="XDC1471"/>
      <c r="XDD1471"/>
      <c r="XDE1471"/>
      <c r="XDF1471"/>
      <c r="XDG1471"/>
      <c r="XDH1471"/>
      <c r="XDI1471"/>
      <c r="XDJ1471"/>
      <c r="XDK1471"/>
      <c r="XDL1471"/>
      <c r="XDM1471"/>
      <c r="XDN1471"/>
      <c r="XDO1471"/>
      <c r="XDP1471"/>
      <c r="XDQ1471"/>
      <c r="XDR1471"/>
      <c r="XDS1471"/>
      <c r="XDT1471"/>
      <c r="XDU1471"/>
      <c r="XDV1471"/>
      <c r="XDW1471"/>
      <c r="XDX1471"/>
      <c r="XDY1471"/>
      <c r="XDZ1471"/>
      <c r="XEA1471"/>
      <c r="XEB1471"/>
      <c r="XEC1471"/>
      <c r="XED1471"/>
      <c r="XEE1471"/>
      <c r="XEF1471"/>
      <c r="XEG1471"/>
      <c r="XEH1471"/>
      <c r="XEI1471"/>
      <c r="XEJ1471"/>
      <c r="XEK1471"/>
      <c r="XEL1471"/>
      <c r="XEM1471"/>
      <c r="XEN1471"/>
      <c r="XEO1471"/>
      <c r="XEP1471"/>
      <c r="XEQ1471"/>
      <c r="XER1471"/>
      <c r="XES1471"/>
      <c r="XET1471"/>
      <c r="XEU1471"/>
      <c r="XEV1471"/>
      <c r="XEW1471"/>
      <c r="XEX1471"/>
      <c r="XEY1471"/>
      <c r="XEZ1471"/>
      <c r="XFA1471"/>
      <c r="XFB1471"/>
      <c r="XFC1471"/>
    </row>
    <row r="1472" spans="1:20 16329:16383" s="38" customFormat="1" ht="29.1" customHeight="1" outlineLevel="5" x14ac:dyDescent="0.25">
      <c r="A1472" s="65" t="s">
        <v>2612</v>
      </c>
      <c r="B1472" s="66" t="s">
        <v>2613</v>
      </c>
      <c r="C1472" s="66"/>
      <c r="D1472" s="98" t="s">
        <v>1899</v>
      </c>
      <c r="E1472" s="98"/>
      <c r="F1472" s="67"/>
      <c r="G1472" s="66"/>
      <c r="H1472" s="68"/>
      <c r="I1472" s="36"/>
      <c r="J1472" s="68"/>
      <c r="K1472" s="69"/>
      <c r="L1472" s="69"/>
      <c r="M1472" s="69"/>
      <c r="N1472" s="69"/>
      <c r="O1472" s="69">
        <f>SUM(O1473:O1480)</f>
        <v>0</v>
      </c>
      <c r="P1472" s="69">
        <f>SUM(P1473:P1480)</f>
        <v>0</v>
      </c>
      <c r="Q1472" s="69">
        <f>SUM(Q1473:Q1480)</f>
        <v>0</v>
      </c>
      <c r="R1472" s="69">
        <f>SUM(R1473:R1480)</f>
        <v>0</v>
      </c>
      <c r="S1472" s="69"/>
      <c r="T1472" s="36"/>
      <c r="XDA1472"/>
      <c r="XDB1472"/>
      <c r="XDC1472"/>
      <c r="XDD1472"/>
      <c r="XDE1472"/>
      <c r="XDF1472"/>
      <c r="XDG1472"/>
      <c r="XDH1472"/>
      <c r="XDI1472"/>
      <c r="XDJ1472"/>
      <c r="XDK1472"/>
      <c r="XDL1472"/>
      <c r="XDM1472"/>
      <c r="XDN1472"/>
      <c r="XDO1472"/>
      <c r="XDP1472"/>
      <c r="XDQ1472"/>
      <c r="XDR1472"/>
      <c r="XDS1472"/>
      <c r="XDT1472"/>
      <c r="XDU1472"/>
      <c r="XDV1472"/>
      <c r="XDW1472"/>
      <c r="XDX1472"/>
      <c r="XDY1472"/>
      <c r="XDZ1472"/>
      <c r="XEA1472"/>
      <c r="XEB1472"/>
      <c r="XEC1472"/>
      <c r="XED1472"/>
      <c r="XEE1472"/>
      <c r="XEF1472"/>
      <c r="XEG1472"/>
      <c r="XEH1472"/>
      <c r="XEI1472"/>
      <c r="XEJ1472"/>
      <c r="XEK1472"/>
      <c r="XEL1472"/>
      <c r="XEM1472"/>
      <c r="XEN1472"/>
      <c r="XEO1472"/>
      <c r="XEP1472"/>
      <c r="XEQ1472"/>
      <c r="XER1472"/>
      <c r="XES1472"/>
      <c r="XET1472"/>
      <c r="XEU1472"/>
      <c r="XEV1472"/>
      <c r="XEW1472"/>
      <c r="XEX1472"/>
      <c r="XEY1472"/>
      <c r="XEZ1472"/>
      <c r="XFA1472"/>
      <c r="XFB1472"/>
      <c r="XFC1472"/>
    </row>
    <row r="1473" spans="1:20 16329:16383" s="38" customFormat="1" ht="29.1" customHeight="1" outlineLevel="6" x14ac:dyDescent="0.25">
      <c r="A1473" s="49" t="s">
        <v>2614</v>
      </c>
      <c r="B1473" s="50"/>
      <c r="C1473" s="50"/>
      <c r="D1473" s="3" t="s">
        <v>1953</v>
      </c>
      <c r="E1473" s="3"/>
      <c r="F1473" s="51"/>
      <c r="G1473" s="50" t="s">
        <v>102</v>
      </c>
      <c r="H1473" s="52">
        <f>1</f>
        <v>1</v>
      </c>
      <c r="I1473" s="36"/>
      <c r="J1473" s="52">
        <v>1</v>
      </c>
      <c r="K1473" s="53">
        <f>0</f>
        <v>0</v>
      </c>
      <c r="L1473" s="53">
        <f>0</f>
        <v>0</v>
      </c>
      <c r="M1473" s="53">
        <f>0</f>
        <v>0</v>
      </c>
      <c r="N1473" s="54">
        <f t="shared" ref="N1473:N1480" si="264">SUM(K1473:M1473)</f>
        <v>0</v>
      </c>
      <c r="O1473" s="54">
        <f t="shared" ref="O1473:O1480" si="265">ROUND((H1473*K1473),2)</f>
        <v>0</v>
      </c>
      <c r="P1473" s="54">
        <f t="shared" ref="P1473:P1480" si="266">ROUND((H1473*L1473),2)</f>
        <v>0</v>
      </c>
      <c r="Q1473" s="54">
        <f t="shared" ref="Q1473:Q1480" si="267">ROUND((H1473*M1473),2)</f>
        <v>0</v>
      </c>
      <c r="R1473" s="54">
        <f t="shared" ref="R1473:R1480" si="268">ROUND((H1473*N1473),2)</f>
        <v>0</v>
      </c>
      <c r="S1473" s="54"/>
      <c r="T1473" s="36"/>
      <c r="XDA1473"/>
      <c r="XDB1473"/>
      <c r="XDC1473"/>
      <c r="XDD1473"/>
      <c r="XDE1473"/>
      <c r="XDF1473"/>
      <c r="XDG1473"/>
      <c r="XDH1473"/>
      <c r="XDI1473"/>
      <c r="XDJ1473"/>
      <c r="XDK1473"/>
      <c r="XDL1473"/>
      <c r="XDM1473"/>
      <c r="XDN1473"/>
      <c r="XDO1473"/>
      <c r="XDP1473"/>
      <c r="XDQ1473"/>
      <c r="XDR1473"/>
      <c r="XDS1473"/>
      <c r="XDT1473"/>
      <c r="XDU1473"/>
      <c r="XDV1473"/>
      <c r="XDW1473"/>
      <c r="XDX1473"/>
      <c r="XDY1473"/>
      <c r="XDZ1473"/>
      <c r="XEA1473"/>
      <c r="XEB1473"/>
      <c r="XEC1473"/>
      <c r="XED1473"/>
      <c r="XEE1473"/>
      <c r="XEF1473"/>
      <c r="XEG1473"/>
      <c r="XEH1473"/>
      <c r="XEI1473"/>
      <c r="XEJ1473"/>
      <c r="XEK1473"/>
      <c r="XEL1473"/>
      <c r="XEM1473"/>
      <c r="XEN1473"/>
      <c r="XEO1473"/>
      <c r="XEP1473"/>
      <c r="XEQ1473"/>
      <c r="XER1473"/>
      <c r="XES1473"/>
      <c r="XET1473"/>
      <c r="XEU1473"/>
      <c r="XEV1473"/>
      <c r="XEW1473"/>
      <c r="XEX1473"/>
      <c r="XEY1473"/>
      <c r="XEZ1473"/>
      <c r="XFA1473"/>
      <c r="XFB1473"/>
      <c r="XFC1473"/>
    </row>
    <row r="1474" spans="1:20 16329:16383" s="38" customFormat="1" ht="29.1" customHeight="1" outlineLevel="6" x14ac:dyDescent="0.25">
      <c r="A1474" s="49" t="s">
        <v>2615</v>
      </c>
      <c r="B1474" s="50"/>
      <c r="C1474" s="50"/>
      <c r="D1474" s="3" t="s">
        <v>1955</v>
      </c>
      <c r="E1474" s="3"/>
      <c r="F1474" s="51"/>
      <c r="G1474" s="50" t="s">
        <v>102</v>
      </c>
      <c r="H1474" s="52">
        <f>1</f>
        <v>1</v>
      </c>
      <c r="I1474" s="36"/>
      <c r="J1474" s="52">
        <v>1</v>
      </c>
      <c r="K1474" s="53">
        <f>0</f>
        <v>0</v>
      </c>
      <c r="L1474" s="53">
        <f>0</f>
        <v>0</v>
      </c>
      <c r="M1474" s="53">
        <f>0</f>
        <v>0</v>
      </c>
      <c r="N1474" s="54">
        <f t="shared" si="264"/>
        <v>0</v>
      </c>
      <c r="O1474" s="54">
        <f t="shared" si="265"/>
        <v>0</v>
      </c>
      <c r="P1474" s="54">
        <f t="shared" si="266"/>
        <v>0</v>
      </c>
      <c r="Q1474" s="54">
        <f t="shared" si="267"/>
        <v>0</v>
      </c>
      <c r="R1474" s="54">
        <f t="shared" si="268"/>
        <v>0</v>
      </c>
      <c r="S1474" s="54"/>
      <c r="T1474" s="36"/>
      <c r="XDA1474"/>
      <c r="XDB1474"/>
      <c r="XDC1474"/>
      <c r="XDD1474"/>
      <c r="XDE1474"/>
      <c r="XDF1474"/>
      <c r="XDG1474"/>
      <c r="XDH1474"/>
      <c r="XDI1474"/>
      <c r="XDJ1474"/>
      <c r="XDK1474"/>
      <c r="XDL1474"/>
      <c r="XDM1474"/>
      <c r="XDN1474"/>
      <c r="XDO1474"/>
      <c r="XDP1474"/>
      <c r="XDQ1474"/>
      <c r="XDR1474"/>
      <c r="XDS1474"/>
      <c r="XDT1474"/>
      <c r="XDU1474"/>
      <c r="XDV1474"/>
      <c r="XDW1474"/>
      <c r="XDX1474"/>
      <c r="XDY1474"/>
      <c r="XDZ1474"/>
      <c r="XEA1474"/>
      <c r="XEB1474"/>
      <c r="XEC1474"/>
      <c r="XED1474"/>
      <c r="XEE1474"/>
      <c r="XEF1474"/>
      <c r="XEG1474"/>
      <c r="XEH1474"/>
      <c r="XEI1474"/>
      <c r="XEJ1474"/>
      <c r="XEK1474"/>
      <c r="XEL1474"/>
      <c r="XEM1474"/>
      <c r="XEN1474"/>
      <c r="XEO1474"/>
      <c r="XEP1474"/>
      <c r="XEQ1474"/>
      <c r="XER1474"/>
      <c r="XES1474"/>
      <c r="XET1474"/>
      <c r="XEU1474"/>
      <c r="XEV1474"/>
      <c r="XEW1474"/>
      <c r="XEX1474"/>
      <c r="XEY1474"/>
      <c r="XEZ1474"/>
      <c r="XFA1474"/>
      <c r="XFB1474"/>
      <c r="XFC1474"/>
    </row>
    <row r="1475" spans="1:20 16329:16383" s="38" customFormat="1" ht="29.1" customHeight="1" outlineLevel="6" x14ac:dyDescent="0.25">
      <c r="A1475" s="49" t="s">
        <v>2616</v>
      </c>
      <c r="B1475" s="50"/>
      <c r="C1475" s="50"/>
      <c r="D1475" s="3" t="s">
        <v>2238</v>
      </c>
      <c r="E1475" s="3"/>
      <c r="F1475" s="51"/>
      <c r="G1475" s="50" t="s">
        <v>102</v>
      </c>
      <c r="H1475" s="52">
        <f>1</f>
        <v>1</v>
      </c>
      <c r="I1475" s="36"/>
      <c r="J1475" s="52">
        <v>1</v>
      </c>
      <c r="K1475" s="53">
        <f>0</f>
        <v>0</v>
      </c>
      <c r="L1475" s="53">
        <f>0</f>
        <v>0</v>
      </c>
      <c r="M1475" s="53">
        <f>0</f>
        <v>0</v>
      </c>
      <c r="N1475" s="54">
        <f t="shared" si="264"/>
        <v>0</v>
      </c>
      <c r="O1475" s="54">
        <f t="shared" si="265"/>
        <v>0</v>
      </c>
      <c r="P1475" s="54">
        <f t="shared" si="266"/>
        <v>0</v>
      </c>
      <c r="Q1475" s="54">
        <f t="shared" si="267"/>
        <v>0</v>
      </c>
      <c r="R1475" s="54">
        <f t="shared" si="268"/>
        <v>0</v>
      </c>
      <c r="S1475" s="54"/>
      <c r="T1475" s="36"/>
      <c r="XDA1475"/>
      <c r="XDB1475"/>
      <c r="XDC1475"/>
      <c r="XDD1475"/>
      <c r="XDE1475"/>
      <c r="XDF1475"/>
      <c r="XDG1475"/>
      <c r="XDH1475"/>
      <c r="XDI1475"/>
      <c r="XDJ1475"/>
      <c r="XDK1475"/>
      <c r="XDL1475"/>
      <c r="XDM1475"/>
      <c r="XDN1475"/>
      <c r="XDO1475"/>
      <c r="XDP1475"/>
      <c r="XDQ1475"/>
      <c r="XDR1475"/>
      <c r="XDS1475"/>
      <c r="XDT1475"/>
      <c r="XDU1475"/>
      <c r="XDV1475"/>
      <c r="XDW1475"/>
      <c r="XDX1475"/>
      <c r="XDY1475"/>
      <c r="XDZ1475"/>
      <c r="XEA1475"/>
      <c r="XEB1475"/>
      <c r="XEC1475"/>
      <c r="XED1475"/>
      <c r="XEE1475"/>
      <c r="XEF1475"/>
      <c r="XEG1475"/>
      <c r="XEH1475"/>
      <c r="XEI1475"/>
      <c r="XEJ1475"/>
      <c r="XEK1475"/>
      <c r="XEL1475"/>
      <c r="XEM1475"/>
      <c r="XEN1475"/>
      <c r="XEO1475"/>
      <c r="XEP1475"/>
      <c r="XEQ1475"/>
      <c r="XER1475"/>
      <c r="XES1475"/>
      <c r="XET1475"/>
      <c r="XEU1475"/>
      <c r="XEV1475"/>
      <c r="XEW1475"/>
      <c r="XEX1475"/>
      <c r="XEY1475"/>
      <c r="XEZ1475"/>
      <c r="XFA1475"/>
      <c r="XFB1475"/>
      <c r="XFC1475"/>
    </row>
    <row r="1476" spans="1:20 16329:16383" s="38" customFormat="1" ht="29.1" customHeight="1" outlineLevel="6" x14ac:dyDescent="0.25">
      <c r="A1476" s="49" t="s">
        <v>2617</v>
      </c>
      <c r="B1476" s="50"/>
      <c r="C1476" s="50"/>
      <c r="D1476" s="3" t="s">
        <v>1884</v>
      </c>
      <c r="E1476" s="3"/>
      <c r="F1476" s="51"/>
      <c r="G1476" s="50" t="s">
        <v>102</v>
      </c>
      <c r="H1476" s="52">
        <f>1</f>
        <v>1</v>
      </c>
      <c r="I1476" s="36"/>
      <c r="J1476" s="52">
        <v>1</v>
      </c>
      <c r="K1476" s="53">
        <f>0</f>
        <v>0</v>
      </c>
      <c r="L1476" s="53">
        <f>0</f>
        <v>0</v>
      </c>
      <c r="M1476" s="53">
        <f>0</f>
        <v>0</v>
      </c>
      <c r="N1476" s="54">
        <f t="shared" si="264"/>
        <v>0</v>
      </c>
      <c r="O1476" s="54">
        <f t="shared" si="265"/>
        <v>0</v>
      </c>
      <c r="P1476" s="54">
        <f t="shared" si="266"/>
        <v>0</v>
      </c>
      <c r="Q1476" s="54">
        <f t="shared" si="267"/>
        <v>0</v>
      </c>
      <c r="R1476" s="54">
        <f t="shared" si="268"/>
        <v>0</v>
      </c>
      <c r="S1476" s="54"/>
      <c r="T1476" s="36"/>
      <c r="XDA1476"/>
      <c r="XDB1476"/>
      <c r="XDC1476"/>
      <c r="XDD1476"/>
      <c r="XDE1476"/>
      <c r="XDF1476"/>
      <c r="XDG1476"/>
      <c r="XDH1476"/>
      <c r="XDI1476"/>
      <c r="XDJ1476"/>
      <c r="XDK1476"/>
      <c r="XDL1476"/>
      <c r="XDM1476"/>
      <c r="XDN1476"/>
      <c r="XDO1476"/>
      <c r="XDP1476"/>
      <c r="XDQ1476"/>
      <c r="XDR1476"/>
      <c r="XDS1476"/>
      <c r="XDT1476"/>
      <c r="XDU1476"/>
      <c r="XDV1476"/>
      <c r="XDW1476"/>
      <c r="XDX1476"/>
      <c r="XDY1476"/>
      <c r="XDZ1476"/>
      <c r="XEA1476"/>
      <c r="XEB1476"/>
      <c r="XEC1476"/>
      <c r="XED1476"/>
      <c r="XEE1476"/>
      <c r="XEF1476"/>
      <c r="XEG1476"/>
      <c r="XEH1476"/>
      <c r="XEI1476"/>
      <c r="XEJ1476"/>
      <c r="XEK1476"/>
      <c r="XEL1476"/>
      <c r="XEM1476"/>
      <c r="XEN1476"/>
      <c r="XEO1476"/>
      <c r="XEP1476"/>
      <c r="XEQ1476"/>
      <c r="XER1476"/>
      <c r="XES1476"/>
      <c r="XET1476"/>
      <c r="XEU1476"/>
      <c r="XEV1476"/>
      <c r="XEW1476"/>
      <c r="XEX1476"/>
      <c r="XEY1476"/>
      <c r="XEZ1476"/>
      <c r="XFA1476"/>
      <c r="XFB1476"/>
      <c r="XFC1476"/>
    </row>
    <row r="1477" spans="1:20 16329:16383" s="38" customFormat="1" ht="29.1" customHeight="1" outlineLevel="6" x14ac:dyDescent="0.25">
      <c r="A1477" s="49" t="s">
        <v>2618</v>
      </c>
      <c r="B1477" s="50"/>
      <c r="C1477" s="50"/>
      <c r="D1477" s="3" t="s">
        <v>2241</v>
      </c>
      <c r="E1477" s="3"/>
      <c r="F1477" s="51"/>
      <c r="G1477" s="50" t="s">
        <v>102</v>
      </c>
      <c r="H1477" s="52">
        <f>1</f>
        <v>1</v>
      </c>
      <c r="I1477" s="36"/>
      <c r="J1477" s="52">
        <v>1</v>
      </c>
      <c r="K1477" s="53">
        <f>0</f>
        <v>0</v>
      </c>
      <c r="L1477" s="53">
        <f>0</f>
        <v>0</v>
      </c>
      <c r="M1477" s="53">
        <f>0</f>
        <v>0</v>
      </c>
      <c r="N1477" s="54">
        <f t="shared" si="264"/>
        <v>0</v>
      </c>
      <c r="O1477" s="54">
        <f t="shared" si="265"/>
        <v>0</v>
      </c>
      <c r="P1477" s="54">
        <f t="shared" si="266"/>
        <v>0</v>
      </c>
      <c r="Q1477" s="54">
        <f t="shared" si="267"/>
        <v>0</v>
      </c>
      <c r="R1477" s="54">
        <f t="shared" si="268"/>
        <v>0</v>
      </c>
      <c r="S1477" s="54"/>
      <c r="T1477" s="36"/>
      <c r="XDA1477"/>
      <c r="XDB1477"/>
      <c r="XDC1477"/>
      <c r="XDD1477"/>
      <c r="XDE1477"/>
      <c r="XDF1477"/>
      <c r="XDG1477"/>
      <c r="XDH1477"/>
      <c r="XDI1477"/>
      <c r="XDJ1477"/>
      <c r="XDK1477"/>
      <c r="XDL1477"/>
      <c r="XDM1477"/>
      <c r="XDN1477"/>
      <c r="XDO1477"/>
      <c r="XDP1477"/>
      <c r="XDQ1477"/>
      <c r="XDR1477"/>
      <c r="XDS1477"/>
      <c r="XDT1477"/>
      <c r="XDU1477"/>
      <c r="XDV1477"/>
      <c r="XDW1477"/>
      <c r="XDX1477"/>
      <c r="XDY1477"/>
      <c r="XDZ1477"/>
      <c r="XEA1477"/>
      <c r="XEB1477"/>
      <c r="XEC1477"/>
      <c r="XED1477"/>
      <c r="XEE1477"/>
      <c r="XEF1477"/>
      <c r="XEG1477"/>
      <c r="XEH1477"/>
      <c r="XEI1477"/>
      <c r="XEJ1477"/>
      <c r="XEK1477"/>
      <c r="XEL1477"/>
      <c r="XEM1477"/>
      <c r="XEN1477"/>
      <c r="XEO1477"/>
      <c r="XEP1477"/>
      <c r="XEQ1477"/>
      <c r="XER1477"/>
      <c r="XES1477"/>
      <c r="XET1477"/>
      <c r="XEU1477"/>
      <c r="XEV1477"/>
      <c r="XEW1477"/>
      <c r="XEX1477"/>
      <c r="XEY1477"/>
      <c r="XEZ1477"/>
      <c r="XFA1477"/>
      <c r="XFB1477"/>
      <c r="XFC1477"/>
    </row>
    <row r="1478" spans="1:20 16329:16383" s="38" customFormat="1" ht="29.1" customHeight="1" outlineLevel="6" x14ac:dyDescent="0.25">
      <c r="A1478" s="49" t="s">
        <v>2619</v>
      </c>
      <c r="B1478" s="50"/>
      <c r="C1478" s="50"/>
      <c r="D1478" s="3" t="s">
        <v>1886</v>
      </c>
      <c r="E1478" s="3"/>
      <c r="F1478" s="51"/>
      <c r="G1478" s="50" t="s">
        <v>102</v>
      </c>
      <c r="H1478" s="52">
        <f>1</f>
        <v>1</v>
      </c>
      <c r="I1478" s="36"/>
      <c r="J1478" s="52">
        <v>1</v>
      </c>
      <c r="K1478" s="53">
        <f>0</f>
        <v>0</v>
      </c>
      <c r="L1478" s="53">
        <f>0</f>
        <v>0</v>
      </c>
      <c r="M1478" s="53">
        <f>0</f>
        <v>0</v>
      </c>
      <c r="N1478" s="54">
        <f t="shared" si="264"/>
        <v>0</v>
      </c>
      <c r="O1478" s="54">
        <f t="shared" si="265"/>
        <v>0</v>
      </c>
      <c r="P1478" s="54">
        <f t="shared" si="266"/>
        <v>0</v>
      </c>
      <c r="Q1478" s="54">
        <f t="shared" si="267"/>
        <v>0</v>
      </c>
      <c r="R1478" s="54">
        <f t="shared" si="268"/>
        <v>0</v>
      </c>
      <c r="S1478" s="54"/>
      <c r="T1478" s="36"/>
      <c r="XDA1478"/>
      <c r="XDB1478"/>
      <c r="XDC1478"/>
      <c r="XDD1478"/>
      <c r="XDE1478"/>
      <c r="XDF1478"/>
      <c r="XDG1478"/>
      <c r="XDH1478"/>
      <c r="XDI1478"/>
      <c r="XDJ1478"/>
      <c r="XDK1478"/>
      <c r="XDL1478"/>
      <c r="XDM1478"/>
      <c r="XDN1478"/>
      <c r="XDO1478"/>
      <c r="XDP1478"/>
      <c r="XDQ1478"/>
      <c r="XDR1478"/>
      <c r="XDS1478"/>
      <c r="XDT1478"/>
      <c r="XDU1478"/>
      <c r="XDV1478"/>
      <c r="XDW1478"/>
      <c r="XDX1478"/>
      <c r="XDY1478"/>
      <c r="XDZ1478"/>
      <c r="XEA1478"/>
      <c r="XEB1478"/>
      <c r="XEC1478"/>
      <c r="XED1478"/>
      <c r="XEE1478"/>
      <c r="XEF1478"/>
      <c r="XEG1478"/>
      <c r="XEH1478"/>
      <c r="XEI1478"/>
      <c r="XEJ1478"/>
      <c r="XEK1478"/>
      <c r="XEL1478"/>
      <c r="XEM1478"/>
      <c r="XEN1478"/>
      <c r="XEO1478"/>
      <c r="XEP1478"/>
      <c r="XEQ1478"/>
      <c r="XER1478"/>
      <c r="XES1478"/>
      <c r="XET1478"/>
      <c r="XEU1478"/>
      <c r="XEV1478"/>
      <c r="XEW1478"/>
      <c r="XEX1478"/>
      <c r="XEY1478"/>
      <c r="XEZ1478"/>
      <c r="XFA1478"/>
      <c r="XFB1478"/>
      <c r="XFC1478"/>
    </row>
    <row r="1479" spans="1:20 16329:16383" s="38" customFormat="1" ht="29.1" customHeight="1" outlineLevel="6" x14ac:dyDescent="0.25">
      <c r="A1479" s="49" t="s">
        <v>2620</v>
      </c>
      <c r="B1479" s="50"/>
      <c r="C1479" s="50"/>
      <c r="D1479" s="3" t="s">
        <v>2621</v>
      </c>
      <c r="E1479" s="3"/>
      <c r="F1479" s="51"/>
      <c r="G1479" s="50" t="s">
        <v>102</v>
      </c>
      <c r="H1479" s="52">
        <f>1</f>
        <v>1</v>
      </c>
      <c r="I1479" s="36"/>
      <c r="J1479" s="52">
        <v>1</v>
      </c>
      <c r="K1479" s="53">
        <f>0</f>
        <v>0</v>
      </c>
      <c r="L1479" s="53">
        <f>0</f>
        <v>0</v>
      </c>
      <c r="M1479" s="53">
        <f>0</f>
        <v>0</v>
      </c>
      <c r="N1479" s="54">
        <f t="shared" si="264"/>
        <v>0</v>
      </c>
      <c r="O1479" s="54">
        <f t="shared" si="265"/>
        <v>0</v>
      </c>
      <c r="P1479" s="54">
        <f t="shared" si="266"/>
        <v>0</v>
      </c>
      <c r="Q1479" s="54">
        <f t="shared" si="267"/>
        <v>0</v>
      </c>
      <c r="R1479" s="54">
        <f t="shared" si="268"/>
        <v>0</v>
      </c>
      <c r="S1479" s="54"/>
      <c r="T1479" s="36"/>
      <c r="XDA1479"/>
      <c r="XDB1479"/>
      <c r="XDC1479"/>
      <c r="XDD1479"/>
      <c r="XDE1479"/>
      <c r="XDF1479"/>
      <c r="XDG1479"/>
      <c r="XDH1479"/>
      <c r="XDI1479"/>
      <c r="XDJ1479"/>
      <c r="XDK1479"/>
      <c r="XDL1479"/>
      <c r="XDM1479"/>
      <c r="XDN1479"/>
      <c r="XDO1479"/>
      <c r="XDP1479"/>
      <c r="XDQ1479"/>
      <c r="XDR1479"/>
      <c r="XDS1479"/>
      <c r="XDT1479"/>
      <c r="XDU1479"/>
      <c r="XDV1479"/>
      <c r="XDW1479"/>
      <c r="XDX1479"/>
      <c r="XDY1479"/>
      <c r="XDZ1479"/>
      <c r="XEA1479"/>
      <c r="XEB1479"/>
      <c r="XEC1479"/>
      <c r="XED1479"/>
      <c r="XEE1479"/>
      <c r="XEF1479"/>
      <c r="XEG1479"/>
      <c r="XEH1479"/>
      <c r="XEI1479"/>
      <c r="XEJ1479"/>
      <c r="XEK1479"/>
      <c r="XEL1479"/>
      <c r="XEM1479"/>
      <c r="XEN1479"/>
      <c r="XEO1479"/>
      <c r="XEP1479"/>
      <c r="XEQ1479"/>
      <c r="XER1479"/>
      <c r="XES1479"/>
      <c r="XET1479"/>
      <c r="XEU1479"/>
      <c r="XEV1479"/>
      <c r="XEW1479"/>
      <c r="XEX1479"/>
      <c r="XEY1479"/>
      <c r="XEZ1479"/>
      <c r="XFA1479"/>
      <c r="XFB1479"/>
      <c r="XFC1479"/>
    </row>
    <row r="1480" spans="1:20 16329:16383" s="38" customFormat="1" ht="29.1" customHeight="1" outlineLevel="6" x14ac:dyDescent="0.25">
      <c r="A1480" s="49" t="s">
        <v>2622</v>
      </c>
      <c r="B1480" s="50"/>
      <c r="C1480" s="50"/>
      <c r="D1480" s="3" t="s">
        <v>2623</v>
      </c>
      <c r="E1480" s="3"/>
      <c r="F1480" s="51" t="s">
        <v>1960</v>
      </c>
      <c r="G1480" s="50" t="s">
        <v>134</v>
      </c>
      <c r="H1480" s="52">
        <f>1</f>
        <v>1</v>
      </c>
      <c r="I1480" s="36"/>
      <c r="J1480" s="52">
        <v>1</v>
      </c>
      <c r="K1480" s="53">
        <f>0</f>
        <v>0</v>
      </c>
      <c r="L1480" s="53">
        <f>0</f>
        <v>0</v>
      </c>
      <c r="M1480" s="53">
        <f>0</f>
        <v>0</v>
      </c>
      <c r="N1480" s="54">
        <f t="shared" si="264"/>
        <v>0</v>
      </c>
      <c r="O1480" s="54">
        <f t="shared" si="265"/>
        <v>0</v>
      </c>
      <c r="P1480" s="54">
        <f t="shared" si="266"/>
        <v>0</v>
      </c>
      <c r="Q1480" s="54">
        <f t="shared" si="267"/>
        <v>0</v>
      </c>
      <c r="R1480" s="54">
        <f t="shared" si="268"/>
        <v>0</v>
      </c>
      <c r="S1480" s="54"/>
      <c r="T1480" s="36"/>
      <c r="XDA1480"/>
      <c r="XDB1480"/>
      <c r="XDC1480"/>
      <c r="XDD1480"/>
      <c r="XDE1480"/>
      <c r="XDF1480"/>
      <c r="XDG1480"/>
      <c r="XDH1480"/>
      <c r="XDI1480"/>
      <c r="XDJ1480"/>
      <c r="XDK1480"/>
      <c r="XDL1480"/>
      <c r="XDM1480"/>
      <c r="XDN1480"/>
      <c r="XDO1480"/>
      <c r="XDP1480"/>
      <c r="XDQ1480"/>
      <c r="XDR1480"/>
      <c r="XDS1480"/>
      <c r="XDT1480"/>
      <c r="XDU1480"/>
      <c r="XDV1480"/>
      <c r="XDW1480"/>
      <c r="XDX1480"/>
      <c r="XDY1480"/>
      <c r="XDZ1480"/>
      <c r="XEA1480"/>
      <c r="XEB1480"/>
      <c r="XEC1480"/>
      <c r="XED1480"/>
      <c r="XEE1480"/>
      <c r="XEF1480"/>
      <c r="XEG1480"/>
      <c r="XEH1480"/>
      <c r="XEI1480"/>
      <c r="XEJ1480"/>
      <c r="XEK1480"/>
      <c r="XEL1480"/>
      <c r="XEM1480"/>
      <c r="XEN1480"/>
      <c r="XEO1480"/>
      <c r="XEP1480"/>
      <c r="XEQ1480"/>
      <c r="XER1480"/>
      <c r="XES1480"/>
      <c r="XET1480"/>
      <c r="XEU1480"/>
      <c r="XEV1480"/>
      <c r="XEW1480"/>
      <c r="XEX1480"/>
      <c r="XEY1480"/>
      <c r="XEZ1480"/>
      <c r="XFA1480"/>
      <c r="XFB1480"/>
      <c r="XFC1480"/>
    </row>
    <row r="1481" spans="1:20 16329:16383" s="38" customFormat="1" ht="29.1" customHeight="1" outlineLevel="5" x14ac:dyDescent="0.25">
      <c r="A1481" s="65" t="s">
        <v>2624</v>
      </c>
      <c r="B1481" s="66" t="s">
        <v>2625</v>
      </c>
      <c r="C1481" s="66"/>
      <c r="D1481" s="98" t="s">
        <v>1498</v>
      </c>
      <c r="E1481" s="98"/>
      <c r="F1481" s="67"/>
      <c r="G1481" s="66"/>
      <c r="H1481" s="68"/>
      <c r="I1481" s="36"/>
      <c r="J1481" s="68"/>
      <c r="K1481" s="69"/>
      <c r="L1481" s="69"/>
      <c r="M1481" s="69"/>
      <c r="N1481" s="69"/>
      <c r="O1481" s="69">
        <f>SUM(O1482:O1486)</f>
        <v>0</v>
      </c>
      <c r="P1481" s="69">
        <f>SUM(P1482:P1486)</f>
        <v>0</v>
      </c>
      <c r="Q1481" s="69">
        <f>SUM(Q1482:Q1486)</f>
        <v>0</v>
      </c>
      <c r="R1481" s="69">
        <f>SUM(R1482:R1486)</f>
        <v>0</v>
      </c>
      <c r="S1481" s="69"/>
      <c r="T1481" s="36"/>
      <c r="XDA1481"/>
      <c r="XDB1481"/>
      <c r="XDC1481"/>
      <c r="XDD1481"/>
      <c r="XDE1481"/>
      <c r="XDF1481"/>
      <c r="XDG1481"/>
      <c r="XDH1481"/>
      <c r="XDI1481"/>
      <c r="XDJ1481"/>
      <c r="XDK1481"/>
      <c r="XDL1481"/>
      <c r="XDM1481"/>
      <c r="XDN1481"/>
      <c r="XDO1481"/>
      <c r="XDP1481"/>
      <c r="XDQ1481"/>
      <c r="XDR1481"/>
      <c r="XDS1481"/>
      <c r="XDT1481"/>
      <c r="XDU1481"/>
      <c r="XDV1481"/>
      <c r="XDW1481"/>
      <c r="XDX1481"/>
      <c r="XDY1481"/>
      <c r="XDZ1481"/>
      <c r="XEA1481"/>
      <c r="XEB1481"/>
      <c r="XEC1481"/>
      <c r="XED1481"/>
      <c r="XEE1481"/>
      <c r="XEF1481"/>
      <c r="XEG1481"/>
      <c r="XEH1481"/>
      <c r="XEI1481"/>
      <c r="XEJ1481"/>
      <c r="XEK1481"/>
      <c r="XEL1481"/>
      <c r="XEM1481"/>
      <c r="XEN1481"/>
      <c r="XEO1481"/>
      <c r="XEP1481"/>
      <c r="XEQ1481"/>
      <c r="XER1481"/>
      <c r="XES1481"/>
      <c r="XET1481"/>
      <c r="XEU1481"/>
      <c r="XEV1481"/>
      <c r="XEW1481"/>
      <c r="XEX1481"/>
      <c r="XEY1481"/>
      <c r="XEZ1481"/>
      <c r="XFA1481"/>
      <c r="XFB1481"/>
      <c r="XFC1481"/>
    </row>
    <row r="1482" spans="1:20 16329:16383" s="38" customFormat="1" ht="29.1" customHeight="1" outlineLevel="6" x14ac:dyDescent="0.25">
      <c r="A1482" s="49" t="s">
        <v>2626</v>
      </c>
      <c r="B1482" s="50"/>
      <c r="C1482" s="50"/>
      <c r="D1482" s="3" t="s">
        <v>2251</v>
      </c>
      <c r="E1482" s="3"/>
      <c r="F1482" s="51" t="s">
        <v>2252</v>
      </c>
      <c r="G1482" s="50" t="s">
        <v>29</v>
      </c>
      <c r="H1482" s="52">
        <f>1</f>
        <v>1</v>
      </c>
      <c r="I1482" s="36"/>
      <c r="J1482" s="52">
        <v>1</v>
      </c>
      <c r="K1482" s="53">
        <f>0</f>
        <v>0</v>
      </c>
      <c r="L1482" s="53">
        <f>0</f>
        <v>0</v>
      </c>
      <c r="M1482" s="53">
        <f>0</f>
        <v>0</v>
      </c>
      <c r="N1482" s="54">
        <f>SUM(K1482:M1482)</f>
        <v>0</v>
      </c>
      <c r="O1482" s="54">
        <f>ROUND((H1482*K1482),2)</f>
        <v>0</v>
      </c>
      <c r="P1482" s="54">
        <f>ROUND((H1482*L1482),2)</f>
        <v>0</v>
      </c>
      <c r="Q1482" s="54">
        <f>ROUND((H1482*M1482),2)</f>
        <v>0</v>
      </c>
      <c r="R1482" s="54">
        <f>ROUND((H1482*N1482),2)</f>
        <v>0</v>
      </c>
      <c r="S1482" s="54"/>
      <c r="T1482" s="36"/>
      <c r="XDA1482"/>
      <c r="XDB1482"/>
      <c r="XDC1482"/>
      <c r="XDD1482"/>
      <c r="XDE1482"/>
      <c r="XDF1482"/>
      <c r="XDG1482"/>
      <c r="XDH1482"/>
      <c r="XDI1482"/>
      <c r="XDJ1482"/>
      <c r="XDK1482"/>
      <c r="XDL1482"/>
      <c r="XDM1482"/>
      <c r="XDN1482"/>
      <c r="XDO1482"/>
      <c r="XDP1482"/>
      <c r="XDQ1482"/>
      <c r="XDR1482"/>
      <c r="XDS1482"/>
      <c r="XDT1482"/>
      <c r="XDU1482"/>
      <c r="XDV1482"/>
      <c r="XDW1482"/>
      <c r="XDX1482"/>
      <c r="XDY1482"/>
      <c r="XDZ1482"/>
      <c r="XEA1482"/>
      <c r="XEB1482"/>
      <c r="XEC1482"/>
      <c r="XED1482"/>
      <c r="XEE1482"/>
      <c r="XEF1482"/>
      <c r="XEG1482"/>
      <c r="XEH1482"/>
      <c r="XEI1482"/>
      <c r="XEJ1482"/>
      <c r="XEK1482"/>
      <c r="XEL1482"/>
      <c r="XEM1482"/>
      <c r="XEN1482"/>
      <c r="XEO1482"/>
      <c r="XEP1482"/>
      <c r="XEQ1482"/>
      <c r="XER1482"/>
      <c r="XES1482"/>
      <c r="XET1482"/>
      <c r="XEU1482"/>
      <c r="XEV1482"/>
      <c r="XEW1482"/>
      <c r="XEX1482"/>
      <c r="XEY1482"/>
      <c r="XEZ1482"/>
      <c r="XFA1482"/>
      <c r="XFB1482"/>
      <c r="XFC1482"/>
    </row>
    <row r="1483" spans="1:20 16329:16383" s="38" customFormat="1" ht="29.1" customHeight="1" outlineLevel="6" x14ac:dyDescent="0.25">
      <c r="A1483" s="49" t="s">
        <v>2627</v>
      </c>
      <c r="B1483" s="50"/>
      <c r="C1483" s="50"/>
      <c r="D1483" s="3" t="s">
        <v>2260</v>
      </c>
      <c r="E1483" s="3"/>
      <c r="F1483" s="51" t="s">
        <v>2252</v>
      </c>
      <c r="G1483" s="50" t="s">
        <v>29</v>
      </c>
      <c r="H1483" s="52">
        <f>1</f>
        <v>1</v>
      </c>
      <c r="I1483" s="36"/>
      <c r="J1483" s="52">
        <v>1</v>
      </c>
      <c r="K1483" s="53">
        <f>0</f>
        <v>0</v>
      </c>
      <c r="L1483" s="53">
        <f>0</f>
        <v>0</v>
      </c>
      <c r="M1483" s="53">
        <f>0</f>
        <v>0</v>
      </c>
      <c r="N1483" s="54">
        <f>SUM(K1483:M1483)</f>
        <v>0</v>
      </c>
      <c r="O1483" s="54">
        <f>ROUND((H1483*K1483),2)</f>
        <v>0</v>
      </c>
      <c r="P1483" s="54">
        <f>ROUND((H1483*L1483),2)</f>
        <v>0</v>
      </c>
      <c r="Q1483" s="54">
        <f>ROUND((H1483*M1483),2)</f>
        <v>0</v>
      </c>
      <c r="R1483" s="54">
        <f>ROUND((H1483*N1483),2)</f>
        <v>0</v>
      </c>
      <c r="S1483" s="54"/>
      <c r="T1483" s="36"/>
      <c r="XDA1483"/>
      <c r="XDB1483"/>
      <c r="XDC1483"/>
      <c r="XDD1483"/>
      <c r="XDE1483"/>
      <c r="XDF1483"/>
      <c r="XDG1483"/>
      <c r="XDH1483"/>
      <c r="XDI1483"/>
      <c r="XDJ1483"/>
      <c r="XDK1483"/>
      <c r="XDL1483"/>
      <c r="XDM1483"/>
      <c r="XDN1483"/>
      <c r="XDO1483"/>
      <c r="XDP1483"/>
      <c r="XDQ1483"/>
      <c r="XDR1483"/>
      <c r="XDS1483"/>
      <c r="XDT1483"/>
      <c r="XDU1483"/>
      <c r="XDV1483"/>
      <c r="XDW1483"/>
      <c r="XDX1483"/>
      <c r="XDY1483"/>
      <c r="XDZ1483"/>
      <c r="XEA1483"/>
      <c r="XEB1483"/>
      <c r="XEC1483"/>
      <c r="XED1483"/>
      <c r="XEE1483"/>
      <c r="XEF1483"/>
      <c r="XEG1483"/>
      <c r="XEH1483"/>
      <c r="XEI1483"/>
      <c r="XEJ1483"/>
      <c r="XEK1483"/>
      <c r="XEL1483"/>
      <c r="XEM1483"/>
      <c r="XEN1483"/>
      <c r="XEO1483"/>
      <c r="XEP1483"/>
      <c r="XEQ1483"/>
      <c r="XER1483"/>
      <c r="XES1483"/>
      <c r="XET1483"/>
      <c r="XEU1483"/>
      <c r="XEV1483"/>
      <c r="XEW1483"/>
      <c r="XEX1483"/>
      <c r="XEY1483"/>
      <c r="XEZ1483"/>
      <c r="XFA1483"/>
      <c r="XFB1483"/>
      <c r="XFC1483"/>
    </row>
    <row r="1484" spans="1:20 16329:16383" s="38" customFormat="1" ht="29.1" customHeight="1" outlineLevel="6" x14ac:dyDescent="0.25">
      <c r="A1484" s="49" t="s">
        <v>2628</v>
      </c>
      <c r="B1484" s="50"/>
      <c r="C1484" s="50"/>
      <c r="D1484" s="3" t="s">
        <v>2258</v>
      </c>
      <c r="E1484" s="3"/>
      <c r="F1484" s="51" t="s">
        <v>2252</v>
      </c>
      <c r="G1484" s="50" t="s">
        <v>29</v>
      </c>
      <c r="H1484" s="52">
        <f>1</f>
        <v>1</v>
      </c>
      <c r="I1484" s="36"/>
      <c r="J1484" s="52">
        <v>1</v>
      </c>
      <c r="K1484" s="53">
        <f>0</f>
        <v>0</v>
      </c>
      <c r="L1484" s="53">
        <f>0</f>
        <v>0</v>
      </c>
      <c r="M1484" s="53">
        <f>0</f>
        <v>0</v>
      </c>
      <c r="N1484" s="54">
        <f>SUM(K1484:M1484)</f>
        <v>0</v>
      </c>
      <c r="O1484" s="54">
        <f>ROUND((H1484*K1484),2)</f>
        <v>0</v>
      </c>
      <c r="P1484" s="54">
        <f>ROUND((H1484*L1484),2)</f>
        <v>0</v>
      </c>
      <c r="Q1484" s="54">
        <f>ROUND((H1484*M1484),2)</f>
        <v>0</v>
      </c>
      <c r="R1484" s="54">
        <f>ROUND((H1484*N1484),2)</f>
        <v>0</v>
      </c>
      <c r="S1484" s="54"/>
      <c r="T1484" s="36"/>
      <c r="XDA1484"/>
      <c r="XDB1484"/>
      <c r="XDC1484"/>
      <c r="XDD1484"/>
      <c r="XDE1484"/>
      <c r="XDF1484"/>
      <c r="XDG1484"/>
      <c r="XDH1484"/>
      <c r="XDI1484"/>
      <c r="XDJ1484"/>
      <c r="XDK1484"/>
      <c r="XDL1484"/>
      <c r="XDM1484"/>
      <c r="XDN1484"/>
      <c r="XDO1484"/>
      <c r="XDP1484"/>
      <c r="XDQ1484"/>
      <c r="XDR1484"/>
      <c r="XDS1484"/>
      <c r="XDT1484"/>
      <c r="XDU1484"/>
      <c r="XDV1484"/>
      <c r="XDW1484"/>
      <c r="XDX1484"/>
      <c r="XDY1484"/>
      <c r="XDZ1484"/>
      <c r="XEA1484"/>
      <c r="XEB1484"/>
      <c r="XEC1484"/>
      <c r="XED1484"/>
      <c r="XEE1484"/>
      <c r="XEF1484"/>
      <c r="XEG1484"/>
      <c r="XEH1484"/>
      <c r="XEI1484"/>
      <c r="XEJ1484"/>
      <c r="XEK1484"/>
      <c r="XEL1484"/>
      <c r="XEM1484"/>
      <c r="XEN1484"/>
      <c r="XEO1484"/>
      <c r="XEP1484"/>
      <c r="XEQ1484"/>
      <c r="XER1484"/>
      <c r="XES1484"/>
      <c r="XET1484"/>
      <c r="XEU1484"/>
      <c r="XEV1484"/>
      <c r="XEW1484"/>
      <c r="XEX1484"/>
      <c r="XEY1484"/>
      <c r="XEZ1484"/>
      <c r="XFA1484"/>
      <c r="XFB1484"/>
      <c r="XFC1484"/>
    </row>
    <row r="1485" spans="1:20 16329:16383" s="38" customFormat="1" ht="29.1" customHeight="1" outlineLevel="6" x14ac:dyDescent="0.25">
      <c r="A1485" s="49" t="s">
        <v>2629</v>
      </c>
      <c r="B1485" s="50"/>
      <c r="C1485" s="50"/>
      <c r="D1485" s="3" t="s">
        <v>2324</v>
      </c>
      <c r="E1485" s="3"/>
      <c r="F1485" s="51" t="s">
        <v>2252</v>
      </c>
      <c r="G1485" s="50" t="s">
        <v>29</v>
      </c>
      <c r="H1485" s="52">
        <f>1</f>
        <v>1</v>
      </c>
      <c r="I1485" s="36"/>
      <c r="J1485" s="52">
        <v>1</v>
      </c>
      <c r="K1485" s="53">
        <f>0</f>
        <v>0</v>
      </c>
      <c r="L1485" s="53">
        <f>0</f>
        <v>0</v>
      </c>
      <c r="M1485" s="53">
        <f>0</f>
        <v>0</v>
      </c>
      <c r="N1485" s="54">
        <f>SUM(K1485:M1485)</f>
        <v>0</v>
      </c>
      <c r="O1485" s="54">
        <f>ROUND((H1485*K1485),2)</f>
        <v>0</v>
      </c>
      <c r="P1485" s="54">
        <f>ROUND((H1485*L1485),2)</f>
        <v>0</v>
      </c>
      <c r="Q1485" s="54">
        <f>ROUND((H1485*M1485),2)</f>
        <v>0</v>
      </c>
      <c r="R1485" s="54">
        <f>ROUND((H1485*N1485),2)</f>
        <v>0</v>
      </c>
      <c r="S1485" s="54"/>
      <c r="T1485" s="36"/>
      <c r="XDA1485"/>
      <c r="XDB1485"/>
      <c r="XDC1485"/>
      <c r="XDD1485"/>
      <c r="XDE1485"/>
      <c r="XDF1485"/>
      <c r="XDG1485"/>
      <c r="XDH1485"/>
      <c r="XDI1485"/>
      <c r="XDJ1485"/>
      <c r="XDK1485"/>
      <c r="XDL1485"/>
      <c r="XDM1485"/>
      <c r="XDN1485"/>
      <c r="XDO1485"/>
      <c r="XDP1485"/>
      <c r="XDQ1485"/>
      <c r="XDR1485"/>
      <c r="XDS1485"/>
      <c r="XDT1485"/>
      <c r="XDU1485"/>
      <c r="XDV1485"/>
      <c r="XDW1485"/>
      <c r="XDX1485"/>
      <c r="XDY1485"/>
      <c r="XDZ1485"/>
      <c r="XEA1485"/>
      <c r="XEB1485"/>
      <c r="XEC1485"/>
      <c r="XED1485"/>
      <c r="XEE1485"/>
      <c r="XEF1485"/>
      <c r="XEG1485"/>
      <c r="XEH1485"/>
      <c r="XEI1485"/>
      <c r="XEJ1485"/>
      <c r="XEK1485"/>
      <c r="XEL1485"/>
      <c r="XEM1485"/>
      <c r="XEN1485"/>
      <c r="XEO1485"/>
      <c r="XEP1485"/>
      <c r="XEQ1485"/>
      <c r="XER1485"/>
      <c r="XES1485"/>
      <c r="XET1485"/>
      <c r="XEU1485"/>
      <c r="XEV1485"/>
      <c r="XEW1485"/>
      <c r="XEX1485"/>
      <c r="XEY1485"/>
      <c r="XEZ1485"/>
      <c r="XFA1485"/>
      <c r="XFB1485"/>
      <c r="XFC1485"/>
    </row>
    <row r="1486" spans="1:20 16329:16383" s="38" customFormat="1" ht="29.1" customHeight="1" outlineLevel="6" x14ac:dyDescent="0.25">
      <c r="A1486" s="49" t="s">
        <v>2630</v>
      </c>
      <c r="B1486" s="50"/>
      <c r="C1486" s="50"/>
      <c r="D1486" s="3" t="s">
        <v>2326</v>
      </c>
      <c r="E1486" s="3"/>
      <c r="F1486" s="51" t="s">
        <v>2252</v>
      </c>
      <c r="G1486" s="50" t="s">
        <v>29</v>
      </c>
      <c r="H1486" s="52">
        <f>1</f>
        <v>1</v>
      </c>
      <c r="I1486" s="36"/>
      <c r="J1486" s="52">
        <v>1</v>
      </c>
      <c r="K1486" s="53">
        <f>0</f>
        <v>0</v>
      </c>
      <c r="L1486" s="53">
        <f>0</f>
        <v>0</v>
      </c>
      <c r="M1486" s="53">
        <f>0</f>
        <v>0</v>
      </c>
      <c r="N1486" s="54">
        <f>SUM(K1486:M1486)</f>
        <v>0</v>
      </c>
      <c r="O1486" s="54">
        <f>ROUND((H1486*K1486),2)</f>
        <v>0</v>
      </c>
      <c r="P1486" s="54">
        <f>ROUND((H1486*L1486),2)</f>
        <v>0</v>
      </c>
      <c r="Q1486" s="54">
        <f>ROUND((H1486*M1486),2)</f>
        <v>0</v>
      </c>
      <c r="R1486" s="54">
        <f>ROUND((H1486*N1486),2)</f>
        <v>0</v>
      </c>
      <c r="S1486" s="54"/>
      <c r="T1486" s="36"/>
      <c r="XDA1486"/>
      <c r="XDB1486"/>
      <c r="XDC1486"/>
      <c r="XDD1486"/>
      <c r="XDE1486"/>
      <c r="XDF1486"/>
      <c r="XDG1486"/>
      <c r="XDH1486"/>
      <c r="XDI1486"/>
      <c r="XDJ1486"/>
      <c r="XDK1486"/>
      <c r="XDL1486"/>
      <c r="XDM1486"/>
      <c r="XDN1486"/>
      <c r="XDO1486"/>
      <c r="XDP1486"/>
      <c r="XDQ1486"/>
      <c r="XDR1486"/>
      <c r="XDS1486"/>
      <c r="XDT1486"/>
      <c r="XDU1486"/>
      <c r="XDV1486"/>
      <c r="XDW1486"/>
      <c r="XDX1486"/>
      <c r="XDY1486"/>
      <c r="XDZ1486"/>
      <c r="XEA1486"/>
      <c r="XEB1486"/>
      <c r="XEC1486"/>
      <c r="XED1486"/>
      <c r="XEE1486"/>
      <c r="XEF1486"/>
      <c r="XEG1486"/>
      <c r="XEH1486"/>
      <c r="XEI1486"/>
      <c r="XEJ1486"/>
      <c r="XEK1486"/>
      <c r="XEL1486"/>
      <c r="XEM1486"/>
      <c r="XEN1486"/>
      <c r="XEO1486"/>
      <c r="XEP1486"/>
      <c r="XEQ1486"/>
      <c r="XER1486"/>
      <c r="XES1486"/>
      <c r="XET1486"/>
      <c r="XEU1486"/>
      <c r="XEV1486"/>
      <c r="XEW1486"/>
      <c r="XEX1486"/>
      <c r="XEY1486"/>
      <c r="XEZ1486"/>
      <c r="XFA1486"/>
      <c r="XFB1486"/>
      <c r="XFC1486"/>
    </row>
    <row r="1487" spans="1:20 16329:16383" s="38" customFormat="1" ht="29.1" customHeight="1" outlineLevel="4" x14ac:dyDescent="0.25">
      <c r="A1487" s="60" t="s">
        <v>2631</v>
      </c>
      <c r="B1487" s="61" t="s">
        <v>2632</v>
      </c>
      <c r="C1487" s="61" t="s">
        <v>2157</v>
      </c>
      <c r="D1487" s="1" t="s">
        <v>2158</v>
      </c>
      <c r="E1487" s="1"/>
      <c r="F1487" s="62"/>
      <c r="G1487" s="61" t="s">
        <v>102</v>
      </c>
      <c r="H1487" s="63"/>
      <c r="I1487" s="36"/>
      <c r="J1487" s="63"/>
      <c r="K1487" s="64"/>
      <c r="L1487" s="64"/>
      <c r="M1487" s="64"/>
      <c r="N1487" s="64"/>
      <c r="O1487" s="64">
        <f>O1488+O1493+O1497+O1501</f>
        <v>0</v>
      </c>
      <c r="P1487" s="64">
        <f>P1488+P1493+P1497+P1501</f>
        <v>0</v>
      </c>
      <c r="Q1487" s="64">
        <f>Q1488+Q1493+Q1497+Q1501</f>
        <v>0</v>
      </c>
      <c r="R1487" s="64">
        <f>R1488+R1493+R1497+R1501</f>
        <v>0</v>
      </c>
      <c r="S1487" s="64"/>
      <c r="T1487" s="36"/>
      <c r="XDA1487"/>
      <c r="XDB1487"/>
      <c r="XDC1487"/>
      <c r="XDD1487"/>
      <c r="XDE1487"/>
      <c r="XDF1487"/>
      <c r="XDG1487"/>
      <c r="XDH1487"/>
      <c r="XDI1487"/>
      <c r="XDJ1487"/>
      <c r="XDK1487"/>
      <c r="XDL1487"/>
      <c r="XDM1487"/>
      <c r="XDN1487"/>
      <c r="XDO1487"/>
      <c r="XDP1487"/>
      <c r="XDQ1487"/>
      <c r="XDR1487"/>
      <c r="XDS1487"/>
      <c r="XDT1487"/>
      <c r="XDU1487"/>
      <c r="XDV1487"/>
      <c r="XDW1487"/>
      <c r="XDX1487"/>
      <c r="XDY1487"/>
      <c r="XDZ1487"/>
      <c r="XEA1487"/>
      <c r="XEB1487"/>
      <c r="XEC1487"/>
      <c r="XED1487"/>
      <c r="XEE1487"/>
      <c r="XEF1487"/>
      <c r="XEG1487"/>
      <c r="XEH1487"/>
      <c r="XEI1487"/>
      <c r="XEJ1487"/>
      <c r="XEK1487"/>
      <c r="XEL1487"/>
      <c r="XEM1487"/>
      <c r="XEN1487"/>
      <c r="XEO1487"/>
      <c r="XEP1487"/>
      <c r="XEQ1487"/>
      <c r="XER1487"/>
      <c r="XES1487"/>
      <c r="XET1487"/>
      <c r="XEU1487"/>
      <c r="XEV1487"/>
      <c r="XEW1487"/>
      <c r="XEX1487"/>
      <c r="XEY1487"/>
      <c r="XEZ1487"/>
      <c r="XFA1487"/>
      <c r="XFB1487"/>
      <c r="XFC1487"/>
    </row>
    <row r="1488" spans="1:20 16329:16383" s="38" customFormat="1" ht="29.1" customHeight="1" outlineLevel="5" x14ac:dyDescent="0.25">
      <c r="A1488" s="65" t="s">
        <v>2633</v>
      </c>
      <c r="B1488" s="66" t="s">
        <v>2634</v>
      </c>
      <c r="C1488" s="66"/>
      <c r="D1488" s="98" t="s">
        <v>1873</v>
      </c>
      <c r="E1488" s="98"/>
      <c r="F1488" s="67"/>
      <c r="G1488" s="66"/>
      <c r="H1488" s="68"/>
      <c r="I1488" s="36"/>
      <c r="J1488" s="68"/>
      <c r="K1488" s="69"/>
      <c r="L1488" s="69"/>
      <c r="M1488" s="69"/>
      <c r="N1488" s="69"/>
      <c r="O1488" s="69">
        <f>SUM(O1489:O1492)</f>
        <v>0</v>
      </c>
      <c r="P1488" s="69">
        <f>SUM(P1489:P1492)</f>
        <v>0</v>
      </c>
      <c r="Q1488" s="69">
        <f>SUM(Q1489:Q1492)</f>
        <v>0</v>
      </c>
      <c r="R1488" s="69">
        <f>SUM(R1489:R1492)</f>
        <v>0</v>
      </c>
      <c r="S1488" s="69"/>
      <c r="T1488" s="36"/>
      <c r="XDA1488"/>
      <c r="XDB1488"/>
      <c r="XDC1488"/>
      <c r="XDD1488"/>
      <c r="XDE1488"/>
      <c r="XDF1488"/>
      <c r="XDG1488"/>
      <c r="XDH1488"/>
      <c r="XDI1488"/>
      <c r="XDJ1488"/>
      <c r="XDK1488"/>
      <c r="XDL1488"/>
      <c r="XDM1488"/>
      <c r="XDN1488"/>
      <c r="XDO1488"/>
      <c r="XDP1488"/>
      <c r="XDQ1488"/>
      <c r="XDR1488"/>
      <c r="XDS1488"/>
      <c r="XDT1488"/>
      <c r="XDU1488"/>
      <c r="XDV1488"/>
      <c r="XDW1488"/>
      <c r="XDX1488"/>
      <c r="XDY1488"/>
      <c r="XDZ1488"/>
      <c r="XEA1488"/>
      <c r="XEB1488"/>
      <c r="XEC1488"/>
      <c r="XED1488"/>
      <c r="XEE1488"/>
      <c r="XEF1488"/>
      <c r="XEG1488"/>
      <c r="XEH1488"/>
      <c r="XEI1488"/>
      <c r="XEJ1488"/>
      <c r="XEK1488"/>
      <c r="XEL1488"/>
      <c r="XEM1488"/>
      <c r="XEN1488"/>
      <c r="XEO1488"/>
      <c r="XEP1488"/>
      <c r="XEQ1488"/>
      <c r="XER1488"/>
      <c r="XES1488"/>
      <c r="XET1488"/>
      <c r="XEU1488"/>
      <c r="XEV1488"/>
      <c r="XEW1488"/>
      <c r="XEX1488"/>
      <c r="XEY1488"/>
      <c r="XEZ1488"/>
      <c r="XFA1488"/>
      <c r="XFB1488"/>
      <c r="XFC1488"/>
    </row>
    <row r="1489" spans="1:20 16329:16383" s="38" customFormat="1" ht="29.1" customHeight="1" outlineLevel="6" x14ac:dyDescent="0.25">
      <c r="A1489" s="49" t="s">
        <v>2635</v>
      </c>
      <c r="B1489" s="50"/>
      <c r="C1489" s="50"/>
      <c r="D1489" s="3" t="s">
        <v>1968</v>
      </c>
      <c r="E1489" s="3"/>
      <c r="F1489" s="51"/>
      <c r="G1489" s="50" t="s">
        <v>102</v>
      </c>
      <c r="H1489" s="52">
        <f>1</f>
        <v>1</v>
      </c>
      <c r="I1489" s="36"/>
      <c r="J1489" s="52">
        <v>1</v>
      </c>
      <c r="K1489" s="53">
        <f>0</f>
        <v>0</v>
      </c>
      <c r="L1489" s="53">
        <f>0</f>
        <v>0</v>
      </c>
      <c r="M1489" s="53">
        <f>0</f>
        <v>0</v>
      </c>
      <c r="N1489" s="54">
        <f>SUM(K1489:M1489)</f>
        <v>0</v>
      </c>
      <c r="O1489" s="54">
        <f>ROUND((H1489*K1489),2)</f>
        <v>0</v>
      </c>
      <c r="P1489" s="54">
        <f>ROUND((H1489*L1489),2)</f>
        <v>0</v>
      </c>
      <c r="Q1489" s="54">
        <f>ROUND((H1489*M1489),2)</f>
        <v>0</v>
      </c>
      <c r="R1489" s="54">
        <f>ROUND((H1489*N1489),2)</f>
        <v>0</v>
      </c>
      <c r="S1489" s="54"/>
      <c r="T1489" s="36"/>
      <c r="XDA1489"/>
      <c r="XDB1489"/>
      <c r="XDC1489"/>
      <c r="XDD1489"/>
      <c r="XDE1489"/>
      <c r="XDF1489"/>
      <c r="XDG1489"/>
      <c r="XDH1489"/>
      <c r="XDI1489"/>
      <c r="XDJ1489"/>
      <c r="XDK1489"/>
      <c r="XDL1489"/>
      <c r="XDM1489"/>
      <c r="XDN1489"/>
      <c r="XDO1489"/>
      <c r="XDP1489"/>
      <c r="XDQ1489"/>
      <c r="XDR1489"/>
      <c r="XDS1489"/>
      <c r="XDT1489"/>
      <c r="XDU1489"/>
      <c r="XDV1489"/>
      <c r="XDW1489"/>
      <c r="XDX1489"/>
      <c r="XDY1489"/>
      <c r="XDZ1489"/>
      <c r="XEA1489"/>
      <c r="XEB1489"/>
      <c r="XEC1489"/>
      <c r="XED1489"/>
      <c r="XEE1489"/>
      <c r="XEF1489"/>
      <c r="XEG1489"/>
      <c r="XEH1489"/>
      <c r="XEI1489"/>
      <c r="XEJ1489"/>
      <c r="XEK1489"/>
      <c r="XEL1489"/>
      <c r="XEM1489"/>
      <c r="XEN1489"/>
      <c r="XEO1489"/>
      <c r="XEP1489"/>
      <c r="XEQ1489"/>
      <c r="XER1489"/>
      <c r="XES1489"/>
      <c r="XET1489"/>
      <c r="XEU1489"/>
      <c r="XEV1489"/>
      <c r="XEW1489"/>
      <c r="XEX1489"/>
      <c r="XEY1489"/>
      <c r="XEZ1489"/>
      <c r="XFA1489"/>
      <c r="XFB1489"/>
      <c r="XFC1489"/>
    </row>
    <row r="1490" spans="1:20 16329:16383" s="38" customFormat="1" ht="29.1" customHeight="1" outlineLevel="6" x14ac:dyDescent="0.25">
      <c r="A1490" s="49" t="s">
        <v>2636</v>
      </c>
      <c r="B1490" s="50"/>
      <c r="C1490" s="50"/>
      <c r="D1490" s="3" t="s">
        <v>1970</v>
      </c>
      <c r="E1490" s="3"/>
      <c r="F1490" s="51"/>
      <c r="G1490" s="50" t="s">
        <v>102</v>
      </c>
      <c r="H1490" s="52">
        <f>1</f>
        <v>1</v>
      </c>
      <c r="I1490" s="36"/>
      <c r="J1490" s="52">
        <v>1</v>
      </c>
      <c r="K1490" s="53">
        <f>0</f>
        <v>0</v>
      </c>
      <c r="L1490" s="53">
        <f>0</f>
        <v>0</v>
      </c>
      <c r="M1490" s="53">
        <f>0</f>
        <v>0</v>
      </c>
      <c r="N1490" s="54">
        <f>SUM(K1490:M1490)</f>
        <v>0</v>
      </c>
      <c r="O1490" s="54">
        <f>ROUND((H1490*K1490),2)</f>
        <v>0</v>
      </c>
      <c r="P1490" s="54">
        <f>ROUND((H1490*L1490),2)</f>
        <v>0</v>
      </c>
      <c r="Q1490" s="54">
        <f>ROUND((H1490*M1490),2)</f>
        <v>0</v>
      </c>
      <c r="R1490" s="54">
        <f>ROUND((H1490*N1490),2)</f>
        <v>0</v>
      </c>
      <c r="S1490" s="54"/>
      <c r="T1490" s="36"/>
      <c r="XDA1490"/>
      <c r="XDB1490"/>
      <c r="XDC1490"/>
      <c r="XDD1490"/>
      <c r="XDE1490"/>
      <c r="XDF1490"/>
      <c r="XDG1490"/>
      <c r="XDH1490"/>
      <c r="XDI1490"/>
      <c r="XDJ1490"/>
      <c r="XDK1490"/>
      <c r="XDL1490"/>
      <c r="XDM1490"/>
      <c r="XDN1490"/>
      <c r="XDO1490"/>
      <c r="XDP1490"/>
      <c r="XDQ1490"/>
      <c r="XDR1490"/>
      <c r="XDS1490"/>
      <c r="XDT1490"/>
      <c r="XDU1490"/>
      <c r="XDV1490"/>
      <c r="XDW1490"/>
      <c r="XDX1490"/>
      <c r="XDY1490"/>
      <c r="XDZ1490"/>
      <c r="XEA1490"/>
      <c r="XEB1490"/>
      <c r="XEC1490"/>
      <c r="XED1490"/>
      <c r="XEE1490"/>
      <c r="XEF1490"/>
      <c r="XEG1490"/>
      <c r="XEH1490"/>
      <c r="XEI1490"/>
      <c r="XEJ1490"/>
      <c r="XEK1490"/>
      <c r="XEL1490"/>
      <c r="XEM1490"/>
      <c r="XEN1490"/>
      <c r="XEO1490"/>
      <c r="XEP1490"/>
      <c r="XEQ1490"/>
      <c r="XER1490"/>
      <c r="XES1490"/>
      <c r="XET1490"/>
      <c r="XEU1490"/>
      <c r="XEV1490"/>
      <c r="XEW1490"/>
      <c r="XEX1490"/>
      <c r="XEY1490"/>
      <c r="XEZ1490"/>
      <c r="XFA1490"/>
      <c r="XFB1490"/>
      <c r="XFC1490"/>
    </row>
    <row r="1491" spans="1:20 16329:16383" s="38" customFormat="1" ht="29.1" customHeight="1" outlineLevel="6" x14ac:dyDescent="0.25">
      <c r="A1491" s="49" t="s">
        <v>2637</v>
      </c>
      <c r="B1491" s="50"/>
      <c r="C1491" s="50"/>
      <c r="D1491" s="3" t="s">
        <v>1972</v>
      </c>
      <c r="E1491" s="3"/>
      <c r="F1491" s="51"/>
      <c r="G1491" s="50" t="s">
        <v>102</v>
      </c>
      <c r="H1491" s="52">
        <f>1</f>
        <v>1</v>
      </c>
      <c r="I1491" s="36"/>
      <c r="J1491" s="52">
        <v>1</v>
      </c>
      <c r="K1491" s="53">
        <f>0</f>
        <v>0</v>
      </c>
      <c r="L1491" s="53">
        <f>0</f>
        <v>0</v>
      </c>
      <c r="M1491" s="53">
        <f>0</f>
        <v>0</v>
      </c>
      <c r="N1491" s="54">
        <f>SUM(K1491:M1491)</f>
        <v>0</v>
      </c>
      <c r="O1491" s="54">
        <f>ROUND((H1491*K1491),2)</f>
        <v>0</v>
      </c>
      <c r="P1491" s="54">
        <f>ROUND((H1491*L1491),2)</f>
        <v>0</v>
      </c>
      <c r="Q1491" s="54">
        <f>ROUND((H1491*M1491),2)</f>
        <v>0</v>
      </c>
      <c r="R1491" s="54">
        <f>ROUND((H1491*N1491),2)</f>
        <v>0</v>
      </c>
      <c r="S1491" s="54"/>
      <c r="T1491" s="36"/>
      <c r="XDA1491"/>
      <c r="XDB1491"/>
      <c r="XDC1491"/>
      <c r="XDD1491"/>
      <c r="XDE1491"/>
      <c r="XDF1491"/>
      <c r="XDG1491"/>
      <c r="XDH1491"/>
      <c r="XDI1491"/>
      <c r="XDJ1491"/>
      <c r="XDK1491"/>
      <c r="XDL1491"/>
      <c r="XDM1491"/>
      <c r="XDN1491"/>
      <c r="XDO1491"/>
      <c r="XDP1491"/>
      <c r="XDQ1491"/>
      <c r="XDR1491"/>
      <c r="XDS1491"/>
      <c r="XDT1491"/>
      <c r="XDU1491"/>
      <c r="XDV1491"/>
      <c r="XDW1491"/>
      <c r="XDX1491"/>
      <c r="XDY1491"/>
      <c r="XDZ1491"/>
      <c r="XEA1491"/>
      <c r="XEB1491"/>
      <c r="XEC1491"/>
      <c r="XED1491"/>
      <c r="XEE1491"/>
      <c r="XEF1491"/>
      <c r="XEG1491"/>
      <c r="XEH1491"/>
      <c r="XEI1491"/>
      <c r="XEJ1491"/>
      <c r="XEK1491"/>
      <c r="XEL1491"/>
      <c r="XEM1491"/>
      <c r="XEN1491"/>
      <c r="XEO1491"/>
      <c r="XEP1491"/>
      <c r="XEQ1491"/>
      <c r="XER1491"/>
      <c r="XES1491"/>
      <c r="XET1491"/>
      <c r="XEU1491"/>
      <c r="XEV1491"/>
      <c r="XEW1491"/>
      <c r="XEX1491"/>
      <c r="XEY1491"/>
      <c r="XEZ1491"/>
      <c r="XFA1491"/>
      <c r="XFB1491"/>
      <c r="XFC1491"/>
    </row>
    <row r="1492" spans="1:20 16329:16383" s="38" customFormat="1" ht="29.1" customHeight="1" outlineLevel="6" x14ac:dyDescent="0.25">
      <c r="A1492" s="49" t="s">
        <v>2638</v>
      </c>
      <c r="B1492" s="50"/>
      <c r="C1492" s="50"/>
      <c r="D1492" s="3" t="s">
        <v>1937</v>
      </c>
      <c r="E1492" s="3"/>
      <c r="F1492" s="51"/>
      <c r="G1492" s="50" t="s">
        <v>194</v>
      </c>
      <c r="H1492" s="52">
        <f>1</f>
        <v>1</v>
      </c>
      <c r="I1492" s="36"/>
      <c r="J1492" s="52">
        <v>1</v>
      </c>
      <c r="K1492" s="53">
        <f>0</f>
        <v>0</v>
      </c>
      <c r="L1492" s="53">
        <f>0</f>
        <v>0</v>
      </c>
      <c r="M1492" s="53">
        <f>0</f>
        <v>0</v>
      </c>
      <c r="N1492" s="54">
        <f>SUM(K1492:M1492)</f>
        <v>0</v>
      </c>
      <c r="O1492" s="54">
        <f>ROUND((H1492*K1492),2)</f>
        <v>0</v>
      </c>
      <c r="P1492" s="54">
        <f>ROUND((H1492*L1492),2)</f>
        <v>0</v>
      </c>
      <c r="Q1492" s="54">
        <f>ROUND((H1492*M1492),2)</f>
        <v>0</v>
      </c>
      <c r="R1492" s="54">
        <f>ROUND((H1492*N1492),2)</f>
        <v>0</v>
      </c>
      <c r="S1492" s="54"/>
      <c r="T1492" s="36"/>
      <c r="XDA1492"/>
      <c r="XDB1492"/>
      <c r="XDC1492"/>
      <c r="XDD1492"/>
      <c r="XDE1492"/>
      <c r="XDF1492"/>
      <c r="XDG1492"/>
      <c r="XDH1492"/>
      <c r="XDI1492"/>
      <c r="XDJ1492"/>
      <c r="XDK1492"/>
      <c r="XDL1492"/>
      <c r="XDM1492"/>
      <c r="XDN1492"/>
      <c r="XDO1492"/>
      <c r="XDP1492"/>
      <c r="XDQ1492"/>
      <c r="XDR1492"/>
      <c r="XDS1492"/>
      <c r="XDT1492"/>
      <c r="XDU1492"/>
      <c r="XDV1492"/>
      <c r="XDW1492"/>
      <c r="XDX1492"/>
      <c r="XDY1492"/>
      <c r="XDZ1492"/>
      <c r="XEA1492"/>
      <c r="XEB1492"/>
      <c r="XEC1492"/>
      <c r="XED1492"/>
      <c r="XEE1492"/>
      <c r="XEF1492"/>
      <c r="XEG1492"/>
      <c r="XEH1492"/>
      <c r="XEI1492"/>
      <c r="XEJ1492"/>
      <c r="XEK1492"/>
      <c r="XEL1492"/>
      <c r="XEM1492"/>
      <c r="XEN1492"/>
      <c r="XEO1492"/>
      <c r="XEP1492"/>
      <c r="XEQ1492"/>
      <c r="XER1492"/>
      <c r="XES1492"/>
      <c r="XET1492"/>
      <c r="XEU1492"/>
      <c r="XEV1492"/>
      <c r="XEW1492"/>
      <c r="XEX1492"/>
      <c r="XEY1492"/>
      <c r="XEZ1492"/>
      <c r="XFA1492"/>
      <c r="XFB1492"/>
      <c r="XFC1492"/>
    </row>
    <row r="1493" spans="1:20 16329:16383" s="38" customFormat="1" ht="29.1" customHeight="1" outlineLevel="5" x14ac:dyDescent="0.25">
      <c r="A1493" s="65" t="s">
        <v>2639</v>
      </c>
      <c r="B1493" s="66" t="s">
        <v>2640</v>
      </c>
      <c r="C1493" s="66"/>
      <c r="D1493" s="98" t="s">
        <v>344</v>
      </c>
      <c r="E1493" s="98"/>
      <c r="F1493" s="67"/>
      <c r="G1493" s="66"/>
      <c r="H1493" s="68"/>
      <c r="I1493" s="36"/>
      <c r="J1493" s="68"/>
      <c r="K1493" s="69"/>
      <c r="L1493" s="69"/>
      <c r="M1493" s="69"/>
      <c r="N1493" s="69"/>
      <c r="O1493" s="69">
        <f>SUM(O1494:O1496)</f>
        <v>0</v>
      </c>
      <c r="P1493" s="69">
        <f>SUM(P1494:P1496)</f>
        <v>0</v>
      </c>
      <c r="Q1493" s="69">
        <f>SUM(Q1494:Q1496)</f>
        <v>0</v>
      </c>
      <c r="R1493" s="69">
        <f>SUM(R1494:R1496)</f>
        <v>0</v>
      </c>
      <c r="S1493" s="69"/>
      <c r="T1493" s="36"/>
      <c r="XDA1493"/>
      <c r="XDB1493"/>
      <c r="XDC1493"/>
      <c r="XDD1493"/>
      <c r="XDE1493"/>
      <c r="XDF1493"/>
      <c r="XDG1493"/>
      <c r="XDH1493"/>
      <c r="XDI1493"/>
      <c r="XDJ1493"/>
      <c r="XDK1493"/>
      <c r="XDL1493"/>
      <c r="XDM1493"/>
      <c r="XDN1493"/>
      <c r="XDO1493"/>
      <c r="XDP1493"/>
      <c r="XDQ1493"/>
      <c r="XDR1493"/>
      <c r="XDS1493"/>
      <c r="XDT1493"/>
      <c r="XDU1493"/>
      <c r="XDV1493"/>
      <c r="XDW1493"/>
      <c r="XDX1493"/>
      <c r="XDY1493"/>
      <c r="XDZ1493"/>
      <c r="XEA1493"/>
      <c r="XEB1493"/>
      <c r="XEC1493"/>
      <c r="XED1493"/>
      <c r="XEE1493"/>
      <c r="XEF1493"/>
      <c r="XEG1493"/>
      <c r="XEH1493"/>
      <c r="XEI1493"/>
      <c r="XEJ1493"/>
      <c r="XEK1493"/>
      <c r="XEL1493"/>
      <c r="XEM1493"/>
      <c r="XEN1493"/>
      <c r="XEO1493"/>
      <c r="XEP1493"/>
      <c r="XEQ1493"/>
      <c r="XER1493"/>
      <c r="XES1493"/>
      <c r="XET1493"/>
      <c r="XEU1493"/>
      <c r="XEV1493"/>
      <c r="XEW1493"/>
      <c r="XEX1493"/>
      <c r="XEY1493"/>
      <c r="XEZ1493"/>
      <c r="XFA1493"/>
      <c r="XFB1493"/>
      <c r="XFC1493"/>
    </row>
    <row r="1494" spans="1:20 16329:16383" s="38" customFormat="1" ht="29.1" customHeight="1" outlineLevel="6" x14ac:dyDescent="0.25">
      <c r="A1494" s="49" t="s">
        <v>2641</v>
      </c>
      <c r="B1494" s="50"/>
      <c r="C1494" s="50"/>
      <c r="D1494" s="3" t="s">
        <v>1884</v>
      </c>
      <c r="E1494" s="3"/>
      <c r="F1494" s="51"/>
      <c r="G1494" s="50" t="s">
        <v>102</v>
      </c>
      <c r="H1494" s="52">
        <f>1</f>
        <v>1</v>
      </c>
      <c r="I1494" s="36"/>
      <c r="J1494" s="52">
        <v>1</v>
      </c>
      <c r="K1494" s="53">
        <f>0</f>
        <v>0</v>
      </c>
      <c r="L1494" s="53">
        <f>0</f>
        <v>0</v>
      </c>
      <c r="M1494" s="53">
        <f>0</f>
        <v>0</v>
      </c>
      <c r="N1494" s="54">
        <f>SUM(K1494:M1494)</f>
        <v>0</v>
      </c>
      <c r="O1494" s="54">
        <f>ROUND((H1494*K1494),2)</f>
        <v>0</v>
      </c>
      <c r="P1494" s="54">
        <f>ROUND((H1494*L1494),2)</f>
        <v>0</v>
      </c>
      <c r="Q1494" s="54">
        <f>ROUND((H1494*M1494),2)</f>
        <v>0</v>
      </c>
      <c r="R1494" s="54">
        <f>ROUND((H1494*N1494),2)</f>
        <v>0</v>
      </c>
      <c r="S1494" s="54"/>
      <c r="T1494" s="36"/>
      <c r="XDA1494"/>
      <c r="XDB1494"/>
      <c r="XDC1494"/>
      <c r="XDD1494"/>
      <c r="XDE1494"/>
      <c r="XDF1494"/>
      <c r="XDG1494"/>
      <c r="XDH1494"/>
      <c r="XDI1494"/>
      <c r="XDJ1494"/>
      <c r="XDK1494"/>
      <c r="XDL1494"/>
      <c r="XDM1494"/>
      <c r="XDN1494"/>
      <c r="XDO1494"/>
      <c r="XDP1494"/>
      <c r="XDQ1494"/>
      <c r="XDR1494"/>
      <c r="XDS1494"/>
      <c r="XDT1494"/>
      <c r="XDU1494"/>
      <c r="XDV1494"/>
      <c r="XDW1494"/>
      <c r="XDX1494"/>
      <c r="XDY1494"/>
      <c r="XDZ1494"/>
      <c r="XEA1494"/>
      <c r="XEB1494"/>
      <c r="XEC1494"/>
      <c r="XED1494"/>
      <c r="XEE1494"/>
      <c r="XEF1494"/>
      <c r="XEG1494"/>
      <c r="XEH1494"/>
      <c r="XEI1494"/>
      <c r="XEJ1494"/>
      <c r="XEK1494"/>
      <c r="XEL1494"/>
      <c r="XEM1494"/>
      <c r="XEN1494"/>
      <c r="XEO1494"/>
      <c r="XEP1494"/>
      <c r="XEQ1494"/>
      <c r="XER1494"/>
      <c r="XES1494"/>
      <c r="XET1494"/>
      <c r="XEU1494"/>
      <c r="XEV1494"/>
      <c r="XEW1494"/>
      <c r="XEX1494"/>
      <c r="XEY1494"/>
      <c r="XEZ1494"/>
      <c r="XFA1494"/>
      <c r="XFB1494"/>
      <c r="XFC1494"/>
    </row>
    <row r="1495" spans="1:20 16329:16383" s="38" customFormat="1" ht="29.1" customHeight="1" outlineLevel="6" x14ac:dyDescent="0.25">
      <c r="A1495" s="49" t="s">
        <v>2642</v>
      </c>
      <c r="B1495" s="50"/>
      <c r="C1495" s="50"/>
      <c r="D1495" s="3" t="s">
        <v>1955</v>
      </c>
      <c r="E1495" s="3"/>
      <c r="F1495" s="51"/>
      <c r="G1495" s="50" t="s">
        <v>102</v>
      </c>
      <c r="H1495" s="52">
        <f>1</f>
        <v>1</v>
      </c>
      <c r="I1495" s="36"/>
      <c r="J1495" s="52">
        <v>1</v>
      </c>
      <c r="K1495" s="53">
        <f>0</f>
        <v>0</v>
      </c>
      <c r="L1495" s="53">
        <f>0</f>
        <v>0</v>
      </c>
      <c r="M1495" s="53">
        <f>0</f>
        <v>0</v>
      </c>
      <c r="N1495" s="54">
        <f>SUM(K1495:M1495)</f>
        <v>0</v>
      </c>
      <c r="O1495" s="54">
        <f>ROUND((H1495*K1495),2)</f>
        <v>0</v>
      </c>
      <c r="P1495" s="54">
        <f>ROUND((H1495*L1495),2)</f>
        <v>0</v>
      </c>
      <c r="Q1495" s="54">
        <f>ROUND((H1495*M1495),2)</f>
        <v>0</v>
      </c>
      <c r="R1495" s="54">
        <f>ROUND((H1495*N1495),2)</f>
        <v>0</v>
      </c>
      <c r="S1495" s="54"/>
      <c r="T1495" s="36"/>
      <c r="XDA1495"/>
      <c r="XDB1495"/>
      <c r="XDC1495"/>
      <c r="XDD1495"/>
      <c r="XDE1495"/>
      <c r="XDF1495"/>
      <c r="XDG1495"/>
      <c r="XDH1495"/>
      <c r="XDI1495"/>
      <c r="XDJ1495"/>
      <c r="XDK1495"/>
      <c r="XDL1495"/>
      <c r="XDM1495"/>
      <c r="XDN1495"/>
      <c r="XDO1495"/>
      <c r="XDP1495"/>
      <c r="XDQ1495"/>
      <c r="XDR1495"/>
      <c r="XDS1495"/>
      <c r="XDT1495"/>
      <c r="XDU1495"/>
      <c r="XDV1495"/>
      <c r="XDW1495"/>
      <c r="XDX1495"/>
      <c r="XDY1495"/>
      <c r="XDZ1495"/>
      <c r="XEA1495"/>
      <c r="XEB1495"/>
      <c r="XEC1495"/>
      <c r="XED1495"/>
      <c r="XEE1495"/>
      <c r="XEF1495"/>
      <c r="XEG1495"/>
      <c r="XEH1495"/>
      <c r="XEI1495"/>
      <c r="XEJ1495"/>
      <c r="XEK1495"/>
      <c r="XEL1495"/>
      <c r="XEM1495"/>
      <c r="XEN1495"/>
      <c r="XEO1495"/>
      <c r="XEP1495"/>
      <c r="XEQ1495"/>
      <c r="XER1495"/>
      <c r="XES1495"/>
      <c r="XET1495"/>
      <c r="XEU1495"/>
      <c r="XEV1495"/>
      <c r="XEW1495"/>
      <c r="XEX1495"/>
      <c r="XEY1495"/>
      <c r="XEZ1495"/>
      <c r="XFA1495"/>
      <c r="XFB1495"/>
      <c r="XFC1495"/>
    </row>
    <row r="1496" spans="1:20 16329:16383" s="38" customFormat="1" ht="29.1" customHeight="1" outlineLevel="6" x14ac:dyDescent="0.25">
      <c r="A1496" s="49" t="s">
        <v>2643</v>
      </c>
      <c r="B1496" s="50"/>
      <c r="C1496" s="50"/>
      <c r="D1496" s="3" t="s">
        <v>1957</v>
      </c>
      <c r="E1496" s="3"/>
      <c r="F1496" s="51"/>
      <c r="G1496" s="50" t="s">
        <v>102</v>
      </c>
      <c r="H1496" s="52">
        <f>1</f>
        <v>1</v>
      </c>
      <c r="I1496" s="36"/>
      <c r="J1496" s="52">
        <v>1</v>
      </c>
      <c r="K1496" s="53">
        <f>0</f>
        <v>0</v>
      </c>
      <c r="L1496" s="53">
        <f>0</f>
        <v>0</v>
      </c>
      <c r="M1496" s="53">
        <f>0</f>
        <v>0</v>
      </c>
      <c r="N1496" s="54">
        <f>SUM(K1496:M1496)</f>
        <v>0</v>
      </c>
      <c r="O1496" s="54">
        <f>ROUND((H1496*K1496),2)</f>
        <v>0</v>
      </c>
      <c r="P1496" s="54">
        <f>ROUND((H1496*L1496),2)</f>
        <v>0</v>
      </c>
      <c r="Q1496" s="54">
        <f>ROUND((H1496*M1496),2)</f>
        <v>0</v>
      </c>
      <c r="R1496" s="54">
        <f>ROUND((H1496*N1496),2)</f>
        <v>0</v>
      </c>
      <c r="S1496" s="54"/>
      <c r="T1496" s="36"/>
      <c r="XDA1496"/>
      <c r="XDB1496"/>
      <c r="XDC1496"/>
      <c r="XDD1496"/>
      <c r="XDE1496"/>
      <c r="XDF1496"/>
      <c r="XDG1496"/>
      <c r="XDH1496"/>
      <c r="XDI1496"/>
      <c r="XDJ1496"/>
      <c r="XDK1496"/>
      <c r="XDL1496"/>
      <c r="XDM1496"/>
      <c r="XDN1496"/>
      <c r="XDO1496"/>
      <c r="XDP1496"/>
      <c r="XDQ1496"/>
      <c r="XDR1496"/>
      <c r="XDS1496"/>
      <c r="XDT1496"/>
      <c r="XDU1496"/>
      <c r="XDV1496"/>
      <c r="XDW1496"/>
      <c r="XDX1496"/>
      <c r="XDY1496"/>
      <c r="XDZ1496"/>
      <c r="XEA1496"/>
      <c r="XEB1496"/>
      <c r="XEC1496"/>
      <c r="XED1496"/>
      <c r="XEE1496"/>
      <c r="XEF1496"/>
      <c r="XEG1496"/>
      <c r="XEH1496"/>
      <c r="XEI1496"/>
      <c r="XEJ1496"/>
      <c r="XEK1496"/>
      <c r="XEL1496"/>
      <c r="XEM1496"/>
      <c r="XEN1496"/>
      <c r="XEO1496"/>
      <c r="XEP1496"/>
      <c r="XEQ1496"/>
      <c r="XER1496"/>
      <c r="XES1496"/>
      <c r="XET1496"/>
      <c r="XEU1496"/>
      <c r="XEV1496"/>
      <c r="XEW1496"/>
      <c r="XEX1496"/>
      <c r="XEY1496"/>
      <c r="XEZ1496"/>
      <c r="XFA1496"/>
      <c r="XFB1496"/>
      <c r="XFC1496"/>
    </row>
    <row r="1497" spans="1:20 16329:16383" s="38" customFormat="1" ht="29.1" customHeight="1" outlineLevel="5" x14ac:dyDescent="0.25">
      <c r="A1497" s="65" t="s">
        <v>2644</v>
      </c>
      <c r="B1497" s="66" t="s">
        <v>2645</v>
      </c>
      <c r="C1497" s="66"/>
      <c r="D1497" s="98" t="s">
        <v>1899</v>
      </c>
      <c r="E1497" s="98"/>
      <c r="F1497" s="67"/>
      <c r="G1497" s="66"/>
      <c r="H1497" s="68"/>
      <c r="I1497" s="36"/>
      <c r="J1497" s="68"/>
      <c r="K1497" s="69"/>
      <c r="L1497" s="69"/>
      <c r="M1497" s="69"/>
      <c r="N1497" s="69"/>
      <c r="O1497" s="69">
        <f>SUM(O1498:O1500)</f>
        <v>0</v>
      </c>
      <c r="P1497" s="69">
        <f>SUM(P1498:P1500)</f>
        <v>0</v>
      </c>
      <c r="Q1497" s="69">
        <f>SUM(Q1498:Q1500)</f>
        <v>0</v>
      </c>
      <c r="R1497" s="69">
        <f>SUM(R1498:R1500)</f>
        <v>0</v>
      </c>
      <c r="S1497" s="69"/>
      <c r="T1497" s="36"/>
      <c r="XDA1497"/>
      <c r="XDB1497"/>
      <c r="XDC1497"/>
      <c r="XDD1497"/>
      <c r="XDE1497"/>
      <c r="XDF1497"/>
      <c r="XDG1497"/>
      <c r="XDH1497"/>
      <c r="XDI1497"/>
      <c r="XDJ1497"/>
      <c r="XDK1497"/>
      <c r="XDL1497"/>
      <c r="XDM1497"/>
      <c r="XDN1497"/>
      <c r="XDO1497"/>
      <c r="XDP1497"/>
      <c r="XDQ1497"/>
      <c r="XDR1497"/>
      <c r="XDS1497"/>
      <c r="XDT1497"/>
      <c r="XDU1497"/>
      <c r="XDV1497"/>
      <c r="XDW1497"/>
      <c r="XDX1497"/>
      <c r="XDY1497"/>
      <c r="XDZ1497"/>
      <c r="XEA1497"/>
      <c r="XEB1497"/>
      <c r="XEC1497"/>
      <c r="XED1497"/>
      <c r="XEE1497"/>
      <c r="XEF1497"/>
      <c r="XEG1497"/>
      <c r="XEH1497"/>
      <c r="XEI1497"/>
      <c r="XEJ1497"/>
      <c r="XEK1497"/>
      <c r="XEL1497"/>
      <c r="XEM1497"/>
      <c r="XEN1497"/>
      <c r="XEO1497"/>
      <c r="XEP1497"/>
      <c r="XEQ1497"/>
      <c r="XER1497"/>
      <c r="XES1497"/>
      <c r="XET1497"/>
      <c r="XEU1497"/>
      <c r="XEV1497"/>
      <c r="XEW1497"/>
      <c r="XEX1497"/>
      <c r="XEY1497"/>
      <c r="XEZ1497"/>
      <c r="XFA1497"/>
      <c r="XFB1497"/>
      <c r="XFC1497"/>
    </row>
    <row r="1498" spans="1:20 16329:16383" s="38" customFormat="1" ht="29.1" customHeight="1" outlineLevel="6" x14ac:dyDescent="0.25">
      <c r="A1498" s="49" t="s">
        <v>2646</v>
      </c>
      <c r="B1498" s="50"/>
      <c r="C1498" s="50"/>
      <c r="D1498" s="3" t="s">
        <v>1884</v>
      </c>
      <c r="E1498" s="3"/>
      <c r="F1498" s="51"/>
      <c r="G1498" s="50" t="s">
        <v>102</v>
      </c>
      <c r="H1498" s="52">
        <f>1</f>
        <v>1</v>
      </c>
      <c r="I1498" s="36"/>
      <c r="J1498" s="52">
        <v>1</v>
      </c>
      <c r="K1498" s="53">
        <f>0</f>
        <v>0</v>
      </c>
      <c r="L1498" s="53">
        <f>0</f>
        <v>0</v>
      </c>
      <c r="M1498" s="53">
        <f>0</f>
        <v>0</v>
      </c>
      <c r="N1498" s="54">
        <f>SUM(K1498:M1498)</f>
        <v>0</v>
      </c>
      <c r="O1498" s="54">
        <f>ROUND((H1498*K1498),2)</f>
        <v>0</v>
      </c>
      <c r="P1498" s="54">
        <f>ROUND((H1498*L1498),2)</f>
        <v>0</v>
      </c>
      <c r="Q1498" s="54">
        <f>ROUND((H1498*M1498),2)</f>
        <v>0</v>
      </c>
      <c r="R1498" s="54">
        <f>ROUND((H1498*N1498),2)</f>
        <v>0</v>
      </c>
      <c r="S1498" s="54"/>
      <c r="T1498" s="36"/>
      <c r="XDA1498"/>
      <c r="XDB1498"/>
      <c r="XDC1498"/>
      <c r="XDD1498"/>
      <c r="XDE1498"/>
      <c r="XDF1498"/>
      <c r="XDG1498"/>
      <c r="XDH1498"/>
      <c r="XDI1498"/>
      <c r="XDJ1498"/>
      <c r="XDK1498"/>
      <c r="XDL1498"/>
      <c r="XDM1498"/>
      <c r="XDN1498"/>
      <c r="XDO1498"/>
      <c r="XDP1498"/>
      <c r="XDQ1498"/>
      <c r="XDR1498"/>
      <c r="XDS1498"/>
      <c r="XDT1498"/>
      <c r="XDU1498"/>
      <c r="XDV1498"/>
      <c r="XDW1498"/>
      <c r="XDX1498"/>
      <c r="XDY1498"/>
      <c r="XDZ1498"/>
      <c r="XEA1498"/>
      <c r="XEB1498"/>
      <c r="XEC1498"/>
      <c r="XED1498"/>
      <c r="XEE1498"/>
      <c r="XEF1498"/>
      <c r="XEG1498"/>
      <c r="XEH1498"/>
      <c r="XEI1498"/>
      <c r="XEJ1498"/>
      <c r="XEK1498"/>
      <c r="XEL1498"/>
      <c r="XEM1498"/>
      <c r="XEN1498"/>
      <c r="XEO1498"/>
      <c r="XEP1498"/>
      <c r="XEQ1498"/>
      <c r="XER1498"/>
      <c r="XES1498"/>
      <c r="XET1498"/>
      <c r="XEU1498"/>
      <c r="XEV1498"/>
      <c r="XEW1498"/>
      <c r="XEX1498"/>
      <c r="XEY1498"/>
      <c r="XEZ1498"/>
      <c r="XFA1498"/>
      <c r="XFB1498"/>
      <c r="XFC1498"/>
    </row>
    <row r="1499" spans="1:20 16329:16383" s="38" customFormat="1" ht="29.1" customHeight="1" outlineLevel="6" x14ac:dyDescent="0.25">
      <c r="A1499" s="49" t="s">
        <v>2647</v>
      </c>
      <c r="B1499" s="50"/>
      <c r="C1499" s="50"/>
      <c r="D1499" s="3" t="s">
        <v>1955</v>
      </c>
      <c r="E1499" s="3"/>
      <c r="F1499" s="51"/>
      <c r="G1499" s="50" t="s">
        <v>102</v>
      </c>
      <c r="H1499" s="52">
        <f>1</f>
        <v>1</v>
      </c>
      <c r="I1499" s="36"/>
      <c r="J1499" s="52">
        <v>1</v>
      </c>
      <c r="K1499" s="53">
        <f>0</f>
        <v>0</v>
      </c>
      <c r="L1499" s="53">
        <f>0</f>
        <v>0</v>
      </c>
      <c r="M1499" s="53">
        <f>0</f>
        <v>0</v>
      </c>
      <c r="N1499" s="54">
        <f>SUM(K1499:M1499)</f>
        <v>0</v>
      </c>
      <c r="O1499" s="54">
        <f>ROUND((H1499*K1499),2)</f>
        <v>0</v>
      </c>
      <c r="P1499" s="54">
        <f>ROUND((H1499*L1499),2)</f>
        <v>0</v>
      </c>
      <c r="Q1499" s="54">
        <f>ROUND((H1499*M1499),2)</f>
        <v>0</v>
      </c>
      <c r="R1499" s="54">
        <f>ROUND((H1499*N1499),2)</f>
        <v>0</v>
      </c>
      <c r="S1499" s="54"/>
      <c r="T1499" s="36"/>
      <c r="XDA1499"/>
      <c r="XDB1499"/>
      <c r="XDC1499"/>
      <c r="XDD1499"/>
      <c r="XDE1499"/>
      <c r="XDF1499"/>
      <c r="XDG1499"/>
      <c r="XDH1499"/>
      <c r="XDI1499"/>
      <c r="XDJ1499"/>
      <c r="XDK1499"/>
      <c r="XDL1499"/>
      <c r="XDM1499"/>
      <c r="XDN1499"/>
      <c r="XDO1499"/>
      <c r="XDP1499"/>
      <c r="XDQ1499"/>
      <c r="XDR1499"/>
      <c r="XDS1499"/>
      <c r="XDT1499"/>
      <c r="XDU1499"/>
      <c r="XDV1499"/>
      <c r="XDW1499"/>
      <c r="XDX1499"/>
      <c r="XDY1499"/>
      <c r="XDZ1499"/>
      <c r="XEA1499"/>
      <c r="XEB1499"/>
      <c r="XEC1499"/>
      <c r="XED1499"/>
      <c r="XEE1499"/>
      <c r="XEF1499"/>
      <c r="XEG1499"/>
      <c r="XEH1499"/>
      <c r="XEI1499"/>
      <c r="XEJ1499"/>
      <c r="XEK1499"/>
      <c r="XEL1499"/>
      <c r="XEM1499"/>
      <c r="XEN1499"/>
      <c r="XEO1499"/>
      <c r="XEP1499"/>
      <c r="XEQ1499"/>
      <c r="XER1499"/>
      <c r="XES1499"/>
      <c r="XET1499"/>
      <c r="XEU1499"/>
      <c r="XEV1499"/>
      <c r="XEW1499"/>
      <c r="XEX1499"/>
      <c r="XEY1499"/>
      <c r="XEZ1499"/>
      <c r="XFA1499"/>
      <c r="XFB1499"/>
      <c r="XFC1499"/>
    </row>
    <row r="1500" spans="1:20 16329:16383" s="38" customFormat="1" ht="29.1" customHeight="1" outlineLevel="6" x14ac:dyDescent="0.25">
      <c r="A1500" s="49" t="s">
        <v>2648</v>
      </c>
      <c r="B1500" s="50"/>
      <c r="C1500" s="50"/>
      <c r="D1500" s="3" t="s">
        <v>2621</v>
      </c>
      <c r="E1500" s="3"/>
      <c r="F1500" s="51"/>
      <c r="G1500" s="50" t="s">
        <v>102</v>
      </c>
      <c r="H1500" s="52">
        <f>1</f>
        <v>1</v>
      </c>
      <c r="I1500" s="36"/>
      <c r="J1500" s="52">
        <v>1</v>
      </c>
      <c r="K1500" s="53">
        <f>0</f>
        <v>0</v>
      </c>
      <c r="L1500" s="53">
        <f>0</f>
        <v>0</v>
      </c>
      <c r="M1500" s="53">
        <f>0</f>
        <v>0</v>
      </c>
      <c r="N1500" s="54">
        <f>SUM(K1500:M1500)</f>
        <v>0</v>
      </c>
      <c r="O1500" s="54">
        <f>ROUND((H1500*K1500),2)</f>
        <v>0</v>
      </c>
      <c r="P1500" s="54">
        <f>ROUND((H1500*L1500),2)</f>
        <v>0</v>
      </c>
      <c r="Q1500" s="54">
        <f>ROUND((H1500*M1500),2)</f>
        <v>0</v>
      </c>
      <c r="R1500" s="54">
        <f>ROUND((H1500*N1500),2)</f>
        <v>0</v>
      </c>
      <c r="S1500" s="54"/>
      <c r="T1500" s="36"/>
      <c r="XDA1500"/>
      <c r="XDB1500"/>
      <c r="XDC1500"/>
      <c r="XDD1500"/>
      <c r="XDE1500"/>
      <c r="XDF1500"/>
      <c r="XDG1500"/>
      <c r="XDH1500"/>
      <c r="XDI1500"/>
      <c r="XDJ1500"/>
      <c r="XDK1500"/>
      <c r="XDL1500"/>
      <c r="XDM1500"/>
      <c r="XDN1500"/>
      <c r="XDO1500"/>
      <c r="XDP1500"/>
      <c r="XDQ1500"/>
      <c r="XDR1500"/>
      <c r="XDS1500"/>
      <c r="XDT1500"/>
      <c r="XDU1500"/>
      <c r="XDV1500"/>
      <c r="XDW1500"/>
      <c r="XDX1500"/>
      <c r="XDY1500"/>
      <c r="XDZ1500"/>
      <c r="XEA1500"/>
      <c r="XEB1500"/>
      <c r="XEC1500"/>
      <c r="XED1500"/>
      <c r="XEE1500"/>
      <c r="XEF1500"/>
      <c r="XEG1500"/>
      <c r="XEH1500"/>
      <c r="XEI1500"/>
      <c r="XEJ1500"/>
      <c r="XEK1500"/>
      <c r="XEL1500"/>
      <c r="XEM1500"/>
      <c r="XEN1500"/>
      <c r="XEO1500"/>
      <c r="XEP1500"/>
      <c r="XEQ1500"/>
      <c r="XER1500"/>
      <c r="XES1500"/>
      <c r="XET1500"/>
      <c r="XEU1500"/>
      <c r="XEV1500"/>
      <c r="XEW1500"/>
      <c r="XEX1500"/>
      <c r="XEY1500"/>
      <c r="XEZ1500"/>
      <c r="XFA1500"/>
      <c r="XFB1500"/>
      <c r="XFC1500"/>
    </row>
    <row r="1501" spans="1:20 16329:16383" s="38" customFormat="1" ht="29.1" customHeight="1" outlineLevel="5" x14ac:dyDescent="0.25">
      <c r="A1501" s="65" t="s">
        <v>2649</v>
      </c>
      <c r="B1501" s="66" t="s">
        <v>2650</v>
      </c>
      <c r="C1501" s="66"/>
      <c r="D1501" s="98" t="s">
        <v>1498</v>
      </c>
      <c r="E1501" s="98"/>
      <c r="F1501" s="67"/>
      <c r="G1501" s="66"/>
      <c r="H1501" s="68"/>
      <c r="I1501" s="36"/>
      <c r="J1501" s="68"/>
      <c r="K1501" s="69"/>
      <c r="L1501" s="69"/>
      <c r="M1501" s="69"/>
      <c r="N1501" s="69"/>
      <c r="O1501" s="69">
        <f>O1502</f>
        <v>0</v>
      </c>
      <c r="P1501" s="69">
        <f>P1502</f>
        <v>0</v>
      </c>
      <c r="Q1501" s="69">
        <f>Q1502</f>
        <v>0</v>
      </c>
      <c r="R1501" s="69">
        <f>R1502</f>
        <v>0</v>
      </c>
      <c r="S1501" s="69"/>
      <c r="T1501" s="36"/>
      <c r="XDA1501"/>
      <c r="XDB1501"/>
      <c r="XDC1501"/>
      <c r="XDD1501"/>
      <c r="XDE1501"/>
      <c r="XDF1501"/>
      <c r="XDG1501"/>
      <c r="XDH1501"/>
      <c r="XDI1501"/>
      <c r="XDJ1501"/>
      <c r="XDK1501"/>
      <c r="XDL1501"/>
      <c r="XDM1501"/>
      <c r="XDN1501"/>
      <c r="XDO1501"/>
      <c r="XDP1501"/>
      <c r="XDQ1501"/>
      <c r="XDR1501"/>
      <c r="XDS1501"/>
      <c r="XDT1501"/>
      <c r="XDU1501"/>
      <c r="XDV1501"/>
      <c r="XDW1501"/>
      <c r="XDX1501"/>
      <c r="XDY1501"/>
      <c r="XDZ1501"/>
      <c r="XEA1501"/>
      <c r="XEB1501"/>
      <c r="XEC1501"/>
      <c r="XED1501"/>
      <c r="XEE1501"/>
      <c r="XEF1501"/>
      <c r="XEG1501"/>
      <c r="XEH1501"/>
      <c r="XEI1501"/>
      <c r="XEJ1501"/>
      <c r="XEK1501"/>
      <c r="XEL1501"/>
      <c r="XEM1501"/>
      <c r="XEN1501"/>
      <c r="XEO1501"/>
      <c r="XEP1501"/>
      <c r="XEQ1501"/>
      <c r="XER1501"/>
      <c r="XES1501"/>
      <c r="XET1501"/>
      <c r="XEU1501"/>
      <c r="XEV1501"/>
      <c r="XEW1501"/>
      <c r="XEX1501"/>
      <c r="XEY1501"/>
      <c r="XEZ1501"/>
      <c r="XFA1501"/>
      <c r="XFB1501"/>
      <c r="XFC1501"/>
    </row>
    <row r="1502" spans="1:20 16329:16383" s="38" customFormat="1" ht="29.1" customHeight="1" outlineLevel="6" x14ac:dyDescent="0.25">
      <c r="A1502" s="49" t="s">
        <v>2651</v>
      </c>
      <c r="B1502" s="50"/>
      <c r="C1502" s="50"/>
      <c r="D1502" s="3" t="s">
        <v>1987</v>
      </c>
      <c r="E1502" s="3"/>
      <c r="F1502" s="51"/>
      <c r="G1502" s="50" t="s">
        <v>194</v>
      </c>
      <c r="H1502" s="52">
        <f>1</f>
        <v>1</v>
      </c>
      <c r="I1502" s="36"/>
      <c r="J1502" s="52">
        <v>1</v>
      </c>
      <c r="K1502" s="53">
        <f>0</f>
        <v>0</v>
      </c>
      <c r="L1502" s="53">
        <f>0</f>
        <v>0</v>
      </c>
      <c r="M1502" s="53">
        <f>0</f>
        <v>0</v>
      </c>
      <c r="N1502" s="54">
        <f>SUM(K1502:M1502)</f>
        <v>0</v>
      </c>
      <c r="O1502" s="54">
        <f>ROUND((H1502*K1502),2)</f>
        <v>0</v>
      </c>
      <c r="P1502" s="54">
        <f>ROUND((H1502*L1502),2)</f>
        <v>0</v>
      </c>
      <c r="Q1502" s="54">
        <f>ROUND((H1502*M1502),2)</f>
        <v>0</v>
      </c>
      <c r="R1502" s="54">
        <f>ROUND((H1502*N1502),2)</f>
        <v>0</v>
      </c>
      <c r="S1502" s="54"/>
      <c r="T1502" s="36"/>
      <c r="XDA1502"/>
      <c r="XDB1502"/>
      <c r="XDC1502"/>
      <c r="XDD1502"/>
      <c r="XDE1502"/>
      <c r="XDF1502"/>
      <c r="XDG1502"/>
      <c r="XDH1502"/>
      <c r="XDI1502"/>
      <c r="XDJ1502"/>
      <c r="XDK1502"/>
      <c r="XDL1502"/>
      <c r="XDM1502"/>
      <c r="XDN1502"/>
      <c r="XDO1502"/>
      <c r="XDP1502"/>
      <c r="XDQ1502"/>
      <c r="XDR1502"/>
      <c r="XDS1502"/>
      <c r="XDT1502"/>
      <c r="XDU1502"/>
      <c r="XDV1502"/>
      <c r="XDW1502"/>
      <c r="XDX1502"/>
      <c r="XDY1502"/>
      <c r="XDZ1502"/>
      <c r="XEA1502"/>
      <c r="XEB1502"/>
      <c r="XEC1502"/>
      <c r="XED1502"/>
      <c r="XEE1502"/>
      <c r="XEF1502"/>
      <c r="XEG1502"/>
      <c r="XEH1502"/>
      <c r="XEI1502"/>
      <c r="XEJ1502"/>
      <c r="XEK1502"/>
      <c r="XEL1502"/>
      <c r="XEM1502"/>
      <c r="XEN1502"/>
      <c r="XEO1502"/>
      <c r="XEP1502"/>
      <c r="XEQ1502"/>
      <c r="XER1502"/>
      <c r="XES1502"/>
      <c r="XET1502"/>
      <c r="XEU1502"/>
      <c r="XEV1502"/>
      <c r="XEW1502"/>
      <c r="XEX1502"/>
      <c r="XEY1502"/>
      <c r="XEZ1502"/>
      <c r="XFA1502"/>
      <c r="XFB1502"/>
      <c r="XFC1502"/>
    </row>
    <row r="1503" spans="1:20 16329:16383" s="38" customFormat="1" ht="29.1" customHeight="1" outlineLevel="4" x14ac:dyDescent="0.25">
      <c r="A1503" s="60" t="s">
        <v>2652</v>
      </c>
      <c r="B1503" s="61" t="s">
        <v>2653</v>
      </c>
      <c r="C1503" s="61" t="s">
        <v>2329</v>
      </c>
      <c r="D1503" s="1" t="s">
        <v>2026</v>
      </c>
      <c r="E1503" s="1"/>
      <c r="F1503" s="62"/>
      <c r="G1503" s="61" t="s">
        <v>102</v>
      </c>
      <c r="H1503" s="63"/>
      <c r="I1503" s="36"/>
      <c r="J1503" s="63"/>
      <c r="K1503" s="64"/>
      <c r="L1503" s="64"/>
      <c r="M1503" s="64"/>
      <c r="N1503" s="64"/>
      <c r="O1503" s="64">
        <f>O1504+O1508+O1513</f>
        <v>0</v>
      </c>
      <c r="P1503" s="64">
        <f>P1504+P1508+P1513</f>
        <v>0</v>
      </c>
      <c r="Q1503" s="64">
        <f>Q1504+Q1508+Q1513</f>
        <v>0</v>
      </c>
      <c r="R1503" s="64">
        <f>R1504+R1508+R1513</f>
        <v>0</v>
      </c>
      <c r="S1503" s="64"/>
      <c r="T1503" s="36"/>
      <c r="XDA1503"/>
      <c r="XDB1503"/>
      <c r="XDC1503"/>
      <c r="XDD1503"/>
      <c r="XDE1503"/>
      <c r="XDF1503"/>
      <c r="XDG1503"/>
      <c r="XDH1503"/>
      <c r="XDI1503"/>
      <c r="XDJ1503"/>
      <c r="XDK1503"/>
      <c r="XDL1503"/>
      <c r="XDM1503"/>
      <c r="XDN1503"/>
      <c r="XDO1503"/>
      <c r="XDP1503"/>
      <c r="XDQ1503"/>
      <c r="XDR1503"/>
      <c r="XDS1503"/>
      <c r="XDT1503"/>
      <c r="XDU1503"/>
      <c r="XDV1503"/>
      <c r="XDW1503"/>
      <c r="XDX1503"/>
      <c r="XDY1503"/>
      <c r="XDZ1503"/>
      <c r="XEA1503"/>
      <c r="XEB1503"/>
      <c r="XEC1503"/>
      <c r="XED1503"/>
      <c r="XEE1503"/>
      <c r="XEF1503"/>
      <c r="XEG1503"/>
      <c r="XEH1503"/>
      <c r="XEI1503"/>
      <c r="XEJ1503"/>
      <c r="XEK1503"/>
      <c r="XEL1503"/>
      <c r="XEM1503"/>
      <c r="XEN1503"/>
      <c r="XEO1503"/>
      <c r="XEP1503"/>
      <c r="XEQ1503"/>
      <c r="XER1503"/>
      <c r="XES1503"/>
      <c r="XET1503"/>
      <c r="XEU1503"/>
      <c r="XEV1503"/>
      <c r="XEW1503"/>
      <c r="XEX1503"/>
      <c r="XEY1503"/>
      <c r="XEZ1503"/>
      <c r="XFA1503"/>
      <c r="XFB1503"/>
      <c r="XFC1503"/>
    </row>
    <row r="1504" spans="1:20 16329:16383" s="38" customFormat="1" ht="29.1" customHeight="1" outlineLevel="5" x14ac:dyDescent="0.25">
      <c r="A1504" s="65" t="s">
        <v>2654</v>
      </c>
      <c r="B1504" s="66" t="s">
        <v>2655</v>
      </c>
      <c r="C1504" s="66"/>
      <c r="D1504" s="98" t="s">
        <v>1873</v>
      </c>
      <c r="E1504" s="98"/>
      <c r="F1504" s="67"/>
      <c r="G1504" s="66"/>
      <c r="H1504" s="68"/>
      <c r="I1504" s="36"/>
      <c r="J1504" s="68"/>
      <c r="K1504" s="69"/>
      <c r="L1504" s="69"/>
      <c r="M1504" s="69"/>
      <c r="N1504" s="69"/>
      <c r="O1504" s="69">
        <f>SUM(O1505:O1507)</f>
        <v>0</v>
      </c>
      <c r="P1504" s="69">
        <f>SUM(P1505:P1507)</f>
        <v>0</v>
      </c>
      <c r="Q1504" s="69">
        <f>SUM(Q1505:Q1507)</f>
        <v>0</v>
      </c>
      <c r="R1504" s="69">
        <f>SUM(R1505:R1507)</f>
        <v>0</v>
      </c>
      <c r="S1504" s="69"/>
      <c r="T1504" s="36"/>
      <c r="XDA1504"/>
      <c r="XDB1504"/>
      <c r="XDC1504"/>
      <c r="XDD1504"/>
      <c r="XDE1504"/>
      <c r="XDF1504"/>
      <c r="XDG1504"/>
      <c r="XDH1504"/>
      <c r="XDI1504"/>
      <c r="XDJ1504"/>
      <c r="XDK1504"/>
      <c r="XDL1504"/>
      <c r="XDM1504"/>
      <c r="XDN1504"/>
      <c r="XDO1504"/>
      <c r="XDP1504"/>
      <c r="XDQ1504"/>
      <c r="XDR1504"/>
      <c r="XDS1504"/>
      <c r="XDT1504"/>
      <c r="XDU1504"/>
      <c r="XDV1504"/>
      <c r="XDW1504"/>
      <c r="XDX1504"/>
      <c r="XDY1504"/>
      <c r="XDZ1504"/>
      <c r="XEA1504"/>
      <c r="XEB1504"/>
      <c r="XEC1504"/>
      <c r="XED1504"/>
      <c r="XEE1504"/>
      <c r="XEF1504"/>
      <c r="XEG1504"/>
      <c r="XEH1504"/>
      <c r="XEI1504"/>
      <c r="XEJ1504"/>
      <c r="XEK1504"/>
      <c r="XEL1504"/>
      <c r="XEM1504"/>
      <c r="XEN1504"/>
      <c r="XEO1504"/>
      <c r="XEP1504"/>
      <c r="XEQ1504"/>
      <c r="XER1504"/>
      <c r="XES1504"/>
      <c r="XET1504"/>
      <c r="XEU1504"/>
      <c r="XEV1504"/>
      <c r="XEW1504"/>
      <c r="XEX1504"/>
      <c r="XEY1504"/>
      <c r="XEZ1504"/>
      <c r="XFA1504"/>
      <c r="XFB1504"/>
      <c r="XFC1504"/>
    </row>
    <row r="1505" spans="1:20 16329:16383" s="38" customFormat="1" ht="29.1" customHeight="1" outlineLevel="6" x14ac:dyDescent="0.25">
      <c r="A1505" s="49" t="s">
        <v>2656</v>
      </c>
      <c r="B1505" s="50"/>
      <c r="C1505" s="50"/>
      <c r="D1505" s="3" t="s">
        <v>1875</v>
      </c>
      <c r="E1505" s="3"/>
      <c r="F1505" s="51"/>
      <c r="G1505" s="50" t="s">
        <v>102</v>
      </c>
      <c r="H1505" s="52">
        <f>1</f>
        <v>1</v>
      </c>
      <c r="I1505" s="36"/>
      <c r="J1505" s="52">
        <v>1</v>
      </c>
      <c r="K1505" s="53">
        <f>0</f>
        <v>0</v>
      </c>
      <c r="L1505" s="53">
        <f>0</f>
        <v>0</v>
      </c>
      <c r="M1505" s="53">
        <f>0</f>
        <v>0</v>
      </c>
      <c r="N1505" s="54">
        <f>SUM(K1505:M1505)</f>
        <v>0</v>
      </c>
      <c r="O1505" s="54">
        <f>ROUND((H1505*K1505),2)</f>
        <v>0</v>
      </c>
      <c r="P1505" s="54">
        <f>ROUND((H1505*L1505),2)</f>
        <v>0</v>
      </c>
      <c r="Q1505" s="54">
        <f>ROUND((H1505*M1505),2)</f>
        <v>0</v>
      </c>
      <c r="R1505" s="54">
        <f>ROUND((H1505*N1505),2)</f>
        <v>0</v>
      </c>
      <c r="S1505" s="54"/>
      <c r="T1505" s="36"/>
      <c r="XDA1505"/>
      <c r="XDB1505"/>
      <c r="XDC1505"/>
      <c r="XDD1505"/>
      <c r="XDE1505"/>
      <c r="XDF1505"/>
      <c r="XDG1505"/>
      <c r="XDH1505"/>
      <c r="XDI1505"/>
      <c r="XDJ1505"/>
      <c r="XDK1505"/>
      <c r="XDL1505"/>
      <c r="XDM1505"/>
      <c r="XDN1505"/>
      <c r="XDO1505"/>
      <c r="XDP1505"/>
      <c r="XDQ1505"/>
      <c r="XDR1505"/>
      <c r="XDS1505"/>
      <c r="XDT1505"/>
      <c r="XDU1505"/>
      <c r="XDV1505"/>
      <c r="XDW1505"/>
      <c r="XDX1505"/>
      <c r="XDY1505"/>
      <c r="XDZ1505"/>
      <c r="XEA1505"/>
      <c r="XEB1505"/>
      <c r="XEC1505"/>
      <c r="XED1505"/>
      <c r="XEE1505"/>
      <c r="XEF1505"/>
      <c r="XEG1505"/>
      <c r="XEH1505"/>
      <c r="XEI1505"/>
      <c r="XEJ1505"/>
      <c r="XEK1505"/>
      <c r="XEL1505"/>
      <c r="XEM1505"/>
      <c r="XEN1505"/>
      <c r="XEO1505"/>
      <c r="XEP1505"/>
      <c r="XEQ1505"/>
      <c r="XER1505"/>
      <c r="XES1505"/>
      <c r="XET1505"/>
      <c r="XEU1505"/>
      <c r="XEV1505"/>
      <c r="XEW1505"/>
      <c r="XEX1505"/>
      <c r="XEY1505"/>
      <c r="XEZ1505"/>
      <c r="XFA1505"/>
      <c r="XFB1505"/>
      <c r="XFC1505"/>
    </row>
    <row r="1506" spans="1:20 16329:16383" s="38" customFormat="1" ht="29.1" customHeight="1" outlineLevel="6" x14ac:dyDescent="0.25">
      <c r="A1506" s="49" t="s">
        <v>2657</v>
      </c>
      <c r="B1506" s="50"/>
      <c r="C1506" s="50"/>
      <c r="D1506" s="3" t="s">
        <v>2093</v>
      </c>
      <c r="E1506" s="3"/>
      <c r="F1506" s="51"/>
      <c r="G1506" s="50" t="s">
        <v>102</v>
      </c>
      <c r="H1506" s="52">
        <f>1</f>
        <v>1</v>
      </c>
      <c r="I1506" s="36"/>
      <c r="J1506" s="52">
        <v>1</v>
      </c>
      <c r="K1506" s="53">
        <f>0</f>
        <v>0</v>
      </c>
      <c r="L1506" s="53">
        <f>0</f>
        <v>0</v>
      </c>
      <c r="M1506" s="53">
        <f>0</f>
        <v>0</v>
      </c>
      <c r="N1506" s="54">
        <f>SUM(K1506:M1506)</f>
        <v>0</v>
      </c>
      <c r="O1506" s="54">
        <f>ROUND((H1506*K1506),2)</f>
        <v>0</v>
      </c>
      <c r="P1506" s="54">
        <f>ROUND((H1506*L1506),2)</f>
        <v>0</v>
      </c>
      <c r="Q1506" s="54">
        <f>ROUND((H1506*M1506),2)</f>
        <v>0</v>
      </c>
      <c r="R1506" s="54">
        <f>ROUND((H1506*N1506),2)</f>
        <v>0</v>
      </c>
      <c r="S1506" s="54"/>
      <c r="T1506" s="36"/>
      <c r="XDA1506"/>
      <c r="XDB1506"/>
      <c r="XDC1506"/>
      <c r="XDD1506"/>
      <c r="XDE1506"/>
      <c r="XDF1506"/>
      <c r="XDG1506"/>
      <c r="XDH1506"/>
      <c r="XDI1506"/>
      <c r="XDJ1506"/>
      <c r="XDK1506"/>
      <c r="XDL1506"/>
      <c r="XDM1506"/>
      <c r="XDN1506"/>
      <c r="XDO1506"/>
      <c r="XDP1506"/>
      <c r="XDQ1506"/>
      <c r="XDR1506"/>
      <c r="XDS1506"/>
      <c r="XDT1506"/>
      <c r="XDU1506"/>
      <c r="XDV1506"/>
      <c r="XDW1506"/>
      <c r="XDX1506"/>
      <c r="XDY1506"/>
      <c r="XDZ1506"/>
      <c r="XEA1506"/>
      <c r="XEB1506"/>
      <c r="XEC1506"/>
      <c r="XED1506"/>
      <c r="XEE1506"/>
      <c r="XEF1506"/>
      <c r="XEG1506"/>
      <c r="XEH1506"/>
      <c r="XEI1506"/>
      <c r="XEJ1506"/>
      <c r="XEK1506"/>
      <c r="XEL1506"/>
      <c r="XEM1506"/>
      <c r="XEN1506"/>
      <c r="XEO1506"/>
      <c r="XEP1506"/>
      <c r="XEQ1506"/>
      <c r="XER1506"/>
      <c r="XES1506"/>
      <c r="XET1506"/>
      <c r="XEU1506"/>
      <c r="XEV1506"/>
      <c r="XEW1506"/>
      <c r="XEX1506"/>
      <c r="XEY1506"/>
      <c r="XEZ1506"/>
      <c r="XFA1506"/>
      <c r="XFB1506"/>
      <c r="XFC1506"/>
    </row>
    <row r="1507" spans="1:20 16329:16383" s="38" customFormat="1" ht="29.1" customHeight="1" outlineLevel="6" x14ac:dyDescent="0.25">
      <c r="A1507" s="49" t="s">
        <v>2658</v>
      </c>
      <c r="B1507" s="50"/>
      <c r="C1507" s="50"/>
      <c r="D1507" s="3" t="s">
        <v>2095</v>
      </c>
      <c r="E1507" s="3"/>
      <c r="F1507" s="51"/>
      <c r="G1507" s="50" t="s">
        <v>102</v>
      </c>
      <c r="H1507" s="52">
        <f>1</f>
        <v>1</v>
      </c>
      <c r="I1507" s="36"/>
      <c r="J1507" s="52">
        <v>1</v>
      </c>
      <c r="K1507" s="53">
        <f>0</f>
        <v>0</v>
      </c>
      <c r="L1507" s="53">
        <f>0</f>
        <v>0</v>
      </c>
      <c r="M1507" s="53">
        <f>0</f>
        <v>0</v>
      </c>
      <c r="N1507" s="54">
        <f>SUM(K1507:M1507)</f>
        <v>0</v>
      </c>
      <c r="O1507" s="54">
        <f>ROUND((H1507*K1507),2)</f>
        <v>0</v>
      </c>
      <c r="P1507" s="54">
        <f>ROUND((H1507*L1507),2)</f>
        <v>0</v>
      </c>
      <c r="Q1507" s="54">
        <f>ROUND((H1507*M1507),2)</f>
        <v>0</v>
      </c>
      <c r="R1507" s="54">
        <f>ROUND((H1507*N1507),2)</f>
        <v>0</v>
      </c>
      <c r="S1507" s="54"/>
      <c r="T1507" s="36"/>
      <c r="XDA1507"/>
      <c r="XDB1507"/>
      <c r="XDC1507"/>
      <c r="XDD1507"/>
      <c r="XDE1507"/>
      <c r="XDF1507"/>
      <c r="XDG1507"/>
      <c r="XDH1507"/>
      <c r="XDI1507"/>
      <c r="XDJ1507"/>
      <c r="XDK1507"/>
      <c r="XDL1507"/>
      <c r="XDM1507"/>
      <c r="XDN1507"/>
      <c r="XDO1507"/>
      <c r="XDP1507"/>
      <c r="XDQ1507"/>
      <c r="XDR1507"/>
      <c r="XDS1507"/>
      <c r="XDT1507"/>
      <c r="XDU1507"/>
      <c r="XDV1507"/>
      <c r="XDW1507"/>
      <c r="XDX1507"/>
      <c r="XDY1507"/>
      <c r="XDZ1507"/>
      <c r="XEA1507"/>
      <c r="XEB1507"/>
      <c r="XEC1507"/>
      <c r="XED1507"/>
      <c r="XEE1507"/>
      <c r="XEF1507"/>
      <c r="XEG1507"/>
      <c r="XEH1507"/>
      <c r="XEI1507"/>
      <c r="XEJ1507"/>
      <c r="XEK1507"/>
      <c r="XEL1507"/>
      <c r="XEM1507"/>
      <c r="XEN1507"/>
      <c r="XEO1507"/>
      <c r="XEP1507"/>
      <c r="XEQ1507"/>
      <c r="XER1507"/>
      <c r="XES1507"/>
      <c r="XET1507"/>
      <c r="XEU1507"/>
      <c r="XEV1507"/>
      <c r="XEW1507"/>
      <c r="XEX1507"/>
      <c r="XEY1507"/>
      <c r="XEZ1507"/>
      <c r="XFA1507"/>
      <c r="XFB1507"/>
      <c r="XFC1507"/>
    </row>
    <row r="1508" spans="1:20 16329:16383" s="38" customFormat="1" ht="29.1" customHeight="1" outlineLevel="5" x14ac:dyDescent="0.25">
      <c r="A1508" s="65" t="s">
        <v>2659</v>
      </c>
      <c r="B1508" s="66" t="s">
        <v>2660</v>
      </c>
      <c r="C1508" s="66"/>
      <c r="D1508" s="98" t="s">
        <v>344</v>
      </c>
      <c r="E1508" s="98"/>
      <c r="F1508" s="67"/>
      <c r="G1508" s="66"/>
      <c r="H1508" s="68"/>
      <c r="I1508" s="36"/>
      <c r="J1508" s="68"/>
      <c r="K1508" s="69"/>
      <c r="L1508" s="69"/>
      <c r="M1508" s="69"/>
      <c r="N1508" s="69"/>
      <c r="O1508" s="69">
        <f>SUM(O1509:O1512)</f>
        <v>0</v>
      </c>
      <c r="P1508" s="69">
        <f>SUM(P1509:P1512)</f>
        <v>0</v>
      </c>
      <c r="Q1508" s="69">
        <f>SUM(Q1509:Q1512)</f>
        <v>0</v>
      </c>
      <c r="R1508" s="69">
        <f>SUM(R1509:R1512)</f>
        <v>0</v>
      </c>
      <c r="S1508" s="69"/>
      <c r="T1508" s="36"/>
      <c r="XDA1508"/>
      <c r="XDB1508"/>
      <c r="XDC1508"/>
      <c r="XDD1508"/>
      <c r="XDE1508"/>
      <c r="XDF1508"/>
      <c r="XDG1508"/>
      <c r="XDH1508"/>
      <c r="XDI1508"/>
      <c r="XDJ1508"/>
      <c r="XDK1508"/>
      <c r="XDL1508"/>
      <c r="XDM1508"/>
      <c r="XDN1508"/>
      <c r="XDO1508"/>
      <c r="XDP1508"/>
      <c r="XDQ1508"/>
      <c r="XDR1508"/>
      <c r="XDS1508"/>
      <c r="XDT1508"/>
      <c r="XDU1508"/>
      <c r="XDV1508"/>
      <c r="XDW1508"/>
      <c r="XDX1508"/>
      <c r="XDY1508"/>
      <c r="XDZ1508"/>
      <c r="XEA1508"/>
      <c r="XEB1508"/>
      <c r="XEC1508"/>
      <c r="XED1508"/>
      <c r="XEE1508"/>
      <c r="XEF1508"/>
      <c r="XEG1508"/>
      <c r="XEH1508"/>
      <c r="XEI1508"/>
      <c r="XEJ1508"/>
      <c r="XEK1508"/>
      <c r="XEL1508"/>
      <c r="XEM1508"/>
      <c r="XEN1508"/>
      <c r="XEO1508"/>
      <c r="XEP1508"/>
      <c r="XEQ1508"/>
      <c r="XER1508"/>
      <c r="XES1508"/>
      <c r="XET1508"/>
      <c r="XEU1508"/>
      <c r="XEV1508"/>
      <c r="XEW1508"/>
      <c r="XEX1508"/>
      <c r="XEY1508"/>
      <c r="XEZ1508"/>
      <c r="XFA1508"/>
      <c r="XFB1508"/>
      <c r="XFC1508"/>
    </row>
    <row r="1509" spans="1:20 16329:16383" s="38" customFormat="1" ht="29.1" customHeight="1" outlineLevel="6" x14ac:dyDescent="0.25">
      <c r="A1509" s="49" t="s">
        <v>2661</v>
      </c>
      <c r="B1509" s="50"/>
      <c r="C1509" s="50"/>
      <c r="D1509" s="3" t="s">
        <v>1884</v>
      </c>
      <c r="E1509" s="3"/>
      <c r="F1509" s="51"/>
      <c r="G1509" s="50" t="s">
        <v>102</v>
      </c>
      <c r="H1509" s="52">
        <f>1</f>
        <v>1</v>
      </c>
      <c r="I1509" s="36"/>
      <c r="J1509" s="52">
        <v>1</v>
      </c>
      <c r="K1509" s="53">
        <f>0</f>
        <v>0</v>
      </c>
      <c r="L1509" s="53">
        <f>0</f>
        <v>0</v>
      </c>
      <c r="M1509" s="53">
        <f>0</f>
        <v>0</v>
      </c>
      <c r="N1509" s="54">
        <f>SUM(K1509:M1509)</f>
        <v>0</v>
      </c>
      <c r="O1509" s="54">
        <f>ROUND((H1509*K1509),2)</f>
        <v>0</v>
      </c>
      <c r="P1509" s="54">
        <f>ROUND((H1509*L1509),2)</f>
        <v>0</v>
      </c>
      <c r="Q1509" s="54">
        <f>ROUND((H1509*M1509),2)</f>
        <v>0</v>
      </c>
      <c r="R1509" s="54">
        <f>ROUND((H1509*N1509),2)</f>
        <v>0</v>
      </c>
      <c r="S1509" s="54"/>
      <c r="T1509" s="36"/>
      <c r="XDA1509"/>
      <c r="XDB1509"/>
      <c r="XDC1509"/>
      <c r="XDD1509"/>
      <c r="XDE1509"/>
      <c r="XDF1509"/>
      <c r="XDG1509"/>
      <c r="XDH1509"/>
      <c r="XDI1509"/>
      <c r="XDJ1509"/>
      <c r="XDK1509"/>
      <c r="XDL1509"/>
      <c r="XDM1509"/>
      <c r="XDN1509"/>
      <c r="XDO1509"/>
      <c r="XDP1509"/>
      <c r="XDQ1509"/>
      <c r="XDR1509"/>
      <c r="XDS1509"/>
      <c r="XDT1509"/>
      <c r="XDU1509"/>
      <c r="XDV1509"/>
      <c r="XDW1509"/>
      <c r="XDX1509"/>
      <c r="XDY1509"/>
      <c r="XDZ1509"/>
      <c r="XEA1509"/>
      <c r="XEB1509"/>
      <c r="XEC1509"/>
      <c r="XED1509"/>
      <c r="XEE1509"/>
      <c r="XEF1509"/>
      <c r="XEG1509"/>
      <c r="XEH1509"/>
      <c r="XEI1509"/>
      <c r="XEJ1509"/>
      <c r="XEK1509"/>
      <c r="XEL1509"/>
      <c r="XEM1509"/>
      <c r="XEN1509"/>
      <c r="XEO1509"/>
      <c r="XEP1509"/>
      <c r="XEQ1509"/>
      <c r="XER1509"/>
      <c r="XES1509"/>
      <c r="XET1509"/>
      <c r="XEU1509"/>
      <c r="XEV1509"/>
      <c r="XEW1509"/>
      <c r="XEX1509"/>
      <c r="XEY1509"/>
      <c r="XEZ1509"/>
      <c r="XFA1509"/>
      <c r="XFB1509"/>
      <c r="XFC1509"/>
    </row>
    <row r="1510" spans="1:20 16329:16383" s="38" customFormat="1" ht="29.1" customHeight="1" outlineLevel="6" x14ac:dyDescent="0.25">
      <c r="A1510" s="49" t="s">
        <v>2662</v>
      </c>
      <c r="B1510" s="50"/>
      <c r="C1510" s="50"/>
      <c r="D1510" s="3" t="s">
        <v>2100</v>
      </c>
      <c r="E1510" s="3"/>
      <c r="F1510" s="51"/>
      <c r="G1510" s="50" t="s">
        <v>102</v>
      </c>
      <c r="H1510" s="52">
        <f>1</f>
        <v>1</v>
      </c>
      <c r="I1510" s="36"/>
      <c r="J1510" s="52">
        <v>1</v>
      </c>
      <c r="K1510" s="53">
        <f>0</f>
        <v>0</v>
      </c>
      <c r="L1510" s="53">
        <f>0</f>
        <v>0</v>
      </c>
      <c r="M1510" s="53">
        <f>0</f>
        <v>0</v>
      </c>
      <c r="N1510" s="54">
        <f>SUM(K1510:M1510)</f>
        <v>0</v>
      </c>
      <c r="O1510" s="54">
        <f>ROUND((H1510*K1510),2)</f>
        <v>0</v>
      </c>
      <c r="P1510" s="54">
        <f>ROUND((H1510*L1510),2)</f>
        <v>0</v>
      </c>
      <c r="Q1510" s="54">
        <f>ROUND((H1510*M1510),2)</f>
        <v>0</v>
      </c>
      <c r="R1510" s="54">
        <f>ROUND((H1510*N1510),2)</f>
        <v>0</v>
      </c>
      <c r="S1510" s="54"/>
      <c r="T1510" s="36"/>
      <c r="XDA1510"/>
      <c r="XDB1510"/>
      <c r="XDC1510"/>
      <c r="XDD1510"/>
      <c r="XDE1510"/>
      <c r="XDF1510"/>
      <c r="XDG1510"/>
      <c r="XDH1510"/>
      <c r="XDI1510"/>
      <c r="XDJ1510"/>
      <c r="XDK1510"/>
      <c r="XDL1510"/>
      <c r="XDM1510"/>
      <c r="XDN1510"/>
      <c r="XDO1510"/>
      <c r="XDP1510"/>
      <c r="XDQ1510"/>
      <c r="XDR1510"/>
      <c r="XDS1510"/>
      <c r="XDT1510"/>
      <c r="XDU1510"/>
      <c r="XDV1510"/>
      <c r="XDW1510"/>
      <c r="XDX1510"/>
      <c r="XDY1510"/>
      <c r="XDZ1510"/>
      <c r="XEA1510"/>
      <c r="XEB1510"/>
      <c r="XEC1510"/>
      <c r="XED1510"/>
      <c r="XEE1510"/>
      <c r="XEF1510"/>
      <c r="XEG1510"/>
      <c r="XEH1510"/>
      <c r="XEI1510"/>
      <c r="XEJ1510"/>
      <c r="XEK1510"/>
      <c r="XEL1510"/>
      <c r="XEM1510"/>
      <c r="XEN1510"/>
      <c r="XEO1510"/>
      <c r="XEP1510"/>
      <c r="XEQ1510"/>
      <c r="XER1510"/>
      <c r="XES1510"/>
      <c r="XET1510"/>
      <c r="XEU1510"/>
      <c r="XEV1510"/>
      <c r="XEW1510"/>
      <c r="XEX1510"/>
      <c r="XEY1510"/>
      <c r="XEZ1510"/>
      <c r="XFA1510"/>
      <c r="XFB1510"/>
      <c r="XFC1510"/>
    </row>
    <row r="1511" spans="1:20 16329:16383" s="38" customFormat="1" ht="29.1" customHeight="1" outlineLevel="6" x14ac:dyDescent="0.25">
      <c r="A1511" s="49" t="s">
        <v>2663</v>
      </c>
      <c r="B1511" s="50"/>
      <c r="C1511" s="50"/>
      <c r="D1511" s="3" t="s">
        <v>1890</v>
      </c>
      <c r="E1511" s="3"/>
      <c r="F1511" s="51"/>
      <c r="G1511" s="50" t="s">
        <v>102</v>
      </c>
      <c r="H1511" s="52">
        <f>1</f>
        <v>1</v>
      </c>
      <c r="I1511" s="36"/>
      <c r="J1511" s="52">
        <v>1</v>
      </c>
      <c r="K1511" s="53">
        <f>0</f>
        <v>0</v>
      </c>
      <c r="L1511" s="53">
        <f>0</f>
        <v>0</v>
      </c>
      <c r="M1511" s="53">
        <f>0</f>
        <v>0</v>
      </c>
      <c r="N1511" s="54">
        <f>SUM(K1511:M1511)</f>
        <v>0</v>
      </c>
      <c r="O1511" s="54">
        <f>ROUND((H1511*K1511),2)</f>
        <v>0</v>
      </c>
      <c r="P1511" s="54">
        <f>ROUND((H1511*L1511),2)</f>
        <v>0</v>
      </c>
      <c r="Q1511" s="54">
        <f>ROUND((H1511*M1511),2)</f>
        <v>0</v>
      </c>
      <c r="R1511" s="54">
        <f>ROUND((H1511*N1511),2)</f>
        <v>0</v>
      </c>
      <c r="S1511" s="54"/>
      <c r="T1511" s="36"/>
      <c r="XDA1511"/>
      <c r="XDB1511"/>
      <c r="XDC1511"/>
      <c r="XDD1511"/>
      <c r="XDE1511"/>
      <c r="XDF1511"/>
      <c r="XDG1511"/>
      <c r="XDH1511"/>
      <c r="XDI1511"/>
      <c r="XDJ1511"/>
      <c r="XDK1511"/>
      <c r="XDL1511"/>
      <c r="XDM1511"/>
      <c r="XDN1511"/>
      <c r="XDO1511"/>
      <c r="XDP1511"/>
      <c r="XDQ1511"/>
      <c r="XDR1511"/>
      <c r="XDS1511"/>
      <c r="XDT1511"/>
      <c r="XDU1511"/>
      <c r="XDV1511"/>
      <c r="XDW1511"/>
      <c r="XDX1511"/>
      <c r="XDY1511"/>
      <c r="XDZ1511"/>
      <c r="XEA1511"/>
      <c r="XEB1511"/>
      <c r="XEC1511"/>
      <c r="XED1511"/>
      <c r="XEE1511"/>
      <c r="XEF1511"/>
      <c r="XEG1511"/>
      <c r="XEH1511"/>
      <c r="XEI1511"/>
      <c r="XEJ1511"/>
      <c r="XEK1511"/>
      <c r="XEL1511"/>
      <c r="XEM1511"/>
      <c r="XEN1511"/>
      <c r="XEO1511"/>
      <c r="XEP1511"/>
      <c r="XEQ1511"/>
      <c r="XER1511"/>
      <c r="XES1511"/>
      <c r="XET1511"/>
      <c r="XEU1511"/>
      <c r="XEV1511"/>
      <c r="XEW1511"/>
      <c r="XEX1511"/>
      <c r="XEY1511"/>
      <c r="XEZ1511"/>
      <c r="XFA1511"/>
      <c r="XFB1511"/>
      <c r="XFC1511"/>
    </row>
    <row r="1512" spans="1:20 16329:16383" s="38" customFormat="1" ht="29.1" customHeight="1" outlineLevel="6" x14ac:dyDescent="0.25">
      <c r="A1512" s="49" t="s">
        <v>2664</v>
      </c>
      <c r="B1512" s="50"/>
      <c r="C1512" s="50"/>
      <c r="D1512" s="3" t="s">
        <v>2103</v>
      </c>
      <c r="E1512" s="3"/>
      <c r="F1512" s="51"/>
      <c r="G1512" s="50" t="s">
        <v>102</v>
      </c>
      <c r="H1512" s="52">
        <f>1</f>
        <v>1</v>
      </c>
      <c r="I1512" s="36"/>
      <c r="J1512" s="52">
        <v>1</v>
      </c>
      <c r="K1512" s="53">
        <f>0</f>
        <v>0</v>
      </c>
      <c r="L1512" s="53">
        <f>0</f>
        <v>0</v>
      </c>
      <c r="M1512" s="53">
        <f>0</f>
        <v>0</v>
      </c>
      <c r="N1512" s="54">
        <f>SUM(K1512:M1512)</f>
        <v>0</v>
      </c>
      <c r="O1512" s="54">
        <f>ROUND((H1512*K1512),2)</f>
        <v>0</v>
      </c>
      <c r="P1512" s="54">
        <f>ROUND((H1512*L1512),2)</f>
        <v>0</v>
      </c>
      <c r="Q1512" s="54">
        <f>ROUND((H1512*M1512),2)</f>
        <v>0</v>
      </c>
      <c r="R1512" s="54">
        <f>ROUND((H1512*N1512),2)</f>
        <v>0</v>
      </c>
      <c r="S1512" s="54"/>
      <c r="T1512" s="36"/>
      <c r="XDA1512"/>
      <c r="XDB1512"/>
      <c r="XDC1512"/>
      <c r="XDD1512"/>
      <c r="XDE1512"/>
      <c r="XDF1512"/>
      <c r="XDG1512"/>
      <c r="XDH1512"/>
      <c r="XDI1512"/>
      <c r="XDJ1512"/>
      <c r="XDK1512"/>
      <c r="XDL1512"/>
      <c r="XDM1512"/>
      <c r="XDN1512"/>
      <c r="XDO1512"/>
      <c r="XDP1512"/>
      <c r="XDQ1512"/>
      <c r="XDR1512"/>
      <c r="XDS1512"/>
      <c r="XDT1512"/>
      <c r="XDU1512"/>
      <c r="XDV1512"/>
      <c r="XDW1512"/>
      <c r="XDX1512"/>
      <c r="XDY1512"/>
      <c r="XDZ1512"/>
      <c r="XEA1512"/>
      <c r="XEB1512"/>
      <c r="XEC1512"/>
      <c r="XED1512"/>
      <c r="XEE1512"/>
      <c r="XEF1512"/>
      <c r="XEG1512"/>
      <c r="XEH1512"/>
      <c r="XEI1512"/>
      <c r="XEJ1512"/>
      <c r="XEK1512"/>
      <c r="XEL1512"/>
      <c r="XEM1512"/>
      <c r="XEN1512"/>
      <c r="XEO1512"/>
      <c r="XEP1512"/>
      <c r="XEQ1512"/>
      <c r="XER1512"/>
      <c r="XES1512"/>
      <c r="XET1512"/>
      <c r="XEU1512"/>
      <c r="XEV1512"/>
      <c r="XEW1512"/>
      <c r="XEX1512"/>
      <c r="XEY1512"/>
      <c r="XEZ1512"/>
      <c r="XFA1512"/>
      <c r="XFB1512"/>
      <c r="XFC1512"/>
    </row>
    <row r="1513" spans="1:20 16329:16383" s="38" customFormat="1" ht="29.1" customHeight="1" outlineLevel="5" x14ac:dyDescent="0.25">
      <c r="A1513" s="65" t="s">
        <v>2665</v>
      </c>
      <c r="B1513" s="66" t="s">
        <v>2666</v>
      </c>
      <c r="C1513" s="66"/>
      <c r="D1513" s="98" t="s">
        <v>1899</v>
      </c>
      <c r="E1513" s="98"/>
      <c r="F1513" s="67"/>
      <c r="G1513" s="66"/>
      <c r="H1513" s="68"/>
      <c r="I1513" s="36"/>
      <c r="J1513" s="68"/>
      <c r="K1513" s="69"/>
      <c r="L1513" s="69"/>
      <c r="M1513" s="69"/>
      <c r="N1513" s="69"/>
      <c r="O1513" s="69">
        <f>O1514</f>
        <v>0</v>
      </c>
      <c r="P1513" s="69">
        <f>P1514</f>
        <v>0</v>
      </c>
      <c r="Q1513" s="69">
        <f>Q1514</f>
        <v>0</v>
      </c>
      <c r="R1513" s="69">
        <f>R1514</f>
        <v>0</v>
      </c>
      <c r="S1513" s="69"/>
      <c r="T1513" s="36"/>
      <c r="XDA1513"/>
      <c r="XDB1513"/>
      <c r="XDC1513"/>
      <c r="XDD1513"/>
      <c r="XDE1513"/>
      <c r="XDF1513"/>
      <c r="XDG1513"/>
      <c r="XDH1513"/>
      <c r="XDI1513"/>
      <c r="XDJ1513"/>
      <c r="XDK1513"/>
      <c r="XDL1513"/>
      <c r="XDM1513"/>
      <c r="XDN1513"/>
      <c r="XDO1513"/>
      <c r="XDP1513"/>
      <c r="XDQ1513"/>
      <c r="XDR1513"/>
      <c r="XDS1513"/>
      <c r="XDT1513"/>
      <c r="XDU1513"/>
      <c r="XDV1513"/>
      <c r="XDW1513"/>
      <c r="XDX1513"/>
      <c r="XDY1513"/>
      <c r="XDZ1513"/>
      <c r="XEA1513"/>
      <c r="XEB1513"/>
      <c r="XEC1513"/>
      <c r="XED1513"/>
      <c r="XEE1513"/>
      <c r="XEF1513"/>
      <c r="XEG1513"/>
      <c r="XEH1513"/>
      <c r="XEI1513"/>
      <c r="XEJ1513"/>
      <c r="XEK1513"/>
      <c r="XEL1513"/>
      <c r="XEM1513"/>
      <c r="XEN1513"/>
      <c r="XEO1513"/>
      <c r="XEP1513"/>
      <c r="XEQ1513"/>
      <c r="XER1513"/>
      <c r="XES1513"/>
      <c r="XET1513"/>
      <c r="XEU1513"/>
      <c r="XEV1513"/>
      <c r="XEW1513"/>
      <c r="XEX1513"/>
      <c r="XEY1513"/>
      <c r="XEZ1513"/>
      <c r="XFA1513"/>
      <c r="XFB1513"/>
      <c r="XFC1513"/>
    </row>
    <row r="1514" spans="1:20 16329:16383" s="38" customFormat="1" ht="29.1" customHeight="1" outlineLevel="6" x14ac:dyDescent="0.25">
      <c r="A1514" s="49" t="s">
        <v>2667</v>
      </c>
      <c r="B1514" s="50"/>
      <c r="C1514" s="50"/>
      <c r="D1514" s="3" t="s">
        <v>2103</v>
      </c>
      <c r="E1514" s="3"/>
      <c r="F1514" s="51"/>
      <c r="G1514" s="50" t="s">
        <v>102</v>
      </c>
      <c r="H1514" s="52">
        <f>1</f>
        <v>1</v>
      </c>
      <c r="I1514" s="36"/>
      <c r="J1514" s="52">
        <v>1</v>
      </c>
      <c r="K1514" s="53">
        <f>0</f>
        <v>0</v>
      </c>
      <c r="L1514" s="53">
        <f>0</f>
        <v>0</v>
      </c>
      <c r="M1514" s="53">
        <f>0</f>
        <v>0</v>
      </c>
      <c r="N1514" s="54">
        <f>SUM(K1514:M1514)</f>
        <v>0</v>
      </c>
      <c r="O1514" s="54">
        <f>ROUND((H1514*K1514),2)</f>
        <v>0</v>
      </c>
      <c r="P1514" s="54">
        <f>ROUND((H1514*L1514),2)</f>
        <v>0</v>
      </c>
      <c r="Q1514" s="54">
        <f>ROUND((H1514*M1514),2)</f>
        <v>0</v>
      </c>
      <c r="R1514" s="54">
        <f>ROUND((H1514*N1514),2)</f>
        <v>0</v>
      </c>
      <c r="S1514" s="54"/>
      <c r="T1514" s="36"/>
      <c r="XDA1514"/>
      <c r="XDB1514"/>
      <c r="XDC1514"/>
      <c r="XDD1514"/>
      <c r="XDE1514"/>
      <c r="XDF1514"/>
      <c r="XDG1514"/>
      <c r="XDH1514"/>
      <c r="XDI1514"/>
      <c r="XDJ1514"/>
      <c r="XDK1514"/>
      <c r="XDL1514"/>
      <c r="XDM1514"/>
      <c r="XDN1514"/>
      <c r="XDO1514"/>
      <c r="XDP1514"/>
      <c r="XDQ1514"/>
      <c r="XDR1514"/>
      <c r="XDS1514"/>
      <c r="XDT1514"/>
      <c r="XDU1514"/>
      <c r="XDV1514"/>
      <c r="XDW1514"/>
      <c r="XDX1514"/>
      <c r="XDY1514"/>
      <c r="XDZ1514"/>
      <c r="XEA1514"/>
      <c r="XEB1514"/>
      <c r="XEC1514"/>
      <c r="XED1514"/>
      <c r="XEE1514"/>
      <c r="XEF1514"/>
      <c r="XEG1514"/>
      <c r="XEH1514"/>
      <c r="XEI1514"/>
      <c r="XEJ1514"/>
      <c r="XEK1514"/>
      <c r="XEL1514"/>
      <c r="XEM1514"/>
      <c r="XEN1514"/>
      <c r="XEO1514"/>
      <c r="XEP1514"/>
      <c r="XEQ1514"/>
      <c r="XER1514"/>
      <c r="XES1514"/>
      <c r="XET1514"/>
      <c r="XEU1514"/>
      <c r="XEV1514"/>
      <c r="XEW1514"/>
      <c r="XEX1514"/>
      <c r="XEY1514"/>
      <c r="XEZ1514"/>
      <c r="XFA1514"/>
      <c r="XFB1514"/>
      <c r="XFC1514"/>
    </row>
    <row r="1515" spans="1:20 16329:16383" s="38" customFormat="1" ht="29.1" customHeight="1" outlineLevel="3" x14ac:dyDescent="0.25">
      <c r="A1515" s="55" t="s">
        <v>2668</v>
      </c>
      <c r="B1515" s="56" t="s">
        <v>2669</v>
      </c>
      <c r="C1515" s="56"/>
      <c r="D1515" s="2" t="s">
        <v>2670</v>
      </c>
      <c r="E1515" s="2"/>
      <c r="F1515" s="57"/>
      <c r="G1515" s="56"/>
      <c r="H1515" s="58"/>
      <c r="I1515" s="36"/>
      <c r="J1515" s="58"/>
      <c r="K1515" s="59"/>
      <c r="L1515" s="59"/>
      <c r="M1515" s="59"/>
      <c r="N1515" s="59"/>
      <c r="O1515" s="59">
        <f>O1516+O1547+O1579+O1593+O1626</f>
        <v>0</v>
      </c>
      <c r="P1515" s="59">
        <f>P1516+P1547+P1579+P1593+P1626</f>
        <v>0</v>
      </c>
      <c r="Q1515" s="59">
        <f>Q1516+Q1547+Q1579+Q1593+Q1626</f>
        <v>0</v>
      </c>
      <c r="R1515" s="59">
        <f>R1516+R1547+R1579+R1593+R1626</f>
        <v>0</v>
      </c>
      <c r="S1515" s="59"/>
      <c r="T1515" s="36"/>
      <c r="XDA1515"/>
      <c r="XDB1515"/>
      <c r="XDC1515"/>
      <c r="XDD1515"/>
      <c r="XDE1515"/>
      <c r="XDF1515"/>
      <c r="XDG1515"/>
      <c r="XDH1515"/>
      <c r="XDI1515"/>
      <c r="XDJ1515"/>
      <c r="XDK1515"/>
      <c r="XDL1515"/>
      <c r="XDM1515"/>
      <c r="XDN1515"/>
      <c r="XDO1515"/>
      <c r="XDP1515"/>
      <c r="XDQ1515"/>
      <c r="XDR1515"/>
      <c r="XDS1515"/>
      <c r="XDT1515"/>
      <c r="XDU1515"/>
      <c r="XDV1515"/>
      <c r="XDW1515"/>
      <c r="XDX1515"/>
      <c r="XDY1515"/>
      <c r="XDZ1515"/>
      <c r="XEA1515"/>
      <c r="XEB1515"/>
      <c r="XEC1515"/>
      <c r="XED1515"/>
      <c r="XEE1515"/>
      <c r="XEF1515"/>
      <c r="XEG1515"/>
      <c r="XEH1515"/>
      <c r="XEI1515"/>
      <c r="XEJ1515"/>
      <c r="XEK1515"/>
      <c r="XEL1515"/>
      <c r="XEM1515"/>
      <c r="XEN1515"/>
      <c r="XEO1515"/>
      <c r="XEP1515"/>
      <c r="XEQ1515"/>
      <c r="XER1515"/>
      <c r="XES1515"/>
      <c r="XET1515"/>
      <c r="XEU1515"/>
      <c r="XEV1515"/>
      <c r="XEW1515"/>
      <c r="XEX1515"/>
      <c r="XEY1515"/>
      <c r="XEZ1515"/>
      <c r="XFA1515"/>
      <c r="XFB1515"/>
      <c r="XFC1515"/>
    </row>
    <row r="1516" spans="1:20 16329:16383" s="38" customFormat="1" ht="29.1" customHeight="1" outlineLevel="4" x14ac:dyDescent="0.25">
      <c r="A1516" s="60" t="s">
        <v>2671</v>
      </c>
      <c r="B1516" s="61" t="s">
        <v>2672</v>
      </c>
      <c r="C1516" s="61" t="s">
        <v>2382</v>
      </c>
      <c r="D1516" s="1" t="s">
        <v>2548</v>
      </c>
      <c r="E1516" s="1"/>
      <c r="F1516" s="62"/>
      <c r="G1516" s="61" t="s">
        <v>102</v>
      </c>
      <c r="H1516" s="63"/>
      <c r="I1516" s="36"/>
      <c r="J1516" s="63"/>
      <c r="K1516" s="64"/>
      <c r="L1516" s="64"/>
      <c r="M1516" s="64"/>
      <c r="N1516" s="64"/>
      <c r="O1516" s="64">
        <f>O1517+O1526+O1537+O1541</f>
        <v>0</v>
      </c>
      <c r="P1516" s="64">
        <f>P1517+P1526+P1537+P1541</f>
        <v>0</v>
      </c>
      <c r="Q1516" s="64">
        <f>Q1517+Q1526+Q1537+Q1541</f>
        <v>0</v>
      </c>
      <c r="R1516" s="64">
        <f>R1517+R1526+R1537+R1541</f>
        <v>0</v>
      </c>
      <c r="S1516" s="64"/>
      <c r="T1516" s="36"/>
      <c r="XDA1516"/>
      <c r="XDB1516"/>
      <c r="XDC1516"/>
      <c r="XDD1516"/>
      <c r="XDE1516"/>
      <c r="XDF1516"/>
      <c r="XDG1516"/>
      <c r="XDH1516"/>
      <c r="XDI1516"/>
      <c r="XDJ1516"/>
      <c r="XDK1516"/>
      <c r="XDL1516"/>
      <c r="XDM1516"/>
      <c r="XDN1516"/>
      <c r="XDO1516"/>
      <c r="XDP1516"/>
      <c r="XDQ1516"/>
      <c r="XDR1516"/>
      <c r="XDS1516"/>
      <c r="XDT1516"/>
      <c r="XDU1516"/>
      <c r="XDV1516"/>
      <c r="XDW1516"/>
      <c r="XDX1516"/>
      <c r="XDY1516"/>
      <c r="XDZ1516"/>
      <c r="XEA1516"/>
      <c r="XEB1516"/>
      <c r="XEC1516"/>
      <c r="XED1516"/>
      <c r="XEE1516"/>
      <c r="XEF1516"/>
      <c r="XEG1516"/>
      <c r="XEH1516"/>
      <c r="XEI1516"/>
      <c r="XEJ1516"/>
      <c r="XEK1516"/>
      <c r="XEL1516"/>
      <c r="XEM1516"/>
      <c r="XEN1516"/>
      <c r="XEO1516"/>
      <c r="XEP1516"/>
      <c r="XEQ1516"/>
      <c r="XER1516"/>
      <c r="XES1516"/>
      <c r="XET1516"/>
      <c r="XEU1516"/>
      <c r="XEV1516"/>
      <c r="XEW1516"/>
      <c r="XEX1516"/>
      <c r="XEY1516"/>
      <c r="XEZ1516"/>
      <c r="XFA1516"/>
      <c r="XFB1516"/>
      <c r="XFC1516"/>
    </row>
    <row r="1517" spans="1:20 16329:16383" s="38" customFormat="1" ht="29.1" customHeight="1" outlineLevel="5" x14ac:dyDescent="0.25">
      <c r="A1517" s="65" t="s">
        <v>2673</v>
      </c>
      <c r="B1517" s="66" t="s">
        <v>2674</v>
      </c>
      <c r="C1517" s="66"/>
      <c r="D1517" s="98" t="s">
        <v>1873</v>
      </c>
      <c r="E1517" s="98"/>
      <c r="F1517" s="67"/>
      <c r="G1517" s="66"/>
      <c r="H1517" s="68"/>
      <c r="I1517" s="36"/>
      <c r="J1517" s="68"/>
      <c r="K1517" s="69"/>
      <c r="L1517" s="69"/>
      <c r="M1517" s="69"/>
      <c r="N1517" s="69"/>
      <c r="O1517" s="69">
        <f>SUM(O1518:O1525)</f>
        <v>0</v>
      </c>
      <c r="P1517" s="69">
        <f>SUM(P1518:P1525)</f>
        <v>0</v>
      </c>
      <c r="Q1517" s="69">
        <f>SUM(Q1518:Q1525)</f>
        <v>0</v>
      </c>
      <c r="R1517" s="69">
        <f>SUM(R1518:R1525)</f>
        <v>0</v>
      </c>
      <c r="S1517" s="69"/>
      <c r="T1517" s="36"/>
      <c r="XDA1517"/>
      <c r="XDB1517"/>
      <c r="XDC1517"/>
      <c r="XDD1517"/>
      <c r="XDE1517"/>
      <c r="XDF1517"/>
      <c r="XDG1517"/>
      <c r="XDH1517"/>
      <c r="XDI1517"/>
      <c r="XDJ1517"/>
      <c r="XDK1517"/>
      <c r="XDL1517"/>
      <c r="XDM1517"/>
      <c r="XDN1517"/>
      <c r="XDO1517"/>
      <c r="XDP1517"/>
      <c r="XDQ1517"/>
      <c r="XDR1517"/>
      <c r="XDS1517"/>
      <c r="XDT1517"/>
      <c r="XDU1517"/>
      <c r="XDV1517"/>
      <c r="XDW1517"/>
      <c r="XDX1517"/>
      <c r="XDY1517"/>
      <c r="XDZ1517"/>
      <c r="XEA1517"/>
      <c r="XEB1517"/>
      <c r="XEC1517"/>
      <c r="XED1517"/>
      <c r="XEE1517"/>
      <c r="XEF1517"/>
      <c r="XEG1517"/>
      <c r="XEH1517"/>
      <c r="XEI1517"/>
      <c r="XEJ1517"/>
      <c r="XEK1517"/>
      <c r="XEL1517"/>
      <c r="XEM1517"/>
      <c r="XEN1517"/>
      <c r="XEO1517"/>
      <c r="XEP1517"/>
      <c r="XEQ1517"/>
      <c r="XER1517"/>
      <c r="XES1517"/>
      <c r="XET1517"/>
      <c r="XEU1517"/>
      <c r="XEV1517"/>
      <c r="XEW1517"/>
      <c r="XEX1517"/>
      <c r="XEY1517"/>
      <c r="XEZ1517"/>
      <c r="XFA1517"/>
      <c r="XFB1517"/>
      <c r="XFC1517"/>
    </row>
    <row r="1518" spans="1:20 16329:16383" s="38" customFormat="1" ht="29.1" customHeight="1" outlineLevel="6" x14ac:dyDescent="0.25">
      <c r="A1518" s="49" t="s">
        <v>2675</v>
      </c>
      <c r="B1518" s="50"/>
      <c r="C1518" s="50"/>
      <c r="D1518" s="3" t="s">
        <v>2387</v>
      </c>
      <c r="E1518" s="3"/>
      <c r="F1518" s="51"/>
      <c r="G1518" s="50" t="s">
        <v>102</v>
      </c>
      <c r="H1518" s="52">
        <f>1</f>
        <v>1</v>
      </c>
      <c r="I1518" s="36"/>
      <c r="J1518" s="52">
        <v>1</v>
      </c>
      <c r="K1518" s="53">
        <f>0</f>
        <v>0</v>
      </c>
      <c r="L1518" s="53">
        <f>0</f>
        <v>0</v>
      </c>
      <c r="M1518" s="53">
        <f>0</f>
        <v>0</v>
      </c>
      <c r="N1518" s="54">
        <f t="shared" ref="N1518:N1525" si="269">SUM(K1518:M1518)</f>
        <v>0</v>
      </c>
      <c r="O1518" s="54">
        <f t="shared" ref="O1518:O1525" si="270">ROUND((H1518*K1518),2)</f>
        <v>0</v>
      </c>
      <c r="P1518" s="54">
        <f t="shared" ref="P1518:P1525" si="271">ROUND((H1518*L1518),2)</f>
        <v>0</v>
      </c>
      <c r="Q1518" s="54">
        <f t="shared" ref="Q1518:Q1525" si="272">ROUND((H1518*M1518),2)</f>
        <v>0</v>
      </c>
      <c r="R1518" s="54">
        <f t="shared" ref="R1518:R1525" si="273">ROUND((H1518*N1518),2)</f>
        <v>0</v>
      </c>
      <c r="S1518" s="54"/>
      <c r="T1518" s="36"/>
      <c r="XDA1518"/>
      <c r="XDB1518"/>
      <c r="XDC1518"/>
      <c r="XDD1518"/>
      <c r="XDE1518"/>
      <c r="XDF1518"/>
      <c r="XDG1518"/>
      <c r="XDH1518"/>
      <c r="XDI1518"/>
      <c r="XDJ1518"/>
      <c r="XDK1518"/>
      <c r="XDL1518"/>
      <c r="XDM1518"/>
      <c r="XDN1518"/>
      <c r="XDO1518"/>
      <c r="XDP1518"/>
      <c r="XDQ1518"/>
      <c r="XDR1518"/>
      <c r="XDS1518"/>
      <c r="XDT1518"/>
      <c r="XDU1518"/>
      <c r="XDV1518"/>
      <c r="XDW1518"/>
      <c r="XDX1518"/>
      <c r="XDY1518"/>
      <c r="XDZ1518"/>
      <c r="XEA1518"/>
      <c r="XEB1518"/>
      <c r="XEC1518"/>
      <c r="XED1518"/>
      <c r="XEE1518"/>
      <c r="XEF1518"/>
      <c r="XEG1518"/>
      <c r="XEH1518"/>
      <c r="XEI1518"/>
      <c r="XEJ1518"/>
      <c r="XEK1518"/>
      <c r="XEL1518"/>
      <c r="XEM1518"/>
      <c r="XEN1518"/>
      <c r="XEO1518"/>
      <c r="XEP1518"/>
      <c r="XEQ1518"/>
      <c r="XER1518"/>
      <c r="XES1518"/>
      <c r="XET1518"/>
      <c r="XEU1518"/>
      <c r="XEV1518"/>
      <c r="XEW1518"/>
      <c r="XEX1518"/>
      <c r="XEY1518"/>
      <c r="XEZ1518"/>
      <c r="XFA1518"/>
      <c r="XFB1518"/>
      <c r="XFC1518"/>
    </row>
    <row r="1519" spans="1:20 16329:16383" s="38" customFormat="1" ht="29.1" customHeight="1" outlineLevel="6" x14ac:dyDescent="0.25">
      <c r="A1519" s="49" t="s">
        <v>2676</v>
      </c>
      <c r="B1519" s="50"/>
      <c r="C1519" s="50"/>
      <c r="D1519" s="3" t="s">
        <v>1875</v>
      </c>
      <c r="E1519" s="3"/>
      <c r="F1519" s="51"/>
      <c r="G1519" s="50" t="s">
        <v>102</v>
      </c>
      <c r="H1519" s="52">
        <f>1</f>
        <v>1</v>
      </c>
      <c r="I1519" s="36"/>
      <c r="J1519" s="52">
        <v>1</v>
      </c>
      <c r="K1519" s="53">
        <f>0</f>
        <v>0</v>
      </c>
      <c r="L1519" s="53">
        <f>0</f>
        <v>0</v>
      </c>
      <c r="M1519" s="53">
        <f>0</f>
        <v>0</v>
      </c>
      <c r="N1519" s="54">
        <f t="shared" si="269"/>
        <v>0</v>
      </c>
      <c r="O1519" s="54">
        <f t="shared" si="270"/>
        <v>0</v>
      </c>
      <c r="P1519" s="54">
        <f t="shared" si="271"/>
        <v>0</v>
      </c>
      <c r="Q1519" s="54">
        <f t="shared" si="272"/>
        <v>0</v>
      </c>
      <c r="R1519" s="54">
        <f t="shared" si="273"/>
        <v>0</v>
      </c>
      <c r="S1519" s="54"/>
      <c r="T1519" s="36"/>
      <c r="XDA1519"/>
      <c r="XDB1519"/>
      <c r="XDC1519"/>
      <c r="XDD1519"/>
      <c r="XDE1519"/>
      <c r="XDF1519"/>
      <c r="XDG1519"/>
      <c r="XDH1519"/>
      <c r="XDI1519"/>
      <c r="XDJ1519"/>
      <c r="XDK1519"/>
      <c r="XDL1519"/>
      <c r="XDM1519"/>
      <c r="XDN1519"/>
      <c r="XDO1519"/>
      <c r="XDP1519"/>
      <c r="XDQ1519"/>
      <c r="XDR1519"/>
      <c r="XDS1519"/>
      <c r="XDT1519"/>
      <c r="XDU1519"/>
      <c r="XDV1519"/>
      <c r="XDW1519"/>
      <c r="XDX1519"/>
      <c r="XDY1519"/>
      <c r="XDZ1519"/>
      <c r="XEA1519"/>
      <c r="XEB1519"/>
      <c r="XEC1519"/>
      <c r="XED1519"/>
      <c r="XEE1519"/>
      <c r="XEF1519"/>
      <c r="XEG1519"/>
      <c r="XEH1519"/>
      <c r="XEI1519"/>
      <c r="XEJ1519"/>
      <c r="XEK1519"/>
      <c r="XEL1519"/>
      <c r="XEM1519"/>
      <c r="XEN1519"/>
      <c r="XEO1519"/>
      <c r="XEP1519"/>
      <c r="XEQ1519"/>
      <c r="XER1519"/>
      <c r="XES1519"/>
      <c r="XET1519"/>
      <c r="XEU1519"/>
      <c r="XEV1519"/>
      <c r="XEW1519"/>
      <c r="XEX1519"/>
      <c r="XEY1519"/>
      <c r="XEZ1519"/>
      <c r="XFA1519"/>
      <c r="XFB1519"/>
      <c r="XFC1519"/>
    </row>
    <row r="1520" spans="1:20 16329:16383" s="38" customFormat="1" ht="29.1" customHeight="1" outlineLevel="6" x14ac:dyDescent="0.25">
      <c r="A1520" s="49" t="s">
        <v>2677</v>
      </c>
      <c r="B1520" s="50"/>
      <c r="C1520" s="50"/>
      <c r="D1520" s="3" t="s">
        <v>2390</v>
      </c>
      <c r="E1520" s="3"/>
      <c r="F1520" s="51"/>
      <c r="G1520" s="50" t="s">
        <v>102</v>
      </c>
      <c r="H1520" s="52">
        <f>1</f>
        <v>1</v>
      </c>
      <c r="I1520" s="36"/>
      <c r="J1520" s="52">
        <v>1</v>
      </c>
      <c r="K1520" s="53">
        <f>0</f>
        <v>0</v>
      </c>
      <c r="L1520" s="53">
        <f>0</f>
        <v>0</v>
      </c>
      <c r="M1520" s="53">
        <f>0</f>
        <v>0</v>
      </c>
      <c r="N1520" s="54">
        <f t="shared" si="269"/>
        <v>0</v>
      </c>
      <c r="O1520" s="54">
        <f t="shared" si="270"/>
        <v>0</v>
      </c>
      <c r="P1520" s="54">
        <f t="shared" si="271"/>
        <v>0</v>
      </c>
      <c r="Q1520" s="54">
        <f t="shared" si="272"/>
        <v>0</v>
      </c>
      <c r="R1520" s="54">
        <f t="shared" si="273"/>
        <v>0</v>
      </c>
      <c r="S1520" s="54"/>
      <c r="T1520" s="36"/>
      <c r="XDA1520"/>
      <c r="XDB1520"/>
      <c r="XDC1520"/>
      <c r="XDD1520"/>
      <c r="XDE1520"/>
      <c r="XDF1520"/>
      <c r="XDG1520"/>
      <c r="XDH1520"/>
      <c r="XDI1520"/>
      <c r="XDJ1520"/>
      <c r="XDK1520"/>
      <c r="XDL1520"/>
      <c r="XDM1520"/>
      <c r="XDN1520"/>
      <c r="XDO1520"/>
      <c r="XDP1520"/>
      <c r="XDQ1520"/>
      <c r="XDR1520"/>
      <c r="XDS1520"/>
      <c r="XDT1520"/>
      <c r="XDU1520"/>
      <c r="XDV1520"/>
      <c r="XDW1520"/>
      <c r="XDX1520"/>
      <c r="XDY1520"/>
      <c r="XDZ1520"/>
      <c r="XEA1520"/>
      <c r="XEB1520"/>
      <c r="XEC1520"/>
      <c r="XED1520"/>
      <c r="XEE1520"/>
      <c r="XEF1520"/>
      <c r="XEG1520"/>
      <c r="XEH1520"/>
      <c r="XEI1520"/>
      <c r="XEJ1520"/>
      <c r="XEK1520"/>
      <c r="XEL1520"/>
      <c r="XEM1520"/>
      <c r="XEN1520"/>
      <c r="XEO1520"/>
      <c r="XEP1520"/>
      <c r="XEQ1520"/>
      <c r="XER1520"/>
      <c r="XES1520"/>
      <c r="XET1520"/>
      <c r="XEU1520"/>
      <c r="XEV1520"/>
      <c r="XEW1520"/>
      <c r="XEX1520"/>
      <c r="XEY1520"/>
      <c r="XEZ1520"/>
      <c r="XFA1520"/>
      <c r="XFB1520"/>
      <c r="XFC1520"/>
    </row>
    <row r="1521" spans="1:20 16329:16383" s="38" customFormat="1" ht="29.1" customHeight="1" outlineLevel="6" x14ac:dyDescent="0.25">
      <c r="A1521" s="49" t="s">
        <v>2678</v>
      </c>
      <c r="B1521" s="50"/>
      <c r="C1521" s="50"/>
      <c r="D1521" s="3" t="s">
        <v>2392</v>
      </c>
      <c r="E1521" s="3"/>
      <c r="F1521" s="51"/>
      <c r="G1521" s="50" t="s">
        <v>102</v>
      </c>
      <c r="H1521" s="52">
        <f>1</f>
        <v>1</v>
      </c>
      <c r="I1521" s="36"/>
      <c r="J1521" s="52">
        <v>1</v>
      </c>
      <c r="K1521" s="53">
        <f>0</f>
        <v>0</v>
      </c>
      <c r="L1521" s="53">
        <f>0</f>
        <v>0</v>
      </c>
      <c r="M1521" s="53">
        <f>0</f>
        <v>0</v>
      </c>
      <c r="N1521" s="54">
        <f t="shared" si="269"/>
        <v>0</v>
      </c>
      <c r="O1521" s="54">
        <f t="shared" si="270"/>
        <v>0</v>
      </c>
      <c r="P1521" s="54">
        <f t="shared" si="271"/>
        <v>0</v>
      </c>
      <c r="Q1521" s="54">
        <f t="shared" si="272"/>
        <v>0</v>
      </c>
      <c r="R1521" s="54">
        <f t="shared" si="273"/>
        <v>0</v>
      </c>
      <c r="S1521" s="54"/>
      <c r="T1521" s="36"/>
      <c r="XDA1521"/>
      <c r="XDB1521"/>
      <c r="XDC1521"/>
      <c r="XDD1521"/>
      <c r="XDE1521"/>
      <c r="XDF1521"/>
      <c r="XDG1521"/>
      <c r="XDH1521"/>
      <c r="XDI1521"/>
      <c r="XDJ1521"/>
      <c r="XDK1521"/>
      <c r="XDL1521"/>
      <c r="XDM1521"/>
      <c r="XDN1521"/>
      <c r="XDO1521"/>
      <c r="XDP1521"/>
      <c r="XDQ1521"/>
      <c r="XDR1521"/>
      <c r="XDS1521"/>
      <c r="XDT1521"/>
      <c r="XDU1521"/>
      <c r="XDV1521"/>
      <c r="XDW1521"/>
      <c r="XDX1521"/>
      <c r="XDY1521"/>
      <c r="XDZ1521"/>
      <c r="XEA1521"/>
      <c r="XEB1521"/>
      <c r="XEC1521"/>
      <c r="XED1521"/>
      <c r="XEE1521"/>
      <c r="XEF1521"/>
      <c r="XEG1521"/>
      <c r="XEH1521"/>
      <c r="XEI1521"/>
      <c r="XEJ1521"/>
      <c r="XEK1521"/>
      <c r="XEL1521"/>
      <c r="XEM1521"/>
      <c r="XEN1521"/>
      <c r="XEO1521"/>
      <c r="XEP1521"/>
      <c r="XEQ1521"/>
      <c r="XER1521"/>
      <c r="XES1521"/>
      <c r="XET1521"/>
      <c r="XEU1521"/>
      <c r="XEV1521"/>
      <c r="XEW1521"/>
      <c r="XEX1521"/>
      <c r="XEY1521"/>
      <c r="XEZ1521"/>
      <c r="XFA1521"/>
      <c r="XFB1521"/>
      <c r="XFC1521"/>
    </row>
    <row r="1522" spans="1:20 16329:16383" s="38" customFormat="1" ht="29.1" customHeight="1" outlineLevel="6" x14ac:dyDescent="0.25">
      <c r="A1522" s="49" t="s">
        <v>2679</v>
      </c>
      <c r="B1522" s="50"/>
      <c r="C1522" s="50"/>
      <c r="D1522" s="3" t="s">
        <v>2394</v>
      </c>
      <c r="E1522" s="3"/>
      <c r="F1522" s="51"/>
      <c r="G1522" s="50" t="s">
        <v>102</v>
      </c>
      <c r="H1522" s="52">
        <f>1</f>
        <v>1</v>
      </c>
      <c r="I1522" s="36"/>
      <c r="J1522" s="52">
        <v>1</v>
      </c>
      <c r="K1522" s="53">
        <f>0</f>
        <v>0</v>
      </c>
      <c r="L1522" s="53">
        <f>0</f>
        <v>0</v>
      </c>
      <c r="M1522" s="53">
        <f>0</f>
        <v>0</v>
      </c>
      <c r="N1522" s="54">
        <f t="shared" si="269"/>
        <v>0</v>
      </c>
      <c r="O1522" s="54">
        <f t="shared" si="270"/>
        <v>0</v>
      </c>
      <c r="P1522" s="54">
        <f t="shared" si="271"/>
        <v>0</v>
      </c>
      <c r="Q1522" s="54">
        <f t="shared" si="272"/>
        <v>0</v>
      </c>
      <c r="R1522" s="54">
        <f t="shared" si="273"/>
        <v>0</v>
      </c>
      <c r="S1522" s="54"/>
      <c r="T1522" s="36"/>
      <c r="XDA1522"/>
      <c r="XDB1522"/>
      <c r="XDC1522"/>
      <c r="XDD1522"/>
      <c r="XDE1522"/>
      <c r="XDF1522"/>
      <c r="XDG1522"/>
      <c r="XDH1522"/>
      <c r="XDI1522"/>
      <c r="XDJ1522"/>
      <c r="XDK1522"/>
      <c r="XDL1522"/>
      <c r="XDM1522"/>
      <c r="XDN1522"/>
      <c r="XDO1522"/>
      <c r="XDP1522"/>
      <c r="XDQ1522"/>
      <c r="XDR1522"/>
      <c r="XDS1522"/>
      <c r="XDT1522"/>
      <c r="XDU1522"/>
      <c r="XDV1522"/>
      <c r="XDW1522"/>
      <c r="XDX1522"/>
      <c r="XDY1522"/>
      <c r="XDZ1522"/>
      <c r="XEA1522"/>
      <c r="XEB1522"/>
      <c r="XEC1522"/>
      <c r="XED1522"/>
      <c r="XEE1522"/>
      <c r="XEF1522"/>
      <c r="XEG1522"/>
      <c r="XEH1522"/>
      <c r="XEI1522"/>
      <c r="XEJ1522"/>
      <c r="XEK1522"/>
      <c r="XEL1522"/>
      <c r="XEM1522"/>
      <c r="XEN1522"/>
      <c r="XEO1522"/>
      <c r="XEP1522"/>
      <c r="XEQ1522"/>
      <c r="XER1522"/>
      <c r="XES1522"/>
      <c r="XET1522"/>
      <c r="XEU1522"/>
      <c r="XEV1522"/>
      <c r="XEW1522"/>
      <c r="XEX1522"/>
      <c r="XEY1522"/>
      <c r="XEZ1522"/>
      <c r="XFA1522"/>
      <c r="XFB1522"/>
      <c r="XFC1522"/>
    </row>
    <row r="1523" spans="1:20 16329:16383" s="38" customFormat="1" ht="29.1" customHeight="1" outlineLevel="6" x14ac:dyDescent="0.25">
      <c r="A1523" s="49" t="s">
        <v>2680</v>
      </c>
      <c r="B1523" s="50"/>
      <c r="C1523" s="50"/>
      <c r="D1523" s="3" t="s">
        <v>2557</v>
      </c>
      <c r="E1523" s="3"/>
      <c r="F1523" s="51"/>
      <c r="G1523" s="50" t="s">
        <v>102</v>
      </c>
      <c r="H1523" s="52">
        <f>1</f>
        <v>1</v>
      </c>
      <c r="I1523" s="36"/>
      <c r="J1523" s="52">
        <v>1</v>
      </c>
      <c r="K1523" s="53">
        <f>0</f>
        <v>0</v>
      </c>
      <c r="L1523" s="53">
        <f>0</f>
        <v>0</v>
      </c>
      <c r="M1523" s="53">
        <f>0</f>
        <v>0</v>
      </c>
      <c r="N1523" s="54">
        <f t="shared" si="269"/>
        <v>0</v>
      </c>
      <c r="O1523" s="54">
        <f t="shared" si="270"/>
        <v>0</v>
      </c>
      <c r="P1523" s="54">
        <f t="shared" si="271"/>
        <v>0</v>
      </c>
      <c r="Q1523" s="54">
        <f t="shared" si="272"/>
        <v>0</v>
      </c>
      <c r="R1523" s="54">
        <f t="shared" si="273"/>
        <v>0</v>
      </c>
      <c r="S1523" s="54"/>
      <c r="T1523" s="36"/>
      <c r="XDA1523"/>
      <c r="XDB1523"/>
      <c r="XDC1523"/>
      <c r="XDD1523"/>
      <c r="XDE1523"/>
      <c r="XDF1523"/>
      <c r="XDG1523"/>
      <c r="XDH1523"/>
      <c r="XDI1523"/>
      <c r="XDJ1523"/>
      <c r="XDK1523"/>
      <c r="XDL1523"/>
      <c r="XDM1523"/>
      <c r="XDN1523"/>
      <c r="XDO1523"/>
      <c r="XDP1523"/>
      <c r="XDQ1523"/>
      <c r="XDR1523"/>
      <c r="XDS1523"/>
      <c r="XDT1523"/>
      <c r="XDU1523"/>
      <c r="XDV1523"/>
      <c r="XDW1523"/>
      <c r="XDX1523"/>
      <c r="XDY1523"/>
      <c r="XDZ1523"/>
      <c r="XEA1523"/>
      <c r="XEB1523"/>
      <c r="XEC1523"/>
      <c r="XED1523"/>
      <c r="XEE1523"/>
      <c r="XEF1523"/>
      <c r="XEG1523"/>
      <c r="XEH1523"/>
      <c r="XEI1523"/>
      <c r="XEJ1523"/>
      <c r="XEK1523"/>
      <c r="XEL1523"/>
      <c r="XEM1523"/>
      <c r="XEN1523"/>
      <c r="XEO1523"/>
      <c r="XEP1523"/>
      <c r="XEQ1523"/>
      <c r="XER1523"/>
      <c r="XES1523"/>
      <c r="XET1523"/>
      <c r="XEU1523"/>
      <c r="XEV1523"/>
      <c r="XEW1523"/>
      <c r="XEX1523"/>
      <c r="XEY1523"/>
      <c r="XEZ1523"/>
      <c r="XFA1523"/>
      <c r="XFB1523"/>
      <c r="XFC1523"/>
    </row>
    <row r="1524" spans="1:20 16329:16383" s="38" customFormat="1" ht="29.1" customHeight="1" outlineLevel="6" x14ac:dyDescent="0.25">
      <c r="A1524" s="49" t="s">
        <v>2681</v>
      </c>
      <c r="B1524" s="50"/>
      <c r="C1524" s="50"/>
      <c r="D1524" s="3" t="s">
        <v>2206</v>
      </c>
      <c r="E1524" s="3"/>
      <c r="F1524" s="51"/>
      <c r="G1524" s="50" t="s">
        <v>194</v>
      </c>
      <c r="H1524" s="52">
        <f>1</f>
        <v>1</v>
      </c>
      <c r="I1524" s="36"/>
      <c r="J1524" s="52">
        <v>1</v>
      </c>
      <c r="K1524" s="53">
        <f>0</f>
        <v>0</v>
      </c>
      <c r="L1524" s="53">
        <f>0</f>
        <v>0</v>
      </c>
      <c r="M1524" s="53">
        <f>0</f>
        <v>0</v>
      </c>
      <c r="N1524" s="54">
        <f t="shared" si="269"/>
        <v>0</v>
      </c>
      <c r="O1524" s="54">
        <f t="shared" si="270"/>
        <v>0</v>
      </c>
      <c r="P1524" s="54">
        <f t="shared" si="271"/>
        <v>0</v>
      </c>
      <c r="Q1524" s="54">
        <f t="shared" si="272"/>
        <v>0</v>
      </c>
      <c r="R1524" s="54">
        <f t="shared" si="273"/>
        <v>0</v>
      </c>
      <c r="S1524" s="54"/>
      <c r="T1524" s="36"/>
      <c r="XDA1524"/>
      <c r="XDB1524"/>
      <c r="XDC1524"/>
      <c r="XDD1524"/>
      <c r="XDE1524"/>
      <c r="XDF1524"/>
      <c r="XDG1524"/>
      <c r="XDH1524"/>
      <c r="XDI1524"/>
      <c r="XDJ1524"/>
      <c r="XDK1524"/>
      <c r="XDL1524"/>
      <c r="XDM1524"/>
      <c r="XDN1524"/>
      <c r="XDO1524"/>
      <c r="XDP1524"/>
      <c r="XDQ1524"/>
      <c r="XDR1524"/>
      <c r="XDS1524"/>
      <c r="XDT1524"/>
      <c r="XDU1524"/>
      <c r="XDV1524"/>
      <c r="XDW1524"/>
      <c r="XDX1524"/>
      <c r="XDY1524"/>
      <c r="XDZ1524"/>
      <c r="XEA1524"/>
      <c r="XEB1524"/>
      <c r="XEC1524"/>
      <c r="XED1524"/>
      <c r="XEE1524"/>
      <c r="XEF1524"/>
      <c r="XEG1524"/>
      <c r="XEH1524"/>
      <c r="XEI1524"/>
      <c r="XEJ1524"/>
      <c r="XEK1524"/>
      <c r="XEL1524"/>
      <c r="XEM1524"/>
      <c r="XEN1524"/>
      <c r="XEO1524"/>
      <c r="XEP1524"/>
      <c r="XEQ1524"/>
      <c r="XER1524"/>
      <c r="XES1524"/>
      <c r="XET1524"/>
      <c r="XEU1524"/>
      <c r="XEV1524"/>
      <c r="XEW1524"/>
      <c r="XEX1524"/>
      <c r="XEY1524"/>
      <c r="XEZ1524"/>
      <c r="XFA1524"/>
      <c r="XFB1524"/>
      <c r="XFC1524"/>
    </row>
    <row r="1525" spans="1:20 16329:16383" s="38" customFormat="1" ht="29.1" customHeight="1" outlineLevel="6" x14ac:dyDescent="0.25">
      <c r="A1525" s="49" t="s">
        <v>2682</v>
      </c>
      <c r="B1525" s="50"/>
      <c r="C1525" s="50"/>
      <c r="D1525" s="3" t="s">
        <v>2278</v>
      </c>
      <c r="E1525" s="3"/>
      <c r="F1525" s="51"/>
      <c r="G1525" s="50" t="s">
        <v>194</v>
      </c>
      <c r="H1525" s="52">
        <f>1</f>
        <v>1</v>
      </c>
      <c r="I1525" s="36"/>
      <c r="J1525" s="52">
        <v>1</v>
      </c>
      <c r="K1525" s="53">
        <f>0</f>
        <v>0</v>
      </c>
      <c r="L1525" s="53">
        <f>0</f>
        <v>0</v>
      </c>
      <c r="M1525" s="53">
        <f>0</f>
        <v>0</v>
      </c>
      <c r="N1525" s="54">
        <f t="shared" si="269"/>
        <v>0</v>
      </c>
      <c r="O1525" s="54">
        <f t="shared" si="270"/>
        <v>0</v>
      </c>
      <c r="P1525" s="54">
        <f t="shared" si="271"/>
        <v>0</v>
      </c>
      <c r="Q1525" s="54">
        <f t="shared" si="272"/>
        <v>0</v>
      </c>
      <c r="R1525" s="54">
        <f t="shared" si="273"/>
        <v>0</v>
      </c>
      <c r="S1525" s="54"/>
      <c r="T1525" s="36"/>
      <c r="XDA1525"/>
      <c r="XDB1525"/>
      <c r="XDC1525"/>
      <c r="XDD1525"/>
      <c r="XDE1525"/>
      <c r="XDF1525"/>
      <c r="XDG1525"/>
      <c r="XDH1525"/>
      <c r="XDI1525"/>
      <c r="XDJ1525"/>
      <c r="XDK1525"/>
      <c r="XDL1525"/>
      <c r="XDM1525"/>
      <c r="XDN1525"/>
      <c r="XDO1525"/>
      <c r="XDP1525"/>
      <c r="XDQ1525"/>
      <c r="XDR1525"/>
      <c r="XDS1525"/>
      <c r="XDT1525"/>
      <c r="XDU1525"/>
      <c r="XDV1525"/>
      <c r="XDW1525"/>
      <c r="XDX1525"/>
      <c r="XDY1525"/>
      <c r="XDZ1525"/>
      <c r="XEA1525"/>
      <c r="XEB1525"/>
      <c r="XEC1525"/>
      <c r="XED1525"/>
      <c r="XEE1525"/>
      <c r="XEF1525"/>
      <c r="XEG1525"/>
      <c r="XEH1525"/>
      <c r="XEI1525"/>
      <c r="XEJ1525"/>
      <c r="XEK1525"/>
      <c r="XEL1525"/>
      <c r="XEM1525"/>
      <c r="XEN1525"/>
      <c r="XEO1525"/>
      <c r="XEP1525"/>
      <c r="XEQ1525"/>
      <c r="XER1525"/>
      <c r="XES1525"/>
      <c r="XET1525"/>
      <c r="XEU1525"/>
      <c r="XEV1525"/>
      <c r="XEW1525"/>
      <c r="XEX1525"/>
      <c r="XEY1525"/>
      <c r="XEZ1525"/>
      <c r="XFA1525"/>
      <c r="XFB1525"/>
      <c r="XFC1525"/>
    </row>
    <row r="1526" spans="1:20 16329:16383" s="38" customFormat="1" ht="29.1" customHeight="1" outlineLevel="5" x14ac:dyDescent="0.25">
      <c r="A1526" s="65" t="s">
        <v>2683</v>
      </c>
      <c r="B1526" s="66" t="s">
        <v>2684</v>
      </c>
      <c r="C1526" s="66"/>
      <c r="D1526" s="98" t="s">
        <v>344</v>
      </c>
      <c r="E1526" s="98"/>
      <c r="F1526" s="67"/>
      <c r="G1526" s="66"/>
      <c r="H1526" s="68"/>
      <c r="I1526" s="36"/>
      <c r="J1526" s="68"/>
      <c r="K1526" s="69"/>
      <c r="L1526" s="69"/>
      <c r="M1526" s="69"/>
      <c r="N1526" s="69"/>
      <c r="O1526" s="69">
        <f>SUM(O1527:O1536)</f>
        <v>0</v>
      </c>
      <c r="P1526" s="69">
        <f>SUM(P1527:P1536)</f>
        <v>0</v>
      </c>
      <c r="Q1526" s="69">
        <f>SUM(Q1527:Q1536)</f>
        <v>0</v>
      </c>
      <c r="R1526" s="69">
        <f>SUM(R1527:R1536)</f>
        <v>0</v>
      </c>
      <c r="S1526" s="69"/>
      <c r="T1526" s="36"/>
      <c r="XDA1526"/>
      <c r="XDB1526"/>
      <c r="XDC1526"/>
      <c r="XDD1526"/>
      <c r="XDE1526"/>
      <c r="XDF1526"/>
      <c r="XDG1526"/>
      <c r="XDH1526"/>
      <c r="XDI1526"/>
      <c r="XDJ1526"/>
      <c r="XDK1526"/>
      <c r="XDL1526"/>
      <c r="XDM1526"/>
      <c r="XDN1526"/>
      <c r="XDO1526"/>
      <c r="XDP1526"/>
      <c r="XDQ1526"/>
      <c r="XDR1526"/>
      <c r="XDS1526"/>
      <c r="XDT1526"/>
      <c r="XDU1526"/>
      <c r="XDV1526"/>
      <c r="XDW1526"/>
      <c r="XDX1526"/>
      <c r="XDY1526"/>
      <c r="XDZ1526"/>
      <c r="XEA1526"/>
      <c r="XEB1526"/>
      <c r="XEC1526"/>
      <c r="XED1526"/>
      <c r="XEE1526"/>
      <c r="XEF1526"/>
      <c r="XEG1526"/>
      <c r="XEH1526"/>
      <c r="XEI1526"/>
      <c r="XEJ1526"/>
      <c r="XEK1526"/>
      <c r="XEL1526"/>
      <c r="XEM1526"/>
      <c r="XEN1526"/>
      <c r="XEO1526"/>
      <c r="XEP1526"/>
      <c r="XEQ1526"/>
      <c r="XER1526"/>
      <c r="XES1526"/>
      <c r="XET1526"/>
      <c r="XEU1526"/>
      <c r="XEV1526"/>
      <c r="XEW1526"/>
      <c r="XEX1526"/>
      <c r="XEY1526"/>
      <c r="XEZ1526"/>
      <c r="XFA1526"/>
      <c r="XFB1526"/>
      <c r="XFC1526"/>
    </row>
    <row r="1527" spans="1:20 16329:16383" s="38" customFormat="1" ht="29.1" customHeight="1" outlineLevel="6" x14ac:dyDescent="0.25">
      <c r="A1527" s="49" t="s">
        <v>2685</v>
      </c>
      <c r="B1527" s="50"/>
      <c r="C1527" s="50"/>
      <c r="D1527" s="3" t="s">
        <v>1886</v>
      </c>
      <c r="E1527" s="3"/>
      <c r="F1527" s="51"/>
      <c r="G1527" s="50" t="s">
        <v>102</v>
      </c>
      <c r="H1527" s="52">
        <f>1</f>
        <v>1</v>
      </c>
      <c r="I1527" s="36"/>
      <c r="J1527" s="52">
        <v>1</v>
      </c>
      <c r="K1527" s="53">
        <f>0</f>
        <v>0</v>
      </c>
      <c r="L1527" s="53">
        <f>0</f>
        <v>0</v>
      </c>
      <c r="M1527" s="53">
        <f>0</f>
        <v>0</v>
      </c>
      <c r="N1527" s="54">
        <f t="shared" ref="N1527:N1536" si="274">SUM(K1527:M1527)</f>
        <v>0</v>
      </c>
      <c r="O1527" s="54">
        <f t="shared" ref="O1527:O1536" si="275">ROUND((H1527*K1527),2)</f>
        <v>0</v>
      </c>
      <c r="P1527" s="54">
        <f t="shared" ref="P1527:P1536" si="276">ROUND((H1527*L1527),2)</f>
        <v>0</v>
      </c>
      <c r="Q1527" s="54">
        <f t="shared" ref="Q1527:Q1536" si="277">ROUND((H1527*M1527),2)</f>
        <v>0</v>
      </c>
      <c r="R1527" s="54">
        <f t="shared" ref="R1527:R1536" si="278">ROUND((H1527*N1527),2)</f>
        <v>0</v>
      </c>
      <c r="S1527" s="54"/>
      <c r="T1527" s="36"/>
      <c r="XDA1527"/>
      <c r="XDB1527"/>
      <c r="XDC1527"/>
      <c r="XDD1527"/>
      <c r="XDE1527"/>
      <c r="XDF1527"/>
      <c r="XDG1527"/>
      <c r="XDH1527"/>
      <c r="XDI1527"/>
      <c r="XDJ1527"/>
      <c r="XDK1527"/>
      <c r="XDL1527"/>
      <c r="XDM1527"/>
      <c r="XDN1527"/>
      <c r="XDO1527"/>
      <c r="XDP1527"/>
      <c r="XDQ1527"/>
      <c r="XDR1527"/>
      <c r="XDS1527"/>
      <c r="XDT1527"/>
      <c r="XDU1527"/>
      <c r="XDV1527"/>
      <c r="XDW1527"/>
      <c r="XDX1527"/>
      <c r="XDY1527"/>
      <c r="XDZ1527"/>
      <c r="XEA1527"/>
      <c r="XEB1527"/>
      <c r="XEC1527"/>
      <c r="XED1527"/>
      <c r="XEE1527"/>
      <c r="XEF1527"/>
      <c r="XEG1527"/>
      <c r="XEH1527"/>
      <c r="XEI1527"/>
      <c r="XEJ1527"/>
      <c r="XEK1527"/>
      <c r="XEL1527"/>
      <c r="XEM1527"/>
      <c r="XEN1527"/>
      <c r="XEO1527"/>
      <c r="XEP1527"/>
      <c r="XEQ1527"/>
      <c r="XER1527"/>
      <c r="XES1527"/>
      <c r="XET1527"/>
      <c r="XEU1527"/>
      <c r="XEV1527"/>
      <c r="XEW1527"/>
      <c r="XEX1527"/>
      <c r="XEY1527"/>
      <c r="XEZ1527"/>
      <c r="XFA1527"/>
      <c r="XFB1527"/>
      <c r="XFC1527"/>
    </row>
    <row r="1528" spans="1:20 16329:16383" s="38" customFormat="1" ht="29.1" customHeight="1" outlineLevel="6" x14ac:dyDescent="0.25">
      <c r="A1528" s="49" t="s">
        <v>2686</v>
      </c>
      <c r="B1528" s="50"/>
      <c r="C1528" s="50"/>
      <c r="D1528" s="3" t="s">
        <v>1890</v>
      </c>
      <c r="E1528" s="3"/>
      <c r="F1528" s="51"/>
      <c r="G1528" s="50" t="s">
        <v>102</v>
      </c>
      <c r="H1528" s="52">
        <f>1</f>
        <v>1</v>
      </c>
      <c r="I1528" s="36"/>
      <c r="J1528" s="52">
        <v>1</v>
      </c>
      <c r="K1528" s="53">
        <f>0</f>
        <v>0</v>
      </c>
      <c r="L1528" s="53">
        <f>0</f>
        <v>0</v>
      </c>
      <c r="M1528" s="53">
        <f>0</f>
        <v>0</v>
      </c>
      <c r="N1528" s="54">
        <f t="shared" si="274"/>
        <v>0</v>
      </c>
      <c r="O1528" s="54">
        <f t="shared" si="275"/>
        <v>0</v>
      </c>
      <c r="P1528" s="54">
        <f t="shared" si="276"/>
        <v>0</v>
      </c>
      <c r="Q1528" s="54">
        <f t="shared" si="277"/>
        <v>0</v>
      </c>
      <c r="R1528" s="54">
        <f t="shared" si="278"/>
        <v>0</v>
      </c>
      <c r="S1528" s="54"/>
      <c r="T1528" s="36"/>
      <c r="XDA1528"/>
      <c r="XDB1528"/>
      <c r="XDC1528"/>
      <c r="XDD1528"/>
      <c r="XDE1528"/>
      <c r="XDF1528"/>
      <c r="XDG1528"/>
      <c r="XDH1528"/>
      <c r="XDI1528"/>
      <c r="XDJ1528"/>
      <c r="XDK1528"/>
      <c r="XDL1528"/>
      <c r="XDM1528"/>
      <c r="XDN1528"/>
      <c r="XDO1528"/>
      <c r="XDP1528"/>
      <c r="XDQ1528"/>
      <c r="XDR1528"/>
      <c r="XDS1528"/>
      <c r="XDT1528"/>
      <c r="XDU1528"/>
      <c r="XDV1528"/>
      <c r="XDW1528"/>
      <c r="XDX1528"/>
      <c r="XDY1528"/>
      <c r="XDZ1528"/>
      <c r="XEA1528"/>
      <c r="XEB1528"/>
      <c r="XEC1528"/>
      <c r="XED1528"/>
      <c r="XEE1528"/>
      <c r="XEF1528"/>
      <c r="XEG1528"/>
      <c r="XEH1528"/>
      <c r="XEI1528"/>
      <c r="XEJ1528"/>
      <c r="XEK1528"/>
      <c r="XEL1528"/>
      <c r="XEM1528"/>
      <c r="XEN1528"/>
      <c r="XEO1528"/>
      <c r="XEP1528"/>
      <c r="XEQ1528"/>
      <c r="XER1528"/>
      <c r="XES1528"/>
      <c r="XET1528"/>
      <c r="XEU1528"/>
      <c r="XEV1528"/>
      <c r="XEW1528"/>
      <c r="XEX1528"/>
      <c r="XEY1528"/>
      <c r="XEZ1528"/>
      <c r="XFA1528"/>
      <c r="XFB1528"/>
      <c r="XFC1528"/>
    </row>
    <row r="1529" spans="1:20 16329:16383" s="38" customFormat="1" ht="29.1" customHeight="1" outlineLevel="6" x14ac:dyDescent="0.25">
      <c r="A1529" s="49" t="s">
        <v>2687</v>
      </c>
      <c r="B1529" s="50"/>
      <c r="C1529" s="50"/>
      <c r="D1529" s="3" t="s">
        <v>1888</v>
      </c>
      <c r="E1529" s="3"/>
      <c r="F1529" s="51"/>
      <c r="G1529" s="50" t="s">
        <v>102</v>
      </c>
      <c r="H1529" s="52">
        <f>1</f>
        <v>1</v>
      </c>
      <c r="I1529" s="36"/>
      <c r="J1529" s="52">
        <v>1</v>
      </c>
      <c r="K1529" s="53">
        <f>0</f>
        <v>0</v>
      </c>
      <c r="L1529" s="53">
        <f>0</f>
        <v>0</v>
      </c>
      <c r="M1529" s="53">
        <f>0</f>
        <v>0</v>
      </c>
      <c r="N1529" s="54">
        <f t="shared" si="274"/>
        <v>0</v>
      </c>
      <c r="O1529" s="54">
        <f t="shared" si="275"/>
        <v>0</v>
      </c>
      <c r="P1529" s="54">
        <f t="shared" si="276"/>
        <v>0</v>
      </c>
      <c r="Q1529" s="54">
        <f t="shared" si="277"/>
        <v>0</v>
      </c>
      <c r="R1529" s="54">
        <f t="shared" si="278"/>
        <v>0</v>
      </c>
      <c r="S1529" s="54"/>
      <c r="T1529" s="36"/>
      <c r="XDA1529"/>
      <c r="XDB1529"/>
      <c r="XDC1529"/>
      <c r="XDD1529"/>
      <c r="XDE1529"/>
      <c r="XDF1529"/>
      <c r="XDG1529"/>
      <c r="XDH1529"/>
      <c r="XDI1529"/>
      <c r="XDJ1529"/>
      <c r="XDK1529"/>
      <c r="XDL1529"/>
      <c r="XDM1529"/>
      <c r="XDN1529"/>
      <c r="XDO1529"/>
      <c r="XDP1529"/>
      <c r="XDQ1529"/>
      <c r="XDR1529"/>
      <c r="XDS1529"/>
      <c r="XDT1529"/>
      <c r="XDU1529"/>
      <c r="XDV1529"/>
      <c r="XDW1529"/>
      <c r="XDX1529"/>
      <c r="XDY1529"/>
      <c r="XDZ1529"/>
      <c r="XEA1529"/>
      <c r="XEB1529"/>
      <c r="XEC1529"/>
      <c r="XED1529"/>
      <c r="XEE1529"/>
      <c r="XEF1529"/>
      <c r="XEG1529"/>
      <c r="XEH1529"/>
      <c r="XEI1529"/>
      <c r="XEJ1529"/>
      <c r="XEK1529"/>
      <c r="XEL1529"/>
      <c r="XEM1529"/>
      <c r="XEN1529"/>
      <c r="XEO1529"/>
      <c r="XEP1529"/>
      <c r="XEQ1529"/>
      <c r="XER1529"/>
      <c r="XES1529"/>
      <c r="XET1529"/>
      <c r="XEU1529"/>
      <c r="XEV1529"/>
      <c r="XEW1529"/>
      <c r="XEX1529"/>
      <c r="XEY1529"/>
      <c r="XEZ1529"/>
      <c r="XFA1529"/>
      <c r="XFB1529"/>
      <c r="XFC1529"/>
    </row>
    <row r="1530" spans="1:20 16329:16383" s="38" customFormat="1" ht="29.1" customHeight="1" outlineLevel="6" x14ac:dyDescent="0.25">
      <c r="A1530" s="49" t="s">
        <v>2688</v>
      </c>
      <c r="B1530" s="50"/>
      <c r="C1530" s="50"/>
      <c r="D1530" s="3" t="s">
        <v>2403</v>
      </c>
      <c r="E1530" s="3"/>
      <c r="F1530" s="51"/>
      <c r="G1530" s="50" t="s">
        <v>102</v>
      </c>
      <c r="H1530" s="52">
        <f>1</f>
        <v>1</v>
      </c>
      <c r="I1530" s="36"/>
      <c r="J1530" s="52">
        <v>1</v>
      </c>
      <c r="K1530" s="53">
        <f>0</f>
        <v>0</v>
      </c>
      <c r="L1530" s="53">
        <f>0</f>
        <v>0</v>
      </c>
      <c r="M1530" s="53">
        <f>0</f>
        <v>0</v>
      </c>
      <c r="N1530" s="54">
        <f t="shared" si="274"/>
        <v>0</v>
      </c>
      <c r="O1530" s="54">
        <f t="shared" si="275"/>
        <v>0</v>
      </c>
      <c r="P1530" s="54">
        <f t="shared" si="276"/>
        <v>0</v>
      </c>
      <c r="Q1530" s="54">
        <f t="shared" si="277"/>
        <v>0</v>
      </c>
      <c r="R1530" s="54">
        <f t="shared" si="278"/>
        <v>0</v>
      </c>
      <c r="S1530" s="54"/>
      <c r="T1530" s="36"/>
      <c r="XDA1530"/>
      <c r="XDB1530"/>
      <c r="XDC1530"/>
      <c r="XDD1530"/>
      <c r="XDE1530"/>
      <c r="XDF1530"/>
      <c r="XDG1530"/>
      <c r="XDH1530"/>
      <c r="XDI1530"/>
      <c r="XDJ1530"/>
      <c r="XDK1530"/>
      <c r="XDL1530"/>
      <c r="XDM1530"/>
      <c r="XDN1530"/>
      <c r="XDO1530"/>
      <c r="XDP1530"/>
      <c r="XDQ1530"/>
      <c r="XDR1530"/>
      <c r="XDS1530"/>
      <c r="XDT1530"/>
      <c r="XDU1530"/>
      <c r="XDV1530"/>
      <c r="XDW1530"/>
      <c r="XDX1530"/>
      <c r="XDY1530"/>
      <c r="XDZ1530"/>
      <c r="XEA1530"/>
      <c r="XEB1530"/>
      <c r="XEC1530"/>
      <c r="XED1530"/>
      <c r="XEE1530"/>
      <c r="XEF1530"/>
      <c r="XEG1530"/>
      <c r="XEH1530"/>
      <c r="XEI1530"/>
      <c r="XEJ1530"/>
      <c r="XEK1530"/>
      <c r="XEL1530"/>
      <c r="XEM1530"/>
      <c r="XEN1530"/>
      <c r="XEO1530"/>
      <c r="XEP1530"/>
      <c r="XEQ1530"/>
      <c r="XER1530"/>
      <c r="XES1530"/>
      <c r="XET1530"/>
      <c r="XEU1530"/>
      <c r="XEV1530"/>
      <c r="XEW1530"/>
      <c r="XEX1530"/>
      <c r="XEY1530"/>
      <c r="XEZ1530"/>
      <c r="XFA1530"/>
      <c r="XFB1530"/>
      <c r="XFC1530"/>
    </row>
    <row r="1531" spans="1:20 16329:16383" s="38" customFormat="1" ht="29.1" customHeight="1" outlineLevel="6" x14ac:dyDescent="0.25">
      <c r="A1531" s="49" t="s">
        <v>2689</v>
      </c>
      <c r="B1531" s="50"/>
      <c r="C1531" s="50"/>
      <c r="D1531" s="3" t="s">
        <v>2567</v>
      </c>
      <c r="E1531" s="3"/>
      <c r="F1531" s="51"/>
      <c r="G1531" s="50" t="s">
        <v>102</v>
      </c>
      <c r="H1531" s="52">
        <f>1</f>
        <v>1</v>
      </c>
      <c r="I1531" s="36"/>
      <c r="J1531" s="52">
        <v>1</v>
      </c>
      <c r="K1531" s="53">
        <f>0</f>
        <v>0</v>
      </c>
      <c r="L1531" s="53">
        <f>0</f>
        <v>0</v>
      </c>
      <c r="M1531" s="53">
        <f>0</f>
        <v>0</v>
      </c>
      <c r="N1531" s="54">
        <f t="shared" si="274"/>
        <v>0</v>
      </c>
      <c r="O1531" s="54">
        <f t="shared" si="275"/>
        <v>0</v>
      </c>
      <c r="P1531" s="54">
        <f t="shared" si="276"/>
        <v>0</v>
      </c>
      <c r="Q1531" s="54">
        <f t="shared" si="277"/>
        <v>0</v>
      </c>
      <c r="R1531" s="54">
        <f t="shared" si="278"/>
        <v>0</v>
      </c>
      <c r="S1531" s="54"/>
      <c r="T1531" s="36"/>
      <c r="XDA1531"/>
      <c r="XDB1531"/>
      <c r="XDC1531"/>
      <c r="XDD1531"/>
      <c r="XDE1531"/>
      <c r="XDF1531"/>
      <c r="XDG1531"/>
      <c r="XDH1531"/>
      <c r="XDI1531"/>
      <c r="XDJ1531"/>
      <c r="XDK1531"/>
      <c r="XDL1531"/>
      <c r="XDM1531"/>
      <c r="XDN1531"/>
      <c r="XDO1531"/>
      <c r="XDP1531"/>
      <c r="XDQ1531"/>
      <c r="XDR1531"/>
      <c r="XDS1531"/>
      <c r="XDT1531"/>
      <c r="XDU1531"/>
      <c r="XDV1531"/>
      <c r="XDW1531"/>
      <c r="XDX1531"/>
      <c r="XDY1531"/>
      <c r="XDZ1531"/>
      <c r="XEA1531"/>
      <c r="XEB1531"/>
      <c r="XEC1531"/>
      <c r="XED1531"/>
      <c r="XEE1531"/>
      <c r="XEF1531"/>
      <c r="XEG1531"/>
      <c r="XEH1531"/>
      <c r="XEI1531"/>
      <c r="XEJ1531"/>
      <c r="XEK1531"/>
      <c r="XEL1531"/>
      <c r="XEM1531"/>
      <c r="XEN1531"/>
      <c r="XEO1531"/>
      <c r="XEP1531"/>
      <c r="XEQ1531"/>
      <c r="XER1531"/>
      <c r="XES1531"/>
      <c r="XET1531"/>
      <c r="XEU1531"/>
      <c r="XEV1531"/>
      <c r="XEW1531"/>
      <c r="XEX1531"/>
      <c r="XEY1531"/>
      <c r="XEZ1531"/>
      <c r="XFA1531"/>
      <c r="XFB1531"/>
      <c r="XFC1531"/>
    </row>
    <row r="1532" spans="1:20 16329:16383" s="38" customFormat="1" ht="29.1" customHeight="1" outlineLevel="6" x14ac:dyDescent="0.25">
      <c r="A1532" s="49" t="s">
        <v>2690</v>
      </c>
      <c r="B1532" s="50"/>
      <c r="C1532" s="50"/>
      <c r="D1532" s="3" t="s">
        <v>2407</v>
      </c>
      <c r="E1532" s="3"/>
      <c r="F1532" s="51" t="s">
        <v>1960</v>
      </c>
      <c r="G1532" s="50" t="s">
        <v>134</v>
      </c>
      <c r="H1532" s="52">
        <f>1</f>
        <v>1</v>
      </c>
      <c r="I1532" s="36"/>
      <c r="J1532" s="52">
        <v>1</v>
      </c>
      <c r="K1532" s="53">
        <f>0</f>
        <v>0</v>
      </c>
      <c r="L1532" s="53">
        <f>0</f>
        <v>0</v>
      </c>
      <c r="M1532" s="53">
        <f>0</f>
        <v>0</v>
      </c>
      <c r="N1532" s="54">
        <f t="shared" si="274"/>
        <v>0</v>
      </c>
      <c r="O1532" s="54">
        <f t="shared" si="275"/>
        <v>0</v>
      </c>
      <c r="P1532" s="54">
        <f t="shared" si="276"/>
        <v>0</v>
      </c>
      <c r="Q1532" s="54">
        <f t="shared" si="277"/>
        <v>0</v>
      </c>
      <c r="R1532" s="54">
        <f t="shared" si="278"/>
        <v>0</v>
      </c>
      <c r="S1532" s="54"/>
      <c r="T1532" s="36"/>
      <c r="XDA1532"/>
      <c r="XDB1532"/>
      <c r="XDC1532"/>
      <c r="XDD1532"/>
      <c r="XDE1532"/>
      <c r="XDF1532"/>
      <c r="XDG1532"/>
      <c r="XDH1532"/>
      <c r="XDI1532"/>
      <c r="XDJ1532"/>
      <c r="XDK1532"/>
      <c r="XDL1532"/>
      <c r="XDM1532"/>
      <c r="XDN1532"/>
      <c r="XDO1532"/>
      <c r="XDP1532"/>
      <c r="XDQ1532"/>
      <c r="XDR1532"/>
      <c r="XDS1532"/>
      <c r="XDT1532"/>
      <c r="XDU1532"/>
      <c r="XDV1532"/>
      <c r="XDW1532"/>
      <c r="XDX1532"/>
      <c r="XDY1532"/>
      <c r="XDZ1532"/>
      <c r="XEA1532"/>
      <c r="XEB1532"/>
      <c r="XEC1532"/>
      <c r="XED1532"/>
      <c r="XEE1532"/>
      <c r="XEF1532"/>
      <c r="XEG1532"/>
      <c r="XEH1532"/>
      <c r="XEI1532"/>
      <c r="XEJ1532"/>
      <c r="XEK1532"/>
      <c r="XEL1532"/>
      <c r="XEM1532"/>
      <c r="XEN1532"/>
      <c r="XEO1532"/>
      <c r="XEP1532"/>
      <c r="XEQ1532"/>
      <c r="XER1532"/>
      <c r="XES1532"/>
      <c r="XET1532"/>
      <c r="XEU1532"/>
      <c r="XEV1532"/>
      <c r="XEW1532"/>
      <c r="XEX1532"/>
      <c r="XEY1532"/>
      <c r="XEZ1532"/>
      <c r="XFA1532"/>
      <c r="XFB1532"/>
      <c r="XFC1532"/>
    </row>
    <row r="1533" spans="1:20 16329:16383" s="38" customFormat="1" ht="29.1" customHeight="1" outlineLevel="6" x14ac:dyDescent="0.25">
      <c r="A1533" s="49" t="s">
        <v>2691</v>
      </c>
      <c r="B1533" s="50"/>
      <c r="C1533" s="50"/>
      <c r="D1533" s="3" t="s">
        <v>2570</v>
      </c>
      <c r="E1533" s="3"/>
      <c r="F1533" s="51"/>
      <c r="G1533" s="50" t="s">
        <v>102</v>
      </c>
      <c r="H1533" s="52">
        <f>1</f>
        <v>1</v>
      </c>
      <c r="I1533" s="36"/>
      <c r="J1533" s="52">
        <v>1</v>
      </c>
      <c r="K1533" s="53">
        <f>0</f>
        <v>0</v>
      </c>
      <c r="L1533" s="53">
        <f>0</f>
        <v>0</v>
      </c>
      <c r="M1533" s="53">
        <f>0</f>
        <v>0</v>
      </c>
      <c r="N1533" s="54">
        <f t="shared" si="274"/>
        <v>0</v>
      </c>
      <c r="O1533" s="54">
        <f t="shared" si="275"/>
        <v>0</v>
      </c>
      <c r="P1533" s="54">
        <f t="shared" si="276"/>
        <v>0</v>
      </c>
      <c r="Q1533" s="54">
        <f t="shared" si="277"/>
        <v>0</v>
      </c>
      <c r="R1533" s="54">
        <f t="shared" si="278"/>
        <v>0</v>
      </c>
      <c r="S1533" s="54"/>
      <c r="T1533" s="36"/>
      <c r="XDA1533"/>
      <c r="XDB1533"/>
      <c r="XDC1533"/>
      <c r="XDD1533"/>
      <c r="XDE1533"/>
      <c r="XDF1533"/>
      <c r="XDG1533"/>
      <c r="XDH1533"/>
      <c r="XDI1533"/>
      <c r="XDJ1533"/>
      <c r="XDK1533"/>
      <c r="XDL1533"/>
      <c r="XDM1533"/>
      <c r="XDN1533"/>
      <c r="XDO1533"/>
      <c r="XDP1533"/>
      <c r="XDQ1533"/>
      <c r="XDR1533"/>
      <c r="XDS1533"/>
      <c r="XDT1533"/>
      <c r="XDU1533"/>
      <c r="XDV1533"/>
      <c r="XDW1533"/>
      <c r="XDX1533"/>
      <c r="XDY1533"/>
      <c r="XDZ1533"/>
      <c r="XEA1533"/>
      <c r="XEB1533"/>
      <c r="XEC1533"/>
      <c r="XED1533"/>
      <c r="XEE1533"/>
      <c r="XEF1533"/>
      <c r="XEG1533"/>
      <c r="XEH1533"/>
      <c r="XEI1533"/>
      <c r="XEJ1533"/>
      <c r="XEK1533"/>
      <c r="XEL1533"/>
      <c r="XEM1533"/>
      <c r="XEN1533"/>
      <c r="XEO1533"/>
      <c r="XEP1533"/>
      <c r="XEQ1533"/>
      <c r="XER1533"/>
      <c r="XES1533"/>
      <c r="XET1533"/>
      <c r="XEU1533"/>
      <c r="XEV1533"/>
      <c r="XEW1533"/>
      <c r="XEX1533"/>
      <c r="XEY1533"/>
      <c r="XEZ1533"/>
      <c r="XFA1533"/>
      <c r="XFB1533"/>
      <c r="XFC1533"/>
    </row>
    <row r="1534" spans="1:20 16329:16383" s="38" customFormat="1" ht="29.1" customHeight="1" outlineLevel="6" x14ac:dyDescent="0.25">
      <c r="A1534" s="49" t="s">
        <v>2692</v>
      </c>
      <c r="B1534" s="50"/>
      <c r="C1534" s="50"/>
      <c r="D1534" s="3" t="s">
        <v>2572</v>
      </c>
      <c r="E1534" s="3"/>
      <c r="F1534" s="51" t="s">
        <v>1960</v>
      </c>
      <c r="G1534" s="50" t="s">
        <v>134</v>
      </c>
      <c r="H1534" s="52">
        <f>1</f>
        <v>1</v>
      </c>
      <c r="I1534" s="36"/>
      <c r="J1534" s="52">
        <v>1</v>
      </c>
      <c r="K1534" s="53">
        <f>0</f>
        <v>0</v>
      </c>
      <c r="L1534" s="53">
        <f>0</f>
        <v>0</v>
      </c>
      <c r="M1534" s="53">
        <f>0</f>
        <v>0</v>
      </c>
      <c r="N1534" s="54">
        <f t="shared" si="274"/>
        <v>0</v>
      </c>
      <c r="O1534" s="54">
        <f t="shared" si="275"/>
        <v>0</v>
      </c>
      <c r="P1534" s="54">
        <f t="shared" si="276"/>
        <v>0</v>
      </c>
      <c r="Q1534" s="54">
        <f t="shared" si="277"/>
        <v>0</v>
      </c>
      <c r="R1534" s="54">
        <f t="shared" si="278"/>
        <v>0</v>
      </c>
      <c r="S1534" s="54"/>
      <c r="T1534" s="36"/>
      <c r="XDA1534"/>
      <c r="XDB1534"/>
      <c r="XDC1534"/>
      <c r="XDD1534"/>
      <c r="XDE1534"/>
      <c r="XDF1534"/>
      <c r="XDG1534"/>
      <c r="XDH1534"/>
      <c r="XDI1534"/>
      <c r="XDJ1534"/>
      <c r="XDK1534"/>
      <c r="XDL1534"/>
      <c r="XDM1534"/>
      <c r="XDN1534"/>
      <c r="XDO1534"/>
      <c r="XDP1534"/>
      <c r="XDQ1534"/>
      <c r="XDR1534"/>
      <c r="XDS1534"/>
      <c r="XDT1534"/>
      <c r="XDU1534"/>
      <c r="XDV1534"/>
      <c r="XDW1534"/>
      <c r="XDX1534"/>
      <c r="XDY1534"/>
      <c r="XDZ1534"/>
      <c r="XEA1534"/>
      <c r="XEB1534"/>
      <c r="XEC1534"/>
      <c r="XED1534"/>
      <c r="XEE1534"/>
      <c r="XEF1534"/>
      <c r="XEG1534"/>
      <c r="XEH1534"/>
      <c r="XEI1534"/>
      <c r="XEJ1534"/>
      <c r="XEK1534"/>
      <c r="XEL1534"/>
      <c r="XEM1534"/>
      <c r="XEN1534"/>
      <c r="XEO1534"/>
      <c r="XEP1534"/>
      <c r="XEQ1534"/>
      <c r="XER1534"/>
      <c r="XES1534"/>
      <c r="XET1534"/>
      <c r="XEU1534"/>
      <c r="XEV1534"/>
      <c r="XEW1534"/>
      <c r="XEX1534"/>
      <c r="XEY1534"/>
      <c r="XEZ1534"/>
      <c r="XFA1534"/>
      <c r="XFB1534"/>
      <c r="XFC1534"/>
    </row>
    <row r="1535" spans="1:20 16329:16383" s="38" customFormat="1" ht="29.1" customHeight="1" outlineLevel="6" x14ac:dyDescent="0.25">
      <c r="A1535" s="49" t="s">
        <v>2693</v>
      </c>
      <c r="B1535" s="50"/>
      <c r="C1535" s="50"/>
      <c r="D1535" s="3" t="s">
        <v>2574</v>
      </c>
      <c r="E1535" s="3"/>
      <c r="F1535" s="51" t="s">
        <v>1960</v>
      </c>
      <c r="G1535" s="50" t="s">
        <v>134</v>
      </c>
      <c r="H1535" s="52">
        <f>1</f>
        <v>1</v>
      </c>
      <c r="I1535" s="36"/>
      <c r="J1535" s="52">
        <v>1</v>
      </c>
      <c r="K1535" s="53">
        <f>0</f>
        <v>0</v>
      </c>
      <c r="L1535" s="53">
        <f>0</f>
        <v>0</v>
      </c>
      <c r="M1535" s="53">
        <f>0</f>
        <v>0</v>
      </c>
      <c r="N1535" s="54">
        <f t="shared" si="274"/>
        <v>0</v>
      </c>
      <c r="O1535" s="54">
        <f t="shared" si="275"/>
        <v>0</v>
      </c>
      <c r="P1535" s="54">
        <f t="shared" si="276"/>
        <v>0</v>
      </c>
      <c r="Q1535" s="54">
        <f t="shared" si="277"/>
        <v>0</v>
      </c>
      <c r="R1535" s="54">
        <f t="shared" si="278"/>
        <v>0</v>
      </c>
      <c r="S1535" s="54"/>
      <c r="T1535" s="36"/>
      <c r="XDA1535"/>
      <c r="XDB1535"/>
      <c r="XDC1535"/>
      <c r="XDD1535"/>
      <c r="XDE1535"/>
      <c r="XDF1535"/>
      <c r="XDG1535"/>
      <c r="XDH1535"/>
      <c r="XDI1535"/>
      <c r="XDJ1535"/>
      <c r="XDK1535"/>
      <c r="XDL1535"/>
      <c r="XDM1535"/>
      <c r="XDN1535"/>
      <c r="XDO1535"/>
      <c r="XDP1535"/>
      <c r="XDQ1535"/>
      <c r="XDR1535"/>
      <c r="XDS1535"/>
      <c r="XDT1535"/>
      <c r="XDU1535"/>
      <c r="XDV1535"/>
      <c r="XDW1535"/>
      <c r="XDX1535"/>
      <c r="XDY1535"/>
      <c r="XDZ1535"/>
      <c r="XEA1535"/>
      <c r="XEB1535"/>
      <c r="XEC1535"/>
      <c r="XED1535"/>
      <c r="XEE1535"/>
      <c r="XEF1535"/>
      <c r="XEG1535"/>
      <c r="XEH1535"/>
      <c r="XEI1535"/>
      <c r="XEJ1535"/>
      <c r="XEK1535"/>
      <c r="XEL1535"/>
      <c r="XEM1535"/>
      <c r="XEN1535"/>
      <c r="XEO1535"/>
      <c r="XEP1535"/>
      <c r="XEQ1535"/>
      <c r="XER1535"/>
      <c r="XES1535"/>
      <c r="XET1535"/>
      <c r="XEU1535"/>
      <c r="XEV1535"/>
      <c r="XEW1535"/>
      <c r="XEX1535"/>
      <c r="XEY1535"/>
      <c r="XEZ1535"/>
      <c r="XFA1535"/>
      <c r="XFB1535"/>
      <c r="XFC1535"/>
    </row>
    <row r="1536" spans="1:20 16329:16383" s="38" customFormat="1" ht="29.1" customHeight="1" outlineLevel="6" x14ac:dyDescent="0.25">
      <c r="A1536" s="49" t="s">
        <v>2694</v>
      </c>
      <c r="B1536" s="50"/>
      <c r="C1536" s="50"/>
      <c r="D1536" s="3" t="s">
        <v>2576</v>
      </c>
      <c r="E1536" s="3"/>
      <c r="F1536" s="51" t="s">
        <v>1960</v>
      </c>
      <c r="G1536" s="50" t="s">
        <v>134</v>
      </c>
      <c r="H1536" s="52">
        <f>1</f>
        <v>1</v>
      </c>
      <c r="I1536" s="36"/>
      <c r="J1536" s="52">
        <v>1</v>
      </c>
      <c r="K1536" s="53">
        <f>0</f>
        <v>0</v>
      </c>
      <c r="L1536" s="53">
        <f>0</f>
        <v>0</v>
      </c>
      <c r="M1536" s="53">
        <f>0</f>
        <v>0</v>
      </c>
      <c r="N1536" s="54">
        <f t="shared" si="274"/>
        <v>0</v>
      </c>
      <c r="O1536" s="54">
        <f t="shared" si="275"/>
        <v>0</v>
      </c>
      <c r="P1536" s="54">
        <f t="shared" si="276"/>
        <v>0</v>
      </c>
      <c r="Q1536" s="54">
        <f t="shared" si="277"/>
        <v>0</v>
      </c>
      <c r="R1536" s="54">
        <f t="shared" si="278"/>
        <v>0</v>
      </c>
      <c r="S1536" s="54"/>
      <c r="T1536" s="36"/>
      <c r="XDA1536"/>
      <c r="XDB1536"/>
      <c r="XDC1536"/>
      <c r="XDD1536"/>
      <c r="XDE1536"/>
      <c r="XDF1536"/>
      <c r="XDG1536"/>
      <c r="XDH1536"/>
      <c r="XDI1536"/>
      <c r="XDJ1536"/>
      <c r="XDK1536"/>
      <c r="XDL1536"/>
      <c r="XDM1536"/>
      <c r="XDN1536"/>
      <c r="XDO1536"/>
      <c r="XDP1536"/>
      <c r="XDQ1536"/>
      <c r="XDR1536"/>
      <c r="XDS1536"/>
      <c r="XDT1536"/>
      <c r="XDU1536"/>
      <c r="XDV1536"/>
      <c r="XDW1536"/>
      <c r="XDX1536"/>
      <c r="XDY1536"/>
      <c r="XDZ1536"/>
      <c r="XEA1536"/>
      <c r="XEB1536"/>
      <c r="XEC1536"/>
      <c r="XED1536"/>
      <c r="XEE1536"/>
      <c r="XEF1536"/>
      <c r="XEG1536"/>
      <c r="XEH1536"/>
      <c r="XEI1536"/>
      <c r="XEJ1536"/>
      <c r="XEK1536"/>
      <c r="XEL1536"/>
      <c r="XEM1536"/>
      <c r="XEN1536"/>
      <c r="XEO1536"/>
      <c r="XEP1536"/>
      <c r="XEQ1536"/>
      <c r="XER1536"/>
      <c r="XES1536"/>
      <c r="XET1536"/>
      <c r="XEU1536"/>
      <c r="XEV1536"/>
      <c r="XEW1536"/>
      <c r="XEX1536"/>
      <c r="XEY1536"/>
      <c r="XEZ1536"/>
      <c r="XFA1536"/>
      <c r="XFB1536"/>
      <c r="XFC1536"/>
    </row>
    <row r="1537" spans="1:20 16329:16383" s="38" customFormat="1" ht="29.1" customHeight="1" outlineLevel="5" x14ac:dyDescent="0.25">
      <c r="A1537" s="65" t="s">
        <v>2695</v>
      </c>
      <c r="B1537" s="66" t="s">
        <v>2696</v>
      </c>
      <c r="C1537" s="66"/>
      <c r="D1537" s="98" t="s">
        <v>1899</v>
      </c>
      <c r="E1537" s="98"/>
      <c r="F1537" s="67"/>
      <c r="G1537" s="66"/>
      <c r="H1537" s="68"/>
      <c r="I1537" s="36"/>
      <c r="J1537" s="68"/>
      <c r="K1537" s="69"/>
      <c r="L1537" s="69"/>
      <c r="M1537" s="69"/>
      <c r="N1537" s="69"/>
      <c r="O1537" s="69">
        <f>SUM(O1538:O1540)</f>
        <v>0</v>
      </c>
      <c r="P1537" s="69">
        <f>SUM(P1538:P1540)</f>
        <v>0</v>
      </c>
      <c r="Q1537" s="69">
        <f>SUM(Q1538:Q1540)</f>
        <v>0</v>
      </c>
      <c r="R1537" s="69">
        <f>SUM(R1538:R1540)</f>
        <v>0</v>
      </c>
      <c r="S1537" s="69"/>
      <c r="T1537" s="36"/>
      <c r="XDA1537"/>
      <c r="XDB1537"/>
      <c r="XDC1537"/>
      <c r="XDD1537"/>
      <c r="XDE1537"/>
      <c r="XDF1537"/>
      <c r="XDG1537"/>
      <c r="XDH1537"/>
      <c r="XDI1537"/>
      <c r="XDJ1537"/>
      <c r="XDK1537"/>
      <c r="XDL1537"/>
      <c r="XDM1537"/>
      <c r="XDN1537"/>
      <c r="XDO1537"/>
      <c r="XDP1537"/>
      <c r="XDQ1537"/>
      <c r="XDR1537"/>
      <c r="XDS1537"/>
      <c r="XDT1537"/>
      <c r="XDU1537"/>
      <c r="XDV1537"/>
      <c r="XDW1537"/>
      <c r="XDX1537"/>
      <c r="XDY1537"/>
      <c r="XDZ1537"/>
      <c r="XEA1537"/>
      <c r="XEB1537"/>
      <c r="XEC1537"/>
      <c r="XED1537"/>
      <c r="XEE1537"/>
      <c r="XEF1537"/>
      <c r="XEG1537"/>
      <c r="XEH1537"/>
      <c r="XEI1537"/>
      <c r="XEJ1537"/>
      <c r="XEK1537"/>
      <c r="XEL1537"/>
      <c r="XEM1537"/>
      <c r="XEN1537"/>
      <c r="XEO1537"/>
      <c r="XEP1537"/>
      <c r="XEQ1537"/>
      <c r="XER1537"/>
      <c r="XES1537"/>
      <c r="XET1537"/>
      <c r="XEU1537"/>
      <c r="XEV1537"/>
      <c r="XEW1537"/>
      <c r="XEX1537"/>
      <c r="XEY1537"/>
      <c r="XEZ1537"/>
      <c r="XFA1537"/>
      <c r="XFB1537"/>
      <c r="XFC1537"/>
    </row>
    <row r="1538" spans="1:20 16329:16383" s="38" customFormat="1" ht="29.1" customHeight="1" outlineLevel="6" x14ac:dyDescent="0.25">
      <c r="A1538" s="49" t="s">
        <v>2697</v>
      </c>
      <c r="B1538" s="50"/>
      <c r="C1538" s="50"/>
      <c r="D1538" s="3" t="s">
        <v>1884</v>
      </c>
      <c r="E1538" s="3"/>
      <c r="F1538" s="51"/>
      <c r="G1538" s="50" t="s">
        <v>102</v>
      </c>
      <c r="H1538" s="52">
        <f>1</f>
        <v>1</v>
      </c>
      <c r="I1538" s="36"/>
      <c r="J1538" s="52">
        <v>1</v>
      </c>
      <c r="K1538" s="53">
        <f>0</f>
        <v>0</v>
      </c>
      <c r="L1538" s="53">
        <f>0</f>
        <v>0</v>
      </c>
      <c r="M1538" s="53">
        <f>0</f>
        <v>0</v>
      </c>
      <c r="N1538" s="54">
        <f>SUM(K1538:M1538)</f>
        <v>0</v>
      </c>
      <c r="O1538" s="54">
        <f>ROUND((H1538*K1538),2)</f>
        <v>0</v>
      </c>
      <c r="P1538" s="54">
        <f>ROUND((H1538*L1538),2)</f>
        <v>0</v>
      </c>
      <c r="Q1538" s="54">
        <f>ROUND((H1538*M1538),2)</f>
        <v>0</v>
      </c>
      <c r="R1538" s="54">
        <f>ROUND((H1538*N1538),2)</f>
        <v>0</v>
      </c>
      <c r="S1538" s="54"/>
      <c r="T1538" s="36"/>
      <c r="XDA1538"/>
      <c r="XDB1538"/>
      <c r="XDC1538"/>
      <c r="XDD1538"/>
      <c r="XDE1538"/>
      <c r="XDF1538"/>
      <c r="XDG1538"/>
      <c r="XDH1538"/>
      <c r="XDI1538"/>
      <c r="XDJ1538"/>
      <c r="XDK1538"/>
      <c r="XDL1538"/>
      <c r="XDM1538"/>
      <c r="XDN1538"/>
      <c r="XDO1538"/>
      <c r="XDP1538"/>
      <c r="XDQ1538"/>
      <c r="XDR1538"/>
      <c r="XDS1538"/>
      <c r="XDT1538"/>
      <c r="XDU1538"/>
      <c r="XDV1538"/>
      <c r="XDW1538"/>
      <c r="XDX1538"/>
      <c r="XDY1538"/>
      <c r="XDZ1538"/>
      <c r="XEA1538"/>
      <c r="XEB1538"/>
      <c r="XEC1538"/>
      <c r="XED1538"/>
      <c r="XEE1538"/>
      <c r="XEF1538"/>
      <c r="XEG1538"/>
      <c r="XEH1538"/>
      <c r="XEI1538"/>
      <c r="XEJ1538"/>
      <c r="XEK1538"/>
      <c r="XEL1538"/>
      <c r="XEM1538"/>
      <c r="XEN1538"/>
      <c r="XEO1538"/>
      <c r="XEP1538"/>
      <c r="XEQ1538"/>
      <c r="XER1538"/>
      <c r="XES1538"/>
      <c r="XET1538"/>
      <c r="XEU1538"/>
      <c r="XEV1538"/>
      <c r="XEW1538"/>
      <c r="XEX1538"/>
      <c r="XEY1538"/>
      <c r="XEZ1538"/>
      <c r="XFA1538"/>
      <c r="XFB1538"/>
      <c r="XFC1538"/>
    </row>
    <row r="1539" spans="1:20 16329:16383" s="38" customFormat="1" ht="29.1" customHeight="1" outlineLevel="6" x14ac:dyDescent="0.25">
      <c r="A1539" s="49" t="s">
        <v>2698</v>
      </c>
      <c r="B1539" s="50"/>
      <c r="C1539" s="50"/>
      <c r="D1539" s="3" t="s">
        <v>2241</v>
      </c>
      <c r="E1539" s="3"/>
      <c r="F1539" s="51"/>
      <c r="G1539" s="50" t="s">
        <v>102</v>
      </c>
      <c r="H1539" s="52">
        <f>1</f>
        <v>1</v>
      </c>
      <c r="I1539" s="36"/>
      <c r="J1539" s="52">
        <v>1</v>
      </c>
      <c r="K1539" s="53">
        <f>0</f>
        <v>0</v>
      </c>
      <c r="L1539" s="53">
        <f>0</f>
        <v>0</v>
      </c>
      <c r="M1539" s="53">
        <f>0</f>
        <v>0</v>
      </c>
      <c r="N1539" s="54">
        <f>SUM(K1539:M1539)</f>
        <v>0</v>
      </c>
      <c r="O1539" s="54">
        <f>ROUND((H1539*K1539),2)</f>
        <v>0</v>
      </c>
      <c r="P1539" s="54">
        <f>ROUND((H1539*L1539),2)</f>
        <v>0</v>
      </c>
      <c r="Q1539" s="54">
        <f>ROUND((H1539*M1539),2)</f>
        <v>0</v>
      </c>
      <c r="R1539" s="54">
        <f>ROUND((H1539*N1539),2)</f>
        <v>0</v>
      </c>
      <c r="S1539" s="54"/>
      <c r="T1539" s="36"/>
      <c r="XDA1539"/>
      <c r="XDB1539"/>
      <c r="XDC1539"/>
      <c r="XDD1539"/>
      <c r="XDE1539"/>
      <c r="XDF1539"/>
      <c r="XDG1539"/>
      <c r="XDH1539"/>
      <c r="XDI1539"/>
      <c r="XDJ1539"/>
      <c r="XDK1539"/>
      <c r="XDL1539"/>
      <c r="XDM1539"/>
      <c r="XDN1539"/>
      <c r="XDO1539"/>
      <c r="XDP1539"/>
      <c r="XDQ1539"/>
      <c r="XDR1539"/>
      <c r="XDS1539"/>
      <c r="XDT1539"/>
      <c r="XDU1539"/>
      <c r="XDV1539"/>
      <c r="XDW1539"/>
      <c r="XDX1539"/>
      <c r="XDY1539"/>
      <c r="XDZ1539"/>
      <c r="XEA1539"/>
      <c r="XEB1539"/>
      <c r="XEC1539"/>
      <c r="XED1539"/>
      <c r="XEE1539"/>
      <c r="XEF1539"/>
      <c r="XEG1539"/>
      <c r="XEH1539"/>
      <c r="XEI1539"/>
      <c r="XEJ1539"/>
      <c r="XEK1539"/>
      <c r="XEL1539"/>
      <c r="XEM1539"/>
      <c r="XEN1539"/>
      <c r="XEO1539"/>
      <c r="XEP1539"/>
      <c r="XEQ1539"/>
      <c r="XER1539"/>
      <c r="XES1539"/>
      <c r="XET1539"/>
      <c r="XEU1539"/>
      <c r="XEV1539"/>
      <c r="XEW1539"/>
      <c r="XEX1539"/>
      <c r="XEY1539"/>
      <c r="XEZ1539"/>
      <c r="XFA1539"/>
      <c r="XFB1539"/>
      <c r="XFC1539"/>
    </row>
    <row r="1540" spans="1:20 16329:16383" s="38" customFormat="1" ht="29.1" customHeight="1" outlineLevel="6" x14ac:dyDescent="0.25">
      <c r="A1540" s="49" t="s">
        <v>2699</v>
      </c>
      <c r="B1540" s="50"/>
      <c r="C1540" s="50"/>
      <c r="D1540" s="3" t="s">
        <v>2582</v>
      </c>
      <c r="E1540" s="3"/>
      <c r="F1540" s="51"/>
      <c r="G1540" s="50" t="s">
        <v>102</v>
      </c>
      <c r="H1540" s="52">
        <f>1</f>
        <v>1</v>
      </c>
      <c r="I1540" s="36"/>
      <c r="J1540" s="52">
        <v>1</v>
      </c>
      <c r="K1540" s="53">
        <f>0</f>
        <v>0</v>
      </c>
      <c r="L1540" s="53">
        <f>0</f>
        <v>0</v>
      </c>
      <c r="M1540" s="53">
        <f>0</f>
        <v>0</v>
      </c>
      <c r="N1540" s="54">
        <f>SUM(K1540:M1540)</f>
        <v>0</v>
      </c>
      <c r="O1540" s="54">
        <f>ROUND((H1540*K1540),2)</f>
        <v>0</v>
      </c>
      <c r="P1540" s="54">
        <f>ROUND((H1540*L1540),2)</f>
        <v>0</v>
      </c>
      <c r="Q1540" s="54">
        <f>ROUND((H1540*M1540),2)</f>
        <v>0</v>
      </c>
      <c r="R1540" s="54">
        <f>ROUND((H1540*N1540),2)</f>
        <v>0</v>
      </c>
      <c r="S1540" s="54"/>
      <c r="T1540" s="36"/>
      <c r="XDA1540"/>
      <c r="XDB1540"/>
      <c r="XDC1540"/>
      <c r="XDD1540"/>
      <c r="XDE1540"/>
      <c r="XDF1540"/>
      <c r="XDG1540"/>
      <c r="XDH1540"/>
      <c r="XDI1540"/>
      <c r="XDJ1540"/>
      <c r="XDK1540"/>
      <c r="XDL1540"/>
      <c r="XDM1540"/>
      <c r="XDN1540"/>
      <c r="XDO1540"/>
      <c r="XDP1540"/>
      <c r="XDQ1540"/>
      <c r="XDR1540"/>
      <c r="XDS1540"/>
      <c r="XDT1540"/>
      <c r="XDU1540"/>
      <c r="XDV1540"/>
      <c r="XDW1540"/>
      <c r="XDX1540"/>
      <c r="XDY1540"/>
      <c r="XDZ1540"/>
      <c r="XEA1540"/>
      <c r="XEB1540"/>
      <c r="XEC1540"/>
      <c r="XED1540"/>
      <c r="XEE1540"/>
      <c r="XEF1540"/>
      <c r="XEG1540"/>
      <c r="XEH1540"/>
      <c r="XEI1540"/>
      <c r="XEJ1540"/>
      <c r="XEK1540"/>
      <c r="XEL1540"/>
      <c r="XEM1540"/>
      <c r="XEN1540"/>
      <c r="XEO1540"/>
      <c r="XEP1540"/>
      <c r="XEQ1540"/>
      <c r="XER1540"/>
      <c r="XES1540"/>
      <c r="XET1540"/>
      <c r="XEU1540"/>
      <c r="XEV1540"/>
      <c r="XEW1540"/>
      <c r="XEX1540"/>
      <c r="XEY1540"/>
      <c r="XEZ1540"/>
      <c r="XFA1540"/>
      <c r="XFB1540"/>
      <c r="XFC1540"/>
    </row>
    <row r="1541" spans="1:20 16329:16383" s="38" customFormat="1" ht="29.1" customHeight="1" outlineLevel="5" x14ac:dyDescent="0.25">
      <c r="A1541" s="65" t="s">
        <v>2700</v>
      </c>
      <c r="B1541" s="66" t="s">
        <v>2701</v>
      </c>
      <c r="C1541" s="66"/>
      <c r="D1541" s="98" t="s">
        <v>1498</v>
      </c>
      <c r="E1541" s="98"/>
      <c r="F1541" s="67"/>
      <c r="G1541" s="66"/>
      <c r="H1541" s="68"/>
      <c r="I1541" s="36"/>
      <c r="J1541" s="68"/>
      <c r="K1541" s="69"/>
      <c r="L1541" s="69"/>
      <c r="M1541" s="69"/>
      <c r="N1541" s="69"/>
      <c r="O1541" s="69">
        <f>SUM(O1542:O1546)</f>
        <v>0</v>
      </c>
      <c r="P1541" s="69">
        <f>SUM(P1542:P1546)</f>
        <v>0</v>
      </c>
      <c r="Q1541" s="69">
        <f>SUM(Q1542:Q1546)</f>
        <v>0</v>
      </c>
      <c r="R1541" s="69">
        <f>SUM(R1542:R1546)</f>
        <v>0</v>
      </c>
      <c r="S1541" s="69"/>
      <c r="T1541" s="36"/>
      <c r="XDA1541"/>
      <c r="XDB1541"/>
      <c r="XDC1541"/>
      <c r="XDD1541"/>
      <c r="XDE1541"/>
      <c r="XDF1541"/>
      <c r="XDG1541"/>
      <c r="XDH1541"/>
      <c r="XDI1541"/>
      <c r="XDJ1541"/>
      <c r="XDK1541"/>
      <c r="XDL1541"/>
      <c r="XDM1541"/>
      <c r="XDN1541"/>
      <c r="XDO1541"/>
      <c r="XDP1541"/>
      <c r="XDQ1541"/>
      <c r="XDR1541"/>
      <c r="XDS1541"/>
      <c r="XDT1541"/>
      <c r="XDU1541"/>
      <c r="XDV1541"/>
      <c r="XDW1541"/>
      <c r="XDX1541"/>
      <c r="XDY1541"/>
      <c r="XDZ1541"/>
      <c r="XEA1541"/>
      <c r="XEB1541"/>
      <c r="XEC1541"/>
      <c r="XED1541"/>
      <c r="XEE1541"/>
      <c r="XEF1541"/>
      <c r="XEG1541"/>
      <c r="XEH1541"/>
      <c r="XEI1541"/>
      <c r="XEJ1541"/>
      <c r="XEK1541"/>
      <c r="XEL1541"/>
      <c r="XEM1541"/>
      <c r="XEN1541"/>
      <c r="XEO1541"/>
      <c r="XEP1541"/>
      <c r="XEQ1541"/>
      <c r="XER1541"/>
      <c r="XES1541"/>
      <c r="XET1541"/>
      <c r="XEU1541"/>
      <c r="XEV1541"/>
      <c r="XEW1541"/>
      <c r="XEX1541"/>
      <c r="XEY1541"/>
      <c r="XEZ1541"/>
      <c r="XFA1541"/>
      <c r="XFB1541"/>
      <c r="XFC1541"/>
    </row>
    <row r="1542" spans="1:20 16329:16383" s="38" customFormat="1" ht="29.1" customHeight="1" outlineLevel="6" x14ac:dyDescent="0.25">
      <c r="A1542" s="49" t="s">
        <v>2702</v>
      </c>
      <c r="B1542" s="50"/>
      <c r="C1542" s="50"/>
      <c r="D1542" s="3" t="s">
        <v>2251</v>
      </c>
      <c r="E1542" s="3"/>
      <c r="F1542" s="51" t="s">
        <v>2252</v>
      </c>
      <c r="G1542" s="50" t="s">
        <v>29</v>
      </c>
      <c r="H1542" s="52">
        <f>1</f>
        <v>1</v>
      </c>
      <c r="I1542" s="36"/>
      <c r="J1542" s="52">
        <v>1</v>
      </c>
      <c r="K1542" s="53">
        <f>0</f>
        <v>0</v>
      </c>
      <c r="L1542" s="53">
        <f>0</f>
        <v>0</v>
      </c>
      <c r="M1542" s="53">
        <f>0</f>
        <v>0</v>
      </c>
      <c r="N1542" s="54">
        <f>SUM(K1542:M1542)</f>
        <v>0</v>
      </c>
      <c r="O1542" s="54">
        <f>ROUND((H1542*K1542),2)</f>
        <v>0</v>
      </c>
      <c r="P1542" s="54">
        <f>ROUND((H1542*L1542),2)</f>
        <v>0</v>
      </c>
      <c r="Q1542" s="54">
        <f>ROUND((H1542*M1542),2)</f>
        <v>0</v>
      </c>
      <c r="R1542" s="54">
        <f>ROUND((H1542*N1542),2)</f>
        <v>0</v>
      </c>
      <c r="S1542" s="54"/>
      <c r="T1542" s="36"/>
      <c r="XDA1542"/>
      <c r="XDB1542"/>
      <c r="XDC1542"/>
      <c r="XDD1542"/>
      <c r="XDE1542"/>
      <c r="XDF1542"/>
      <c r="XDG1542"/>
      <c r="XDH1542"/>
      <c r="XDI1542"/>
      <c r="XDJ1542"/>
      <c r="XDK1542"/>
      <c r="XDL1542"/>
      <c r="XDM1542"/>
      <c r="XDN1542"/>
      <c r="XDO1542"/>
      <c r="XDP1542"/>
      <c r="XDQ1542"/>
      <c r="XDR1542"/>
      <c r="XDS1542"/>
      <c r="XDT1542"/>
      <c r="XDU1542"/>
      <c r="XDV1542"/>
      <c r="XDW1542"/>
      <c r="XDX1542"/>
      <c r="XDY1542"/>
      <c r="XDZ1542"/>
      <c r="XEA1542"/>
      <c r="XEB1542"/>
      <c r="XEC1542"/>
      <c r="XED1542"/>
      <c r="XEE1542"/>
      <c r="XEF1542"/>
      <c r="XEG1542"/>
      <c r="XEH1542"/>
      <c r="XEI1542"/>
      <c r="XEJ1542"/>
      <c r="XEK1542"/>
      <c r="XEL1542"/>
      <c r="XEM1542"/>
      <c r="XEN1542"/>
      <c r="XEO1542"/>
      <c r="XEP1542"/>
      <c r="XEQ1542"/>
      <c r="XER1542"/>
      <c r="XES1542"/>
      <c r="XET1542"/>
      <c r="XEU1542"/>
      <c r="XEV1542"/>
      <c r="XEW1542"/>
      <c r="XEX1542"/>
      <c r="XEY1542"/>
      <c r="XEZ1542"/>
      <c r="XFA1542"/>
      <c r="XFB1542"/>
      <c r="XFC1542"/>
    </row>
    <row r="1543" spans="1:20 16329:16383" s="38" customFormat="1" ht="29.1" customHeight="1" outlineLevel="6" x14ac:dyDescent="0.25">
      <c r="A1543" s="49" t="s">
        <v>2703</v>
      </c>
      <c r="B1543" s="50"/>
      <c r="C1543" s="50"/>
      <c r="D1543" s="3" t="s">
        <v>2260</v>
      </c>
      <c r="E1543" s="3"/>
      <c r="F1543" s="51" t="s">
        <v>2252</v>
      </c>
      <c r="G1543" s="50" t="s">
        <v>29</v>
      </c>
      <c r="H1543" s="52">
        <f>1</f>
        <v>1</v>
      </c>
      <c r="I1543" s="36"/>
      <c r="J1543" s="52">
        <v>1</v>
      </c>
      <c r="K1543" s="53">
        <f>0</f>
        <v>0</v>
      </c>
      <c r="L1543" s="53">
        <f>0</f>
        <v>0</v>
      </c>
      <c r="M1543" s="53">
        <f>0</f>
        <v>0</v>
      </c>
      <c r="N1543" s="54">
        <f>SUM(K1543:M1543)</f>
        <v>0</v>
      </c>
      <c r="O1543" s="54">
        <f>ROUND((H1543*K1543),2)</f>
        <v>0</v>
      </c>
      <c r="P1543" s="54">
        <f>ROUND((H1543*L1543),2)</f>
        <v>0</v>
      </c>
      <c r="Q1543" s="54">
        <f>ROUND((H1543*M1543),2)</f>
        <v>0</v>
      </c>
      <c r="R1543" s="54">
        <f>ROUND((H1543*N1543),2)</f>
        <v>0</v>
      </c>
      <c r="S1543" s="54"/>
      <c r="T1543" s="36"/>
      <c r="XDA1543"/>
      <c r="XDB1543"/>
      <c r="XDC1543"/>
      <c r="XDD1543"/>
      <c r="XDE1543"/>
      <c r="XDF1543"/>
      <c r="XDG1543"/>
      <c r="XDH1543"/>
      <c r="XDI1543"/>
      <c r="XDJ1543"/>
      <c r="XDK1543"/>
      <c r="XDL1543"/>
      <c r="XDM1543"/>
      <c r="XDN1543"/>
      <c r="XDO1543"/>
      <c r="XDP1543"/>
      <c r="XDQ1543"/>
      <c r="XDR1543"/>
      <c r="XDS1543"/>
      <c r="XDT1543"/>
      <c r="XDU1543"/>
      <c r="XDV1543"/>
      <c r="XDW1543"/>
      <c r="XDX1543"/>
      <c r="XDY1543"/>
      <c r="XDZ1543"/>
      <c r="XEA1543"/>
      <c r="XEB1543"/>
      <c r="XEC1543"/>
      <c r="XED1543"/>
      <c r="XEE1543"/>
      <c r="XEF1543"/>
      <c r="XEG1543"/>
      <c r="XEH1543"/>
      <c r="XEI1543"/>
      <c r="XEJ1543"/>
      <c r="XEK1543"/>
      <c r="XEL1543"/>
      <c r="XEM1543"/>
      <c r="XEN1543"/>
      <c r="XEO1543"/>
      <c r="XEP1543"/>
      <c r="XEQ1543"/>
      <c r="XER1543"/>
      <c r="XES1543"/>
      <c r="XET1543"/>
      <c r="XEU1543"/>
      <c r="XEV1543"/>
      <c r="XEW1543"/>
      <c r="XEX1543"/>
      <c r="XEY1543"/>
      <c r="XEZ1543"/>
      <c r="XFA1543"/>
      <c r="XFB1543"/>
      <c r="XFC1543"/>
    </row>
    <row r="1544" spans="1:20 16329:16383" s="38" customFormat="1" ht="29.1" customHeight="1" outlineLevel="6" x14ac:dyDescent="0.25">
      <c r="A1544" s="49" t="s">
        <v>2704</v>
      </c>
      <c r="B1544" s="50"/>
      <c r="C1544" s="50"/>
      <c r="D1544" s="3" t="s">
        <v>2258</v>
      </c>
      <c r="E1544" s="3"/>
      <c r="F1544" s="51" t="s">
        <v>2252</v>
      </c>
      <c r="G1544" s="50" t="s">
        <v>29</v>
      </c>
      <c r="H1544" s="52">
        <f>1</f>
        <v>1</v>
      </c>
      <c r="I1544" s="36"/>
      <c r="J1544" s="52">
        <v>1</v>
      </c>
      <c r="K1544" s="53">
        <f>0</f>
        <v>0</v>
      </c>
      <c r="L1544" s="53">
        <f>0</f>
        <v>0</v>
      </c>
      <c r="M1544" s="53">
        <f>0</f>
        <v>0</v>
      </c>
      <c r="N1544" s="54">
        <f>SUM(K1544:M1544)</f>
        <v>0</v>
      </c>
      <c r="O1544" s="54">
        <f>ROUND((H1544*K1544),2)</f>
        <v>0</v>
      </c>
      <c r="P1544" s="54">
        <f>ROUND((H1544*L1544),2)</f>
        <v>0</v>
      </c>
      <c r="Q1544" s="54">
        <f>ROUND((H1544*M1544),2)</f>
        <v>0</v>
      </c>
      <c r="R1544" s="54">
        <f>ROUND((H1544*N1544),2)</f>
        <v>0</v>
      </c>
      <c r="S1544" s="54"/>
      <c r="T1544" s="36"/>
      <c r="XDA1544"/>
      <c r="XDB1544"/>
      <c r="XDC1544"/>
      <c r="XDD1544"/>
      <c r="XDE1544"/>
      <c r="XDF1544"/>
      <c r="XDG1544"/>
      <c r="XDH1544"/>
      <c r="XDI1544"/>
      <c r="XDJ1544"/>
      <c r="XDK1544"/>
      <c r="XDL1544"/>
      <c r="XDM1544"/>
      <c r="XDN1544"/>
      <c r="XDO1544"/>
      <c r="XDP1544"/>
      <c r="XDQ1544"/>
      <c r="XDR1544"/>
      <c r="XDS1544"/>
      <c r="XDT1544"/>
      <c r="XDU1544"/>
      <c r="XDV1544"/>
      <c r="XDW1544"/>
      <c r="XDX1544"/>
      <c r="XDY1544"/>
      <c r="XDZ1544"/>
      <c r="XEA1544"/>
      <c r="XEB1544"/>
      <c r="XEC1544"/>
      <c r="XED1544"/>
      <c r="XEE1544"/>
      <c r="XEF1544"/>
      <c r="XEG1544"/>
      <c r="XEH1544"/>
      <c r="XEI1544"/>
      <c r="XEJ1544"/>
      <c r="XEK1544"/>
      <c r="XEL1544"/>
      <c r="XEM1544"/>
      <c r="XEN1544"/>
      <c r="XEO1544"/>
      <c r="XEP1544"/>
      <c r="XEQ1544"/>
      <c r="XER1544"/>
      <c r="XES1544"/>
      <c r="XET1544"/>
      <c r="XEU1544"/>
      <c r="XEV1544"/>
      <c r="XEW1544"/>
      <c r="XEX1544"/>
      <c r="XEY1544"/>
      <c r="XEZ1544"/>
      <c r="XFA1544"/>
      <c r="XFB1544"/>
      <c r="XFC1544"/>
    </row>
    <row r="1545" spans="1:20 16329:16383" s="38" customFormat="1" ht="29.1" customHeight="1" outlineLevel="6" x14ac:dyDescent="0.25">
      <c r="A1545" s="49" t="s">
        <v>2705</v>
      </c>
      <c r="B1545" s="50"/>
      <c r="C1545" s="50"/>
      <c r="D1545" s="3" t="s">
        <v>2324</v>
      </c>
      <c r="E1545" s="3"/>
      <c r="F1545" s="51" t="s">
        <v>2252</v>
      </c>
      <c r="G1545" s="50" t="s">
        <v>29</v>
      </c>
      <c r="H1545" s="52">
        <f>1</f>
        <v>1</v>
      </c>
      <c r="I1545" s="36"/>
      <c r="J1545" s="52">
        <v>1</v>
      </c>
      <c r="K1545" s="53">
        <f>0</f>
        <v>0</v>
      </c>
      <c r="L1545" s="53">
        <f>0</f>
        <v>0</v>
      </c>
      <c r="M1545" s="53">
        <f>0</f>
        <v>0</v>
      </c>
      <c r="N1545" s="54">
        <f>SUM(K1545:M1545)</f>
        <v>0</v>
      </c>
      <c r="O1545" s="54">
        <f>ROUND((H1545*K1545),2)</f>
        <v>0</v>
      </c>
      <c r="P1545" s="54">
        <f>ROUND((H1545*L1545),2)</f>
        <v>0</v>
      </c>
      <c r="Q1545" s="54">
        <f>ROUND((H1545*M1545),2)</f>
        <v>0</v>
      </c>
      <c r="R1545" s="54">
        <f>ROUND((H1545*N1545),2)</f>
        <v>0</v>
      </c>
      <c r="S1545" s="54"/>
      <c r="T1545" s="36"/>
      <c r="XDA1545"/>
      <c r="XDB1545"/>
      <c r="XDC1545"/>
      <c r="XDD1545"/>
      <c r="XDE1545"/>
      <c r="XDF1545"/>
      <c r="XDG1545"/>
      <c r="XDH1545"/>
      <c r="XDI1545"/>
      <c r="XDJ1545"/>
      <c r="XDK1545"/>
      <c r="XDL1545"/>
      <c r="XDM1545"/>
      <c r="XDN1545"/>
      <c r="XDO1545"/>
      <c r="XDP1545"/>
      <c r="XDQ1545"/>
      <c r="XDR1545"/>
      <c r="XDS1545"/>
      <c r="XDT1545"/>
      <c r="XDU1545"/>
      <c r="XDV1545"/>
      <c r="XDW1545"/>
      <c r="XDX1545"/>
      <c r="XDY1545"/>
      <c r="XDZ1545"/>
      <c r="XEA1545"/>
      <c r="XEB1545"/>
      <c r="XEC1545"/>
      <c r="XED1545"/>
      <c r="XEE1545"/>
      <c r="XEF1545"/>
      <c r="XEG1545"/>
      <c r="XEH1545"/>
      <c r="XEI1545"/>
      <c r="XEJ1545"/>
      <c r="XEK1545"/>
      <c r="XEL1545"/>
      <c r="XEM1545"/>
      <c r="XEN1545"/>
      <c r="XEO1545"/>
      <c r="XEP1545"/>
      <c r="XEQ1545"/>
      <c r="XER1545"/>
      <c r="XES1545"/>
      <c r="XET1545"/>
      <c r="XEU1545"/>
      <c r="XEV1545"/>
      <c r="XEW1545"/>
      <c r="XEX1545"/>
      <c r="XEY1545"/>
      <c r="XEZ1545"/>
      <c r="XFA1545"/>
      <c r="XFB1545"/>
      <c r="XFC1545"/>
    </row>
    <row r="1546" spans="1:20 16329:16383" s="38" customFormat="1" ht="29.1" customHeight="1" outlineLevel="6" x14ac:dyDescent="0.25">
      <c r="A1546" s="49" t="s">
        <v>2706</v>
      </c>
      <c r="B1546" s="50"/>
      <c r="C1546" s="50"/>
      <c r="D1546" s="3" t="s">
        <v>2326</v>
      </c>
      <c r="E1546" s="3"/>
      <c r="F1546" s="51" t="s">
        <v>2252</v>
      </c>
      <c r="G1546" s="50" t="s">
        <v>29</v>
      </c>
      <c r="H1546" s="52">
        <f>1</f>
        <v>1</v>
      </c>
      <c r="I1546" s="36"/>
      <c r="J1546" s="52">
        <v>1</v>
      </c>
      <c r="K1546" s="53">
        <f>0</f>
        <v>0</v>
      </c>
      <c r="L1546" s="53">
        <f>0</f>
        <v>0</v>
      </c>
      <c r="M1546" s="53">
        <f>0</f>
        <v>0</v>
      </c>
      <c r="N1546" s="54">
        <f>SUM(K1546:M1546)</f>
        <v>0</v>
      </c>
      <c r="O1546" s="54">
        <f>ROUND((H1546*K1546),2)</f>
        <v>0</v>
      </c>
      <c r="P1546" s="54">
        <f>ROUND((H1546*L1546),2)</f>
        <v>0</v>
      </c>
      <c r="Q1546" s="54">
        <f>ROUND((H1546*M1546),2)</f>
        <v>0</v>
      </c>
      <c r="R1546" s="54">
        <f>ROUND((H1546*N1546),2)</f>
        <v>0</v>
      </c>
      <c r="S1546" s="54"/>
      <c r="T1546" s="36"/>
      <c r="XDA1546"/>
      <c r="XDB1546"/>
      <c r="XDC1546"/>
      <c r="XDD1546"/>
      <c r="XDE1546"/>
      <c r="XDF1546"/>
      <c r="XDG1546"/>
      <c r="XDH1546"/>
      <c r="XDI1546"/>
      <c r="XDJ1546"/>
      <c r="XDK1546"/>
      <c r="XDL1546"/>
      <c r="XDM1546"/>
      <c r="XDN1546"/>
      <c r="XDO1546"/>
      <c r="XDP1546"/>
      <c r="XDQ1546"/>
      <c r="XDR1546"/>
      <c r="XDS1546"/>
      <c r="XDT1546"/>
      <c r="XDU1546"/>
      <c r="XDV1546"/>
      <c r="XDW1546"/>
      <c r="XDX1546"/>
      <c r="XDY1546"/>
      <c r="XDZ1546"/>
      <c r="XEA1546"/>
      <c r="XEB1546"/>
      <c r="XEC1546"/>
      <c r="XED1546"/>
      <c r="XEE1546"/>
      <c r="XEF1546"/>
      <c r="XEG1546"/>
      <c r="XEH1546"/>
      <c r="XEI1546"/>
      <c r="XEJ1546"/>
      <c r="XEK1546"/>
      <c r="XEL1546"/>
      <c r="XEM1546"/>
      <c r="XEN1546"/>
      <c r="XEO1546"/>
      <c r="XEP1546"/>
      <c r="XEQ1546"/>
      <c r="XER1546"/>
      <c r="XES1546"/>
      <c r="XET1546"/>
      <c r="XEU1546"/>
      <c r="XEV1546"/>
      <c r="XEW1546"/>
      <c r="XEX1546"/>
      <c r="XEY1546"/>
      <c r="XEZ1546"/>
      <c r="XFA1546"/>
      <c r="XFB1546"/>
      <c r="XFC1546"/>
    </row>
    <row r="1547" spans="1:20 16329:16383" s="38" customFormat="1" ht="29.1" customHeight="1" outlineLevel="4" x14ac:dyDescent="0.25">
      <c r="A1547" s="60" t="s">
        <v>2707</v>
      </c>
      <c r="B1547" s="61" t="s">
        <v>2708</v>
      </c>
      <c r="C1547" s="61" t="s">
        <v>2382</v>
      </c>
      <c r="D1547" s="1" t="s">
        <v>2592</v>
      </c>
      <c r="E1547" s="1"/>
      <c r="F1547" s="62"/>
      <c r="G1547" s="61" t="s">
        <v>102</v>
      </c>
      <c r="H1547" s="63"/>
      <c r="I1547" s="36"/>
      <c r="J1547" s="63"/>
      <c r="K1547" s="64"/>
      <c r="L1547" s="64"/>
      <c r="M1547" s="64"/>
      <c r="N1547" s="64"/>
      <c r="O1547" s="64">
        <f>O1548+O1557+O1564+O1573</f>
        <v>0</v>
      </c>
      <c r="P1547" s="64">
        <f>P1548+P1557+P1564+P1573</f>
        <v>0</v>
      </c>
      <c r="Q1547" s="64">
        <f>Q1548+Q1557+Q1564+Q1573</f>
        <v>0</v>
      </c>
      <c r="R1547" s="64">
        <f>R1548+R1557+R1564+R1573</f>
        <v>0</v>
      </c>
      <c r="S1547" s="64"/>
      <c r="T1547" s="36"/>
      <c r="XDA1547"/>
      <c r="XDB1547"/>
      <c r="XDC1547"/>
      <c r="XDD1547"/>
      <c r="XDE1547"/>
      <c r="XDF1547"/>
      <c r="XDG1547"/>
      <c r="XDH1547"/>
      <c r="XDI1547"/>
      <c r="XDJ1547"/>
      <c r="XDK1547"/>
      <c r="XDL1547"/>
      <c r="XDM1547"/>
      <c r="XDN1547"/>
      <c r="XDO1547"/>
      <c r="XDP1547"/>
      <c r="XDQ1547"/>
      <c r="XDR1547"/>
      <c r="XDS1547"/>
      <c r="XDT1547"/>
      <c r="XDU1547"/>
      <c r="XDV1547"/>
      <c r="XDW1547"/>
      <c r="XDX1547"/>
      <c r="XDY1547"/>
      <c r="XDZ1547"/>
      <c r="XEA1547"/>
      <c r="XEB1547"/>
      <c r="XEC1547"/>
      <c r="XED1547"/>
      <c r="XEE1547"/>
      <c r="XEF1547"/>
      <c r="XEG1547"/>
      <c r="XEH1547"/>
      <c r="XEI1547"/>
      <c r="XEJ1547"/>
      <c r="XEK1547"/>
      <c r="XEL1547"/>
      <c r="XEM1547"/>
      <c r="XEN1547"/>
      <c r="XEO1547"/>
      <c r="XEP1547"/>
      <c r="XEQ1547"/>
      <c r="XER1547"/>
      <c r="XES1547"/>
      <c r="XET1547"/>
      <c r="XEU1547"/>
      <c r="XEV1547"/>
      <c r="XEW1547"/>
      <c r="XEX1547"/>
      <c r="XEY1547"/>
      <c r="XEZ1547"/>
      <c r="XFA1547"/>
      <c r="XFB1547"/>
      <c r="XFC1547"/>
    </row>
    <row r="1548" spans="1:20 16329:16383" s="38" customFormat="1" ht="29.1" customHeight="1" outlineLevel="5" x14ac:dyDescent="0.25">
      <c r="A1548" s="65" t="s">
        <v>2709</v>
      </c>
      <c r="B1548" s="66" t="s">
        <v>2710</v>
      </c>
      <c r="C1548" s="66"/>
      <c r="D1548" s="98" t="s">
        <v>1873</v>
      </c>
      <c r="E1548" s="98"/>
      <c r="F1548" s="67"/>
      <c r="G1548" s="66"/>
      <c r="H1548" s="68"/>
      <c r="I1548" s="36"/>
      <c r="J1548" s="68"/>
      <c r="K1548" s="69"/>
      <c r="L1548" s="69"/>
      <c r="M1548" s="69"/>
      <c r="N1548" s="69"/>
      <c r="O1548" s="69">
        <f>SUM(O1549:O1556)</f>
        <v>0</v>
      </c>
      <c r="P1548" s="69">
        <f>SUM(P1549:P1556)</f>
        <v>0</v>
      </c>
      <c r="Q1548" s="69">
        <f>SUM(Q1549:Q1556)</f>
        <v>0</v>
      </c>
      <c r="R1548" s="69">
        <f>SUM(R1549:R1556)</f>
        <v>0</v>
      </c>
      <c r="S1548" s="69"/>
      <c r="T1548" s="36"/>
      <c r="XDA1548"/>
      <c r="XDB1548"/>
      <c r="XDC1548"/>
      <c r="XDD1548"/>
      <c r="XDE1548"/>
      <c r="XDF1548"/>
      <c r="XDG1548"/>
      <c r="XDH1548"/>
      <c r="XDI1548"/>
      <c r="XDJ1548"/>
      <c r="XDK1548"/>
      <c r="XDL1548"/>
      <c r="XDM1548"/>
      <c r="XDN1548"/>
      <c r="XDO1548"/>
      <c r="XDP1548"/>
      <c r="XDQ1548"/>
      <c r="XDR1548"/>
      <c r="XDS1548"/>
      <c r="XDT1548"/>
      <c r="XDU1548"/>
      <c r="XDV1548"/>
      <c r="XDW1548"/>
      <c r="XDX1548"/>
      <c r="XDY1548"/>
      <c r="XDZ1548"/>
      <c r="XEA1548"/>
      <c r="XEB1548"/>
      <c r="XEC1548"/>
      <c r="XED1548"/>
      <c r="XEE1548"/>
      <c r="XEF1548"/>
      <c r="XEG1548"/>
      <c r="XEH1548"/>
      <c r="XEI1548"/>
      <c r="XEJ1548"/>
      <c r="XEK1548"/>
      <c r="XEL1548"/>
      <c r="XEM1548"/>
      <c r="XEN1548"/>
      <c r="XEO1548"/>
      <c r="XEP1548"/>
      <c r="XEQ1548"/>
      <c r="XER1548"/>
      <c r="XES1548"/>
      <c r="XET1548"/>
      <c r="XEU1548"/>
      <c r="XEV1548"/>
      <c r="XEW1548"/>
      <c r="XEX1548"/>
      <c r="XEY1548"/>
      <c r="XEZ1548"/>
      <c r="XFA1548"/>
      <c r="XFB1548"/>
      <c r="XFC1548"/>
    </row>
    <row r="1549" spans="1:20 16329:16383" s="38" customFormat="1" ht="29.1" customHeight="1" outlineLevel="6" x14ac:dyDescent="0.25">
      <c r="A1549" s="49" t="s">
        <v>2711</v>
      </c>
      <c r="B1549" s="50"/>
      <c r="C1549" s="50"/>
      <c r="D1549" s="3" t="s">
        <v>2387</v>
      </c>
      <c r="E1549" s="3"/>
      <c r="F1549" s="51"/>
      <c r="G1549" s="50" t="s">
        <v>102</v>
      </c>
      <c r="H1549" s="52">
        <f>1</f>
        <v>1</v>
      </c>
      <c r="I1549" s="36"/>
      <c r="J1549" s="52">
        <v>1</v>
      </c>
      <c r="K1549" s="53">
        <f>0</f>
        <v>0</v>
      </c>
      <c r="L1549" s="53">
        <f>0</f>
        <v>0</v>
      </c>
      <c r="M1549" s="53">
        <f>0</f>
        <v>0</v>
      </c>
      <c r="N1549" s="54">
        <f t="shared" ref="N1549:N1556" si="279">SUM(K1549:M1549)</f>
        <v>0</v>
      </c>
      <c r="O1549" s="54">
        <f t="shared" ref="O1549:O1556" si="280">ROUND((H1549*K1549),2)</f>
        <v>0</v>
      </c>
      <c r="P1549" s="54">
        <f t="shared" ref="P1549:P1556" si="281">ROUND((H1549*L1549),2)</f>
        <v>0</v>
      </c>
      <c r="Q1549" s="54">
        <f t="shared" ref="Q1549:Q1556" si="282">ROUND((H1549*M1549),2)</f>
        <v>0</v>
      </c>
      <c r="R1549" s="54">
        <f t="shared" ref="R1549:R1556" si="283">ROUND((H1549*N1549),2)</f>
        <v>0</v>
      </c>
      <c r="S1549" s="54"/>
      <c r="T1549" s="36"/>
      <c r="XDA1549"/>
      <c r="XDB1549"/>
      <c r="XDC1549"/>
      <c r="XDD1549"/>
      <c r="XDE1549"/>
      <c r="XDF1549"/>
      <c r="XDG1549"/>
      <c r="XDH1549"/>
      <c r="XDI1549"/>
      <c r="XDJ1549"/>
      <c r="XDK1549"/>
      <c r="XDL1549"/>
      <c r="XDM1549"/>
      <c r="XDN1549"/>
      <c r="XDO1549"/>
      <c r="XDP1549"/>
      <c r="XDQ1549"/>
      <c r="XDR1549"/>
      <c r="XDS1549"/>
      <c r="XDT1549"/>
      <c r="XDU1549"/>
      <c r="XDV1549"/>
      <c r="XDW1549"/>
      <c r="XDX1549"/>
      <c r="XDY1549"/>
      <c r="XDZ1549"/>
      <c r="XEA1549"/>
      <c r="XEB1549"/>
      <c r="XEC1549"/>
      <c r="XED1549"/>
      <c r="XEE1549"/>
      <c r="XEF1549"/>
      <c r="XEG1549"/>
      <c r="XEH1549"/>
      <c r="XEI1549"/>
      <c r="XEJ1549"/>
      <c r="XEK1549"/>
      <c r="XEL1549"/>
      <c r="XEM1549"/>
      <c r="XEN1549"/>
      <c r="XEO1549"/>
      <c r="XEP1549"/>
      <c r="XEQ1549"/>
      <c r="XER1549"/>
      <c r="XES1549"/>
      <c r="XET1549"/>
      <c r="XEU1549"/>
      <c r="XEV1549"/>
      <c r="XEW1549"/>
      <c r="XEX1549"/>
      <c r="XEY1549"/>
      <c r="XEZ1549"/>
      <c r="XFA1549"/>
      <c r="XFB1549"/>
      <c r="XFC1549"/>
    </row>
    <row r="1550" spans="1:20 16329:16383" s="38" customFormat="1" ht="29.1" customHeight="1" outlineLevel="6" x14ac:dyDescent="0.25">
      <c r="A1550" s="49" t="s">
        <v>2712</v>
      </c>
      <c r="B1550" s="50"/>
      <c r="C1550" s="50"/>
      <c r="D1550" s="3" t="s">
        <v>1875</v>
      </c>
      <c r="E1550" s="3"/>
      <c r="F1550" s="51"/>
      <c r="G1550" s="50" t="s">
        <v>102</v>
      </c>
      <c r="H1550" s="52">
        <f>1</f>
        <v>1</v>
      </c>
      <c r="I1550" s="36"/>
      <c r="J1550" s="52">
        <v>1</v>
      </c>
      <c r="K1550" s="53">
        <f>0</f>
        <v>0</v>
      </c>
      <c r="L1550" s="53">
        <f>0</f>
        <v>0</v>
      </c>
      <c r="M1550" s="53">
        <f>0</f>
        <v>0</v>
      </c>
      <c r="N1550" s="54">
        <f t="shared" si="279"/>
        <v>0</v>
      </c>
      <c r="O1550" s="54">
        <f t="shared" si="280"/>
        <v>0</v>
      </c>
      <c r="P1550" s="54">
        <f t="shared" si="281"/>
        <v>0</v>
      </c>
      <c r="Q1550" s="54">
        <f t="shared" si="282"/>
        <v>0</v>
      </c>
      <c r="R1550" s="54">
        <f t="shared" si="283"/>
        <v>0</v>
      </c>
      <c r="S1550" s="54"/>
      <c r="T1550" s="36"/>
      <c r="XDA1550"/>
      <c r="XDB1550"/>
      <c r="XDC1550"/>
      <c r="XDD1550"/>
      <c r="XDE1550"/>
      <c r="XDF1550"/>
      <c r="XDG1550"/>
      <c r="XDH1550"/>
      <c r="XDI1550"/>
      <c r="XDJ1550"/>
      <c r="XDK1550"/>
      <c r="XDL1550"/>
      <c r="XDM1550"/>
      <c r="XDN1550"/>
      <c r="XDO1550"/>
      <c r="XDP1550"/>
      <c r="XDQ1550"/>
      <c r="XDR1550"/>
      <c r="XDS1550"/>
      <c r="XDT1550"/>
      <c r="XDU1550"/>
      <c r="XDV1550"/>
      <c r="XDW1550"/>
      <c r="XDX1550"/>
      <c r="XDY1550"/>
      <c r="XDZ1550"/>
      <c r="XEA1550"/>
      <c r="XEB1550"/>
      <c r="XEC1550"/>
      <c r="XED1550"/>
      <c r="XEE1550"/>
      <c r="XEF1550"/>
      <c r="XEG1550"/>
      <c r="XEH1550"/>
      <c r="XEI1550"/>
      <c r="XEJ1550"/>
      <c r="XEK1550"/>
      <c r="XEL1550"/>
      <c r="XEM1550"/>
      <c r="XEN1550"/>
      <c r="XEO1550"/>
      <c r="XEP1550"/>
      <c r="XEQ1550"/>
      <c r="XER1550"/>
      <c r="XES1550"/>
      <c r="XET1550"/>
      <c r="XEU1550"/>
      <c r="XEV1550"/>
      <c r="XEW1550"/>
      <c r="XEX1550"/>
      <c r="XEY1550"/>
      <c r="XEZ1550"/>
      <c r="XFA1550"/>
      <c r="XFB1550"/>
      <c r="XFC1550"/>
    </row>
    <row r="1551" spans="1:20 16329:16383" s="38" customFormat="1" ht="29.1" customHeight="1" outlineLevel="6" x14ac:dyDescent="0.25">
      <c r="A1551" s="49" t="s">
        <v>2713</v>
      </c>
      <c r="B1551" s="50"/>
      <c r="C1551" s="50"/>
      <c r="D1551" s="3" t="s">
        <v>2390</v>
      </c>
      <c r="E1551" s="3"/>
      <c r="F1551" s="51"/>
      <c r="G1551" s="50" t="s">
        <v>102</v>
      </c>
      <c r="H1551" s="52">
        <f>1</f>
        <v>1</v>
      </c>
      <c r="I1551" s="36"/>
      <c r="J1551" s="52">
        <v>1</v>
      </c>
      <c r="K1551" s="53">
        <f>0</f>
        <v>0</v>
      </c>
      <c r="L1551" s="53">
        <f>0</f>
        <v>0</v>
      </c>
      <c r="M1551" s="53">
        <f>0</f>
        <v>0</v>
      </c>
      <c r="N1551" s="54">
        <f t="shared" si="279"/>
        <v>0</v>
      </c>
      <c r="O1551" s="54">
        <f t="shared" si="280"/>
        <v>0</v>
      </c>
      <c r="P1551" s="54">
        <f t="shared" si="281"/>
        <v>0</v>
      </c>
      <c r="Q1551" s="54">
        <f t="shared" si="282"/>
        <v>0</v>
      </c>
      <c r="R1551" s="54">
        <f t="shared" si="283"/>
        <v>0</v>
      </c>
      <c r="S1551" s="54"/>
      <c r="T1551" s="36"/>
      <c r="XDA1551"/>
      <c r="XDB1551"/>
      <c r="XDC1551"/>
      <c r="XDD1551"/>
      <c r="XDE1551"/>
      <c r="XDF1551"/>
      <c r="XDG1551"/>
      <c r="XDH1551"/>
      <c r="XDI1551"/>
      <c r="XDJ1551"/>
      <c r="XDK1551"/>
      <c r="XDL1551"/>
      <c r="XDM1551"/>
      <c r="XDN1551"/>
      <c r="XDO1551"/>
      <c r="XDP1551"/>
      <c r="XDQ1551"/>
      <c r="XDR1551"/>
      <c r="XDS1551"/>
      <c r="XDT1551"/>
      <c r="XDU1551"/>
      <c r="XDV1551"/>
      <c r="XDW1551"/>
      <c r="XDX1551"/>
      <c r="XDY1551"/>
      <c r="XDZ1551"/>
      <c r="XEA1551"/>
      <c r="XEB1551"/>
      <c r="XEC1551"/>
      <c r="XED1551"/>
      <c r="XEE1551"/>
      <c r="XEF1551"/>
      <c r="XEG1551"/>
      <c r="XEH1551"/>
      <c r="XEI1551"/>
      <c r="XEJ1551"/>
      <c r="XEK1551"/>
      <c r="XEL1551"/>
      <c r="XEM1551"/>
      <c r="XEN1551"/>
      <c r="XEO1551"/>
      <c r="XEP1551"/>
      <c r="XEQ1551"/>
      <c r="XER1551"/>
      <c r="XES1551"/>
      <c r="XET1551"/>
      <c r="XEU1551"/>
      <c r="XEV1551"/>
      <c r="XEW1551"/>
      <c r="XEX1551"/>
      <c r="XEY1551"/>
      <c r="XEZ1551"/>
      <c r="XFA1551"/>
      <c r="XFB1551"/>
      <c r="XFC1551"/>
    </row>
    <row r="1552" spans="1:20 16329:16383" s="38" customFormat="1" ht="29.1" customHeight="1" outlineLevel="6" x14ac:dyDescent="0.25">
      <c r="A1552" s="49" t="s">
        <v>2714</v>
      </c>
      <c r="B1552" s="50"/>
      <c r="C1552" s="50"/>
      <c r="D1552" s="3" t="s">
        <v>2392</v>
      </c>
      <c r="E1552" s="3"/>
      <c r="F1552" s="51"/>
      <c r="G1552" s="50" t="s">
        <v>102</v>
      </c>
      <c r="H1552" s="52">
        <f>1</f>
        <v>1</v>
      </c>
      <c r="I1552" s="36"/>
      <c r="J1552" s="52">
        <v>1</v>
      </c>
      <c r="K1552" s="53">
        <f>0</f>
        <v>0</v>
      </c>
      <c r="L1552" s="53">
        <f>0</f>
        <v>0</v>
      </c>
      <c r="M1552" s="53">
        <f>0</f>
        <v>0</v>
      </c>
      <c r="N1552" s="54">
        <f t="shared" si="279"/>
        <v>0</v>
      </c>
      <c r="O1552" s="54">
        <f t="shared" si="280"/>
        <v>0</v>
      </c>
      <c r="P1552" s="54">
        <f t="shared" si="281"/>
        <v>0</v>
      </c>
      <c r="Q1552" s="54">
        <f t="shared" si="282"/>
        <v>0</v>
      </c>
      <c r="R1552" s="54">
        <f t="shared" si="283"/>
        <v>0</v>
      </c>
      <c r="S1552" s="54"/>
      <c r="T1552" s="36"/>
      <c r="XDA1552"/>
      <c r="XDB1552"/>
      <c r="XDC1552"/>
      <c r="XDD1552"/>
      <c r="XDE1552"/>
      <c r="XDF1552"/>
      <c r="XDG1552"/>
      <c r="XDH1552"/>
      <c r="XDI1552"/>
      <c r="XDJ1552"/>
      <c r="XDK1552"/>
      <c r="XDL1552"/>
      <c r="XDM1552"/>
      <c r="XDN1552"/>
      <c r="XDO1552"/>
      <c r="XDP1552"/>
      <c r="XDQ1552"/>
      <c r="XDR1552"/>
      <c r="XDS1552"/>
      <c r="XDT1552"/>
      <c r="XDU1552"/>
      <c r="XDV1552"/>
      <c r="XDW1552"/>
      <c r="XDX1552"/>
      <c r="XDY1552"/>
      <c r="XDZ1552"/>
      <c r="XEA1552"/>
      <c r="XEB1552"/>
      <c r="XEC1552"/>
      <c r="XED1552"/>
      <c r="XEE1552"/>
      <c r="XEF1552"/>
      <c r="XEG1552"/>
      <c r="XEH1552"/>
      <c r="XEI1552"/>
      <c r="XEJ1552"/>
      <c r="XEK1552"/>
      <c r="XEL1552"/>
      <c r="XEM1552"/>
      <c r="XEN1552"/>
      <c r="XEO1552"/>
      <c r="XEP1552"/>
      <c r="XEQ1552"/>
      <c r="XER1552"/>
      <c r="XES1552"/>
      <c r="XET1552"/>
      <c r="XEU1552"/>
      <c r="XEV1552"/>
      <c r="XEW1552"/>
      <c r="XEX1552"/>
      <c r="XEY1552"/>
      <c r="XEZ1552"/>
      <c r="XFA1552"/>
      <c r="XFB1552"/>
      <c r="XFC1552"/>
    </row>
    <row r="1553" spans="1:20 16329:16383" s="38" customFormat="1" ht="29.1" customHeight="1" outlineLevel="6" x14ac:dyDescent="0.25">
      <c r="A1553" s="49" t="s">
        <v>2715</v>
      </c>
      <c r="B1553" s="50"/>
      <c r="C1553" s="50"/>
      <c r="D1553" s="3" t="s">
        <v>2394</v>
      </c>
      <c r="E1553" s="3"/>
      <c r="F1553" s="51"/>
      <c r="G1553" s="50" t="s">
        <v>102</v>
      </c>
      <c r="H1553" s="52">
        <f>1</f>
        <v>1</v>
      </c>
      <c r="I1553" s="36"/>
      <c r="J1553" s="52">
        <v>1</v>
      </c>
      <c r="K1553" s="53">
        <f>0</f>
        <v>0</v>
      </c>
      <c r="L1553" s="53">
        <f>0</f>
        <v>0</v>
      </c>
      <c r="M1553" s="53">
        <f>0</f>
        <v>0</v>
      </c>
      <c r="N1553" s="54">
        <f t="shared" si="279"/>
        <v>0</v>
      </c>
      <c r="O1553" s="54">
        <f t="shared" si="280"/>
        <v>0</v>
      </c>
      <c r="P1553" s="54">
        <f t="shared" si="281"/>
        <v>0</v>
      </c>
      <c r="Q1553" s="54">
        <f t="shared" si="282"/>
        <v>0</v>
      </c>
      <c r="R1553" s="54">
        <f t="shared" si="283"/>
        <v>0</v>
      </c>
      <c r="S1553" s="54"/>
      <c r="T1553" s="36"/>
      <c r="XDA1553"/>
      <c r="XDB1553"/>
      <c r="XDC1553"/>
      <c r="XDD1553"/>
      <c r="XDE1553"/>
      <c r="XDF1553"/>
      <c r="XDG1553"/>
      <c r="XDH1553"/>
      <c r="XDI1553"/>
      <c r="XDJ1553"/>
      <c r="XDK1553"/>
      <c r="XDL1553"/>
      <c r="XDM1553"/>
      <c r="XDN1553"/>
      <c r="XDO1553"/>
      <c r="XDP1553"/>
      <c r="XDQ1553"/>
      <c r="XDR1553"/>
      <c r="XDS1553"/>
      <c r="XDT1553"/>
      <c r="XDU1553"/>
      <c r="XDV1553"/>
      <c r="XDW1553"/>
      <c r="XDX1553"/>
      <c r="XDY1553"/>
      <c r="XDZ1553"/>
      <c r="XEA1553"/>
      <c r="XEB1553"/>
      <c r="XEC1553"/>
      <c r="XED1553"/>
      <c r="XEE1553"/>
      <c r="XEF1553"/>
      <c r="XEG1553"/>
      <c r="XEH1553"/>
      <c r="XEI1553"/>
      <c r="XEJ1553"/>
      <c r="XEK1553"/>
      <c r="XEL1553"/>
      <c r="XEM1553"/>
      <c r="XEN1553"/>
      <c r="XEO1553"/>
      <c r="XEP1553"/>
      <c r="XEQ1553"/>
      <c r="XER1553"/>
      <c r="XES1553"/>
      <c r="XET1553"/>
      <c r="XEU1553"/>
      <c r="XEV1553"/>
      <c r="XEW1553"/>
      <c r="XEX1553"/>
      <c r="XEY1553"/>
      <c r="XEZ1553"/>
      <c r="XFA1553"/>
      <c r="XFB1553"/>
      <c r="XFC1553"/>
    </row>
    <row r="1554" spans="1:20 16329:16383" s="38" customFormat="1" ht="29.1" customHeight="1" outlineLevel="6" x14ac:dyDescent="0.25">
      <c r="A1554" s="49" t="s">
        <v>2716</v>
      </c>
      <c r="B1554" s="50"/>
      <c r="C1554" s="50"/>
      <c r="D1554" s="3" t="s">
        <v>2557</v>
      </c>
      <c r="E1554" s="3"/>
      <c r="F1554" s="51"/>
      <c r="G1554" s="50" t="s">
        <v>102</v>
      </c>
      <c r="H1554" s="52">
        <f>1</f>
        <v>1</v>
      </c>
      <c r="I1554" s="36"/>
      <c r="J1554" s="52">
        <v>1</v>
      </c>
      <c r="K1554" s="53">
        <f>0</f>
        <v>0</v>
      </c>
      <c r="L1554" s="53">
        <f>0</f>
        <v>0</v>
      </c>
      <c r="M1554" s="53">
        <f>0</f>
        <v>0</v>
      </c>
      <c r="N1554" s="54">
        <f t="shared" si="279"/>
        <v>0</v>
      </c>
      <c r="O1554" s="54">
        <f t="shared" si="280"/>
        <v>0</v>
      </c>
      <c r="P1554" s="54">
        <f t="shared" si="281"/>
        <v>0</v>
      </c>
      <c r="Q1554" s="54">
        <f t="shared" si="282"/>
        <v>0</v>
      </c>
      <c r="R1554" s="54">
        <f t="shared" si="283"/>
        <v>0</v>
      </c>
      <c r="S1554" s="54"/>
      <c r="T1554" s="36"/>
      <c r="XDA1554"/>
      <c r="XDB1554"/>
      <c r="XDC1554"/>
      <c r="XDD1554"/>
      <c r="XDE1554"/>
      <c r="XDF1554"/>
      <c r="XDG1554"/>
      <c r="XDH1554"/>
      <c r="XDI1554"/>
      <c r="XDJ1554"/>
      <c r="XDK1554"/>
      <c r="XDL1554"/>
      <c r="XDM1554"/>
      <c r="XDN1554"/>
      <c r="XDO1554"/>
      <c r="XDP1554"/>
      <c r="XDQ1554"/>
      <c r="XDR1554"/>
      <c r="XDS1554"/>
      <c r="XDT1554"/>
      <c r="XDU1554"/>
      <c r="XDV1554"/>
      <c r="XDW1554"/>
      <c r="XDX1554"/>
      <c r="XDY1554"/>
      <c r="XDZ1554"/>
      <c r="XEA1554"/>
      <c r="XEB1554"/>
      <c r="XEC1554"/>
      <c r="XED1554"/>
      <c r="XEE1554"/>
      <c r="XEF1554"/>
      <c r="XEG1554"/>
      <c r="XEH1554"/>
      <c r="XEI1554"/>
      <c r="XEJ1554"/>
      <c r="XEK1554"/>
      <c r="XEL1554"/>
      <c r="XEM1554"/>
      <c r="XEN1554"/>
      <c r="XEO1554"/>
      <c r="XEP1554"/>
      <c r="XEQ1554"/>
      <c r="XER1554"/>
      <c r="XES1554"/>
      <c r="XET1554"/>
      <c r="XEU1554"/>
      <c r="XEV1554"/>
      <c r="XEW1554"/>
      <c r="XEX1554"/>
      <c r="XEY1554"/>
      <c r="XEZ1554"/>
      <c r="XFA1554"/>
      <c r="XFB1554"/>
      <c r="XFC1554"/>
    </row>
    <row r="1555" spans="1:20 16329:16383" s="38" customFormat="1" ht="29.1" customHeight="1" outlineLevel="6" x14ac:dyDescent="0.25">
      <c r="A1555" s="49" t="s">
        <v>2717</v>
      </c>
      <c r="B1555" s="50"/>
      <c r="C1555" s="50"/>
      <c r="D1555" s="3" t="s">
        <v>2206</v>
      </c>
      <c r="E1555" s="3"/>
      <c r="F1555" s="51"/>
      <c r="G1555" s="50" t="s">
        <v>194</v>
      </c>
      <c r="H1555" s="52">
        <f>1</f>
        <v>1</v>
      </c>
      <c r="I1555" s="36"/>
      <c r="J1555" s="52">
        <v>1</v>
      </c>
      <c r="K1555" s="53">
        <f>0</f>
        <v>0</v>
      </c>
      <c r="L1555" s="53">
        <f>0</f>
        <v>0</v>
      </c>
      <c r="M1555" s="53">
        <f>0</f>
        <v>0</v>
      </c>
      <c r="N1555" s="54">
        <f t="shared" si="279"/>
        <v>0</v>
      </c>
      <c r="O1555" s="54">
        <f t="shared" si="280"/>
        <v>0</v>
      </c>
      <c r="P1555" s="54">
        <f t="shared" si="281"/>
        <v>0</v>
      </c>
      <c r="Q1555" s="54">
        <f t="shared" si="282"/>
        <v>0</v>
      </c>
      <c r="R1555" s="54">
        <f t="shared" si="283"/>
        <v>0</v>
      </c>
      <c r="S1555" s="54"/>
      <c r="T1555" s="36"/>
      <c r="XDA1555"/>
      <c r="XDB1555"/>
      <c r="XDC1555"/>
      <c r="XDD1555"/>
      <c r="XDE1555"/>
      <c r="XDF1555"/>
      <c r="XDG1555"/>
      <c r="XDH1555"/>
      <c r="XDI1555"/>
      <c r="XDJ1555"/>
      <c r="XDK1555"/>
      <c r="XDL1555"/>
      <c r="XDM1555"/>
      <c r="XDN1555"/>
      <c r="XDO1555"/>
      <c r="XDP1555"/>
      <c r="XDQ1555"/>
      <c r="XDR1555"/>
      <c r="XDS1555"/>
      <c r="XDT1555"/>
      <c r="XDU1555"/>
      <c r="XDV1555"/>
      <c r="XDW1555"/>
      <c r="XDX1555"/>
      <c r="XDY1555"/>
      <c r="XDZ1555"/>
      <c r="XEA1555"/>
      <c r="XEB1555"/>
      <c r="XEC1555"/>
      <c r="XED1555"/>
      <c r="XEE1555"/>
      <c r="XEF1555"/>
      <c r="XEG1555"/>
      <c r="XEH1555"/>
      <c r="XEI1555"/>
      <c r="XEJ1555"/>
      <c r="XEK1555"/>
      <c r="XEL1555"/>
      <c r="XEM1555"/>
      <c r="XEN1555"/>
      <c r="XEO1555"/>
      <c r="XEP1555"/>
      <c r="XEQ1555"/>
      <c r="XER1555"/>
      <c r="XES1555"/>
      <c r="XET1555"/>
      <c r="XEU1555"/>
      <c r="XEV1555"/>
      <c r="XEW1555"/>
      <c r="XEX1555"/>
      <c r="XEY1555"/>
      <c r="XEZ1555"/>
      <c r="XFA1555"/>
      <c r="XFB1555"/>
      <c r="XFC1555"/>
    </row>
    <row r="1556" spans="1:20 16329:16383" s="38" customFormat="1" ht="29.1" customHeight="1" outlineLevel="6" x14ac:dyDescent="0.25">
      <c r="A1556" s="49" t="s">
        <v>2718</v>
      </c>
      <c r="B1556" s="50"/>
      <c r="C1556" s="50"/>
      <c r="D1556" s="3" t="s">
        <v>2278</v>
      </c>
      <c r="E1556" s="3"/>
      <c r="F1556" s="51"/>
      <c r="G1556" s="50" t="s">
        <v>194</v>
      </c>
      <c r="H1556" s="52">
        <f>1</f>
        <v>1</v>
      </c>
      <c r="I1556" s="36"/>
      <c r="J1556" s="52">
        <v>1</v>
      </c>
      <c r="K1556" s="53">
        <f>0</f>
        <v>0</v>
      </c>
      <c r="L1556" s="53">
        <f>0</f>
        <v>0</v>
      </c>
      <c r="M1556" s="53">
        <f>0</f>
        <v>0</v>
      </c>
      <c r="N1556" s="54">
        <f t="shared" si="279"/>
        <v>0</v>
      </c>
      <c r="O1556" s="54">
        <f t="shared" si="280"/>
        <v>0</v>
      </c>
      <c r="P1556" s="54">
        <f t="shared" si="281"/>
        <v>0</v>
      </c>
      <c r="Q1556" s="54">
        <f t="shared" si="282"/>
        <v>0</v>
      </c>
      <c r="R1556" s="54">
        <f t="shared" si="283"/>
        <v>0</v>
      </c>
      <c r="S1556" s="54"/>
      <c r="T1556" s="36"/>
      <c r="XDA1556"/>
      <c r="XDB1556"/>
      <c r="XDC1556"/>
      <c r="XDD1556"/>
      <c r="XDE1556"/>
      <c r="XDF1556"/>
      <c r="XDG1556"/>
      <c r="XDH1556"/>
      <c r="XDI1556"/>
      <c r="XDJ1556"/>
      <c r="XDK1556"/>
      <c r="XDL1556"/>
      <c r="XDM1556"/>
      <c r="XDN1556"/>
      <c r="XDO1556"/>
      <c r="XDP1556"/>
      <c r="XDQ1556"/>
      <c r="XDR1556"/>
      <c r="XDS1556"/>
      <c r="XDT1556"/>
      <c r="XDU1556"/>
      <c r="XDV1556"/>
      <c r="XDW1556"/>
      <c r="XDX1556"/>
      <c r="XDY1556"/>
      <c r="XDZ1556"/>
      <c r="XEA1556"/>
      <c r="XEB1556"/>
      <c r="XEC1556"/>
      <c r="XED1556"/>
      <c r="XEE1556"/>
      <c r="XEF1556"/>
      <c r="XEG1556"/>
      <c r="XEH1556"/>
      <c r="XEI1556"/>
      <c r="XEJ1556"/>
      <c r="XEK1556"/>
      <c r="XEL1556"/>
      <c r="XEM1556"/>
      <c r="XEN1556"/>
      <c r="XEO1556"/>
      <c r="XEP1556"/>
      <c r="XEQ1556"/>
      <c r="XER1556"/>
      <c r="XES1556"/>
      <c r="XET1556"/>
      <c r="XEU1556"/>
      <c r="XEV1556"/>
      <c r="XEW1556"/>
      <c r="XEX1556"/>
      <c r="XEY1556"/>
      <c r="XEZ1556"/>
      <c r="XFA1556"/>
      <c r="XFB1556"/>
      <c r="XFC1556"/>
    </row>
    <row r="1557" spans="1:20 16329:16383" s="38" customFormat="1" ht="29.1" customHeight="1" outlineLevel="5" x14ac:dyDescent="0.25">
      <c r="A1557" s="65" t="s">
        <v>2719</v>
      </c>
      <c r="B1557" s="66" t="s">
        <v>2720</v>
      </c>
      <c r="C1557" s="66"/>
      <c r="D1557" s="98" t="s">
        <v>344</v>
      </c>
      <c r="E1557" s="98"/>
      <c r="F1557" s="67"/>
      <c r="G1557" s="66"/>
      <c r="H1557" s="68"/>
      <c r="I1557" s="36"/>
      <c r="J1557" s="68"/>
      <c r="K1557" s="69"/>
      <c r="L1557" s="69"/>
      <c r="M1557" s="69"/>
      <c r="N1557" s="69"/>
      <c r="O1557" s="69">
        <f>SUM(O1558:O1563)</f>
        <v>0</v>
      </c>
      <c r="P1557" s="69">
        <f>SUM(P1558:P1563)</f>
        <v>0</v>
      </c>
      <c r="Q1557" s="69">
        <f>SUM(Q1558:Q1563)</f>
        <v>0</v>
      </c>
      <c r="R1557" s="69">
        <f>SUM(R1558:R1563)</f>
        <v>0</v>
      </c>
      <c r="S1557" s="69"/>
      <c r="T1557" s="36"/>
      <c r="XDA1557"/>
      <c r="XDB1557"/>
      <c r="XDC1557"/>
      <c r="XDD1557"/>
      <c r="XDE1557"/>
      <c r="XDF1557"/>
      <c r="XDG1557"/>
      <c r="XDH1557"/>
      <c r="XDI1557"/>
      <c r="XDJ1557"/>
      <c r="XDK1557"/>
      <c r="XDL1557"/>
      <c r="XDM1557"/>
      <c r="XDN1557"/>
      <c r="XDO1557"/>
      <c r="XDP1557"/>
      <c r="XDQ1557"/>
      <c r="XDR1557"/>
      <c r="XDS1557"/>
      <c r="XDT1557"/>
      <c r="XDU1557"/>
      <c r="XDV1557"/>
      <c r="XDW1557"/>
      <c r="XDX1557"/>
      <c r="XDY1557"/>
      <c r="XDZ1557"/>
      <c r="XEA1557"/>
      <c r="XEB1557"/>
      <c r="XEC1557"/>
      <c r="XED1557"/>
      <c r="XEE1557"/>
      <c r="XEF1557"/>
      <c r="XEG1557"/>
      <c r="XEH1557"/>
      <c r="XEI1557"/>
      <c r="XEJ1557"/>
      <c r="XEK1557"/>
      <c r="XEL1557"/>
      <c r="XEM1557"/>
      <c r="XEN1557"/>
      <c r="XEO1557"/>
      <c r="XEP1557"/>
      <c r="XEQ1557"/>
      <c r="XER1557"/>
      <c r="XES1557"/>
      <c r="XET1557"/>
      <c r="XEU1557"/>
      <c r="XEV1557"/>
      <c r="XEW1557"/>
      <c r="XEX1557"/>
      <c r="XEY1557"/>
      <c r="XEZ1557"/>
      <c r="XFA1557"/>
      <c r="XFB1557"/>
      <c r="XFC1557"/>
    </row>
    <row r="1558" spans="1:20 16329:16383" s="38" customFormat="1" ht="29.1" customHeight="1" outlineLevel="6" x14ac:dyDescent="0.25">
      <c r="A1558" s="49" t="s">
        <v>2721</v>
      </c>
      <c r="B1558" s="50"/>
      <c r="C1558" s="50"/>
      <c r="D1558" s="3" t="s">
        <v>1886</v>
      </c>
      <c r="E1558" s="3"/>
      <c r="F1558" s="51"/>
      <c r="G1558" s="50" t="s">
        <v>102</v>
      </c>
      <c r="H1558" s="52">
        <f>1</f>
        <v>1</v>
      </c>
      <c r="I1558" s="36"/>
      <c r="J1558" s="52">
        <v>1</v>
      </c>
      <c r="K1558" s="53">
        <f>0</f>
        <v>0</v>
      </c>
      <c r="L1558" s="53">
        <f>0</f>
        <v>0</v>
      </c>
      <c r="M1558" s="53">
        <f>0</f>
        <v>0</v>
      </c>
      <c r="N1558" s="54">
        <f t="shared" ref="N1558:N1563" si="284">SUM(K1558:M1558)</f>
        <v>0</v>
      </c>
      <c r="O1558" s="54">
        <f t="shared" ref="O1558:O1563" si="285">ROUND((H1558*K1558),2)</f>
        <v>0</v>
      </c>
      <c r="P1558" s="54">
        <f t="shared" ref="P1558:P1563" si="286">ROUND((H1558*L1558),2)</f>
        <v>0</v>
      </c>
      <c r="Q1558" s="54">
        <f t="shared" ref="Q1558:Q1563" si="287">ROUND((H1558*M1558),2)</f>
        <v>0</v>
      </c>
      <c r="R1558" s="54">
        <f t="shared" ref="R1558:R1563" si="288">ROUND((H1558*N1558),2)</f>
        <v>0</v>
      </c>
      <c r="S1558" s="54"/>
      <c r="T1558" s="36"/>
      <c r="XDA1558"/>
      <c r="XDB1558"/>
      <c r="XDC1558"/>
      <c r="XDD1558"/>
      <c r="XDE1558"/>
      <c r="XDF1558"/>
      <c r="XDG1558"/>
      <c r="XDH1558"/>
      <c r="XDI1558"/>
      <c r="XDJ1558"/>
      <c r="XDK1558"/>
      <c r="XDL1558"/>
      <c r="XDM1558"/>
      <c r="XDN1558"/>
      <c r="XDO1558"/>
      <c r="XDP1558"/>
      <c r="XDQ1558"/>
      <c r="XDR1558"/>
      <c r="XDS1558"/>
      <c r="XDT1558"/>
      <c r="XDU1558"/>
      <c r="XDV1558"/>
      <c r="XDW1558"/>
      <c r="XDX1558"/>
      <c r="XDY1558"/>
      <c r="XDZ1558"/>
      <c r="XEA1558"/>
      <c r="XEB1558"/>
      <c r="XEC1558"/>
      <c r="XED1558"/>
      <c r="XEE1558"/>
      <c r="XEF1558"/>
      <c r="XEG1558"/>
      <c r="XEH1558"/>
      <c r="XEI1558"/>
      <c r="XEJ1558"/>
      <c r="XEK1558"/>
      <c r="XEL1558"/>
      <c r="XEM1558"/>
      <c r="XEN1558"/>
      <c r="XEO1558"/>
      <c r="XEP1558"/>
      <c r="XEQ1558"/>
      <c r="XER1558"/>
      <c r="XES1558"/>
      <c r="XET1558"/>
      <c r="XEU1558"/>
      <c r="XEV1558"/>
      <c r="XEW1558"/>
      <c r="XEX1558"/>
      <c r="XEY1558"/>
      <c r="XEZ1558"/>
      <c r="XFA1558"/>
      <c r="XFB1558"/>
      <c r="XFC1558"/>
    </row>
    <row r="1559" spans="1:20 16329:16383" s="38" customFormat="1" ht="29.1" customHeight="1" outlineLevel="6" x14ac:dyDescent="0.25">
      <c r="A1559" s="49" t="s">
        <v>2722</v>
      </c>
      <c r="B1559" s="50"/>
      <c r="C1559" s="50"/>
      <c r="D1559" s="3" t="s">
        <v>1955</v>
      </c>
      <c r="E1559" s="3"/>
      <c r="F1559" s="51"/>
      <c r="G1559" s="50" t="s">
        <v>102</v>
      </c>
      <c r="H1559" s="52">
        <f>1</f>
        <v>1</v>
      </c>
      <c r="I1559" s="36"/>
      <c r="J1559" s="52">
        <v>1</v>
      </c>
      <c r="K1559" s="53">
        <f>0</f>
        <v>0</v>
      </c>
      <c r="L1559" s="53">
        <f>0</f>
        <v>0</v>
      </c>
      <c r="M1559" s="53">
        <f>0</f>
        <v>0</v>
      </c>
      <c r="N1559" s="54">
        <f t="shared" si="284"/>
        <v>0</v>
      </c>
      <c r="O1559" s="54">
        <f t="shared" si="285"/>
        <v>0</v>
      </c>
      <c r="P1559" s="54">
        <f t="shared" si="286"/>
        <v>0</v>
      </c>
      <c r="Q1559" s="54">
        <f t="shared" si="287"/>
        <v>0</v>
      </c>
      <c r="R1559" s="54">
        <f t="shared" si="288"/>
        <v>0</v>
      </c>
      <c r="S1559" s="54"/>
      <c r="T1559" s="36"/>
      <c r="XDA1559"/>
      <c r="XDB1559"/>
      <c r="XDC1559"/>
      <c r="XDD1559"/>
      <c r="XDE1559"/>
      <c r="XDF1559"/>
      <c r="XDG1559"/>
      <c r="XDH1559"/>
      <c r="XDI1559"/>
      <c r="XDJ1559"/>
      <c r="XDK1559"/>
      <c r="XDL1559"/>
      <c r="XDM1559"/>
      <c r="XDN1559"/>
      <c r="XDO1559"/>
      <c r="XDP1559"/>
      <c r="XDQ1559"/>
      <c r="XDR1559"/>
      <c r="XDS1559"/>
      <c r="XDT1559"/>
      <c r="XDU1559"/>
      <c r="XDV1559"/>
      <c r="XDW1559"/>
      <c r="XDX1559"/>
      <c r="XDY1559"/>
      <c r="XDZ1559"/>
      <c r="XEA1559"/>
      <c r="XEB1559"/>
      <c r="XEC1559"/>
      <c r="XED1559"/>
      <c r="XEE1559"/>
      <c r="XEF1559"/>
      <c r="XEG1559"/>
      <c r="XEH1559"/>
      <c r="XEI1559"/>
      <c r="XEJ1559"/>
      <c r="XEK1559"/>
      <c r="XEL1559"/>
      <c r="XEM1559"/>
      <c r="XEN1559"/>
      <c r="XEO1559"/>
      <c r="XEP1559"/>
      <c r="XEQ1559"/>
      <c r="XER1559"/>
      <c r="XES1559"/>
      <c r="XET1559"/>
      <c r="XEU1559"/>
      <c r="XEV1559"/>
      <c r="XEW1559"/>
      <c r="XEX1559"/>
      <c r="XEY1559"/>
      <c r="XEZ1559"/>
      <c r="XFA1559"/>
      <c r="XFB1559"/>
      <c r="XFC1559"/>
    </row>
    <row r="1560" spans="1:20 16329:16383" s="38" customFormat="1" ht="29.1" customHeight="1" outlineLevel="6" x14ac:dyDescent="0.25">
      <c r="A1560" s="49" t="s">
        <v>2723</v>
      </c>
      <c r="B1560" s="50"/>
      <c r="C1560" s="50"/>
      <c r="D1560" s="3" t="s">
        <v>1888</v>
      </c>
      <c r="E1560" s="3"/>
      <c r="F1560" s="51"/>
      <c r="G1560" s="50" t="s">
        <v>102</v>
      </c>
      <c r="H1560" s="52">
        <f>1</f>
        <v>1</v>
      </c>
      <c r="I1560" s="36"/>
      <c r="J1560" s="52">
        <v>1</v>
      </c>
      <c r="K1560" s="53">
        <f>0</f>
        <v>0</v>
      </c>
      <c r="L1560" s="53">
        <f>0</f>
        <v>0</v>
      </c>
      <c r="M1560" s="53">
        <f>0</f>
        <v>0</v>
      </c>
      <c r="N1560" s="54">
        <f t="shared" si="284"/>
        <v>0</v>
      </c>
      <c r="O1560" s="54">
        <f t="shared" si="285"/>
        <v>0</v>
      </c>
      <c r="P1560" s="54">
        <f t="shared" si="286"/>
        <v>0</v>
      </c>
      <c r="Q1560" s="54">
        <f t="shared" si="287"/>
        <v>0</v>
      </c>
      <c r="R1560" s="54">
        <f t="shared" si="288"/>
        <v>0</v>
      </c>
      <c r="S1560" s="54"/>
      <c r="T1560" s="36"/>
      <c r="XDA1560"/>
      <c r="XDB1560"/>
      <c r="XDC1560"/>
      <c r="XDD1560"/>
      <c r="XDE1560"/>
      <c r="XDF1560"/>
      <c r="XDG1560"/>
      <c r="XDH1560"/>
      <c r="XDI1560"/>
      <c r="XDJ1560"/>
      <c r="XDK1560"/>
      <c r="XDL1560"/>
      <c r="XDM1560"/>
      <c r="XDN1560"/>
      <c r="XDO1560"/>
      <c r="XDP1560"/>
      <c r="XDQ1560"/>
      <c r="XDR1560"/>
      <c r="XDS1560"/>
      <c r="XDT1560"/>
      <c r="XDU1560"/>
      <c r="XDV1560"/>
      <c r="XDW1560"/>
      <c r="XDX1560"/>
      <c r="XDY1560"/>
      <c r="XDZ1560"/>
      <c r="XEA1560"/>
      <c r="XEB1560"/>
      <c r="XEC1560"/>
      <c r="XED1560"/>
      <c r="XEE1560"/>
      <c r="XEF1560"/>
      <c r="XEG1560"/>
      <c r="XEH1560"/>
      <c r="XEI1560"/>
      <c r="XEJ1560"/>
      <c r="XEK1560"/>
      <c r="XEL1560"/>
      <c r="XEM1560"/>
      <c r="XEN1560"/>
      <c r="XEO1560"/>
      <c r="XEP1560"/>
      <c r="XEQ1560"/>
      <c r="XER1560"/>
      <c r="XES1560"/>
      <c r="XET1560"/>
      <c r="XEU1560"/>
      <c r="XEV1560"/>
      <c r="XEW1560"/>
      <c r="XEX1560"/>
      <c r="XEY1560"/>
      <c r="XEZ1560"/>
      <c r="XFA1560"/>
      <c r="XFB1560"/>
      <c r="XFC1560"/>
    </row>
    <row r="1561" spans="1:20 16329:16383" s="38" customFormat="1" ht="29.1" customHeight="1" outlineLevel="6" x14ac:dyDescent="0.25">
      <c r="A1561" s="49" t="s">
        <v>2724</v>
      </c>
      <c r="B1561" s="50"/>
      <c r="C1561" s="50"/>
      <c r="D1561" s="3" t="s">
        <v>2609</v>
      </c>
      <c r="E1561" s="3"/>
      <c r="F1561" s="51"/>
      <c r="G1561" s="50" t="s">
        <v>102</v>
      </c>
      <c r="H1561" s="52">
        <f>1</f>
        <v>1</v>
      </c>
      <c r="I1561" s="36"/>
      <c r="J1561" s="52">
        <v>1</v>
      </c>
      <c r="K1561" s="53">
        <f>0</f>
        <v>0</v>
      </c>
      <c r="L1561" s="53">
        <f>0</f>
        <v>0</v>
      </c>
      <c r="M1561" s="53">
        <f>0</f>
        <v>0</v>
      </c>
      <c r="N1561" s="54">
        <f t="shared" si="284"/>
        <v>0</v>
      </c>
      <c r="O1561" s="54">
        <f t="shared" si="285"/>
        <v>0</v>
      </c>
      <c r="P1561" s="54">
        <f t="shared" si="286"/>
        <v>0</v>
      </c>
      <c r="Q1561" s="54">
        <f t="shared" si="287"/>
        <v>0</v>
      </c>
      <c r="R1561" s="54">
        <f t="shared" si="288"/>
        <v>0</v>
      </c>
      <c r="S1561" s="54"/>
      <c r="T1561" s="36"/>
      <c r="XDA1561"/>
      <c r="XDB1561"/>
      <c r="XDC1561"/>
      <c r="XDD1561"/>
      <c r="XDE1561"/>
      <c r="XDF1561"/>
      <c r="XDG1561"/>
      <c r="XDH1561"/>
      <c r="XDI1561"/>
      <c r="XDJ1561"/>
      <c r="XDK1561"/>
      <c r="XDL1561"/>
      <c r="XDM1561"/>
      <c r="XDN1561"/>
      <c r="XDO1561"/>
      <c r="XDP1561"/>
      <c r="XDQ1561"/>
      <c r="XDR1561"/>
      <c r="XDS1561"/>
      <c r="XDT1561"/>
      <c r="XDU1561"/>
      <c r="XDV1561"/>
      <c r="XDW1561"/>
      <c r="XDX1561"/>
      <c r="XDY1561"/>
      <c r="XDZ1561"/>
      <c r="XEA1561"/>
      <c r="XEB1561"/>
      <c r="XEC1561"/>
      <c r="XED1561"/>
      <c r="XEE1561"/>
      <c r="XEF1561"/>
      <c r="XEG1561"/>
      <c r="XEH1561"/>
      <c r="XEI1561"/>
      <c r="XEJ1561"/>
      <c r="XEK1561"/>
      <c r="XEL1561"/>
      <c r="XEM1561"/>
      <c r="XEN1561"/>
      <c r="XEO1561"/>
      <c r="XEP1561"/>
      <c r="XEQ1561"/>
      <c r="XER1561"/>
      <c r="XES1561"/>
      <c r="XET1561"/>
      <c r="XEU1561"/>
      <c r="XEV1561"/>
      <c r="XEW1561"/>
      <c r="XEX1561"/>
      <c r="XEY1561"/>
      <c r="XEZ1561"/>
      <c r="XFA1561"/>
      <c r="XFB1561"/>
      <c r="XFC1561"/>
    </row>
    <row r="1562" spans="1:20 16329:16383" s="38" customFormat="1" ht="29.1" customHeight="1" outlineLevel="6" x14ac:dyDescent="0.25">
      <c r="A1562" s="49" t="s">
        <v>2725</v>
      </c>
      <c r="B1562" s="50"/>
      <c r="C1562" s="50"/>
      <c r="D1562" s="3" t="s">
        <v>2299</v>
      </c>
      <c r="E1562" s="3"/>
      <c r="F1562" s="51" t="s">
        <v>2300</v>
      </c>
      <c r="G1562" s="50" t="s">
        <v>29</v>
      </c>
      <c r="H1562" s="52">
        <f>1</f>
        <v>1</v>
      </c>
      <c r="I1562" s="36"/>
      <c r="J1562" s="52">
        <v>1</v>
      </c>
      <c r="K1562" s="53">
        <f>0</f>
        <v>0</v>
      </c>
      <c r="L1562" s="53">
        <f>0</f>
        <v>0</v>
      </c>
      <c r="M1562" s="53">
        <f>0</f>
        <v>0</v>
      </c>
      <c r="N1562" s="54">
        <f t="shared" si="284"/>
        <v>0</v>
      </c>
      <c r="O1562" s="54">
        <f t="shared" si="285"/>
        <v>0</v>
      </c>
      <c r="P1562" s="54">
        <f t="shared" si="286"/>
        <v>0</v>
      </c>
      <c r="Q1562" s="54">
        <f t="shared" si="287"/>
        <v>0</v>
      </c>
      <c r="R1562" s="54">
        <f t="shared" si="288"/>
        <v>0</v>
      </c>
      <c r="S1562" s="54"/>
      <c r="T1562" s="36"/>
      <c r="XDA1562"/>
      <c r="XDB1562"/>
      <c r="XDC1562"/>
      <c r="XDD1562"/>
      <c r="XDE1562"/>
      <c r="XDF1562"/>
      <c r="XDG1562"/>
      <c r="XDH1562"/>
      <c r="XDI1562"/>
      <c r="XDJ1562"/>
      <c r="XDK1562"/>
      <c r="XDL1562"/>
      <c r="XDM1562"/>
      <c r="XDN1562"/>
      <c r="XDO1562"/>
      <c r="XDP1562"/>
      <c r="XDQ1562"/>
      <c r="XDR1562"/>
      <c r="XDS1562"/>
      <c r="XDT1562"/>
      <c r="XDU1562"/>
      <c r="XDV1562"/>
      <c r="XDW1562"/>
      <c r="XDX1562"/>
      <c r="XDY1562"/>
      <c r="XDZ1562"/>
      <c r="XEA1562"/>
      <c r="XEB1562"/>
      <c r="XEC1562"/>
      <c r="XED1562"/>
      <c r="XEE1562"/>
      <c r="XEF1562"/>
      <c r="XEG1562"/>
      <c r="XEH1562"/>
      <c r="XEI1562"/>
      <c r="XEJ1562"/>
      <c r="XEK1562"/>
      <c r="XEL1562"/>
      <c r="XEM1562"/>
      <c r="XEN1562"/>
      <c r="XEO1562"/>
      <c r="XEP1562"/>
      <c r="XEQ1562"/>
      <c r="XER1562"/>
      <c r="XES1562"/>
      <c r="XET1562"/>
      <c r="XEU1562"/>
      <c r="XEV1562"/>
      <c r="XEW1562"/>
      <c r="XEX1562"/>
      <c r="XEY1562"/>
      <c r="XEZ1562"/>
      <c r="XFA1562"/>
      <c r="XFB1562"/>
      <c r="XFC1562"/>
    </row>
    <row r="1563" spans="1:20 16329:16383" s="38" customFormat="1" ht="29.1" customHeight="1" outlineLevel="6" x14ac:dyDescent="0.25">
      <c r="A1563" s="49" t="s">
        <v>2726</v>
      </c>
      <c r="B1563" s="50"/>
      <c r="C1563" s="50"/>
      <c r="D1563" s="3" t="s">
        <v>2407</v>
      </c>
      <c r="E1563" s="3"/>
      <c r="F1563" s="51" t="s">
        <v>1960</v>
      </c>
      <c r="G1563" s="50" t="s">
        <v>134</v>
      </c>
      <c r="H1563" s="52">
        <f>1</f>
        <v>1</v>
      </c>
      <c r="I1563" s="36"/>
      <c r="J1563" s="52">
        <v>1</v>
      </c>
      <c r="K1563" s="53">
        <f>0</f>
        <v>0</v>
      </c>
      <c r="L1563" s="53">
        <f>0</f>
        <v>0</v>
      </c>
      <c r="M1563" s="53">
        <f>0</f>
        <v>0</v>
      </c>
      <c r="N1563" s="54">
        <f t="shared" si="284"/>
        <v>0</v>
      </c>
      <c r="O1563" s="54">
        <f t="shared" si="285"/>
        <v>0</v>
      </c>
      <c r="P1563" s="54">
        <f t="shared" si="286"/>
        <v>0</v>
      </c>
      <c r="Q1563" s="54">
        <f t="shared" si="287"/>
        <v>0</v>
      </c>
      <c r="R1563" s="54">
        <f t="shared" si="288"/>
        <v>0</v>
      </c>
      <c r="S1563" s="54"/>
      <c r="T1563" s="36"/>
      <c r="XDA1563"/>
      <c r="XDB1563"/>
      <c r="XDC1563"/>
      <c r="XDD1563"/>
      <c r="XDE1563"/>
      <c r="XDF1563"/>
      <c r="XDG1563"/>
      <c r="XDH1563"/>
      <c r="XDI1563"/>
      <c r="XDJ1563"/>
      <c r="XDK1563"/>
      <c r="XDL1563"/>
      <c r="XDM1563"/>
      <c r="XDN1563"/>
      <c r="XDO1563"/>
      <c r="XDP1563"/>
      <c r="XDQ1563"/>
      <c r="XDR1563"/>
      <c r="XDS1563"/>
      <c r="XDT1563"/>
      <c r="XDU1563"/>
      <c r="XDV1563"/>
      <c r="XDW1563"/>
      <c r="XDX1563"/>
      <c r="XDY1563"/>
      <c r="XDZ1563"/>
      <c r="XEA1563"/>
      <c r="XEB1563"/>
      <c r="XEC1563"/>
      <c r="XED1563"/>
      <c r="XEE1563"/>
      <c r="XEF1563"/>
      <c r="XEG1563"/>
      <c r="XEH1563"/>
      <c r="XEI1563"/>
      <c r="XEJ1563"/>
      <c r="XEK1563"/>
      <c r="XEL1563"/>
      <c r="XEM1563"/>
      <c r="XEN1563"/>
      <c r="XEO1563"/>
      <c r="XEP1563"/>
      <c r="XEQ1563"/>
      <c r="XER1563"/>
      <c r="XES1563"/>
      <c r="XET1563"/>
      <c r="XEU1563"/>
      <c r="XEV1563"/>
      <c r="XEW1563"/>
      <c r="XEX1563"/>
      <c r="XEY1563"/>
      <c r="XEZ1563"/>
      <c r="XFA1563"/>
      <c r="XFB1563"/>
      <c r="XFC1563"/>
    </row>
    <row r="1564" spans="1:20 16329:16383" s="38" customFormat="1" ht="29.1" customHeight="1" outlineLevel="5" x14ac:dyDescent="0.25">
      <c r="A1564" s="65" t="s">
        <v>2727</v>
      </c>
      <c r="B1564" s="66" t="s">
        <v>2728</v>
      </c>
      <c r="C1564" s="66"/>
      <c r="D1564" s="98" t="s">
        <v>1899</v>
      </c>
      <c r="E1564" s="98"/>
      <c r="F1564" s="67"/>
      <c r="G1564" s="66"/>
      <c r="H1564" s="68"/>
      <c r="I1564" s="36"/>
      <c r="J1564" s="68"/>
      <c r="K1564" s="69"/>
      <c r="L1564" s="69"/>
      <c r="M1564" s="69"/>
      <c r="N1564" s="69"/>
      <c r="O1564" s="69">
        <f>SUM(O1565:O1572)</f>
        <v>0</v>
      </c>
      <c r="P1564" s="69">
        <f>SUM(P1565:P1572)</f>
        <v>0</v>
      </c>
      <c r="Q1564" s="69">
        <f>SUM(Q1565:Q1572)</f>
        <v>0</v>
      </c>
      <c r="R1564" s="69">
        <f>SUM(R1565:R1572)</f>
        <v>0</v>
      </c>
      <c r="S1564" s="69"/>
      <c r="T1564" s="36"/>
      <c r="XDA1564"/>
      <c r="XDB1564"/>
      <c r="XDC1564"/>
      <c r="XDD1564"/>
      <c r="XDE1564"/>
      <c r="XDF1564"/>
      <c r="XDG1564"/>
      <c r="XDH1564"/>
      <c r="XDI1564"/>
      <c r="XDJ1564"/>
      <c r="XDK1564"/>
      <c r="XDL1564"/>
      <c r="XDM1564"/>
      <c r="XDN1564"/>
      <c r="XDO1564"/>
      <c r="XDP1564"/>
      <c r="XDQ1564"/>
      <c r="XDR1564"/>
      <c r="XDS1564"/>
      <c r="XDT1564"/>
      <c r="XDU1564"/>
      <c r="XDV1564"/>
      <c r="XDW1564"/>
      <c r="XDX1564"/>
      <c r="XDY1564"/>
      <c r="XDZ1564"/>
      <c r="XEA1564"/>
      <c r="XEB1564"/>
      <c r="XEC1564"/>
      <c r="XED1564"/>
      <c r="XEE1564"/>
      <c r="XEF1564"/>
      <c r="XEG1564"/>
      <c r="XEH1564"/>
      <c r="XEI1564"/>
      <c r="XEJ1564"/>
      <c r="XEK1564"/>
      <c r="XEL1564"/>
      <c r="XEM1564"/>
      <c r="XEN1564"/>
      <c r="XEO1564"/>
      <c r="XEP1564"/>
      <c r="XEQ1564"/>
      <c r="XER1564"/>
      <c r="XES1564"/>
      <c r="XET1564"/>
      <c r="XEU1564"/>
      <c r="XEV1564"/>
      <c r="XEW1564"/>
      <c r="XEX1564"/>
      <c r="XEY1564"/>
      <c r="XEZ1564"/>
      <c r="XFA1564"/>
      <c r="XFB1564"/>
      <c r="XFC1564"/>
    </row>
    <row r="1565" spans="1:20 16329:16383" s="38" customFormat="1" ht="29.1" customHeight="1" outlineLevel="6" x14ac:dyDescent="0.25">
      <c r="A1565" s="49" t="s">
        <v>2729</v>
      </c>
      <c r="B1565" s="50"/>
      <c r="C1565" s="50"/>
      <c r="D1565" s="3" t="s">
        <v>1953</v>
      </c>
      <c r="E1565" s="3"/>
      <c r="F1565" s="51"/>
      <c r="G1565" s="50" t="s">
        <v>102</v>
      </c>
      <c r="H1565" s="52">
        <f>1</f>
        <v>1</v>
      </c>
      <c r="I1565" s="36"/>
      <c r="J1565" s="52">
        <v>1</v>
      </c>
      <c r="K1565" s="53">
        <f>0</f>
        <v>0</v>
      </c>
      <c r="L1565" s="53">
        <f>0</f>
        <v>0</v>
      </c>
      <c r="M1565" s="53">
        <f>0</f>
        <v>0</v>
      </c>
      <c r="N1565" s="54">
        <f t="shared" ref="N1565:N1572" si="289">SUM(K1565:M1565)</f>
        <v>0</v>
      </c>
      <c r="O1565" s="54">
        <f t="shared" ref="O1565:O1572" si="290">ROUND((H1565*K1565),2)</f>
        <v>0</v>
      </c>
      <c r="P1565" s="54">
        <f t="shared" ref="P1565:P1572" si="291">ROUND((H1565*L1565),2)</f>
        <v>0</v>
      </c>
      <c r="Q1565" s="54">
        <f t="shared" ref="Q1565:Q1572" si="292">ROUND((H1565*M1565),2)</f>
        <v>0</v>
      </c>
      <c r="R1565" s="54">
        <f t="shared" ref="R1565:R1572" si="293">ROUND((H1565*N1565),2)</f>
        <v>0</v>
      </c>
      <c r="S1565" s="54"/>
      <c r="T1565" s="36"/>
      <c r="XDA1565"/>
      <c r="XDB1565"/>
      <c r="XDC1565"/>
      <c r="XDD1565"/>
      <c r="XDE1565"/>
      <c r="XDF1565"/>
      <c r="XDG1565"/>
      <c r="XDH1565"/>
      <c r="XDI1565"/>
      <c r="XDJ1565"/>
      <c r="XDK1565"/>
      <c r="XDL1565"/>
      <c r="XDM1565"/>
      <c r="XDN1565"/>
      <c r="XDO1565"/>
      <c r="XDP1565"/>
      <c r="XDQ1565"/>
      <c r="XDR1565"/>
      <c r="XDS1565"/>
      <c r="XDT1565"/>
      <c r="XDU1565"/>
      <c r="XDV1565"/>
      <c r="XDW1565"/>
      <c r="XDX1565"/>
      <c r="XDY1565"/>
      <c r="XDZ1565"/>
      <c r="XEA1565"/>
      <c r="XEB1565"/>
      <c r="XEC1565"/>
      <c r="XED1565"/>
      <c r="XEE1565"/>
      <c r="XEF1565"/>
      <c r="XEG1565"/>
      <c r="XEH1565"/>
      <c r="XEI1565"/>
      <c r="XEJ1565"/>
      <c r="XEK1565"/>
      <c r="XEL1565"/>
      <c r="XEM1565"/>
      <c r="XEN1565"/>
      <c r="XEO1565"/>
      <c r="XEP1565"/>
      <c r="XEQ1565"/>
      <c r="XER1565"/>
      <c r="XES1565"/>
      <c r="XET1565"/>
      <c r="XEU1565"/>
      <c r="XEV1565"/>
      <c r="XEW1565"/>
      <c r="XEX1565"/>
      <c r="XEY1565"/>
      <c r="XEZ1565"/>
      <c r="XFA1565"/>
      <c r="XFB1565"/>
      <c r="XFC1565"/>
    </row>
    <row r="1566" spans="1:20 16329:16383" s="38" customFormat="1" ht="29.1" customHeight="1" outlineLevel="6" x14ac:dyDescent="0.25">
      <c r="A1566" s="49" t="s">
        <v>2730</v>
      </c>
      <c r="B1566" s="50"/>
      <c r="C1566" s="50"/>
      <c r="D1566" s="3" t="s">
        <v>1955</v>
      </c>
      <c r="E1566" s="3"/>
      <c r="F1566" s="51"/>
      <c r="G1566" s="50" t="s">
        <v>102</v>
      </c>
      <c r="H1566" s="52">
        <f>1</f>
        <v>1</v>
      </c>
      <c r="I1566" s="36"/>
      <c r="J1566" s="52">
        <v>1</v>
      </c>
      <c r="K1566" s="53">
        <f>0</f>
        <v>0</v>
      </c>
      <c r="L1566" s="53">
        <f>0</f>
        <v>0</v>
      </c>
      <c r="M1566" s="53">
        <f>0</f>
        <v>0</v>
      </c>
      <c r="N1566" s="54">
        <f t="shared" si="289"/>
        <v>0</v>
      </c>
      <c r="O1566" s="54">
        <f t="shared" si="290"/>
        <v>0</v>
      </c>
      <c r="P1566" s="54">
        <f t="shared" si="291"/>
        <v>0</v>
      </c>
      <c r="Q1566" s="54">
        <f t="shared" si="292"/>
        <v>0</v>
      </c>
      <c r="R1566" s="54">
        <f t="shared" si="293"/>
        <v>0</v>
      </c>
      <c r="S1566" s="54"/>
      <c r="T1566" s="36"/>
      <c r="XDA1566"/>
      <c r="XDB1566"/>
      <c r="XDC1566"/>
      <c r="XDD1566"/>
      <c r="XDE1566"/>
      <c r="XDF1566"/>
      <c r="XDG1566"/>
      <c r="XDH1566"/>
      <c r="XDI1566"/>
      <c r="XDJ1566"/>
      <c r="XDK1566"/>
      <c r="XDL1566"/>
      <c r="XDM1566"/>
      <c r="XDN1566"/>
      <c r="XDO1566"/>
      <c r="XDP1566"/>
      <c r="XDQ1566"/>
      <c r="XDR1566"/>
      <c r="XDS1566"/>
      <c r="XDT1566"/>
      <c r="XDU1566"/>
      <c r="XDV1566"/>
      <c r="XDW1566"/>
      <c r="XDX1566"/>
      <c r="XDY1566"/>
      <c r="XDZ1566"/>
      <c r="XEA1566"/>
      <c r="XEB1566"/>
      <c r="XEC1566"/>
      <c r="XED1566"/>
      <c r="XEE1566"/>
      <c r="XEF1566"/>
      <c r="XEG1566"/>
      <c r="XEH1566"/>
      <c r="XEI1566"/>
      <c r="XEJ1566"/>
      <c r="XEK1566"/>
      <c r="XEL1566"/>
      <c r="XEM1566"/>
      <c r="XEN1566"/>
      <c r="XEO1566"/>
      <c r="XEP1566"/>
      <c r="XEQ1566"/>
      <c r="XER1566"/>
      <c r="XES1566"/>
      <c r="XET1566"/>
      <c r="XEU1566"/>
      <c r="XEV1566"/>
      <c r="XEW1566"/>
      <c r="XEX1566"/>
      <c r="XEY1566"/>
      <c r="XEZ1566"/>
      <c r="XFA1566"/>
      <c r="XFB1566"/>
      <c r="XFC1566"/>
    </row>
    <row r="1567" spans="1:20 16329:16383" s="38" customFormat="1" ht="29.1" customHeight="1" outlineLevel="6" x14ac:dyDescent="0.25">
      <c r="A1567" s="49" t="s">
        <v>2731</v>
      </c>
      <c r="B1567" s="50"/>
      <c r="C1567" s="50"/>
      <c r="D1567" s="3" t="s">
        <v>2238</v>
      </c>
      <c r="E1567" s="3"/>
      <c r="F1567" s="51"/>
      <c r="G1567" s="50" t="s">
        <v>102</v>
      </c>
      <c r="H1567" s="52">
        <f>1</f>
        <v>1</v>
      </c>
      <c r="I1567" s="36"/>
      <c r="J1567" s="52">
        <v>1</v>
      </c>
      <c r="K1567" s="53">
        <f>0</f>
        <v>0</v>
      </c>
      <c r="L1567" s="53">
        <f>0</f>
        <v>0</v>
      </c>
      <c r="M1567" s="53">
        <f>0</f>
        <v>0</v>
      </c>
      <c r="N1567" s="54">
        <f t="shared" si="289"/>
        <v>0</v>
      </c>
      <c r="O1567" s="54">
        <f t="shared" si="290"/>
        <v>0</v>
      </c>
      <c r="P1567" s="54">
        <f t="shared" si="291"/>
        <v>0</v>
      </c>
      <c r="Q1567" s="54">
        <f t="shared" si="292"/>
        <v>0</v>
      </c>
      <c r="R1567" s="54">
        <f t="shared" si="293"/>
        <v>0</v>
      </c>
      <c r="S1567" s="54"/>
      <c r="T1567" s="36"/>
      <c r="XDA1567"/>
      <c r="XDB1567"/>
      <c r="XDC1567"/>
      <c r="XDD1567"/>
      <c r="XDE1567"/>
      <c r="XDF1567"/>
      <c r="XDG1567"/>
      <c r="XDH1567"/>
      <c r="XDI1567"/>
      <c r="XDJ1567"/>
      <c r="XDK1567"/>
      <c r="XDL1567"/>
      <c r="XDM1567"/>
      <c r="XDN1567"/>
      <c r="XDO1567"/>
      <c r="XDP1567"/>
      <c r="XDQ1567"/>
      <c r="XDR1567"/>
      <c r="XDS1567"/>
      <c r="XDT1567"/>
      <c r="XDU1567"/>
      <c r="XDV1567"/>
      <c r="XDW1567"/>
      <c r="XDX1567"/>
      <c r="XDY1567"/>
      <c r="XDZ1567"/>
      <c r="XEA1567"/>
      <c r="XEB1567"/>
      <c r="XEC1567"/>
      <c r="XED1567"/>
      <c r="XEE1567"/>
      <c r="XEF1567"/>
      <c r="XEG1567"/>
      <c r="XEH1567"/>
      <c r="XEI1567"/>
      <c r="XEJ1567"/>
      <c r="XEK1567"/>
      <c r="XEL1567"/>
      <c r="XEM1567"/>
      <c r="XEN1567"/>
      <c r="XEO1567"/>
      <c r="XEP1567"/>
      <c r="XEQ1567"/>
      <c r="XER1567"/>
      <c r="XES1567"/>
      <c r="XET1567"/>
      <c r="XEU1567"/>
      <c r="XEV1567"/>
      <c r="XEW1567"/>
      <c r="XEX1567"/>
      <c r="XEY1567"/>
      <c r="XEZ1567"/>
      <c r="XFA1567"/>
      <c r="XFB1567"/>
      <c r="XFC1567"/>
    </row>
    <row r="1568" spans="1:20 16329:16383" s="38" customFormat="1" ht="29.1" customHeight="1" outlineLevel="6" x14ac:dyDescent="0.25">
      <c r="A1568" s="49" t="s">
        <v>2732</v>
      </c>
      <c r="B1568" s="50"/>
      <c r="C1568" s="50"/>
      <c r="D1568" s="3" t="s">
        <v>1884</v>
      </c>
      <c r="E1568" s="3"/>
      <c r="F1568" s="51"/>
      <c r="G1568" s="50" t="s">
        <v>102</v>
      </c>
      <c r="H1568" s="52">
        <f>1</f>
        <v>1</v>
      </c>
      <c r="I1568" s="36"/>
      <c r="J1568" s="52">
        <v>1</v>
      </c>
      <c r="K1568" s="53">
        <f>0</f>
        <v>0</v>
      </c>
      <c r="L1568" s="53">
        <f>0</f>
        <v>0</v>
      </c>
      <c r="M1568" s="53">
        <f>0</f>
        <v>0</v>
      </c>
      <c r="N1568" s="54">
        <f t="shared" si="289"/>
        <v>0</v>
      </c>
      <c r="O1568" s="54">
        <f t="shared" si="290"/>
        <v>0</v>
      </c>
      <c r="P1568" s="54">
        <f t="shared" si="291"/>
        <v>0</v>
      </c>
      <c r="Q1568" s="54">
        <f t="shared" si="292"/>
        <v>0</v>
      </c>
      <c r="R1568" s="54">
        <f t="shared" si="293"/>
        <v>0</v>
      </c>
      <c r="S1568" s="54"/>
      <c r="T1568" s="36"/>
      <c r="XDA1568"/>
      <c r="XDB1568"/>
      <c r="XDC1568"/>
      <c r="XDD1568"/>
      <c r="XDE1568"/>
      <c r="XDF1568"/>
      <c r="XDG1568"/>
      <c r="XDH1568"/>
      <c r="XDI1568"/>
      <c r="XDJ1568"/>
      <c r="XDK1568"/>
      <c r="XDL1568"/>
      <c r="XDM1568"/>
      <c r="XDN1568"/>
      <c r="XDO1568"/>
      <c r="XDP1568"/>
      <c r="XDQ1568"/>
      <c r="XDR1568"/>
      <c r="XDS1568"/>
      <c r="XDT1568"/>
      <c r="XDU1568"/>
      <c r="XDV1568"/>
      <c r="XDW1568"/>
      <c r="XDX1568"/>
      <c r="XDY1568"/>
      <c r="XDZ1568"/>
      <c r="XEA1568"/>
      <c r="XEB1568"/>
      <c r="XEC1568"/>
      <c r="XED1568"/>
      <c r="XEE1568"/>
      <c r="XEF1568"/>
      <c r="XEG1568"/>
      <c r="XEH1568"/>
      <c r="XEI1568"/>
      <c r="XEJ1568"/>
      <c r="XEK1568"/>
      <c r="XEL1568"/>
      <c r="XEM1568"/>
      <c r="XEN1568"/>
      <c r="XEO1568"/>
      <c r="XEP1568"/>
      <c r="XEQ1568"/>
      <c r="XER1568"/>
      <c r="XES1568"/>
      <c r="XET1568"/>
      <c r="XEU1568"/>
      <c r="XEV1568"/>
      <c r="XEW1568"/>
      <c r="XEX1568"/>
      <c r="XEY1568"/>
      <c r="XEZ1568"/>
      <c r="XFA1568"/>
      <c r="XFB1568"/>
      <c r="XFC1568"/>
    </row>
    <row r="1569" spans="1:20 16329:16383" s="38" customFormat="1" ht="29.1" customHeight="1" outlineLevel="6" x14ac:dyDescent="0.25">
      <c r="A1569" s="49" t="s">
        <v>2733</v>
      </c>
      <c r="B1569" s="50"/>
      <c r="C1569" s="50"/>
      <c r="D1569" s="3" t="s">
        <v>2241</v>
      </c>
      <c r="E1569" s="3"/>
      <c r="F1569" s="51"/>
      <c r="G1569" s="50" t="s">
        <v>102</v>
      </c>
      <c r="H1569" s="52">
        <f>1</f>
        <v>1</v>
      </c>
      <c r="I1569" s="36"/>
      <c r="J1569" s="52">
        <v>1</v>
      </c>
      <c r="K1569" s="53">
        <f>0</f>
        <v>0</v>
      </c>
      <c r="L1569" s="53">
        <f>0</f>
        <v>0</v>
      </c>
      <c r="M1569" s="53">
        <f>0</f>
        <v>0</v>
      </c>
      <c r="N1569" s="54">
        <f t="shared" si="289"/>
        <v>0</v>
      </c>
      <c r="O1569" s="54">
        <f t="shared" si="290"/>
        <v>0</v>
      </c>
      <c r="P1569" s="54">
        <f t="shared" si="291"/>
        <v>0</v>
      </c>
      <c r="Q1569" s="54">
        <f t="shared" si="292"/>
        <v>0</v>
      </c>
      <c r="R1569" s="54">
        <f t="shared" si="293"/>
        <v>0</v>
      </c>
      <c r="S1569" s="54"/>
      <c r="T1569" s="36"/>
      <c r="XDA1569"/>
      <c r="XDB1569"/>
      <c r="XDC1569"/>
      <c r="XDD1569"/>
      <c r="XDE1569"/>
      <c r="XDF1569"/>
      <c r="XDG1569"/>
      <c r="XDH1569"/>
      <c r="XDI1569"/>
      <c r="XDJ1569"/>
      <c r="XDK1569"/>
      <c r="XDL1569"/>
      <c r="XDM1569"/>
      <c r="XDN1569"/>
      <c r="XDO1569"/>
      <c r="XDP1569"/>
      <c r="XDQ1569"/>
      <c r="XDR1569"/>
      <c r="XDS1569"/>
      <c r="XDT1569"/>
      <c r="XDU1569"/>
      <c r="XDV1569"/>
      <c r="XDW1569"/>
      <c r="XDX1569"/>
      <c r="XDY1569"/>
      <c r="XDZ1569"/>
      <c r="XEA1569"/>
      <c r="XEB1569"/>
      <c r="XEC1569"/>
      <c r="XED1569"/>
      <c r="XEE1569"/>
      <c r="XEF1569"/>
      <c r="XEG1569"/>
      <c r="XEH1569"/>
      <c r="XEI1569"/>
      <c r="XEJ1569"/>
      <c r="XEK1569"/>
      <c r="XEL1569"/>
      <c r="XEM1569"/>
      <c r="XEN1569"/>
      <c r="XEO1569"/>
      <c r="XEP1569"/>
      <c r="XEQ1569"/>
      <c r="XER1569"/>
      <c r="XES1569"/>
      <c r="XET1569"/>
      <c r="XEU1569"/>
      <c r="XEV1569"/>
      <c r="XEW1569"/>
      <c r="XEX1569"/>
      <c r="XEY1569"/>
      <c r="XEZ1569"/>
      <c r="XFA1569"/>
      <c r="XFB1569"/>
      <c r="XFC1569"/>
    </row>
    <row r="1570" spans="1:20 16329:16383" s="38" customFormat="1" ht="29.1" customHeight="1" outlineLevel="6" x14ac:dyDescent="0.25">
      <c r="A1570" s="49" t="s">
        <v>2734</v>
      </c>
      <c r="B1570" s="50"/>
      <c r="C1570" s="50"/>
      <c r="D1570" s="3" t="s">
        <v>1886</v>
      </c>
      <c r="E1570" s="3"/>
      <c r="F1570" s="51"/>
      <c r="G1570" s="50" t="s">
        <v>102</v>
      </c>
      <c r="H1570" s="52">
        <f>1</f>
        <v>1</v>
      </c>
      <c r="I1570" s="36"/>
      <c r="J1570" s="52">
        <v>1</v>
      </c>
      <c r="K1570" s="53">
        <f>0</f>
        <v>0</v>
      </c>
      <c r="L1570" s="53">
        <f>0</f>
        <v>0</v>
      </c>
      <c r="M1570" s="53">
        <f>0</f>
        <v>0</v>
      </c>
      <c r="N1570" s="54">
        <f t="shared" si="289"/>
        <v>0</v>
      </c>
      <c r="O1570" s="54">
        <f t="shared" si="290"/>
        <v>0</v>
      </c>
      <c r="P1570" s="54">
        <f t="shared" si="291"/>
        <v>0</v>
      </c>
      <c r="Q1570" s="54">
        <f t="shared" si="292"/>
        <v>0</v>
      </c>
      <c r="R1570" s="54">
        <f t="shared" si="293"/>
        <v>0</v>
      </c>
      <c r="S1570" s="54"/>
      <c r="T1570" s="36"/>
      <c r="XDA1570"/>
      <c r="XDB1570"/>
      <c r="XDC1570"/>
      <c r="XDD1570"/>
      <c r="XDE1570"/>
      <c r="XDF1570"/>
      <c r="XDG1570"/>
      <c r="XDH1570"/>
      <c r="XDI1570"/>
      <c r="XDJ1570"/>
      <c r="XDK1570"/>
      <c r="XDL1570"/>
      <c r="XDM1570"/>
      <c r="XDN1570"/>
      <c r="XDO1570"/>
      <c r="XDP1570"/>
      <c r="XDQ1570"/>
      <c r="XDR1570"/>
      <c r="XDS1570"/>
      <c r="XDT1570"/>
      <c r="XDU1570"/>
      <c r="XDV1570"/>
      <c r="XDW1570"/>
      <c r="XDX1570"/>
      <c r="XDY1570"/>
      <c r="XDZ1570"/>
      <c r="XEA1570"/>
      <c r="XEB1570"/>
      <c r="XEC1570"/>
      <c r="XED1570"/>
      <c r="XEE1570"/>
      <c r="XEF1570"/>
      <c r="XEG1570"/>
      <c r="XEH1570"/>
      <c r="XEI1570"/>
      <c r="XEJ1570"/>
      <c r="XEK1570"/>
      <c r="XEL1570"/>
      <c r="XEM1570"/>
      <c r="XEN1570"/>
      <c r="XEO1570"/>
      <c r="XEP1570"/>
      <c r="XEQ1570"/>
      <c r="XER1570"/>
      <c r="XES1570"/>
      <c r="XET1570"/>
      <c r="XEU1570"/>
      <c r="XEV1570"/>
      <c r="XEW1570"/>
      <c r="XEX1570"/>
      <c r="XEY1570"/>
      <c r="XEZ1570"/>
      <c r="XFA1570"/>
      <c r="XFB1570"/>
      <c r="XFC1570"/>
    </row>
    <row r="1571" spans="1:20 16329:16383" s="38" customFormat="1" ht="29.1" customHeight="1" outlineLevel="6" x14ac:dyDescent="0.25">
      <c r="A1571" s="49" t="s">
        <v>2735</v>
      </c>
      <c r="B1571" s="50"/>
      <c r="C1571" s="50"/>
      <c r="D1571" s="3" t="s">
        <v>2621</v>
      </c>
      <c r="E1571" s="3"/>
      <c r="F1571" s="51"/>
      <c r="G1571" s="50" t="s">
        <v>102</v>
      </c>
      <c r="H1571" s="52">
        <f>1</f>
        <v>1</v>
      </c>
      <c r="I1571" s="36"/>
      <c r="J1571" s="52">
        <v>1</v>
      </c>
      <c r="K1571" s="53">
        <f>0</f>
        <v>0</v>
      </c>
      <c r="L1571" s="53">
        <f>0</f>
        <v>0</v>
      </c>
      <c r="M1571" s="53">
        <f>0</f>
        <v>0</v>
      </c>
      <c r="N1571" s="54">
        <f t="shared" si="289"/>
        <v>0</v>
      </c>
      <c r="O1571" s="54">
        <f t="shared" si="290"/>
        <v>0</v>
      </c>
      <c r="P1571" s="54">
        <f t="shared" si="291"/>
        <v>0</v>
      </c>
      <c r="Q1571" s="54">
        <f t="shared" si="292"/>
        <v>0</v>
      </c>
      <c r="R1571" s="54">
        <f t="shared" si="293"/>
        <v>0</v>
      </c>
      <c r="S1571" s="54"/>
      <c r="T1571" s="36"/>
      <c r="XDA1571"/>
      <c r="XDB1571"/>
      <c r="XDC1571"/>
      <c r="XDD1571"/>
      <c r="XDE1571"/>
      <c r="XDF1571"/>
      <c r="XDG1571"/>
      <c r="XDH1571"/>
      <c r="XDI1571"/>
      <c r="XDJ1571"/>
      <c r="XDK1571"/>
      <c r="XDL1571"/>
      <c r="XDM1571"/>
      <c r="XDN1571"/>
      <c r="XDO1571"/>
      <c r="XDP1571"/>
      <c r="XDQ1571"/>
      <c r="XDR1571"/>
      <c r="XDS1571"/>
      <c r="XDT1571"/>
      <c r="XDU1571"/>
      <c r="XDV1571"/>
      <c r="XDW1571"/>
      <c r="XDX1571"/>
      <c r="XDY1571"/>
      <c r="XDZ1571"/>
      <c r="XEA1571"/>
      <c r="XEB1571"/>
      <c r="XEC1571"/>
      <c r="XED1571"/>
      <c r="XEE1571"/>
      <c r="XEF1571"/>
      <c r="XEG1571"/>
      <c r="XEH1571"/>
      <c r="XEI1571"/>
      <c r="XEJ1571"/>
      <c r="XEK1571"/>
      <c r="XEL1571"/>
      <c r="XEM1571"/>
      <c r="XEN1571"/>
      <c r="XEO1571"/>
      <c r="XEP1571"/>
      <c r="XEQ1571"/>
      <c r="XER1571"/>
      <c r="XES1571"/>
      <c r="XET1571"/>
      <c r="XEU1571"/>
      <c r="XEV1571"/>
      <c r="XEW1571"/>
      <c r="XEX1571"/>
      <c r="XEY1571"/>
      <c r="XEZ1571"/>
      <c r="XFA1571"/>
      <c r="XFB1571"/>
      <c r="XFC1571"/>
    </row>
    <row r="1572" spans="1:20 16329:16383" s="38" customFormat="1" ht="29.1" customHeight="1" outlineLevel="6" x14ac:dyDescent="0.25">
      <c r="A1572" s="49" t="s">
        <v>2736</v>
      </c>
      <c r="B1572" s="50"/>
      <c r="C1572" s="50"/>
      <c r="D1572" s="3" t="s">
        <v>2623</v>
      </c>
      <c r="E1572" s="3"/>
      <c r="F1572" s="51" t="s">
        <v>1960</v>
      </c>
      <c r="G1572" s="50" t="s">
        <v>134</v>
      </c>
      <c r="H1572" s="52">
        <f>1</f>
        <v>1</v>
      </c>
      <c r="I1572" s="36"/>
      <c r="J1572" s="52">
        <v>1</v>
      </c>
      <c r="K1572" s="53">
        <f>0</f>
        <v>0</v>
      </c>
      <c r="L1572" s="53">
        <f>0</f>
        <v>0</v>
      </c>
      <c r="M1572" s="53">
        <f>0</f>
        <v>0</v>
      </c>
      <c r="N1572" s="54">
        <f t="shared" si="289"/>
        <v>0</v>
      </c>
      <c r="O1572" s="54">
        <f t="shared" si="290"/>
        <v>0</v>
      </c>
      <c r="P1572" s="54">
        <f t="shared" si="291"/>
        <v>0</v>
      </c>
      <c r="Q1572" s="54">
        <f t="shared" si="292"/>
        <v>0</v>
      </c>
      <c r="R1572" s="54">
        <f t="shared" si="293"/>
        <v>0</v>
      </c>
      <c r="S1572" s="54"/>
      <c r="T1572" s="36"/>
      <c r="XDA1572"/>
      <c r="XDB1572"/>
      <c r="XDC1572"/>
      <c r="XDD1572"/>
      <c r="XDE1572"/>
      <c r="XDF1572"/>
      <c r="XDG1572"/>
      <c r="XDH1572"/>
      <c r="XDI1572"/>
      <c r="XDJ1572"/>
      <c r="XDK1572"/>
      <c r="XDL1572"/>
      <c r="XDM1572"/>
      <c r="XDN1572"/>
      <c r="XDO1572"/>
      <c r="XDP1572"/>
      <c r="XDQ1572"/>
      <c r="XDR1572"/>
      <c r="XDS1572"/>
      <c r="XDT1572"/>
      <c r="XDU1572"/>
      <c r="XDV1572"/>
      <c r="XDW1572"/>
      <c r="XDX1572"/>
      <c r="XDY1572"/>
      <c r="XDZ1572"/>
      <c r="XEA1572"/>
      <c r="XEB1572"/>
      <c r="XEC1572"/>
      <c r="XED1572"/>
      <c r="XEE1572"/>
      <c r="XEF1572"/>
      <c r="XEG1572"/>
      <c r="XEH1572"/>
      <c r="XEI1572"/>
      <c r="XEJ1572"/>
      <c r="XEK1572"/>
      <c r="XEL1572"/>
      <c r="XEM1572"/>
      <c r="XEN1572"/>
      <c r="XEO1572"/>
      <c r="XEP1572"/>
      <c r="XEQ1572"/>
      <c r="XER1572"/>
      <c r="XES1572"/>
      <c r="XET1572"/>
      <c r="XEU1572"/>
      <c r="XEV1572"/>
      <c r="XEW1572"/>
      <c r="XEX1572"/>
      <c r="XEY1572"/>
      <c r="XEZ1572"/>
      <c r="XFA1572"/>
      <c r="XFB1572"/>
      <c r="XFC1572"/>
    </row>
    <row r="1573" spans="1:20 16329:16383" s="38" customFormat="1" ht="29.1" customHeight="1" outlineLevel="5" x14ac:dyDescent="0.25">
      <c r="A1573" s="65" t="s">
        <v>2737</v>
      </c>
      <c r="B1573" s="66" t="s">
        <v>2738</v>
      </c>
      <c r="C1573" s="66"/>
      <c r="D1573" s="98" t="s">
        <v>1498</v>
      </c>
      <c r="E1573" s="98"/>
      <c r="F1573" s="67"/>
      <c r="G1573" s="66"/>
      <c r="H1573" s="68"/>
      <c r="I1573" s="36"/>
      <c r="J1573" s="68"/>
      <c r="K1573" s="69"/>
      <c r="L1573" s="69"/>
      <c r="M1573" s="69"/>
      <c r="N1573" s="69"/>
      <c r="O1573" s="69">
        <f>SUM(O1574:O1578)</f>
        <v>0</v>
      </c>
      <c r="P1573" s="69">
        <f>SUM(P1574:P1578)</f>
        <v>0</v>
      </c>
      <c r="Q1573" s="69">
        <f>SUM(Q1574:Q1578)</f>
        <v>0</v>
      </c>
      <c r="R1573" s="69">
        <f>SUM(R1574:R1578)</f>
        <v>0</v>
      </c>
      <c r="S1573" s="69"/>
      <c r="T1573" s="36"/>
      <c r="XDA1573"/>
      <c r="XDB1573"/>
      <c r="XDC1573"/>
      <c r="XDD1573"/>
      <c r="XDE1573"/>
      <c r="XDF1573"/>
      <c r="XDG1573"/>
      <c r="XDH1573"/>
      <c r="XDI1573"/>
      <c r="XDJ1573"/>
      <c r="XDK1573"/>
      <c r="XDL1573"/>
      <c r="XDM1573"/>
      <c r="XDN1573"/>
      <c r="XDO1573"/>
      <c r="XDP1573"/>
      <c r="XDQ1573"/>
      <c r="XDR1573"/>
      <c r="XDS1573"/>
      <c r="XDT1573"/>
      <c r="XDU1573"/>
      <c r="XDV1573"/>
      <c r="XDW1573"/>
      <c r="XDX1573"/>
      <c r="XDY1573"/>
      <c r="XDZ1573"/>
      <c r="XEA1573"/>
      <c r="XEB1573"/>
      <c r="XEC1573"/>
      <c r="XED1573"/>
      <c r="XEE1573"/>
      <c r="XEF1573"/>
      <c r="XEG1573"/>
      <c r="XEH1573"/>
      <c r="XEI1573"/>
      <c r="XEJ1573"/>
      <c r="XEK1573"/>
      <c r="XEL1573"/>
      <c r="XEM1573"/>
      <c r="XEN1573"/>
      <c r="XEO1573"/>
      <c r="XEP1573"/>
      <c r="XEQ1573"/>
      <c r="XER1573"/>
      <c r="XES1573"/>
      <c r="XET1573"/>
      <c r="XEU1573"/>
      <c r="XEV1573"/>
      <c r="XEW1573"/>
      <c r="XEX1573"/>
      <c r="XEY1573"/>
      <c r="XEZ1573"/>
      <c r="XFA1573"/>
      <c r="XFB1573"/>
      <c r="XFC1573"/>
    </row>
    <row r="1574" spans="1:20 16329:16383" s="38" customFormat="1" ht="29.1" customHeight="1" outlineLevel="6" x14ac:dyDescent="0.25">
      <c r="A1574" s="49" t="s">
        <v>2739</v>
      </c>
      <c r="B1574" s="50"/>
      <c r="C1574" s="50"/>
      <c r="D1574" s="3" t="s">
        <v>2251</v>
      </c>
      <c r="E1574" s="3"/>
      <c r="F1574" s="51" t="s">
        <v>2252</v>
      </c>
      <c r="G1574" s="50" t="s">
        <v>29</v>
      </c>
      <c r="H1574" s="52">
        <f>1</f>
        <v>1</v>
      </c>
      <c r="I1574" s="36"/>
      <c r="J1574" s="52">
        <v>1</v>
      </c>
      <c r="K1574" s="53">
        <f>0</f>
        <v>0</v>
      </c>
      <c r="L1574" s="53">
        <f>0</f>
        <v>0</v>
      </c>
      <c r="M1574" s="53">
        <f>0</f>
        <v>0</v>
      </c>
      <c r="N1574" s="54">
        <f>SUM(K1574:M1574)</f>
        <v>0</v>
      </c>
      <c r="O1574" s="54">
        <f>ROUND((H1574*K1574),2)</f>
        <v>0</v>
      </c>
      <c r="P1574" s="54">
        <f>ROUND((H1574*L1574),2)</f>
        <v>0</v>
      </c>
      <c r="Q1574" s="54">
        <f>ROUND((H1574*M1574),2)</f>
        <v>0</v>
      </c>
      <c r="R1574" s="54">
        <f>ROUND((H1574*N1574),2)</f>
        <v>0</v>
      </c>
      <c r="S1574" s="54"/>
      <c r="T1574" s="36"/>
      <c r="XDA1574"/>
      <c r="XDB1574"/>
      <c r="XDC1574"/>
      <c r="XDD1574"/>
      <c r="XDE1574"/>
      <c r="XDF1574"/>
      <c r="XDG1574"/>
      <c r="XDH1574"/>
      <c r="XDI1574"/>
      <c r="XDJ1574"/>
      <c r="XDK1574"/>
      <c r="XDL1574"/>
      <c r="XDM1574"/>
      <c r="XDN1574"/>
      <c r="XDO1574"/>
      <c r="XDP1574"/>
      <c r="XDQ1574"/>
      <c r="XDR1574"/>
      <c r="XDS1574"/>
      <c r="XDT1574"/>
      <c r="XDU1574"/>
      <c r="XDV1574"/>
      <c r="XDW1574"/>
      <c r="XDX1574"/>
      <c r="XDY1574"/>
      <c r="XDZ1574"/>
      <c r="XEA1574"/>
      <c r="XEB1574"/>
      <c r="XEC1574"/>
      <c r="XED1574"/>
      <c r="XEE1574"/>
      <c r="XEF1574"/>
      <c r="XEG1574"/>
      <c r="XEH1574"/>
      <c r="XEI1574"/>
      <c r="XEJ1574"/>
      <c r="XEK1574"/>
      <c r="XEL1574"/>
      <c r="XEM1574"/>
      <c r="XEN1574"/>
      <c r="XEO1574"/>
      <c r="XEP1574"/>
      <c r="XEQ1574"/>
      <c r="XER1574"/>
      <c r="XES1574"/>
      <c r="XET1574"/>
      <c r="XEU1574"/>
      <c r="XEV1574"/>
      <c r="XEW1574"/>
      <c r="XEX1574"/>
      <c r="XEY1574"/>
      <c r="XEZ1574"/>
      <c r="XFA1574"/>
      <c r="XFB1574"/>
      <c r="XFC1574"/>
    </row>
    <row r="1575" spans="1:20 16329:16383" s="38" customFormat="1" ht="29.1" customHeight="1" outlineLevel="6" x14ac:dyDescent="0.25">
      <c r="A1575" s="49" t="s">
        <v>2740</v>
      </c>
      <c r="B1575" s="50"/>
      <c r="C1575" s="50"/>
      <c r="D1575" s="3" t="s">
        <v>2260</v>
      </c>
      <c r="E1575" s="3"/>
      <c r="F1575" s="51" t="s">
        <v>2252</v>
      </c>
      <c r="G1575" s="50" t="s">
        <v>29</v>
      </c>
      <c r="H1575" s="52">
        <f>1</f>
        <v>1</v>
      </c>
      <c r="I1575" s="36"/>
      <c r="J1575" s="52">
        <v>1</v>
      </c>
      <c r="K1575" s="53">
        <f>0</f>
        <v>0</v>
      </c>
      <c r="L1575" s="53">
        <f>0</f>
        <v>0</v>
      </c>
      <c r="M1575" s="53">
        <f>0</f>
        <v>0</v>
      </c>
      <c r="N1575" s="54">
        <f>SUM(K1575:M1575)</f>
        <v>0</v>
      </c>
      <c r="O1575" s="54">
        <f>ROUND((H1575*K1575),2)</f>
        <v>0</v>
      </c>
      <c r="P1575" s="54">
        <f>ROUND((H1575*L1575),2)</f>
        <v>0</v>
      </c>
      <c r="Q1575" s="54">
        <f>ROUND((H1575*M1575),2)</f>
        <v>0</v>
      </c>
      <c r="R1575" s="54">
        <f>ROUND((H1575*N1575),2)</f>
        <v>0</v>
      </c>
      <c r="S1575" s="54"/>
      <c r="T1575" s="36"/>
      <c r="XDA1575"/>
      <c r="XDB1575"/>
      <c r="XDC1575"/>
      <c r="XDD1575"/>
      <c r="XDE1575"/>
      <c r="XDF1575"/>
      <c r="XDG1575"/>
      <c r="XDH1575"/>
      <c r="XDI1575"/>
      <c r="XDJ1575"/>
      <c r="XDK1575"/>
      <c r="XDL1575"/>
      <c r="XDM1575"/>
      <c r="XDN1575"/>
      <c r="XDO1575"/>
      <c r="XDP1575"/>
      <c r="XDQ1575"/>
      <c r="XDR1575"/>
      <c r="XDS1575"/>
      <c r="XDT1575"/>
      <c r="XDU1575"/>
      <c r="XDV1575"/>
      <c r="XDW1575"/>
      <c r="XDX1575"/>
      <c r="XDY1575"/>
      <c r="XDZ1575"/>
      <c r="XEA1575"/>
      <c r="XEB1575"/>
      <c r="XEC1575"/>
      <c r="XED1575"/>
      <c r="XEE1575"/>
      <c r="XEF1575"/>
      <c r="XEG1575"/>
      <c r="XEH1575"/>
      <c r="XEI1575"/>
      <c r="XEJ1575"/>
      <c r="XEK1575"/>
      <c r="XEL1575"/>
      <c r="XEM1575"/>
      <c r="XEN1575"/>
      <c r="XEO1575"/>
      <c r="XEP1575"/>
      <c r="XEQ1575"/>
      <c r="XER1575"/>
      <c r="XES1575"/>
      <c r="XET1575"/>
      <c r="XEU1575"/>
      <c r="XEV1575"/>
      <c r="XEW1575"/>
      <c r="XEX1575"/>
      <c r="XEY1575"/>
      <c r="XEZ1575"/>
      <c r="XFA1575"/>
      <c r="XFB1575"/>
      <c r="XFC1575"/>
    </row>
    <row r="1576" spans="1:20 16329:16383" s="38" customFormat="1" ht="29.1" customHeight="1" outlineLevel="6" x14ac:dyDescent="0.25">
      <c r="A1576" s="49" t="s">
        <v>2741</v>
      </c>
      <c r="B1576" s="50"/>
      <c r="C1576" s="50"/>
      <c r="D1576" s="3" t="s">
        <v>2258</v>
      </c>
      <c r="E1576" s="3"/>
      <c r="F1576" s="51" t="s">
        <v>2252</v>
      </c>
      <c r="G1576" s="50" t="s">
        <v>29</v>
      </c>
      <c r="H1576" s="52">
        <f>1</f>
        <v>1</v>
      </c>
      <c r="I1576" s="36"/>
      <c r="J1576" s="52">
        <v>1</v>
      </c>
      <c r="K1576" s="53">
        <f>0</f>
        <v>0</v>
      </c>
      <c r="L1576" s="53">
        <f>0</f>
        <v>0</v>
      </c>
      <c r="M1576" s="53">
        <f>0</f>
        <v>0</v>
      </c>
      <c r="N1576" s="54">
        <f>SUM(K1576:M1576)</f>
        <v>0</v>
      </c>
      <c r="O1576" s="54">
        <f>ROUND((H1576*K1576),2)</f>
        <v>0</v>
      </c>
      <c r="P1576" s="54">
        <f>ROUND((H1576*L1576),2)</f>
        <v>0</v>
      </c>
      <c r="Q1576" s="54">
        <f>ROUND((H1576*M1576),2)</f>
        <v>0</v>
      </c>
      <c r="R1576" s="54">
        <f>ROUND((H1576*N1576),2)</f>
        <v>0</v>
      </c>
      <c r="S1576" s="54"/>
      <c r="T1576" s="36"/>
      <c r="XDA1576"/>
      <c r="XDB1576"/>
      <c r="XDC1576"/>
      <c r="XDD1576"/>
      <c r="XDE1576"/>
      <c r="XDF1576"/>
      <c r="XDG1576"/>
      <c r="XDH1576"/>
      <c r="XDI1576"/>
      <c r="XDJ1576"/>
      <c r="XDK1576"/>
      <c r="XDL1576"/>
      <c r="XDM1576"/>
      <c r="XDN1576"/>
      <c r="XDO1576"/>
      <c r="XDP1576"/>
      <c r="XDQ1576"/>
      <c r="XDR1576"/>
      <c r="XDS1576"/>
      <c r="XDT1576"/>
      <c r="XDU1576"/>
      <c r="XDV1576"/>
      <c r="XDW1576"/>
      <c r="XDX1576"/>
      <c r="XDY1576"/>
      <c r="XDZ1576"/>
      <c r="XEA1576"/>
      <c r="XEB1576"/>
      <c r="XEC1576"/>
      <c r="XED1576"/>
      <c r="XEE1576"/>
      <c r="XEF1576"/>
      <c r="XEG1576"/>
      <c r="XEH1576"/>
      <c r="XEI1576"/>
      <c r="XEJ1576"/>
      <c r="XEK1576"/>
      <c r="XEL1576"/>
      <c r="XEM1576"/>
      <c r="XEN1576"/>
      <c r="XEO1576"/>
      <c r="XEP1576"/>
      <c r="XEQ1576"/>
      <c r="XER1576"/>
      <c r="XES1576"/>
      <c r="XET1576"/>
      <c r="XEU1576"/>
      <c r="XEV1576"/>
      <c r="XEW1576"/>
      <c r="XEX1576"/>
      <c r="XEY1576"/>
      <c r="XEZ1576"/>
      <c r="XFA1576"/>
      <c r="XFB1576"/>
      <c r="XFC1576"/>
    </row>
    <row r="1577" spans="1:20 16329:16383" s="38" customFormat="1" ht="29.1" customHeight="1" outlineLevel="6" x14ac:dyDescent="0.25">
      <c r="A1577" s="49" t="s">
        <v>2742</v>
      </c>
      <c r="B1577" s="50"/>
      <c r="C1577" s="50"/>
      <c r="D1577" s="3" t="s">
        <v>2324</v>
      </c>
      <c r="E1577" s="3"/>
      <c r="F1577" s="51" t="s">
        <v>2252</v>
      </c>
      <c r="G1577" s="50" t="s">
        <v>29</v>
      </c>
      <c r="H1577" s="52">
        <f>1</f>
        <v>1</v>
      </c>
      <c r="I1577" s="36"/>
      <c r="J1577" s="52">
        <v>1</v>
      </c>
      <c r="K1577" s="53">
        <f>0</f>
        <v>0</v>
      </c>
      <c r="L1577" s="53">
        <f>0</f>
        <v>0</v>
      </c>
      <c r="M1577" s="53">
        <f>0</f>
        <v>0</v>
      </c>
      <c r="N1577" s="54">
        <f>SUM(K1577:M1577)</f>
        <v>0</v>
      </c>
      <c r="O1577" s="54">
        <f>ROUND((H1577*K1577),2)</f>
        <v>0</v>
      </c>
      <c r="P1577" s="54">
        <f>ROUND((H1577*L1577),2)</f>
        <v>0</v>
      </c>
      <c r="Q1577" s="54">
        <f>ROUND((H1577*M1577),2)</f>
        <v>0</v>
      </c>
      <c r="R1577" s="54">
        <f>ROUND((H1577*N1577),2)</f>
        <v>0</v>
      </c>
      <c r="S1577" s="54"/>
      <c r="T1577" s="36"/>
      <c r="XDA1577"/>
      <c r="XDB1577"/>
      <c r="XDC1577"/>
      <c r="XDD1577"/>
      <c r="XDE1577"/>
      <c r="XDF1577"/>
      <c r="XDG1577"/>
      <c r="XDH1577"/>
      <c r="XDI1577"/>
      <c r="XDJ1577"/>
      <c r="XDK1577"/>
      <c r="XDL1577"/>
      <c r="XDM1577"/>
      <c r="XDN1577"/>
      <c r="XDO1577"/>
      <c r="XDP1577"/>
      <c r="XDQ1577"/>
      <c r="XDR1577"/>
      <c r="XDS1577"/>
      <c r="XDT1577"/>
      <c r="XDU1577"/>
      <c r="XDV1577"/>
      <c r="XDW1577"/>
      <c r="XDX1577"/>
      <c r="XDY1577"/>
      <c r="XDZ1577"/>
      <c r="XEA1577"/>
      <c r="XEB1577"/>
      <c r="XEC1577"/>
      <c r="XED1577"/>
      <c r="XEE1577"/>
      <c r="XEF1577"/>
      <c r="XEG1577"/>
      <c r="XEH1577"/>
      <c r="XEI1577"/>
      <c r="XEJ1577"/>
      <c r="XEK1577"/>
      <c r="XEL1577"/>
      <c r="XEM1577"/>
      <c r="XEN1577"/>
      <c r="XEO1577"/>
      <c r="XEP1577"/>
      <c r="XEQ1577"/>
      <c r="XER1577"/>
      <c r="XES1577"/>
      <c r="XET1577"/>
      <c r="XEU1577"/>
      <c r="XEV1577"/>
      <c r="XEW1577"/>
      <c r="XEX1577"/>
      <c r="XEY1577"/>
      <c r="XEZ1577"/>
      <c r="XFA1577"/>
      <c r="XFB1577"/>
      <c r="XFC1577"/>
    </row>
    <row r="1578" spans="1:20 16329:16383" s="38" customFormat="1" ht="29.1" customHeight="1" outlineLevel="6" x14ac:dyDescent="0.25">
      <c r="A1578" s="49" t="s">
        <v>2743</v>
      </c>
      <c r="B1578" s="50"/>
      <c r="C1578" s="50"/>
      <c r="D1578" s="3" t="s">
        <v>2326</v>
      </c>
      <c r="E1578" s="3"/>
      <c r="F1578" s="51" t="s">
        <v>2252</v>
      </c>
      <c r="G1578" s="50" t="s">
        <v>29</v>
      </c>
      <c r="H1578" s="52">
        <f>1</f>
        <v>1</v>
      </c>
      <c r="I1578" s="36"/>
      <c r="J1578" s="52">
        <v>1</v>
      </c>
      <c r="K1578" s="53">
        <f>0</f>
        <v>0</v>
      </c>
      <c r="L1578" s="53">
        <f>0</f>
        <v>0</v>
      </c>
      <c r="M1578" s="53">
        <f>0</f>
        <v>0</v>
      </c>
      <c r="N1578" s="54">
        <f>SUM(K1578:M1578)</f>
        <v>0</v>
      </c>
      <c r="O1578" s="54">
        <f>ROUND((H1578*K1578),2)</f>
        <v>0</v>
      </c>
      <c r="P1578" s="54">
        <f>ROUND((H1578*L1578),2)</f>
        <v>0</v>
      </c>
      <c r="Q1578" s="54">
        <f>ROUND((H1578*M1578),2)</f>
        <v>0</v>
      </c>
      <c r="R1578" s="54">
        <f>ROUND((H1578*N1578),2)</f>
        <v>0</v>
      </c>
      <c r="S1578" s="54"/>
      <c r="T1578" s="36"/>
      <c r="XDA1578"/>
      <c r="XDB1578"/>
      <c r="XDC1578"/>
      <c r="XDD1578"/>
      <c r="XDE1578"/>
      <c r="XDF1578"/>
      <c r="XDG1578"/>
      <c r="XDH1578"/>
      <c r="XDI1578"/>
      <c r="XDJ1578"/>
      <c r="XDK1578"/>
      <c r="XDL1578"/>
      <c r="XDM1578"/>
      <c r="XDN1578"/>
      <c r="XDO1578"/>
      <c r="XDP1578"/>
      <c r="XDQ1578"/>
      <c r="XDR1578"/>
      <c r="XDS1578"/>
      <c r="XDT1578"/>
      <c r="XDU1578"/>
      <c r="XDV1578"/>
      <c r="XDW1578"/>
      <c r="XDX1578"/>
      <c r="XDY1578"/>
      <c r="XDZ1578"/>
      <c r="XEA1578"/>
      <c r="XEB1578"/>
      <c r="XEC1578"/>
      <c r="XED1578"/>
      <c r="XEE1578"/>
      <c r="XEF1578"/>
      <c r="XEG1578"/>
      <c r="XEH1578"/>
      <c r="XEI1578"/>
      <c r="XEJ1578"/>
      <c r="XEK1578"/>
      <c r="XEL1578"/>
      <c r="XEM1578"/>
      <c r="XEN1578"/>
      <c r="XEO1578"/>
      <c r="XEP1578"/>
      <c r="XEQ1578"/>
      <c r="XER1578"/>
      <c r="XES1578"/>
      <c r="XET1578"/>
      <c r="XEU1578"/>
      <c r="XEV1578"/>
      <c r="XEW1578"/>
      <c r="XEX1578"/>
      <c r="XEY1578"/>
      <c r="XEZ1578"/>
      <c r="XFA1578"/>
      <c r="XFB1578"/>
      <c r="XFC1578"/>
    </row>
    <row r="1579" spans="1:20 16329:16383" s="38" customFormat="1" ht="29.1" customHeight="1" outlineLevel="4" x14ac:dyDescent="0.25">
      <c r="A1579" s="60" t="s">
        <v>2744</v>
      </c>
      <c r="B1579" s="61" t="s">
        <v>2745</v>
      </c>
      <c r="C1579" s="61" t="s">
        <v>2157</v>
      </c>
      <c r="D1579" s="1" t="s">
        <v>2158</v>
      </c>
      <c r="E1579" s="1"/>
      <c r="F1579" s="62"/>
      <c r="G1579" s="61" t="s">
        <v>102</v>
      </c>
      <c r="H1579" s="63"/>
      <c r="I1579" s="36"/>
      <c r="J1579" s="63"/>
      <c r="K1579" s="64"/>
      <c r="L1579" s="64"/>
      <c r="M1579" s="64"/>
      <c r="N1579" s="64"/>
      <c r="O1579" s="64">
        <f>O1580+O1585+O1589</f>
        <v>0</v>
      </c>
      <c r="P1579" s="64">
        <f>P1580+P1585+P1589</f>
        <v>0</v>
      </c>
      <c r="Q1579" s="64">
        <f>Q1580+Q1585+Q1589</f>
        <v>0</v>
      </c>
      <c r="R1579" s="64">
        <f>R1580+R1585+R1589</f>
        <v>0</v>
      </c>
      <c r="S1579" s="64"/>
      <c r="T1579" s="36"/>
      <c r="XDA1579"/>
      <c r="XDB1579"/>
      <c r="XDC1579"/>
      <c r="XDD1579"/>
      <c r="XDE1579"/>
      <c r="XDF1579"/>
      <c r="XDG1579"/>
      <c r="XDH1579"/>
      <c r="XDI1579"/>
      <c r="XDJ1579"/>
      <c r="XDK1579"/>
      <c r="XDL1579"/>
      <c r="XDM1579"/>
      <c r="XDN1579"/>
      <c r="XDO1579"/>
      <c r="XDP1579"/>
      <c r="XDQ1579"/>
      <c r="XDR1579"/>
      <c r="XDS1579"/>
      <c r="XDT1579"/>
      <c r="XDU1579"/>
      <c r="XDV1579"/>
      <c r="XDW1579"/>
      <c r="XDX1579"/>
      <c r="XDY1579"/>
      <c r="XDZ1579"/>
      <c r="XEA1579"/>
      <c r="XEB1579"/>
      <c r="XEC1579"/>
      <c r="XED1579"/>
      <c r="XEE1579"/>
      <c r="XEF1579"/>
      <c r="XEG1579"/>
      <c r="XEH1579"/>
      <c r="XEI1579"/>
      <c r="XEJ1579"/>
      <c r="XEK1579"/>
      <c r="XEL1579"/>
      <c r="XEM1579"/>
      <c r="XEN1579"/>
      <c r="XEO1579"/>
      <c r="XEP1579"/>
      <c r="XEQ1579"/>
      <c r="XER1579"/>
      <c r="XES1579"/>
      <c r="XET1579"/>
      <c r="XEU1579"/>
      <c r="XEV1579"/>
      <c r="XEW1579"/>
      <c r="XEX1579"/>
      <c r="XEY1579"/>
      <c r="XEZ1579"/>
      <c r="XFA1579"/>
      <c r="XFB1579"/>
      <c r="XFC1579"/>
    </row>
    <row r="1580" spans="1:20 16329:16383" s="38" customFormat="1" ht="29.1" customHeight="1" outlineLevel="5" x14ac:dyDescent="0.25">
      <c r="A1580" s="65" t="s">
        <v>2746</v>
      </c>
      <c r="B1580" s="66" t="s">
        <v>2747</v>
      </c>
      <c r="C1580" s="66"/>
      <c r="D1580" s="98" t="s">
        <v>1873</v>
      </c>
      <c r="E1580" s="98"/>
      <c r="F1580" s="67"/>
      <c r="G1580" s="66"/>
      <c r="H1580" s="68"/>
      <c r="I1580" s="36"/>
      <c r="J1580" s="68"/>
      <c r="K1580" s="69"/>
      <c r="L1580" s="69"/>
      <c r="M1580" s="69"/>
      <c r="N1580" s="69"/>
      <c r="O1580" s="69">
        <f>SUM(O1581:O1584)</f>
        <v>0</v>
      </c>
      <c r="P1580" s="69">
        <f>SUM(P1581:P1584)</f>
        <v>0</v>
      </c>
      <c r="Q1580" s="69">
        <f>SUM(Q1581:Q1584)</f>
        <v>0</v>
      </c>
      <c r="R1580" s="69">
        <f>SUM(R1581:R1584)</f>
        <v>0</v>
      </c>
      <c r="S1580" s="69"/>
      <c r="T1580" s="36"/>
      <c r="XDA1580"/>
      <c r="XDB1580"/>
      <c r="XDC1580"/>
      <c r="XDD1580"/>
      <c r="XDE1580"/>
      <c r="XDF1580"/>
      <c r="XDG1580"/>
      <c r="XDH1580"/>
      <c r="XDI1580"/>
      <c r="XDJ1580"/>
      <c r="XDK1580"/>
      <c r="XDL1580"/>
      <c r="XDM1580"/>
      <c r="XDN1580"/>
      <c r="XDO1580"/>
      <c r="XDP1580"/>
      <c r="XDQ1580"/>
      <c r="XDR1580"/>
      <c r="XDS1580"/>
      <c r="XDT1580"/>
      <c r="XDU1580"/>
      <c r="XDV1580"/>
      <c r="XDW1580"/>
      <c r="XDX1580"/>
      <c r="XDY1580"/>
      <c r="XDZ1580"/>
      <c r="XEA1580"/>
      <c r="XEB1580"/>
      <c r="XEC1580"/>
      <c r="XED1580"/>
      <c r="XEE1580"/>
      <c r="XEF1580"/>
      <c r="XEG1580"/>
      <c r="XEH1580"/>
      <c r="XEI1580"/>
      <c r="XEJ1580"/>
      <c r="XEK1580"/>
      <c r="XEL1580"/>
      <c r="XEM1580"/>
      <c r="XEN1580"/>
      <c r="XEO1580"/>
      <c r="XEP1580"/>
      <c r="XEQ1580"/>
      <c r="XER1580"/>
      <c r="XES1580"/>
      <c r="XET1580"/>
      <c r="XEU1580"/>
      <c r="XEV1580"/>
      <c r="XEW1580"/>
      <c r="XEX1580"/>
      <c r="XEY1580"/>
      <c r="XEZ1580"/>
      <c r="XFA1580"/>
      <c r="XFB1580"/>
      <c r="XFC1580"/>
    </row>
    <row r="1581" spans="1:20 16329:16383" s="38" customFormat="1" ht="29.1" customHeight="1" outlineLevel="6" x14ac:dyDescent="0.25">
      <c r="A1581" s="49" t="s">
        <v>2748</v>
      </c>
      <c r="B1581" s="50"/>
      <c r="C1581" s="50"/>
      <c r="D1581" s="3" t="s">
        <v>1968</v>
      </c>
      <c r="E1581" s="3"/>
      <c r="F1581" s="51"/>
      <c r="G1581" s="50" t="s">
        <v>102</v>
      </c>
      <c r="H1581" s="52">
        <f>1</f>
        <v>1</v>
      </c>
      <c r="I1581" s="36"/>
      <c r="J1581" s="52">
        <v>1</v>
      </c>
      <c r="K1581" s="53">
        <f>0</f>
        <v>0</v>
      </c>
      <c r="L1581" s="53">
        <f>0</f>
        <v>0</v>
      </c>
      <c r="M1581" s="53">
        <f>0</f>
        <v>0</v>
      </c>
      <c r="N1581" s="54">
        <f>SUM(K1581:M1581)</f>
        <v>0</v>
      </c>
      <c r="O1581" s="54">
        <f>ROUND((H1581*K1581),2)</f>
        <v>0</v>
      </c>
      <c r="P1581" s="54">
        <f>ROUND((H1581*L1581),2)</f>
        <v>0</v>
      </c>
      <c r="Q1581" s="54">
        <f>ROUND((H1581*M1581),2)</f>
        <v>0</v>
      </c>
      <c r="R1581" s="54">
        <f>ROUND((H1581*N1581),2)</f>
        <v>0</v>
      </c>
      <c r="S1581" s="54"/>
      <c r="T1581" s="36"/>
      <c r="XDA1581"/>
      <c r="XDB1581"/>
      <c r="XDC1581"/>
      <c r="XDD1581"/>
      <c r="XDE1581"/>
      <c r="XDF1581"/>
      <c r="XDG1581"/>
      <c r="XDH1581"/>
      <c r="XDI1581"/>
      <c r="XDJ1581"/>
      <c r="XDK1581"/>
      <c r="XDL1581"/>
      <c r="XDM1581"/>
      <c r="XDN1581"/>
      <c r="XDO1581"/>
      <c r="XDP1581"/>
      <c r="XDQ1581"/>
      <c r="XDR1581"/>
      <c r="XDS1581"/>
      <c r="XDT1581"/>
      <c r="XDU1581"/>
      <c r="XDV1581"/>
      <c r="XDW1581"/>
      <c r="XDX1581"/>
      <c r="XDY1581"/>
      <c r="XDZ1581"/>
      <c r="XEA1581"/>
      <c r="XEB1581"/>
      <c r="XEC1581"/>
      <c r="XED1581"/>
      <c r="XEE1581"/>
      <c r="XEF1581"/>
      <c r="XEG1581"/>
      <c r="XEH1581"/>
      <c r="XEI1581"/>
      <c r="XEJ1581"/>
      <c r="XEK1581"/>
      <c r="XEL1581"/>
      <c r="XEM1581"/>
      <c r="XEN1581"/>
      <c r="XEO1581"/>
      <c r="XEP1581"/>
      <c r="XEQ1581"/>
      <c r="XER1581"/>
      <c r="XES1581"/>
      <c r="XET1581"/>
      <c r="XEU1581"/>
      <c r="XEV1581"/>
      <c r="XEW1581"/>
      <c r="XEX1581"/>
      <c r="XEY1581"/>
      <c r="XEZ1581"/>
      <c r="XFA1581"/>
      <c r="XFB1581"/>
      <c r="XFC1581"/>
    </row>
    <row r="1582" spans="1:20 16329:16383" s="38" customFormat="1" ht="29.1" customHeight="1" outlineLevel="6" x14ac:dyDescent="0.25">
      <c r="A1582" s="49" t="s">
        <v>2749</v>
      </c>
      <c r="B1582" s="50"/>
      <c r="C1582" s="50"/>
      <c r="D1582" s="3" t="s">
        <v>1970</v>
      </c>
      <c r="E1582" s="3"/>
      <c r="F1582" s="51"/>
      <c r="G1582" s="50" t="s">
        <v>102</v>
      </c>
      <c r="H1582" s="52">
        <f>1</f>
        <v>1</v>
      </c>
      <c r="I1582" s="36"/>
      <c r="J1582" s="52">
        <v>1</v>
      </c>
      <c r="K1582" s="53">
        <f>0</f>
        <v>0</v>
      </c>
      <c r="L1582" s="53">
        <f>0</f>
        <v>0</v>
      </c>
      <c r="M1582" s="53">
        <f>0</f>
        <v>0</v>
      </c>
      <c r="N1582" s="54">
        <f>SUM(K1582:M1582)</f>
        <v>0</v>
      </c>
      <c r="O1582" s="54">
        <f>ROUND((H1582*K1582),2)</f>
        <v>0</v>
      </c>
      <c r="P1582" s="54">
        <f>ROUND((H1582*L1582),2)</f>
        <v>0</v>
      </c>
      <c r="Q1582" s="54">
        <f>ROUND((H1582*M1582),2)</f>
        <v>0</v>
      </c>
      <c r="R1582" s="54">
        <f>ROUND((H1582*N1582),2)</f>
        <v>0</v>
      </c>
      <c r="S1582" s="54"/>
      <c r="T1582" s="36"/>
      <c r="XDA1582"/>
      <c r="XDB1582"/>
      <c r="XDC1582"/>
      <c r="XDD1582"/>
      <c r="XDE1582"/>
      <c r="XDF1582"/>
      <c r="XDG1582"/>
      <c r="XDH1582"/>
      <c r="XDI1582"/>
      <c r="XDJ1582"/>
      <c r="XDK1582"/>
      <c r="XDL1582"/>
      <c r="XDM1582"/>
      <c r="XDN1582"/>
      <c r="XDO1582"/>
      <c r="XDP1582"/>
      <c r="XDQ1582"/>
      <c r="XDR1582"/>
      <c r="XDS1582"/>
      <c r="XDT1582"/>
      <c r="XDU1582"/>
      <c r="XDV1582"/>
      <c r="XDW1582"/>
      <c r="XDX1582"/>
      <c r="XDY1582"/>
      <c r="XDZ1582"/>
      <c r="XEA1582"/>
      <c r="XEB1582"/>
      <c r="XEC1582"/>
      <c r="XED1582"/>
      <c r="XEE1582"/>
      <c r="XEF1582"/>
      <c r="XEG1582"/>
      <c r="XEH1582"/>
      <c r="XEI1582"/>
      <c r="XEJ1582"/>
      <c r="XEK1582"/>
      <c r="XEL1582"/>
      <c r="XEM1582"/>
      <c r="XEN1582"/>
      <c r="XEO1582"/>
      <c r="XEP1582"/>
      <c r="XEQ1582"/>
      <c r="XER1582"/>
      <c r="XES1582"/>
      <c r="XET1582"/>
      <c r="XEU1582"/>
      <c r="XEV1582"/>
      <c r="XEW1582"/>
      <c r="XEX1582"/>
      <c r="XEY1582"/>
      <c r="XEZ1582"/>
      <c r="XFA1582"/>
      <c r="XFB1582"/>
      <c r="XFC1582"/>
    </row>
    <row r="1583" spans="1:20 16329:16383" s="38" customFormat="1" ht="29.1" customHeight="1" outlineLevel="6" x14ac:dyDescent="0.25">
      <c r="A1583" s="49" t="s">
        <v>2750</v>
      </c>
      <c r="B1583" s="50"/>
      <c r="C1583" s="50"/>
      <c r="D1583" s="3" t="s">
        <v>1972</v>
      </c>
      <c r="E1583" s="3"/>
      <c r="F1583" s="51"/>
      <c r="G1583" s="50" t="s">
        <v>102</v>
      </c>
      <c r="H1583" s="52">
        <f>1</f>
        <v>1</v>
      </c>
      <c r="I1583" s="36"/>
      <c r="J1583" s="52">
        <v>1</v>
      </c>
      <c r="K1583" s="53">
        <f>0</f>
        <v>0</v>
      </c>
      <c r="L1583" s="53">
        <f>0</f>
        <v>0</v>
      </c>
      <c r="M1583" s="53">
        <f>0</f>
        <v>0</v>
      </c>
      <c r="N1583" s="54">
        <f>SUM(K1583:M1583)</f>
        <v>0</v>
      </c>
      <c r="O1583" s="54">
        <f>ROUND((H1583*K1583),2)</f>
        <v>0</v>
      </c>
      <c r="P1583" s="54">
        <f>ROUND((H1583*L1583),2)</f>
        <v>0</v>
      </c>
      <c r="Q1583" s="54">
        <f>ROUND((H1583*M1583),2)</f>
        <v>0</v>
      </c>
      <c r="R1583" s="54">
        <f>ROUND((H1583*N1583),2)</f>
        <v>0</v>
      </c>
      <c r="S1583" s="54"/>
      <c r="T1583" s="36"/>
      <c r="XDA1583"/>
      <c r="XDB1583"/>
      <c r="XDC1583"/>
      <c r="XDD1583"/>
      <c r="XDE1583"/>
      <c r="XDF1583"/>
      <c r="XDG1583"/>
      <c r="XDH1583"/>
      <c r="XDI1583"/>
      <c r="XDJ1583"/>
      <c r="XDK1583"/>
      <c r="XDL1583"/>
      <c r="XDM1583"/>
      <c r="XDN1583"/>
      <c r="XDO1583"/>
      <c r="XDP1583"/>
      <c r="XDQ1583"/>
      <c r="XDR1583"/>
      <c r="XDS1583"/>
      <c r="XDT1583"/>
      <c r="XDU1583"/>
      <c r="XDV1583"/>
      <c r="XDW1583"/>
      <c r="XDX1583"/>
      <c r="XDY1583"/>
      <c r="XDZ1583"/>
      <c r="XEA1583"/>
      <c r="XEB1583"/>
      <c r="XEC1583"/>
      <c r="XED1583"/>
      <c r="XEE1583"/>
      <c r="XEF1583"/>
      <c r="XEG1583"/>
      <c r="XEH1583"/>
      <c r="XEI1583"/>
      <c r="XEJ1583"/>
      <c r="XEK1583"/>
      <c r="XEL1583"/>
      <c r="XEM1583"/>
      <c r="XEN1583"/>
      <c r="XEO1583"/>
      <c r="XEP1583"/>
      <c r="XEQ1583"/>
      <c r="XER1583"/>
      <c r="XES1583"/>
      <c r="XET1583"/>
      <c r="XEU1583"/>
      <c r="XEV1583"/>
      <c r="XEW1583"/>
      <c r="XEX1583"/>
      <c r="XEY1583"/>
      <c r="XEZ1583"/>
      <c r="XFA1583"/>
      <c r="XFB1583"/>
      <c r="XFC1583"/>
    </row>
    <row r="1584" spans="1:20 16329:16383" s="38" customFormat="1" ht="29.1" customHeight="1" outlineLevel="6" x14ac:dyDescent="0.25">
      <c r="A1584" s="49" t="s">
        <v>2751</v>
      </c>
      <c r="B1584" s="50"/>
      <c r="C1584" s="50"/>
      <c r="D1584" s="3" t="s">
        <v>1937</v>
      </c>
      <c r="E1584" s="3"/>
      <c r="F1584" s="51"/>
      <c r="G1584" s="50" t="s">
        <v>194</v>
      </c>
      <c r="H1584" s="52">
        <f>1</f>
        <v>1</v>
      </c>
      <c r="I1584" s="36"/>
      <c r="J1584" s="52">
        <v>1</v>
      </c>
      <c r="K1584" s="53">
        <f>0</f>
        <v>0</v>
      </c>
      <c r="L1584" s="53">
        <f>0</f>
        <v>0</v>
      </c>
      <c r="M1584" s="53">
        <f>0</f>
        <v>0</v>
      </c>
      <c r="N1584" s="54">
        <f>SUM(K1584:M1584)</f>
        <v>0</v>
      </c>
      <c r="O1584" s="54">
        <f>ROUND((H1584*K1584),2)</f>
        <v>0</v>
      </c>
      <c r="P1584" s="54">
        <f>ROUND((H1584*L1584),2)</f>
        <v>0</v>
      </c>
      <c r="Q1584" s="54">
        <f>ROUND((H1584*M1584),2)</f>
        <v>0</v>
      </c>
      <c r="R1584" s="54">
        <f>ROUND((H1584*N1584),2)</f>
        <v>0</v>
      </c>
      <c r="S1584" s="54"/>
      <c r="T1584" s="36"/>
      <c r="XDA1584"/>
      <c r="XDB1584"/>
      <c r="XDC1584"/>
      <c r="XDD1584"/>
      <c r="XDE1584"/>
      <c r="XDF1584"/>
      <c r="XDG1584"/>
      <c r="XDH1584"/>
      <c r="XDI1584"/>
      <c r="XDJ1584"/>
      <c r="XDK1584"/>
      <c r="XDL1584"/>
      <c r="XDM1584"/>
      <c r="XDN1584"/>
      <c r="XDO1584"/>
      <c r="XDP1584"/>
      <c r="XDQ1584"/>
      <c r="XDR1584"/>
      <c r="XDS1584"/>
      <c r="XDT1584"/>
      <c r="XDU1584"/>
      <c r="XDV1584"/>
      <c r="XDW1584"/>
      <c r="XDX1584"/>
      <c r="XDY1584"/>
      <c r="XDZ1584"/>
      <c r="XEA1584"/>
      <c r="XEB1584"/>
      <c r="XEC1584"/>
      <c r="XED1584"/>
      <c r="XEE1584"/>
      <c r="XEF1584"/>
      <c r="XEG1584"/>
      <c r="XEH1584"/>
      <c r="XEI1584"/>
      <c r="XEJ1584"/>
      <c r="XEK1584"/>
      <c r="XEL1584"/>
      <c r="XEM1584"/>
      <c r="XEN1584"/>
      <c r="XEO1584"/>
      <c r="XEP1584"/>
      <c r="XEQ1584"/>
      <c r="XER1584"/>
      <c r="XES1584"/>
      <c r="XET1584"/>
      <c r="XEU1584"/>
      <c r="XEV1584"/>
      <c r="XEW1584"/>
      <c r="XEX1584"/>
      <c r="XEY1584"/>
      <c r="XEZ1584"/>
      <c r="XFA1584"/>
      <c r="XFB1584"/>
      <c r="XFC1584"/>
    </row>
    <row r="1585" spans="1:20 16329:16383" s="38" customFormat="1" ht="29.1" customHeight="1" outlineLevel="5" x14ac:dyDescent="0.25">
      <c r="A1585" s="65" t="s">
        <v>2752</v>
      </c>
      <c r="B1585" s="66" t="s">
        <v>2753</v>
      </c>
      <c r="C1585" s="66"/>
      <c r="D1585" s="98" t="s">
        <v>344</v>
      </c>
      <c r="E1585" s="98"/>
      <c r="F1585" s="67"/>
      <c r="G1585" s="66"/>
      <c r="H1585" s="68"/>
      <c r="I1585" s="36"/>
      <c r="J1585" s="68"/>
      <c r="K1585" s="69"/>
      <c r="L1585" s="69"/>
      <c r="M1585" s="69"/>
      <c r="N1585" s="69"/>
      <c r="O1585" s="69">
        <f>SUM(O1586:O1588)</f>
        <v>0</v>
      </c>
      <c r="P1585" s="69">
        <f>SUM(P1586:P1588)</f>
        <v>0</v>
      </c>
      <c r="Q1585" s="69">
        <f>SUM(Q1586:Q1588)</f>
        <v>0</v>
      </c>
      <c r="R1585" s="69">
        <f>SUM(R1586:R1588)</f>
        <v>0</v>
      </c>
      <c r="S1585" s="69"/>
      <c r="T1585" s="36"/>
      <c r="XDA1585"/>
      <c r="XDB1585"/>
      <c r="XDC1585"/>
      <c r="XDD1585"/>
      <c r="XDE1585"/>
      <c r="XDF1585"/>
      <c r="XDG1585"/>
      <c r="XDH1585"/>
      <c r="XDI1585"/>
      <c r="XDJ1585"/>
      <c r="XDK1585"/>
      <c r="XDL1585"/>
      <c r="XDM1585"/>
      <c r="XDN1585"/>
      <c r="XDO1585"/>
      <c r="XDP1585"/>
      <c r="XDQ1585"/>
      <c r="XDR1585"/>
      <c r="XDS1585"/>
      <c r="XDT1585"/>
      <c r="XDU1585"/>
      <c r="XDV1585"/>
      <c r="XDW1585"/>
      <c r="XDX1585"/>
      <c r="XDY1585"/>
      <c r="XDZ1585"/>
      <c r="XEA1585"/>
      <c r="XEB1585"/>
      <c r="XEC1585"/>
      <c r="XED1585"/>
      <c r="XEE1585"/>
      <c r="XEF1585"/>
      <c r="XEG1585"/>
      <c r="XEH1585"/>
      <c r="XEI1585"/>
      <c r="XEJ1585"/>
      <c r="XEK1585"/>
      <c r="XEL1585"/>
      <c r="XEM1585"/>
      <c r="XEN1585"/>
      <c r="XEO1585"/>
      <c r="XEP1585"/>
      <c r="XEQ1585"/>
      <c r="XER1585"/>
      <c r="XES1585"/>
      <c r="XET1585"/>
      <c r="XEU1585"/>
      <c r="XEV1585"/>
      <c r="XEW1585"/>
      <c r="XEX1585"/>
      <c r="XEY1585"/>
      <c r="XEZ1585"/>
      <c r="XFA1585"/>
      <c r="XFB1585"/>
      <c r="XFC1585"/>
    </row>
    <row r="1586" spans="1:20 16329:16383" s="38" customFormat="1" ht="29.1" customHeight="1" outlineLevel="6" x14ac:dyDescent="0.25">
      <c r="A1586" s="49" t="s">
        <v>2754</v>
      </c>
      <c r="B1586" s="50"/>
      <c r="C1586" s="50"/>
      <c r="D1586" s="3" t="s">
        <v>1884</v>
      </c>
      <c r="E1586" s="3"/>
      <c r="F1586" s="51"/>
      <c r="G1586" s="50" t="s">
        <v>102</v>
      </c>
      <c r="H1586" s="52">
        <f>1</f>
        <v>1</v>
      </c>
      <c r="I1586" s="36"/>
      <c r="J1586" s="52">
        <v>1</v>
      </c>
      <c r="K1586" s="53">
        <f>0</f>
        <v>0</v>
      </c>
      <c r="L1586" s="53">
        <f>0</f>
        <v>0</v>
      </c>
      <c r="M1586" s="53">
        <f>0</f>
        <v>0</v>
      </c>
      <c r="N1586" s="54">
        <f>SUM(K1586:M1586)</f>
        <v>0</v>
      </c>
      <c r="O1586" s="54">
        <f>ROUND((H1586*K1586),2)</f>
        <v>0</v>
      </c>
      <c r="P1586" s="54">
        <f>ROUND((H1586*L1586),2)</f>
        <v>0</v>
      </c>
      <c r="Q1586" s="54">
        <f>ROUND((H1586*M1586),2)</f>
        <v>0</v>
      </c>
      <c r="R1586" s="54">
        <f>ROUND((H1586*N1586),2)</f>
        <v>0</v>
      </c>
      <c r="S1586" s="54"/>
      <c r="T1586" s="36"/>
      <c r="XDA1586"/>
      <c r="XDB1586"/>
      <c r="XDC1586"/>
      <c r="XDD1586"/>
      <c r="XDE1586"/>
      <c r="XDF1586"/>
      <c r="XDG1586"/>
      <c r="XDH1586"/>
      <c r="XDI1586"/>
      <c r="XDJ1586"/>
      <c r="XDK1586"/>
      <c r="XDL1586"/>
      <c r="XDM1586"/>
      <c r="XDN1586"/>
      <c r="XDO1586"/>
      <c r="XDP1586"/>
      <c r="XDQ1586"/>
      <c r="XDR1586"/>
      <c r="XDS1586"/>
      <c r="XDT1586"/>
      <c r="XDU1586"/>
      <c r="XDV1586"/>
      <c r="XDW1586"/>
      <c r="XDX1586"/>
      <c r="XDY1586"/>
      <c r="XDZ1586"/>
      <c r="XEA1586"/>
      <c r="XEB1586"/>
      <c r="XEC1586"/>
      <c r="XED1586"/>
      <c r="XEE1586"/>
      <c r="XEF1586"/>
      <c r="XEG1586"/>
      <c r="XEH1586"/>
      <c r="XEI1586"/>
      <c r="XEJ1586"/>
      <c r="XEK1586"/>
      <c r="XEL1586"/>
      <c r="XEM1586"/>
      <c r="XEN1586"/>
      <c r="XEO1586"/>
      <c r="XEP1586"/>
      <c r="XEQ1586"/>
      <c r="XER1586"/>
      <c r="XES1586"/>
      <c r="XET1586"/>
      <c r="XEU1586"/>
      <c r="XEV1586"/>
      <c r="XEW1586"/>
      <c r="XEX1586"/>
      <c r="XEY1586"/>
      <c r="XEZ1586"/>
      <c r="XFA1586"/>
      <c r="XFB1586"/>
      <c r="XFC1586"/>
    </row>
    <row r="1587" spans="1:20 16329:16383" s="38" customFormat="1" ht="29.1" customHeight="1" outlineLevel="6" x14ac:dyDescent="0.25">
      <c r="A1587" s="49" t="s">
        <v>2755</v>
      </c>
      <c r="B1587" s="50"/>
      <c r="C1587" s="50"/>
      <c r="D1587" s="3" t="s">
        <v>1955</v>
      </c>
      <c r="E1587" s="3"/>
      <c r="F1587" s="51"/>
      <c r="G1587" s="50" t="s">
        <v>102</v>
      </c>
      <c r="H1587" s="52">
        <f>1</f>
        <v>1</v>
      </c>
      <c r="I1587" s="36"/>
      <c r="J1587" s="52">
        <v>1</v>
      </c>
      <c r="K1587" s="53">
        <f>0</f>
        <v>0</v>
      </c>
      <c r="L1587" s="53">
        <f>0</f>
        <v>0</v>
      </c>
      <c r="M1587" s="53">
        <f>0</f>
        <v>0</v>
      </c>
      <c r="N1587" s="54">
        <f>SUM(K1587:M1587)</f>
        <v>0</v>
      </c>
      <c r="O1587" s="54">
        <f>ROUND((H1587*K1587),2)</f>
        <v>0</v>
      </c>
      <c r="P1587" s="54">
        <f>ROUND((H1587*L1587),2)</f>
        <v>0</v>
      </c>
      <c r="Q1587" s="54">
        <f>ROUND((H1587*M1587),2)</f>
        <v>0</v>
      </c>
      <c r="R1587" s="54">
        <f>ROUND((H1587*N1587),2)</f>
        <v>0</v>
      </c>
      <c r="S1587" s="54"/>
      <c r="T1587" s="36"/>
      <c r="XDA1587"/>
      <c r="XDB1587"/>
      <c r="XDC1587"/>
      <c r="XDD1587"/>
      <c r="XDE1587"/>
      <c r="XDF1587"/>
      <c r="XDG1587"/>
      <c r="XDH1587"/>
      <c r="XDI1587"/>
      <c r="XDJ1587"/>
      <c r="XDK1587"/>
      <c r="XDL1587"/>
      <c r="XDM1587"/>
      <c r="XDN1587"/>
      <c r="XDO1587"/>
      <c r="XDP1587"/>
      <c r="XDQ1587"/>
      <c r="XDR1587"/>
      <c r="XDS1587"/>
      <c r="XDT1587"/>
      <c r="XDU1587"/>
      <c r="XDV1587"/>
      <c r="XDW1587"/>
      <c r="XDX1587"/>
      <c r="XDY1587"/>
      <c r="XDZ1587"/>
      <c r="XEA1587"/>
      <c r="XEB1587"/>
      <c r="XEC1587"/>
      <c r="XED1587"/>
      <c r="XEE1587"/>
      <c r="XEF1587"/>
      <c r="XEG1587"/>
      <c r="XEH1587"/>
      <c r="XEI1587"/>
      <c r="XEJ1587"/>
      <c r="XEK1587"/>
      <c r="XEL1587"/>
      <c r="XEM1587"/>
      <c r="XEN1587"/>
      <c r="XEO1587"/>
      <c r="XEP1587"/>
      <c r="XEQ1587"/>
      <c r="XER1587"/>
      <c r="XES1587"/>
      <c r="XET1587"/>
      <c r="XEU1587"/>
      <c r="XEV1587"/>
      <c r="XEW1587"/>
      <c r="XEX1587"/>
      <c r="XEY1587"/>
      <c r="XEZ1587"/>
      <c r="XFA1587"/>
      <c r="XFB1587"/>
      <c r="XFC1587"/>
    </row>
    <row r="1588" spans="1:20 16329:16383" s="38" customFormat="1" ht="29.1" customHeight="1" outlineLevel="6" x14ac:dyDescent="0.25">
      <c r="A1588" s="49" t="s">
        <v>2756</v>
      </c>
      <c r="B1588" s="50"/>
      <c r="C1588" s="50"/>
      <c r="D1588" s="3" t="s">
        <v>1957</v>
      </c>
      <c r="E1588" s="3"/>
      <c r="F1588" s="51"/>
      <c r="G1588" s="50" t="s">
        <v>102</v>
      </c>
      <c r="H1588" s="52">
        <f>1</f>
        <v>1</v>
      </c>
      <c r="I1588" s="36"/>
      <c r="J1588" s="52">
        <v>1</v>
      </c>
      <c r="K1588" s="53">
        <f>0</f>
        <v>0</v>
      </c>
      <c r="L1588" s="53">
        <f>0</f>
        <v>0</v>
      </c>
      <c r="M1588" s="53">
        <f>0</f>
        <v>0</v>
      </c>
      <c r="N1588" s="54">
        <f>SUM(K1588:M1588)</f>
        <v>0</v>
      </c>
      <c r="O1588" s="54">
        <f>ROUND((H1588*K1588),2)</f>
        <v>0</v>
      </c>
      <c r="P1588" s="54">
        <f>ROUND((H1588*L1588),2)</f>
        <v>0</v>
      </c>
      <c r="Q1588" s="54">
        <f>ROUND((H1588*M1588),2)</f>
        <v>0</v>
      </c>
      <c r="R1588" s="54">
        <f>ROUND((H1588*N1588),2)</f>
        <v>0</v>
      </c>
      <c r="S1588" s="54"/>
      <c r="T1588" s="36"/>
      <c r="XDA1588"/>
      <c r="XDB1588"/>
      <c r="XDC1588"/>
      <c r="XDD1588"/>
      <c r="XDE1588"/>
      <c r="XDF1588"/>
      <c r="XDG1588"/>
      <c r="XDH1588"/>
      <c r="XDI1588"/>
      <c r="XDJ1588"/>
      <c r="XDK1588"/>
      <c r="XDL1588"/>
      <c r="XDM1588"/>
      <c r="XDN1588"/>
      <c r="XDO1588"/>
      <c r="XDP1588"/>
      <c r="XDQ1588"/>
      <c r="XDR1588"/>
      <c r="XDS1588"/>
      <c r="XDT1588"/>
      <c r="XDU1588"/>
      <c r="XDV1588"/>
      <c r="XDW1588"/>
      <c r="XDX1588"/>
      <c r="XDY1588"/>
      <c r="XDZ1588"/>
      <c r="XEA1588"/>
      <c r="XEB1588"/>
      <c r="XEC1588"/>
      <c r="XED1588"/>
      <c r="XEE1588"/>
      <c r="XEF1588"/>
      <c r="XEG1588"/>
      <c r="XEH1588"/>
      <c r="XEI1588"/>
      <c r="XEJ1588"/>
      <c r="XEK1588"/>
      <c r="XEL1588"/>
      <c r="XEM1588"/>
      <c r="XEN1588"/>
      <c r="XEO1588"/>
      <c r="XEP1588"/>
      <c r="XEQ1588"/>
      <c r="XER1588"/>
      <c r="XES1588"/>
      <c r="XET1588"/>
      <c r="XEU1588"/>
      <c r="XEV1588"/>
      <c r="XEW1588"/>
      <c r="XEX1588"/>
      <c r="XEY1588"/>
      <c r="XEZ1588"/>
      <c r="XFA1588"/>
      <c r="XFB1588"/>
      <c r="XFC1588"/>
    </row>
    <row r="1589" spans="1:20 16329:16383" s="38" customFormat="1" ht="29.1" customHeight="1" outlineLevel="5" x14ac:dyDescent="0.25">
      <c r="A1589" s="65" t="s">
        <v>2757</v>
      </c>
      <c r="B1589" s="66" t="s">
        <v>2758</v>
      </c>
      <c r="C1589" s="66"/>
      <c r="D1589" s="98" t="s">
        <v>1899</v>
      </c>
      <c r="E1589" s="98"/>
      <c r="F1589" s="67"/>
      <c r="G1589" s="66"/>
      <c r="H1589" s="68"/>
      <c r="I1589" s="36"/>
      <c r="J1589" s="68"/>
      <c r="K1589" s="69"/>
      <c r="L1589" s="69"/>
      <c r="M1589" s="69"/>
      <c r="N1589" s="69"/>
      <c r="O1589" s="69">
        <f>SUM(O1590:O1592)</f>
        <v>0</v>
      </c>
      <c r="P1589" s="69">
        <f>SUM(P1590:P1592)</f>
        <v>0</v>
      </c>
      <c r="Q1589" s="69">
        <f>SUM(Q1590:Q1592)</f>
        <v>0</v>
      </c>
      <c r="R1589" s="69">
        <f>SUM(R1590:R1592)</f>
        <v>0</v>
      </c>
      <c r="S1589" s="69"/>
      <c r="T1589" s="36"/>
      <c r="XDA1589"/>
      <c r="XDB1589"/>
      <c r="XDC1589"/>
      <c r="XDD1589"/>
      <c r="XDE1589"/>
      <c r="XDF1589"/>
      <c r="XDG1589"/>
      <c r="XDH1589"/>
      <c r="XDI1589"/>
      <c r="XDJ1589"/>
      <c r="XDK1589"/>
      <c r="XDL1589"/>
      <c r="XDM1589"/>
      <c r="XDN1589"/>
      <c r="XDO1589"/>
      <c r="XDP1589"/>
      <c r="XDQ1589"/>
      <c r="XDR1589"/>
      <c r="XDS1589"/>
      <c r="XDT1589"/>
      <c r="XDU1589"/>
      <c r="XDV1589"/>
      <c r="XDW1589"/>
      <c r="XDX1589"/>
      <c r="XDY1589"/>
      <c r="XDZ1589"/>
      <c r="XEA1589"/>
      <c r="XEB1589"/>
      <c r="XEC1589"/>
      <c r="XED1589"/>
      <c r="XEE1589"/>
      <c r="XEF1589"/>
      <c r="XEG1589"/>
      <c r="XEH1589"/>
      <c r="XEI1589"/>
      <c r="XEJ1589"/>
      <c r="XEK1589"/>
      <c r="XEL1589"/>
      <c r="XEM1589"/>
      <c r="XEN1589"/>
      <c r="XEO1589"/>
      <c r="XEP1589"/>
      <c r="XEQ1589"/>
      <c r="XER1589"/>
      <c r="XES1589"/>
      <c r="XET1589"/>
      <c r="XEU1589"/>
      <c r="XEV1589"/>
      <c r="XEW1589"/>
      <c r="XEX1589"/>
      <c r="XEY1589"/>
      <c r="XEZ1589"/>
      <c r="XFA1589"/>
      <c r="XFB1589"/>
      <c r="XFC1589"/>
    </row>
    <row r="1590" spans="1:20 16329:16383" s="38" customFormat="1" ht="29.1" customHeight="1" outlineLevel="6" x14ac:dyDescent="0.25">
      <c r="A1590" s="49" t="s">
        <v>2759</v>
      </c>
      <c r="B1590" s="50"/>
      <c r="C1590" s="50"/>
      <c r="D1590" s="3" t="s">
        <v>1884</v>
      </c>
      <c r="E1590" s="3"/>
      <c r="F1590" s="51"/>
      <c r="G1590" s="50" t="s">
        <v>102</v>
      </c>
      <c r="H1590" s="52">
        <f>1</f>
        <v>1</v>
      </c>
      <c r="I1590" s="36"/>
      <c r="J1590" s="52">
        <v>1</v>
      </c>
      <c r="K1590" s="53">
        <f>0</f>
        <v>0</v>
      </c>
      <c r="L1590" s="53">
        <f>0</f>
        <v>0</v>
      </c>
      <c r="M1590" s="53">
        <f>0</f>
        <v>0</v>
      </c>
      <c r="N1590" s="54">
        <f>SUM(K1590:M1590)</f>
        <v>0</v>
      </c>
      <c r="O1590" s="54">
        <f>ROUND((H1590*K1590),2)</f>
        <v>0</v>
      </c>
      <c r="P1590" s="54">
        <f>ROUND((H1590*L1590),2)</f>
        <v>0</v>
      </c>
      <c r="Q1590" s="54">
        <f>ROUND((H1590*M1590),2)</f>
        <v>0</v>
      </c>
      <c r="R1590" s="54">
        <f>ROUND((H1590*N1590),2)</f>
        <v>0</v>
      </c>
      <c r="S1590" s="54"/>
      <c r="T1590" s="36"/>
      <c r="XDA1590"/>
      <c r="XDB1590"/>
      <c r="XDC1590"/>
      <c r="XDD1590"/>
      <c r="XDE1590"/>
      <c r="XDF1590"/>
      <c r="XDG1590"/>
      <c r="XDH1590"/>
      <c r="XDI1590"/>
      <c r="XDJ1590"/>
      <c r="XDK1590"/>
      <c r="XDL1590"/>
      <c r="XDM1590"/>
      <c r="XDN1590"/>
      <c r="XDO1590"/>
      <c r="XDP1590"/>
      <c r="XDQ1590"/>
      <c r="XDR1590"/>
      <c r="XDS1590"/>
      <c r="XDT1590"/>
      <c r="XDU1590"/>
      <c r="XDV1590"/>
      <c r="XDW1590"/>
      <c r="XDX1590"/>
      <c r="XDY1590"/>
      <c r="XDZ1590"/>
      <c r="XEA1590"/>
      <c r="XEB1590"/>
      <c r="XEC1590"/>
      <c r="XED1590"/>
      <c r="XEE1590"/>
      <c r="XEF1590"/>
      <c r="XEG1590"/>
      <c r="XEH1590"/>
      <c r="XEI1590"/>
      <c r="XEJ1590"/>
      <c r="XEK1590"/>
      <c r="XEL1590"/>
      <c r="XEM1590"/>
      <c r="XEN1590"/>
      <c r="XEO1590"/>
      <c r="XEP1590"/>
      <c r="XEQ1590"/>
      <c r="XER1590"/>
      <c r="XES1590"/>
      <c r="XET1590"/>
      <c r="XEU1590"/>
      <c r="XEV1590"/>
      <c r="XEW1590"/>
      <c r="XEX1590"/>
      <c r="XEY1590"/>
      <c r="XEZ1590"/>
      <c r="XFA1590"/>
      <c r="XFB1590"/>
      <c r="XFC1590"/>
    </row>
    <row r="1591" spans="1:20 16329:16383" s="38" customFormat="1" ht="29.1" customHeight="1" outlineLevel="6" x14ac:dyDescent="0.25">
      <c r="A1591" s="49" t="s">
        <v>2760</v>
      </c>
      <c r="B1591" s="50"/>
      <c r="C1591" s="50"/>
      <c r="D1591" s="3" t="s">
        <v>1955</v>
      </c>
      <c r="E1591" s="3"/>
      <c r="F1591" s="51"/>
      <c r="G1591" s="50" t="s">
        <v>102</v>
      </c>
      <c r="H1591" s="52">
        <f>1</f>
        <v>1</v>
      </c>
      <c r="I1591" s="36"/>
      <c r="J1591" s="52">
        <v>1</v>
      </c>
      <c r="K1591" s="53">
        <f>0</f>
        <v>0</v>
      </c>
      <c r="L1591" s="53">
        <f>0</f>
        <v>0</v>
      </c>
      <c r="M1591" s="53">
        <f>0</f>
        <v>0</v>
      </c>
      <c r="N1591" s="54">
        <f>SUM(K1591:M1591)</f>
        <v>0</v>
      </c>
      <c r="O1591" s="54">
        <f>ROUND((H1591*K1591),2)</f>
        <v>0</v>
      </c>
      <c r="P1591" s="54">
        <f>ROUND((H1591*L1591),2)</f>
        <v>0</v>
      </c>
      <c r="Q1591" s="54">
        <f>ROUND((H1591*M1591),2)</f>
        <v>0</v>
      </c>
      <c r="R1591" s="54">
        <f>ROUND((H1591*N1591),2)</f>
        <v>0</v>
      </c>
      <c r="S1591" s="54"/>
      <c r="T1591" s="36"/>
      <c r="XDA1591"/>
      <c r="XDB1591"/>
      <c r="XDC1591"/>
      <c r="XDD1591"/>
      <c r="XDE1591"/>
      <c r="XDF1591"/>
      <c r="XDG1591"/>
      <c r="XDH1591"/>
      <c r="XDI1591"/>
      <c r="XDJ1591"/>
      <c r="XDK1591"/>
      <c r="XDL1591"/>
      <c r="XDM1591"/>
      <c r="XDN1591"/>
      <c r="XDO1591"/>
      <c r="XDP1591"/>
      <c r="XDQ1591"/>
      <c r="XDR1591"/>
      <c r="XDS1591"/>
      <c r="XDT1591"/>
      <c r="XDU1591"/>
      <c r="XDV1591"/>
      <c r="XDW1591"/>
      <c r="XDX1591"/>
      <c r="XDY1591"/>
      <c r="XDZ1591"/>
      <c r="XEA1591"/>
      <c r="XEB1591"/>
      <c r="XEC1591"/>
      <c r="XED1591"/>
      <c r="XEE1591"/>
      <c r="XEF1591"/>
      <c r="XEG1591"/>
      <c r="XEH1591"/>
      <c r="XEI1591"/>
      <c r="XEJ1591"/>
      <c r="XEK1591"/>
      <c r="XEL1591"/>
      <c r="XEM1591"/>
      <c r="XEN1591"/>
      <c r="XEO1591"/>
      <c r="XEP1591"/>
      <c r="XEQ1591"/>
      <c r="XER1591"/>
      <c r="XES1591"/>
      <c r="XET1591"/>
      <c r="XEU1591"/>
      <c r="XEV1591"/>
      <c r="XEW1591"/>
      <c r="XEX1591"/>
      <c r="XEY1591"/>
      <c r="XEZ1591"/>
      <c r="XFA1591"/>
      <c r="XFB1591"/>
      <c r="XFC1591"/>
    </row>
    <row r="1592" spans="1:20 16329:16383" s="38" customFormat="1" ht="29.1" customHeight="1" outlineLevel="6" x14ac:dyDescent="0.25">
      <c r="A1592" s="49" t="s">
        <v>2761</v>
      </c>
      <c r="B1592" s="50"/>
      <c r="C1592" s="50"/>
      <c r="D1592" s="3" t="s">
        <v>2621</v>
      </c>
      <c r="E1592" s="3"/>
      <c r="F1592" s="51"/>
      <c r="G1592" s="50" t="s">
        <v>102</v>
      </c>
      <c r="H1592" s="52">
        <f>1</f>
        <v>1</v>
      </c>
      <c r="I1592" s="36"/>
      <c r="J1592" s="52">
        <v>1</v>
      </c>
      <c r="K1592" s="53">
        <f>0</f>
        <v>0</v>
      </c>
      <c r="L1592" s="53">
        <f>0</f>
        <v>0</v>
      </c>
      <c r="M1592" s="53">
        <f>0</f>
        <v>0</v>
      </c>
      <c r="N1592" s="54">
        <f>SUM(K1592:M1592)</f>
        <v>0</v>
      </c>
      <c r="O1592" s="54">
        <f>ROUND((H1592*K1592),2)</f>
        <v>0</v>
      </c>
      <c r="P1592" s="54">
        <f>ROUND((H1592*L1592),2)</f>
        <v>0</v>
      </c>
      <c r="Q1592" s="54">
        <f>ROUND((H1592*M1592),2)</f>
        <v>0</v>
      </c>
      <c r="R1592" s="54">
        <f>ROUND((H1592*N1592),2)</f>
        <v>0</v>
      </c>
      <c r="S1592" s="54"/>
      <c r="T1592" s="36"/>
      <c r="XDA1592"/>
      <c r="XDB1592"/>
      <c r="XDC1592"/>
      <c r="XDD1592"/>
      <c r="XDE1592"/>
      <c r="XDF1592"/>
      <c r="XDG1592"/>
      <c r="XDH1592"/>
      <c r="XDI1592"/>
      <c r="XDJ1592"/>
      <c r="XDK1592"/>
      <c r="XDL1592"/>
      <c r="XDM1592"/>
      <c r="XDN1592"/>
      <c r="XDO1592"/>
      <c r="XDP1592"/>
      <c r="XDQ1592"/>
      <c r="XDR1592"/>
      <c r="XDS1592"/>
      <c r="XDT1592"/>
      <c r="XDU1592"/>
      <c r="XDV1592"/>
      <c r="XDW1592"/>
      <c r="XDX1592"/>
      <c r="XDY1592"/>
      <c r="XDZ1592"/>
      <c r="XEA1592"/>
      <c r="XEB1592"/>
      <c r="XEC1592"/>
      <c r="XED1592"/>
      <c r="XEE1592"/>
      <c r="XEF1592"/>
      <c r="XEG1592"/>
      <c r="XEH1592"/>
      <c r="XEI1592"/>
      <c r="XEJ1592"/>
      <c r="XEK1592"/>
      <c r="XEL1592"/>
      <c r="XEM1592"/>
      <c r="XEN1592"/>
      <c r="XEO1592"/>
      <c r="XEP1592"/>
      <c r="XEQ1592"/>
      <c r="XER1592"/>
      <c r="XES1592"/>
      <c r="XET1592"/>
      <c r="XEU1592"/>
      <c r="XEV1592"/>
      <c r="XEW1592"/>
      <c r="XEX1592"/>
      <c r="XEY1592"/>
      <c r="XEZ1592"/>
      <c r="XFA1592"/>
      <c r="XFB1592"/>
      <c r="XFC1592"/>
    </row>
    <row r="1593" spans="1:20 16329:16383" s="38" customFormat="1" ht="29.1" customHeight="1" outlineLevel="4" x14ac:dyDescent="0.25">
      <c r="A1593" s="60" t="s">
        <v>2762</v>
      </c>
      <c r="B1593" s="61" t="s">
        <v>2763</v>
      </c>
      <c r="C1593" s="61" t="s">
        <v>2329</v>
      </c>
      <c r="D1593" s="1" t="s">
        <v>2764</v>
      </c>
      <c r="E1593" s="1"/>
      <c r="F1593" s="62"/>
      <c r="G1593" s="61" t="s">
        <v>102</v>
      </c>
      <c r="H1593" s="63"/>
      <c r="I1593" s="36"/>
      <c r="J1593" s="63"/>
      <c r="K1593" s="64"/>
      <c r="L1593" s="64"/>
      <c r="M1593" s="64"/>
      <c r="N1593" s="64"/>
      <c r="O1593" s="64">
        <f>O1594+O1603+O1610+O1619</f>
        <v>0</v>
      </c>
      <c r="P1593" s="64">
        <f>P1594+P1603+P1610+P1619</f>
        <v>0</v>
      </c>
      <c r="Q1593" s="64">
        <f>Q1594+Q1603+Q1610+Q1619</f>
        <v>0</v>
      </c>
      <c r="R1593" s="64">
        <f>R1594+R1603+R1610+R1619</f>
        <v>0</v>
      </c>
      <c r="S1593" s="64"/>
      <c r="T1593" s="36"/>
      <c r="XDA1593"/>
      <c r="XDB1593"/>
      <c r="XDC1593"/>
      <c r="XDD1593"/>
      <c r="XDE1593"/>
      <c r="XDF1593"/>
      <c r="XDG1593"/>
      <c r="XDH1593"/>
      <c r="XDI1593"/>
      <c r="XDJ1593"/>
      <c r="XDK1593"/>
      <c r="XDL1593"/>
      <c r="XDM1593"/>
      <c r="XDN1593"/>
      <c r="XDO1593"/>
      <c r="XDP1593"/>
      <c r="XDQ1593"/>
      <c r="XDR1593"/>
      <c r="XDS1593"/>
      <c r="XDT1593"/>
      <c r="XDU1593"/>
      <c r="XDV1593"/>
      <c r="XDW1593"/>
      <c r="XDX1593"/>
      <c r="XDY1593"/>
      <c r="XDZ1593"/>
      <c r="XEA1593"/>
      <c r="XEB1593"/>
      <c r="XEC1593"/>
      <c r="XED1593"/>
      <c r="XEE1593"/>
      <c r="XEF1593"/>
      <c r="XEG1593"/>
      <c r="XEH1593"/>
      <c r="XEI1593"/>
      <c r="XEJ1593"/>
      <c r="XEK1593"/>
      <c r="XEL1593"/>
      <c r="XEM1593"/>
      <c r="XEN1593"/>
      <c r="XEO1593"/>
      <c r="XEP1593"/>
      <c r="XEQ1593"/>
      <c r="XER1593"/>
      <c r="XES1593"/>
      <c r="XET1593"/>
      <c r="XEU1593"/>
      <c r="XEV1593"/>
      <c r="XEW1593"/>
      <c r="XEX1593"/>
      <c r="XEY1593"/>
      <c r="XEZ1593"/>
      <c r="XFA1593"/>
      <c r="XFB1593"/>
      <c r="XFC1593"/>
    </row>
    <row r="1594" spans="1:20 16329:16383" s="38" customFormat="1" ht="29.1" customHeight="1" outlineLevel="5" x14ac:dyDescent="0.25">
      <c r="A1594" s="65" t="s">
        <v>2765</v>
      </c>
      <c r="B1594" s="66" t="s">
        <v>2766</v>
      </c>
      <c r="C1594" s="66"/>
      <c r="D1594" s="98" t="s">
        <v>1873</v>
      </c>
      <c r="E1594" s="98"/>
      <c r="F1594" s="67"/>
      <c r="G1594" s="66"/>
      <c r="H1594" s="68"/>
      <c r="I1594" s="36"/>
      <c r="J1594" s="68"/>
      <c r="K1594" s="69"/>
      <c r="L1594" s="69"/>
      <c r="M1594" s="69"/>
      <c r="N1594" s="69"/>
      <c r="O1594" s="69">
        <f>SUM(O1595:O1602)</f>
        <v>0</v>
      </c>
      <c r="P1594" s="69">
        <f>SUM(P1595:P1602)</f>
        <v>0</v>
      </c>
      <c r="Q1594" s="69">
        <f>SUM(Q1595:Q1602)</f>
        <v>0</v>
      </c>
      <c r="R1594" s="69">
        <f>SUM(R1595:R1602)</f>
        <v>0</v>
      </c>
      <c r="S1594" s="69"/>
      <c r="T1594" s="36"/>
      <c r="XDA1594"/>
      <c r="XDB1594"/>
      <c r="XDC1594"/>
      <c r="XDD1594"/>
      <c r="XDE1594"/>
      <c r="XDF1594"/>
      <c r="XDG1594"/>
      <c r="XDH1594"/>
      <c r="XDI1594"/>
      <c r="XDJ1594"/>
      <c r="XDK1594"/>
      <c r="XDL1594"/>
      <c r="XDM1594"/>
      <c r="XDN1594"/>
      <c r="XDO1594"/>
      <c r="XDP1594"/>
      <c r="XDQ1594"/>
      <c r="XDR1594"/>
      <c r="XDS1594"/>
      <c r="XDT1594"/>
      <c r="XDU1594"/>
      <c r="XDV1594"/>
      <c r="XDW1594"/>
      <c r="XDX1594"/>
      <c r="XDY1594"/>
      <c r="XDZ1594"/>
      <c r="XEA1594"/>
      <c r="XEB1594"/>
      <c r="XEC1594"/>
      <c r="XED1594"/>
      <c r="XEE1594"/>
      <c r="XEF1594"/>
      <c r="XEG1594"/>
      <c r="XEH1594"/>
      <c r="XEI1594"/>
      <c r="XEJ1594"/>
      <c r="XEK1594"/>
      <c r="XEL1594"/>
      <c r="XEM1594"/>
      <c r="XEN1594"/>
      <c r="XEO1594"/>
      <c r="XEP1594"/>
      <c r="XEQ1594"/>
      <c r="XER1594"/>
      <c r="XES1594"/>
      <c r="XET1594"/>
      <c r="XEU1594"/>
      <c r="XEV1594"/>
      <c r="XEW1594"/>
      <c r="XEX1594"/>
      <c r="XEY1594"/>
      <c r="XEZ1594"/>
      <c r="XFA1594"/>
      <c r="XFB1594"/>
      <c r="XFC1594"/>
    </row>
    <row r="1595" spans="1:20 16329:16383" s="38" customFormat="1" ht="29.1" customHeight="1" outlineLevel="6" x14ac:dyDescent="0.25">
      <c r="A1595" s="49" t="s">
        <v>2767</v>
      </c>
      <c r="B1595" s="50"/>
      <c r="C1595" s="50"/>
      <c r="D1595" s="3" t="s">
        <v>2387</v>
      </c>
      <c r="E1595" s="3"/>
      <c r="F1595" s="51"/>
      <c r="G1595" s="50" t="s">
        <v>102</v>
      </c>
      <c r="H1595" s="52">
        <f>1</f>
        <v>1</v>
      </c>
      <c r="I1595" s="36"/>
      <c r="J1595" s="52">
        <v>1</v>
      </c>
      <c r="K1595" s="53">
        <f>0</f>
        <v>0</v>
      </c>
      <c r="L1595" s="53">
        <f>0</f>
        <v>0</v>
      </c>
      <c r="M1595" s="53">
        <f>0</f>
        <v>0</v>
      </c>
      <c r="N1595" s="54">
        <f t="shared" ref="N1595:N1602" si="294">SUM(K1595:M1595)</f>
        <v>0</v>
      </c>
      <c r="O1595" s="54">
        <f t="shared" ref="O1595:O1602" si="295">ROUND((H1595*K1595),2)</f>
        <v>0</v>
      </c>
      <c r="P1595" s="54">
        <f t="shared" ref="P1595:P1602" si="296">ROUND((H1595*L1595),2)</f>
        <v>0</v>
      </c>
      <c r="Q1595" s="54">
        <f t="shared" ref="Q1595:Q1602" si="297">ROUND((H1595*M1595),2)</f>
        <v>0</v>
      </c>
      <c r="R1595" s="54">
        <f t="shared" ref="R1595:R1602" si="298">ROUND((H1595*N1595),2)</f>
        <v>0</v>
      </c>
      <c r="S1595" s="54"/>
      <c r="T1595" s="36"/>
      <c r="XDA1595"/>
      <c r="XDB1595"/>
      <c r="XDC1595"/>
      <c r="XDD1595"/>
      <c r="XDE1595"/>
      <c r="XDF1595"/>
      <c r="XDG1595"/>
      <c r="XDH1595"/>
      <c r="XDI1595"/>
      <c r="XDJ1595"/>
      <c r="XDK1595"/>
      <c r="XDL1595"/>
      <c r="XDM1595"/>
      <c r="XDN1595"/>
      <c r="XDO1595"/>
      <c r="XDP1595"/>
      <c r="XDQ1595"/>
      <c r="XDR1595"/>
      <c r="XDS1595"/>
      <c r="XDT1595"/>
      <c r="XDU1595"/>
      <c r="XDV1595"/>
      <c r="XDW1595"/>
      <c r="XDX1595"/>
      <c r="XDY1595"/>
      <c r="XDZ1595"/>
      <c r="XEA1595"/>
      <c r="XEB1595"/>
      <c r="XEC1595"/>
      <c r="XED1595"/>
      <c r="XEE1595"/>
      <c r="XEF1595"/>
      <c r="XEG1595"/>
      <c r="XEH1595"/>
      <c r="XEI1595"/>
      <c r="XEJ1595"/>
      <c r="XEK1595"/>
      <c r="XEL1595"/>
      <c r="XEM1595"/>
      <c r="XEN1595"/>
      <c r="XEO1595"/>
      <c r="XEP1595"/>
      <c r="XEQ1595"/>
      <c r="XER1595"/>
      <c r="XES1595"/>
      <c r="XET1595"/>
      <c r="XEU1595"/>
      <c r="XEV1595"/>
      <c r="XEW1595"/>
      <c r="XEX1595"/>
      <c r="XEY1595"/>
      <c r="XEZ1595"/>
      <c r="XFA1595"/>
      <c r="XFB1595"/>
      <c r="XFC1595"/>
    </row>
    <row r="1596" spans="1:20 16329:16383" s="38" customFormat="1" ht="29.1" customHeight="1" outlineLevel="6" x14ac:dyDescent="0.25">
      <c r="A1596" s="49" t="s">
        <v>2768</v>
      </c>
      <c r="B1596" s="50"/>
      <c r="C1596" s="50"/>
      <c r="D1596" s="3" t="s">
        <v>1875</v>
      </c>
      <c r="E1596" s="3"/>
      <c r="F1596" s="51"/>
      <c r="G1596" s="50" t="s">
        <v>102</v>
      </c>
      <c r="H1596" s="52">
        <f>1</f>
        <v>1</v>
      </c>
      <c r="I1596" s="36"/>
      <c r="J1596" s="52">
        <v>1</v>
      </c>
      <c r="K1596" s="53">
        <f>0</f>
        <v>0</v>
      </c>
      <c r="L1596" s="53">
        <f>0</f>
        <v>0</v>
      </c>
      <c r="M1596" s="53">
        <f>0</f>
        <v>0</v>
      </c>
      <c r="N1596" s="54">
        <f t="shared" si="294"/>
        <v>0</v>
      </c>
      <c r="O1596" s="54">
        <f t="shared" si="295"/>
        <v>0</v>
      </c>
      <c r="P1596" s="54">
        <f t="shared" si="296"/>
        <v>0</v>
      </c>
      <c r="Q1596" s="54">
        <f t="shared" si="297"/>
        <v>0</v>
      </c>
      <c r="R1596" s="54">
        <f t="shared" si="298"/>
        <v>0</v>
      </c>
      <c r="S1596" s="54"/>
      <c r="T1596" s="36"/>
      <c r="XDA1596"/>
      <c r="XDB1596"/>
      <c r="XDC1596"/>
      <c r="XDD1596"/>
      <c r="XDE1596"/>
      <c r="XDF1596"/>
      <c r="XDG1596"/>
      <c r="XDH1596"/>
      <c r="XDI1596"/>
      <c r="XDJ1596"/>
      <c r="XDK1596"/>
      <c r="XDL1596"/>
      <c r="XDM1596"/>
      <c r="XDN1596"/>
      <c r="XDO1596"/>
      <c r="XDP1596"/>
      <c r="XDQ1596"/>
      <c r="XDR1596"/>
      <c r="XDS1596"/>
      <c r="XDT1596"/>
      <c r="XDU1596"/>
      <c r="XDV1596"/>
      <c r="XDW1596"/>
      <c r="XDX1596"/>
      <c r="XDY1596"/>
      <c r="XDZ1596"/>
      <c r="XEA1596"/>
      <c r="XEB1596"/>
      <c r="XEC1596"/>
      <c r="XED1596"/>
      <c r="XEE1596"/>
      <c r="XEF1596"/>
      <c r="XEG1596"/>
      <c r="XEH1596"/>
      <c r="XEI1596"/>
      <c r="XEJ1596"/>
      <c r="XEK1596"/>
      <c r="XEL1596"/>
      <c r="XEM1596"/>
      <c r="XEN1596"/>
      <c r="XEO1596"/>
      <c r="XEP1596"/>
      <c r="XEQ1596"/>
      <c r="XER1596"/>
      <c r="XES1596"/>
      <c r="XET1596"/>
      <c r="XEU1596"/>
      <c r="XEV1596"/>
      <c r="XEW1596"/>
      <c r="XEX1596"/>
      <c r="XEY1596"/>
      <c r="XEZ1596"/>
      <c r="XFA1596"/>
      <c r="XFB1596"/>
      <c r="XFC1596"/>
    </row>
    <row r="1597" spans="1:20 16329:16383" s="38" customFormat="1" ht="29.1" customHeight="1" outlineLevel="6" x14ac:dyDescent="0.25">
      <c r="A1597" s="49" t="s">
        <v>2769</v>
      </c>
      <c r="B1597" s="50"/>
      <c r="C1597" s="50"/>
      <c r="D1597" s="3" t="s">
        <v>2390</v>
      </c>
      <c r="E1597" s="3"/>
      <c r="F1597" s="51"/>
      <c r="G1597" s="50" t="s">
        <v>102</v>
      </c>
      <c r="H1597" s="52">
        <f>1</f>
        <v>1</v>
      </c>
      <c r="I1597" s="36"/>
      <c r="J1597" s="52">
        <v>1</v>
      </c>
      <c r="K1597" s="53">
        <f>0</f>
        <v>0</v>
      </c>
      <c r="L1597" s="53">
        <f>0</f>
        <v>0</v>
      </c>
      <c r="M1597" s="53">
        <f>0</f>
        <v>0</v>
      </c>
      <c r="N1597" s="54">
        <f t="shared" si="294"/>
        <v>0</v>
      </c>
      <c r="O1597" s="54">
        <f t="shared" si="295"/>
        <v>0</v>
      </c>
      <c r="P1597" s="54">
        <f t="shared" si="296"/>
        <v>0</v>
      </c>
      <c r="Q1597" s="54">
        <f t="shared" si="297"/>
        <v>0</v>
      </c>
      <c r="R1597" s="54">
        <f t="shared" si="298"/>
        <v>0</v>
      </c>
      <c r="S1597" s="54"/>
      <c r="T1597" s="36"/>
      <c r="XDA1597"/>
      <c r="XDB1597"/>
      <c r="XDC1597"/>
      <c r="XDD1597"/>
      <c r="XDE1597"/>
      <c r="XDF1597"/>
      <c r="XDG1597"/>
      <c r="XDH1597"/>
      <c r="XDI1597"/>
      <c r="XDJ1597"/>
      <c r="XDK1597"/>
      <c r="XDL1597"/>
      <c r="XDM1597"/>
      <c r="XDN1597"/>
      <c r="XDO1597"/>
      <c r="XDP1597"/>
      <c r="XDQ1597"/>
      <c r="XDR1597"/>
      <c r="XDS1597"/>
      <c r="XDT1597"/>
      <c r="XDU1597"/>
      <c r="XDV1597"/>
      <c r="XDW1597"/>
      <c r="XDX1597"/>
      <c r="XDY1597"/>
      <c r="XDZ1597"/>
      <c r="XEA1597"/>
      <c r="XEB1597"/>
      <c r="XEC1597"/>
      <c r="XED1597"/>
      <c r="XEE1597"/>
      <c r="XEF1597"/>
      <c r="XEG1597"/>
      <c r="XEH1597"/>
      <c r="XEI1597"/>
      <c r="XEJ1597"/>
      <c r="XEK1597"/>
      <c r="XEL1597"/>
      <c r="XEM1597"/>
      <c r="XEN1597"/>
      <c r="XEO1597"/>
      <c r="XEP1597"/>
      <c r="XEQ1597"/>
      <c r="XER1597"/>
      <c r="XES1597"/>
      <c r="XET1597"/>
      <c r="XEU1597"/>
      <c r="XEV1597"/>
      <c r="XEW1597"/>
      <c r="XEX1597"/>
      <c r="XEY1597"/>
      <c r="XEZ1597"/>
      <c r="XFA1597"/>
      <c r="XFB1597"/>
      <c r="XFC1597"/>
    </row>
    <row r="1598" spans="1:20 16329:16383" s="38" customFormat="1" ht="29.1" customHeight="1" outlineLevel="6" x14ac:dyDescent="0.25">
      <c r="A1598" s="49" t="s">
        <v>2770</v>
      </c>
      <c r="B1598" s="50"/>
      <c r="C1598" s="50"/>
      <c r="D1598" s="3" t="s">
        <v>2392</v>
      </c>
      <c r="E1598" s="3"/>
      <c r="F1598" s="51"/>
      <c r="G1598" s="50" t="s">
        <v>102</v>
      </c>
      <c r="H1598" s="52">
        <f>1</f>
        <v>1</v>
      </c>
      <c r="I1598" s="36"/>
      <c r="J1598" s="52">
        <v>1</v>
      </c>
      <c r="K1598" s="53">
        <f>0</f>
        <v>0</v>
      </c>
      <c r="L1598" s="53">
        <f>0</f>
        <v>0</v>
      </c>
      <c r="M1598" s="53">
        <f>0</f>
        <v>0</v>
      </c>
      <c r="N1598" s="54">
        <f t="shared" si="294"/>
        <v>0</v>
      </c>
      <c r="O1598" s="54">
        <f t="shared" si="295"/>
        <v>0</v>
      </c>
      <c r="P1598" s="54">
        <f t="shared" si="296"/>
        <v>0</v>
      </c>
      <c r="Q1598" s="54">
        <f t="shared" si="297"/>
        <v>0</v>
      </c>
      <c r="R1598" s="54">
        <f t="shared" si="298"/>
        <v>0</v>
      </c>
      <c r="S1598" s="54"/>
      <c r="T1598" s="36"/>
      <c r="XDA1598"/>
      <c r="XDB1598"/>
      <c r="XDC1598"/>
      <c r="XDD1598"/>
      <c r="XDE1598"/>
      <c r="XDF1598"/>
      <c r="XDG1598"/>
      <c r="XDH1598"/>
      <c r="XDI1598"/>
      <c r="XDJ1598"/>
      <c r="XDK1598"/>
      <c r="XDL1598"/>
      <c r="XDM1598"/>
      <c r="XDN1598"/>
      <c r="XDO1598"/>
      <c r="XDP1598"/>
      <c r="XDQ1598"/>
      <c r="XDR1598"/>
      <c r="XDS1598"/>
      <c r="XDT1598"/>
      <c r="XDU1598"/>
      <c r="XDV1598"/>
      <c r="XDW1598"/>
      <c r="XDX1598"/>
      <c r="XDY1598"/>
      <c r="XDZ1598"/>
      <c r="XEA1598"/>
      <c r="XEB1598"/>
      <c r="XEC1598"/>
      <c r="XED1598"/>
      <c r="XEE1598"/>
      <c r="XEF1598"/>
      <c r="XEG1598"/>
      <c r="XEH1598"/>
      <c r="XEI1598"/>
      <c r="XEJ1598"/>
      <c r="XEK1598"/>
      <c r="XEL1598"/>
      <c r="XEM1598"/>
      <c r="XEN1598"/>
      <c r="XEO1598"/>
      <c r="XEP1598"/>
      <c r="XEQ1598"/>
      <c r="XER1598"/>
      <c r="XES1598"/>
      <c r="XET1598"/>
      <c r="XEU1598"/>
      <c r="XEV1598"/>
      <c r="XEW1598"/>
      <c r="XEX1598"/>
      <c r="XEY1598"/>
      <c r="XEZ1598"/>
      <c r="XFA1598"/>
      <c r="XFB1598"/>
      <c r="XFC1598"/>
    </row>
    <row r="1599" spans="1:20 16329:16383" s="38" customFormat="1" ht="29.1" customHeight="1" outlineLevel="6" x14ac:dyDescent="0.25">
      <c r="A1599" s="49" t="s">
        <v>2771</v>
      </c>
      <c r="B1599" s="50"/>
      <c r="C1599" s="50"/>
      <c r="D1599" s="3" t="s">
        <v>2394</v>
      </c>
      <c r="E1599" s="3"/>
      <c r="F1599" s="51"/>
      <c r="G1599" s="50" t="s">
        <v>102</v>
      </c>
      <c r="H1599" s="52">
        <f>1</f>
        <v>1</v>
      </c>
      <c r="I1599" s="36"/>
      <c r="J1599" s="52">
        <v>1</v>
      </c>
      <c r="K1599" s="53">
        <f>0</f>
        <v>0</v>
      </c>
      <c r="L1599" s="53">
        <f>0</f>
        <v>0</v>
      </c>
      <c r="M1599" s="53">
        <f>0</f>
        <v>0</v>
      </c>
      <c r="N1599" s="54">
        <f t="shared" si="294"/>
        <v>0</v>
      </c>
      <c r="O1599" s="54">
        <f t="shared" si="295"/>
        <v>0</v>
      </c>
      <c r="P1599" s="54">
        <f t="shared" si="296"/>
        <v>0</v>
      </c>
      <c r="Q1599" s="54">
        <f t="shared" si="297"/>
        <v>0</v>
      </c>
      <c r="R1599" s="54">
        <f t="shared" si="298"/>
        <v>0</v>
      </c>
      <c r="S1599" s="54"/>
      <c r="T1599" s="36"/>
      <c r="XDA1599"/>
      <c r="XDB1599"/>
      <c r="XDC1599"/>
      <c r="XDD1599"/>
      <c r="XDE1599"/>
      <c r="XDF1599"/>
      <c r="XDG1599"/>
      <c r="XDH1599"/>
      <c r="XDI1599"/>
      <c r="XDJ1599"/>
      <c r="XDK1599"/>
      <c r="XDL1599"/>
      <c r="XDM1599"/>
      <c r="XDN1599"/>
      <c r="XDO1599"/>
      <c r="XDP1599"/>
      <c r="XDQ1599"/>
      <c r="XDR1599"/>
      <c r="XDS1599"/>
      <c r="XDT1599"/>
      <c r="XDU1599"/>
      <c r="XDV1599"/>
      <c r="XDW1599"/>
      <c r="XDX1599"/>
      <c r="XDY1599"/>
      <c r="XDZ1599"/>
      <c r="XEA1599"/>
      <c r="XEB1599"/>
      <c r="XEC1599"/>
      <c r="XED1599"/>
      <c r="XEE1599"/>
      <c r="XEF1599"/>
      <c r="XEG1599"/>
      <c r="XEH1599"/>
      <c r="XEI1599"/>
      <c r="XEJ1599"/>
      <c r="XEK1599"/>
      <c r="XEL1599"/>
      <c r="XEM1599"/>
      <c r="XEN1599"/>
      <c r="XEO1599"/>
      <c r="XEP1599"/>
      <c r="XEQ1599"/>
      <c r="XER1599"/>
      <c r="XES1599"/>
      <c r="XET1599"/>
      <c r="XEU1599"/>
      <c r="XEV1599"/>
      <c r="XEW1599"/>
      <c r="XEX1599"/>
      <c r="XEY1599"/>
      <c r="XEZ1599"/>
      <c r="XFA1599"/>
      <c r="XFB1599"/>
      <c r="XFC1599"/>
    </row>
    <row r="1600" spans="1:20 16329:16383" s="38" customFormat="1" ht="29.1" customHeight="1" outlineLevel="6" x14ac:dyDescent="0.25">
      <c r="A1600" s="49" t="s">
        <v>2772</v>
      </c>
      <c r="B1600" s="50"/>
      <c r="C1600" s="50"/>
      <c r="D1600" s="3" t="s">
        <v>2557</v>
      </c>
      <c r="E1600" s="3"/>
      <c r="F1600" s="51"/>
      <c r="G1600" s="50" t="s">
        <v>102</v>
      </c>
      <c r="H1600" s="52">
        <f>1</f>
        <v>1</v>
      </c>
      <c r="I1600" s="36"/>
      <c r="J1600" s="52">
        <v>1</v>
      </c>
      <c r="K1600" s="53">
        <f>0</f>
        <v>0</v>
      </c>
      <c r="L1600" s="53">
        <f>0</f>
        <v>0</v>
      </c>
      <c r="M1600" s="53">
        <f>0</f>
        <v>0</v>
      </c>
      <c r="N1600" s="54">
        <f t="shared" si="294"/>
        <v>0</v>
      </c>
      <c r="O1600" s="54">
        <f t="shared" si="295"/>
        <v>0</v>
      </c>
      <c r="P1600" s="54">
        <f t="shared" si="296"/>
        <v>0</v>
      </c>
      <c r="Q1600" s="54">
        <f t="shared" si="297"/>
        <v>0</v>
      </c>
      <c r="R1600" s="54">
        <f t="shared" si="298"/>
        <v>0</v>
      </c>
      <c r="S1600" s="54"/>
      <c r="T1600" s="36"/>
      <c r="XDA1600"/>
      <c r="XDB1600"/>
      <c r="XDC1600"/>
      <c r="XDD1600"/>
      <c r="XDE1600"/>
      <c r="XDF1600"/>
      <c r="XDG1600"/>
      <c r="XDH1600"/>
      <c r="XDI1600"/>
      <c r="XDJ1600"/>
      <c r="XDK1600"/>
      <c r="XDL1600"/>
      <c r="XDM1600"/>
      <c r="XDN1600"/>
      <c r="XDO1600"/>
      <c r="XDP1600"/>
      <c r="XDQ1600"/>
      <c r="XDR1600"/>
      <c r="XDS1600"/>
      <c r="XDT1600"/>
      <c r="XDU1600"/>
      <c r="XDV1600"/>
      <c r="XDW1600"/>
      <c r="XDX1600"/>
      <c r="XDY1600"/>
      <c r="XDZ1600"/>
      <c r="XEA1600"/>
      <c r="XEB1600"/>
      <c r="XEC1600"/>
      <c r="XED1600"/>
      <c r="XEE1600"/>
      <c r="XEF1600"/>
      <c r="XEG1600"/>
      <c r="XEH1600"/>
      <c r="XEI1600"/>
      <c r="XEJ1600"/>
      <c r="XEK1600"/>
      <c r="XEL1600"/>
      <c r="XEM1600"/>
      <c r="XEN1600"/>
      <c r="XEO1600"/>
      <c r="XEP1600"/>
      <c r="XEQ1600"/>
      <c r="XER1600"/>
      <c r="XES1600"/>
      <c r="XET1600"/>
      <c r="XEU1600"/>
      <c r="XEV1600"/>
      <c r="XEW1600"/>
      <c r="XEX1600"/>
      <c r="XEY1600"/>
      <c r="XEZ1600"/>
      <c r="XFA1600"/>
      <c r="XFB1600"/>
      <c r="XFC1600"/>
    </row>
    <row r="1601" spans="1:20 16329:16383" s="38" customFormat="1" ht="29.1" customHeight="1" outlineLevel="6" x14ac:dyDescent="0.25">
      <c r="A1601" s="49" t="s">
        <v>2773</v>
      </c>
      <c r="B1601" s="50"/>
      <c r="C1601" s="50"/>
      <c r="D1601" s="3" t="s">
        <v>2206</v>
      </c>
      <c r="E1601" s="3"/>
      <c r="F1601" s="51"/>
      <c r="G1601" s="50" t="s">
        <v>102</v>
      </c>
      <c r="H1601" s="52">
        <f>1</f>
        <v>1</v>
      </c>
      <c r="I1601" s="36"/>
      <c r="J1601" s="52">
        <v>1</v>
      </c>
      <c r="K1601" s="53">
        <f>0</f>
        <v>0</v>
      </c>
      <c r="L1601" s="53">
        <f>0</f>
        <v>0</v>
      </c>
      <c r="M1601" s="53">
        <f>0</f>
        <v>0</v>
      </c>
      <c r="N1601" s="54">
        <f t="shared" si="294"/>
        <v>0</v>
      </c>
      <c r="O1601" s="54">
        <f t="shared" si="295"/>
        <v>0</v>
      </c>
      <c r="P1601" s="54">
        <f t="shared" si="296"/>
        <v>0</v>
      </c>
      <c r="Q1601" s="54">
        <f t="shared" si="297"/>
        <v>0</v>
      </c>
      <c r="R1601" s="54">
        <f t="shared" si="298"/>
        <v>0</v>
      </c>
      <c r="S1601" s="54"/>
      <c r="T1601" s="36"/>
      <c r="XDA1601"/>
      <c r="XDB1601"/>
      <c r="XDC1601"/>
      <c r="XDD1601"/>
      <c r="XDE1601"/>
      <c r="XDF1601"/>
      <c r="XDG1601"/>
      <c r="XDH1601"/>
      <c r="XDI1601"/>
      <c r="XDJ1601"/>
      <c r="XDK1601"/>
      <c r="XDL1601"/>
      <c r="XDM1601"/>
      <c r="XDN1601"/>
      <c r="XDO1601"/>
      <c r="XDP1601"/>
      <c r="XDQ1601"/>
      <c r="XDR1601"/>
      <c r="XDS1601"/>
      <c r="XDT1601"/>
      <c r="XDU1601"/>
      <c r="XDV1601"/>
      <c r="XDW1601"/>
      <c r="XDX1601"/>
      <c r="XDY1601"/>
      <c r="XDZ1601"/>
      <c r="XEA1601"/>
      <c r="XEB1601"/>
      <c r="XEC1601"/>
      <c r="XED1601"/>
      <c r="XEE1601"/>
      <c r="XEF1601"/>
      <c r="XEG1601"/>
      <c r="XEH1601"/>
      <c r="XEI1601"/>
      <c r="XEJ1601"/>
      <c r="XEK1601"/>
      <c r="XEL1601"/>
      <c r="XEM1601"/>
      <c r="XEN1601"/>
      <c r="XEO1601"/>
      <c r="XEP1601"/>
      <c r="XEQ1601"/>
      <c r="XER1601"/>
      <c r="XES1601"/>
      <c r="XET1601"/>
      <c r="XEU1601"/>
      <c r="XEV1601"/>
      <c r="XEW1601"/>
      <c r="XEX1601"/>
      <c r="XEY1601"/>
      <c r="XEZ1601"/>
      <c r="XFA1601"/>
      <c r="XFB1601"/>
      <c r="XFC1601"/>
    </row>
    <row r="1602" spans="1:20 16329:16383" s="38" customFormat="1" ht="29.1" customHeight="1" outlineLevel="6" x14ac:dyDescent="0.25">
      <c r="A1602" s="49" t="s">
        <v>2774</v>
      </c>
      <c r="B1602" s="50"/>
      <c r="C1602" s="50"/>
      <c r="D1602" s="3" t="s">
        <v>2278</v>
      </c>
      <c r="E1602" s="3"/>
      <c r="F1602" s="51"/>
      <c r="G1602" s="50" t="s">
        <v>194</v>
      </c>
      <c r="H1602" s="52">
        <f>1</f>
        <v>1</v>
      </c>
      <c r="I1602" s="36"/>
      <c r="J1602" s="52">
        <v>1</v>
      </c>
      <c r="K1602" s="53">
        <f>0</f>
        <v>0</v>
      </c>
      <c r="L1602" s="53">
        <f>0</f>
        <v>0</v>
      </c>
      <c r="M1602" s="53">
        <f>0</f>
        <v>0</v>
      </c>
      <c r="N1602" s="54">
        <f t="shared" si="294"/>
        <v>0</v>
      </c>
      <c r="O1602" s="54">
        <f t="shared" si="295"/>
        <v>0</v>
      </c>
      <c r="P1602" s="54">
        <f t="shared" si="296"/>
        <v>0</v>
      </c>
      <c r="Q1602" s="54">
        <f t="shared" si="297"/>
        <v>0</v>
      </c>
      <c r="R1602" s="54">
        <f t="shared" si="298"/>
        <v>0</v>
      </c>
      <c r="S1602" s="54"/>
      <c r="T1602" s="36"/>
      <c r="XDA1602"/>
      <c r="XDB1602"/>
      <c r="XDC1602"/>
      <c r="XDD1602"/>
      <c r="XDE1602"/>
      <c r="XDF1602"/>
      <c r="XDG1602"/>
      <c r="XDH1602"/>
      <c r="XDI1602"/>
      <c r="XDJ1602"/>
      <c r="XDK1602"/>
      <c r="XDL1602"/>
      <c r="XDM1602"/>
      <c r="XDN1602"/>
      <c r="XDO1602"/>
      <c r="XDP1602"/>
      <c r="XDQ1602"/>
      <c r="XDR1602"/>
      <c r="XDS1602"/>
      <c r="XDT1602"/>
      <c r="XDU1602"/>
      <c r="XDV1602"/>
      <c r="XDW1602"/>
      <c r="XDX1602"/>
      <c r="XDY1602"/>
      <c r="XDZ1602"/>
      <c r="XEA1602"/>
      <c r="XEB1602"/>
      <c r="XEC1602"/>
      <c r="XED1602"/>
      <c r="XEE1602"/>
      <c r="XEF1602"/>
      <c r="XEG1602"/>
      <c r="XEH1602"/>
      <c r="XEI1602"/>
      <c r="XEJ1602"/>
      <c r="XEK1602"/>
      <c r="XEL1602"/>
      <c r="XEM1602"/>
      <c r="XEN1602"/>
      <c r="XEO1602"/>
      <c r="XEP1602"/>
      <c r="XEQ1602"/>
      <c r="XER1602"/>
      <c r="XES1602"/>
      <c r="XET1602"/>
      <c r="XEU1602"/>
      <c r="XEV1602"/>
      <c r="XEW1602"/>
      <c r="XEX1602"/>
      <c r="XEY1602"/>
      <c r="XEZ1602"/>
      <c r="XFA1602"/>
      <c r="XFB1602"/>
      <c r="XFC1602"/>
    </row>
    <row r="1603" spans="1:20 16329:16383" s="38" customFormat="1" ht="29.1" customHeight="1" outlineLevel="5" x14ac:dyDescent="0.25">
      <c r="A1603" s="65" t="s">
        <v>2775</v>
      </c>
      <c r="B1603" s="66" t="s">
        <v>2776</v>
      </c>
      <c r="C1603" s="66"/>
      <c r="D1603" s="98" t="s">
        <v>344</v>
      </c>
      <c r="E1603" s="98"/>
      <c r="F1603" s="67"/>
      <c r="G1603" s="66"/>
      <c r="H1603" s="68"/>
      <c r="I1603" s="36"/>
      <c r="J1603" s="68"/>
      <c r="K1603" s="69"/>
      <c r="L1603" s="69"/>
      <c r="M1603" s="69"/>
      <c r="N1603" s="69"/>
      <c r="O1603" s="69">
        <f>SUM(O1604:O1609)</f>
        <v>0</v>
      </c>
      <c r="P1603" s="69">
        <f>SUM(P1604:P1609)</f>
        <v>0</v>
      </c>
      <c r="Q1603" s="69">
        <f>SUM(Q1604:Q1609)</f>
        <v>0</v>
      </c>
      <c r="R1603" s="69">
        <f>SUM(R1604:R1609)</f>
        <v>0</v>
      </c>
      <c r="S1603" s="69"/>
      <c r="T1603" s="36"/>
      <c r="XDA1603"/>
      <c r="XDB1603"/>
      <c r="XDC1603"/>
      <c r="XDD1603"/>
      <c r="XDE1603"/>
      <c r="XDF1603"/>
      <c r="XDG1603"/>
      <c r="XDH1603"/>
      <c r="XDI1603"/>
      <c r="XDJ1603"/>
      <c r="XDK1603"/>
      <c r="XDL1603"/>
      <c r="XDM1603"/>
      <c r="XDN1603"/>
      <c r="XDO1603"/>
      <c r="XDP1603"/>
      <c r="XDQ1603"/>
      <c r="XDR1603"/>
      <c r="XDS1603"/>
      <c r="XDT1603"/>
      <c r="XDU1603"/>
      <c r="XDV1603"/>
      <c r="XDW1603"/>
      <c r="XDX1603"/>
      <c r="XDY1603"/>
      <c r="XDZ1603"/>
      <c r="XEA1603"/>
      <c r="XEB1603"/>
      <c r="XEC1603"/>
      <c r="XED1603"/>
      <c r="XEE1603"/>
      <c r="XEF1603"/>
      <c r="XEG1603"/>
      <c r="XEH1603"/>
      <c r="XEI1603"/>
      <c r="XEJ1603"/>
      <c r="XEK1603"/>
      <c r="XEL1603"/>
      <c r="XEM1603"/>
      <c r="XEN1603"/>
      <c r="XEO1603"/>
      <c r="XEP1603"/>
      <c r="XEQ1603"/>
      <c r="XER1603"/>
      <c r="XES1603"/>
      <c r="XET1603"/>
      <c r="XEU1603"/>
      <c r="XEV1603"/>
      <c r="XEW1603"/>
      <c r="XEX1603"/>
      <c r="XEY1603"/>
      <c r="XEZ1603"/>
      <c r="XFA1603"/>
      <c r="XFB1603"/>
      <c r="XFC1603"/>
    </row>
    <row r="1604" spans="1:20 16329:16383" s="38" customFormat="1" ht="29.1" customHeight="1" outlineLevel="6" x14ac:dyDescent="0.25">
      <c r="A1604" s="49" t="s">
        <v>2777</v>
      </c>
      <c r="B1604" s="50"/>
      <c r="C1604" s="50"/>
      <c r="D1604" s="3" t="s">
        <v>1886</v>
      </c>
      <c r="E1604" s="3"/>
      <c r="F1604" s="51"/>
      <c r="G1604" s="50" t="s">
        <v>102</v>
      </c>
      <c r="H1604" s="52">
        <f>1</f>
        <v>1</v>
      </c>
      <c r="I1604" s="36"/>
      <c r="J1604" s="52">
        <v>1</v>
      </c>
      <c r="K1604" s="53">
        <f>0</f>
        <v>0</v>
      </c>
      <c r="L1604" s="53">
        <f>0</f>
        <v>0</v>
      </c>
      <c r="M1604" s="53">
        <f>0</f>
        <v>0</v>
      </c>
      <c r="N1604" s="54">
        <f t="shared" ref="N1604:N1609" si="299">SUM(K1604:M1604)</f>
        <v>0</v>
      </c>
      <c r="O1604" s="54">
        <f t="shared" ref="O1604:O1609" si="300">ROUND((H1604*K1604),2)</f>
        <v>0</v>
      </c>
      <c r="P1604" s="54">
        <f t="shared" ref="P1604:P1609" si="301">ROUND((H1604*L1604),2)</f>
        <v>0</v>
      </c>
      <c r="Q1604" s="54">
        <f t="shared" ref="Q1604:Q1609" si="302">ROUND((H1604*M1604),2)</f>
        <v>0</v>
      </c>
      <c r="R1604" s="54">
        <f t="shared" ref="R1604:R1609" si="303">ROUND((H1604*N1604),2)</f>
        <v>0</v>
      </c>
      <c r="S1604" s="54"/>
      <c r="T1604" s="36"/>
      <c r="XDA1604"/>
      <c r="XDB1604"/>
      <c r="XDC1604"/>
      <c r="XDD1604"/>
      <c r="XDE1604"/>
      <c r="XDF1604"/>
      <c r="XDG1604"/>
      <c r="XDH1604"/>
      <c r="XDI1604"/>
      <c r="XDJ1604"/>
      <c r="XDK1604"/>
      <c r="XDL1604"/>
      <c r="XDM1604"/>
      <c r="XDN1604"/>
      <c r="XDO1604"/>
      <c r="XDP1604"/>
      <c r="XDQ1604"/>
      <c r="XDR1604"/>
      <c r="XDS1604"/>
      <c r="XDT1604"/>
      <c r="XDU1604"/>
      <c r="XDV1604"/>
      <c r="XDW1604"/>
      <c r="XDX1604"/>
      <c r="XDY1604"/>
      <c r="XDZ1604"/>
      <c r="XEA1604"/>
      <c r="XEB1604"/>
      <c r="XEC1604"/>
      <c r="XED1604"/>
      <c r="XEE1604"/>
      <c r="XEF1604"/>
      <c r="XEG1604"/>
      <c r="XEH1604"/>
      <c r="XEI1604"/>
      <c r="XEJ1604"/>
      <c r="XEK1604"/>
      <c r="XEL1604"/>
      <c r="XEM1604"/>
      <c r="XEN1604"/>
      <c r="XEO1604"/>
      <c r="XEP1604"/>
      <c r="XEQ1604"/>
      <c r="XER1604"/>
      <c r="XES1604"/>
      <c r="XET1604"/>
      <c r="XEU1604"/>
      <c r="XEV1604"/>
      <c r="XEW1604"/>
      <c r="XEX1604"/>
      <c r="XEY1604"/>
      <c r="XEZ1604"/>
      <c r="XFA1604"/>
      <c r="XFB1604"/>
      <c r="XFC1604"/>
    </row>
    <row r="1605" spans="1:20 16329:16383" s="38" customFormat="1" ht="29.1" customHeight="1" outlineLevel="6" x14ac:dyDescent="0.25">
      <c r="A1605" s="49" t="s">
        <v>2778</v>
      </c>
      <c r="B1605" s="50"/>
      <c r="C1605" s="50"/>
      <c r="D1605" s="3" t="s">
        <v>1955</v>
      </c>
      <c r="E1605" s="3"/>
      <c r="F1605" s="51"/>
      <c r="G1605" s="50" t="s">
        <v>102</v>
      </c>
      <c r="H1605" s="52">
        <f>1</f>
        <v>1</v>
      </c>
      <c r="I1605" s="36"/>
      <c r="J1605" s="52">
        <v>1</v>
      </c>
      <c r="K1605" s="53">
        <f>0</f>
        <v>0</v>
      </c>
      <c r="L1605" s="53">
        <f>0</f>
        <v>0</v>
      </c>
      <c r="M1605" s="53">
        <f>0</f>
        <v>0</v>
      </c>
      <c r="N1605" s="54">
        <f t="shared" si="299"/>
        <v>0</v>
      </c>
      <c r="O1605" s="54">
        <f t="shared" si="300"/>
        <v>0</v>
      </c>
      <c r="P1605" s="54">
        <f t="shared" si="301"/>
        <v>0</v>
      </c>
      <c r="Q1605" s="54">
        <f t="shared" si="302"/>
        <v>0</v>
      </c>
      <c r="R1605" s="54">
        <f t="shared" si="303"/>
        <v>0</v>
      </c>
      <c r="S1605" s="54"/>
      <c r="T1605" s="36"/>
      <c r="XDA1605"/>
      <c r="XDB1605"/>
      <c r="XDC1605"/>
      <c r="XDD1605"/>
      <c r="XDE1605"/>
      <c r="XDF1605"/>
      <c r="XDG1605"/>
      <c r="XDH1605"/>
      <c r="XDI1605"/>
      <c r="XDJ1605"/>
      <c r="XDK1605"/>
      <c r="XDL1605"/>
      <c r="XDM1605"/>
      <c r="XDN1605"/>
      <c r="XDO1605"/>
      <c r="XDP1605"/>
      <c r="XDQ1605"/>
      <c r="XDR1605"/>
      <c r="XDS1605"/>
      <c r="XDT1605"/>
      <c r="XDU1605"/>
      <c r="XDV1605"/>
      <c r="XDW1605"/>
      <c r="XDX1605"/>
      <c r="XDY1605"/>
      <c r="XDZ1605"/>
      <c r="XEA1605"/>
      <c r="XEB1605"/>
      <c r="XEC1605"/>
      <c r="XED1605"/>
      <c r="XEE1605"/>
      <c r="XEF1605"/>
      <c r="XEG1605"/>
      <c r="XEH1605"/>
      <c r="XEI1605"/>
      <c r="XEJ1605"/>
      <c r="XEK1605"/>
      <c r="XEL1605"/>
      <c r="XEM1605"/>
      <c r="XEN1605"/>
      <c r="XEO1605"/>
      <c r="XEP1605"/>
      <c r="XEQ1605"/>
      <c r="XER1605"/>
      <c r="XES1605"/>
      <c r="XET1605"/>
      <c r="XEU1605"/>
      <c r="XEV1605"/>
      <c r="XEW1605"/>
      <c r="XEX1605"/>
      <c r="XEY1605"/>
      <c r="XEZ1605"/>
      <c r="XFA1605"/>
      <c r="XFB1605"/>
      <c r="XFC1605"/>
    </row>
    <row r="1606" spans="1:20 16329:16383" s="38" customFormat="1" ht="29.1" customHeight="1" outlineLevel="6" x14ac:dyDescent="0.25">
      <c r="A1606" s="49" t="s">
        <v>2779</v>
      </c>
      <c r="B1606" s="50"/>
      <c r="C1606" s="50"/>
      <c r="D1606" s="3" t="s">
        <v>1888</v>
      </c>
      <c r="E1606" s="3"/>
      <c r="F1606" s="51"/>
      <c r="G1606" s="50" t="s">
        <v>102</v>
      </c>
      <c r="H1606" s="52">
        <f>1</f>
        <v>1</v>
      </c>
      <c r="I1606" s="36"/>
      <c r="J1606" s="52">
        <v>1</v>
      </c>
      <c r="K1606" s="53">
        <f>0</f>
        <v>0</v>
      </c>
      <c r="L1606" s="53">
        <f>0</f>
        <v>0</v>
      </c>
      <c r="M1606" s="53">
        <f>0</f>
        <v>0</v>
      </c>
      <c r="N1606" s="54">
        <f t="shared" si="299"/>
        <v>0</v>
      </c>
      <c r="O1606" s="54">
        <f t="shared" si="300"/>
        <v>0</v>
      </c>
      <c r="P1606" s="54">
        <f t="shared" si="301"/>
        <v>0</v>
      </c>
      <c r="Q1606" s="54">
        <f t="shared" si="302"/>
        <v>0</v>
      </c>
      <c r="R1606" s="54">
        <f t="shared" si="303"/>
        <v>0</v>
      </c>
      <c r="S1606" s="54"/>
      <c r="T1606" s="36"/>
      <c r="XDA1606"/>
      <c r="XDB1606"/>
      <c r="XDC1606"/>
      <c r="XDD1606"/>
      <c r="XDE1606"/>
      <c r="XDF1606"/>
      <c r="XDG1606"/>
      <c r="XDH1606"/>
      <c r="XDI1606"/>
      <c r="XDJ1606"/>
      <c r="XDK1606"/>
      <c r="XDL1606"/>
      <c r="XDM1606"/>
      <c r="XDN1606"/>
      <c r="XDO1606"/>
      <c r="XDP1606"/>
      <c r="XDQ1606"/>
      <c r="XDR1606"/>
      <c r="XDS1606"/>
      <c r="XDT1606"/>
      <c r="XDU1606"/>
      <c r="XDV1606"/>
      <c r="XDW1606"/>
      <c r="XDX1606"/>
      <c r="XDY1606"/>
      <c r="XDZ1606"/>
      <c r="XEA1606"/>
      <c r="XEB1606"/>
      <c r="XEC1606"/>
      <c r="XED1606"/>
      <c r="XEE1606"/>
      <c r="XEF1606"/>
      <c r="XEG1606"/>
      <c r="XEH1606"/>
      <c r="XEI1606"/>
      <c r="XEJ1606"/>
      <c r="XEK1606"/>
      <c r="XEL1606"/>
      <c r="XEM1606"/>
      <c r="XEN1606"/>
      <c r="XEO1606"/>
      <c r="XEP1606"/>
      <c r="XEQ1606"/>
      <c r="XER1606"/>
      <c r="XES1606"/>
      <c r="XET1606"/>
      <c r="XEU1606"/>
      <c r="XEV1606"/>
      <c r="XEW1606"/>
      <c r="XEX1606"/>
      <c r="XEY1606"/>
      <c r="XEZ1606"/>
      <c r="XFA1606"/>
      <c r="XFB1606"/>
      <c r="XFC1606"/>
    </row>
    <row r="1607" spans="1:20 16329:16383" s="38" customFormat="1" ht="29.1" customHeight="1" outlineLevel="6" x14ac:dyDescent="0.25">
      <c r="A1607" s="49" t="s">
        <v>2780</v>
      </c>
      <c r="B1607" s="50"/>
      <c r="C1607" s="50"/>
      <c r="D1607" s="3" t="s">
        <v>2609</v>
      </c>
      <c r="E1607" s="3"/>
      <c r="F1607" s="51"/>
      <c r="G1607" s="50" t="s">
        <v>102</v>
      </c>
      <c r="H1607" s="52">
        <f>1</f>
        <v>1</v>
      </c>
      <c r="I1607" s="36"/>
      <c r="J1607" s="52">
        <v>1</v>
      </c>
      <c r="K1607" s="53">
        <f>0</f>
        <v>0</v>
      </c>
      <c r="L1607" s="53">
        <f>0</f>
        <v>0</v>
      </c>
      <c r="M1607" s="53">
        <f>0</f>
        <v>0</v>
      </c>
      <c r="N1607" s="54">
        <f t="shared" si="299"/>
        <v>0</v>
      </c>
      <c r="O1607" s="54">
        <f t="shared" si="300"/>
        <v>0</v>
      </c>
      <c r="P1607" s="54">
        <f t="shared" si="301"/>
        <v>0</v>
      </c>
      <c r="Q1607" s="54">
        <f t="shared" si="302"/>
        <v>0</v>
      </c>
      <c r="R1607" s="54">
        <f t="shared" si="303"/>
        <v>0</v>
      </c>
      <c r="S1607" s="54"/>
      <c r="T1607" s="36"/>
      <c r="XDA1607"/>
      <c r="XDB1607"/>
      <c r="XDC1607"/>
      <c r="XDD1607"/>
      <c r="XDE1607"/>
      <c r="XDF1607"/>
      <c r="XDG1607"/>
      <c r="XDH1607"/>
      <c r="XDI1607"/>
      <c r="XDJ1607"/>
      <c r="XDK1607"/>
      <c r="XDL1607"/>
      <c r="XDM1607"/>
      <c r="XDN1607"/>
      <c r="XDO1607"/>
      <c r="XDP1607"/>
      <c r="XDQ1607"/>
      <c r="XDR1607"/>
      <c r="XDS1607"/>
      <c r="XDT1607"/>
      <c r="XDU1607"/>
      <c r="XDV1607"/>
      <c r="XDW1607"/>
      <c r="XDX1607"/>
      <c r="XDY1607"/>
      <c r="XDZ1607"/>
      <c r="XEA1607"/>
      <c r="XEB1607"/>
      <c r="XEC1607"/>
      <c r="XED1607"/>
      <c r="XEE1607"/>
      <c r="XEF1607"/>
      <c r="XEG1607"/>
      <c r="XEH1607"/>
      <c r="XEI1607"/>
      <c r="XEJ1607"/>
      <c r="XEK1607"/>
      <c r="XEL1607"/>
      <c r="XEM1607"/>
      <c r="XEN1607"/>
      <c r="XEO1607"/>
      <c r="XEP1607"/>
      <c r="XEQ1607"/>
      <c r="XER1607"/>
      <c r="XES1607"/>
      <c r="XET1607"/>
      <c r="XEU1607"/>
      <c r="XEV1607"/>
      <c r="XEW1607"/>
      <c r="XEX1607"/>
      <c r="XEY1607"/>
      <c r="XEZ1607"/>
      <c r="XFA1607"/>
      <c r="XFB1607"/>
      <c r="XFC1607"/>
    </row>
    <row r="1608" spans="1:20 16329:16383" s="38" customFormat="1" ht="29.1" customHeight="1" outlineLevel="6" x14ac:dyDescent="0.25">
      <c r="A1608" s="49" t="s">
        <v>2781</v>
      </c>
      <c r="B1608" s="50"/>
      <c r="C1608" s="50"/>
      <c r="D1608" s="3" t="s">
        <v>2299</v>
      </c>
      <c r="E1608" s="3"/>
      <c r="F1608" s="51" t="s">
        <v>2300</v>
      </c>
      <c r="G1608" s="50" t="s">
        <v>29</v>
      </c>
      <c r="H1608" s="52">
        <f>1</f>
        <v>1</v>
      </c>
      <c r="I1608" s="36"/>
      <c r="J1608" s="52">
        <v>1</v>
      </c>
      <c r="K1608" s="53">
        <f>0</f>
        <v>0</v>
      </c>
      <c r="L1608" s="53">
        <f>0</f>
        <v>0</v>
      </c>
      <c r="M1608" s="53">
        <f>0</f>
        <v>0</v>
      </c>
      <c r="N1608" s="54">
        <f t="shared" si="299"/>
        <v>0</v>
      </c>
      <c r="O1608" s="54">
        <f t="shared" si="300"/>
        <v>0</v>
      </c>
      <c r="P1608" s="54">
        <f t="shared" si="301"/>
        <v>0</v>
      </c>
      <c r="Q1608" s="54">
        <f t="shared" si="302"/>
        <v>0</v>
      </c>
      <c r="R1608" s="54">
        <f t="shared" si="303"/>
        <v>0</v>
      </c>
      <c r="S1608" s="54"/>
      <c r="T1608" s="36"/>
      <c r="XDA1608"/>
      <c r="XDB1608"/>
      <c r="XDC1608"/>
      <c r="XDD1608"/>
      <c r="XDE1608"/>
      <c r="XDF1608"/>
      <c r="XDG1608"/>
      <c r="XDH1608"/>
      <c r="XDI1608"/>
      <c r="XDJ1608"/>
      <c r="XDK1608"/>
      <c r="XDL1608"/>
      <c r="XDM1608"/>
      <c r="XDN1608"/>
      <c r="XDO1608"/>
      <c r="XDP1608"/>
      <c r="XDQ1608"/>
      <c r="XDR1608"/>
      <c r="XDS1608"/>
      <c r="XDT1608"/>
      <c r="XDU1608"/>
      <c r="XDV1608"/>
      <c r="XDW1608"/>
      <c r="XDX1608"/>
      <c r="XDY1608"/>
      <c r="XDZ1608"/>
      <c r="XEA1608"/>
      <c r="XEB1608"/>
      <c r="XEC1608"/>
      <c r="XED1608"/>
      <c r="XEE1608"/>
      <c r="XEF1608"/>
      <c r="XEG1608"/>
      <c r="XEH1608"/>
      <c r="XEI1608"/>
      <c r="XEJ1608"/>
      <c r="XEK1608"/>
      <c r="XEL1608"/>
      <c r="XEM1608"/>
      <c r="XEN1608"/>
      <c r="XEO1608"/>
      <c r="XEP1608"/>
      <c r="XEQ1608"/>
      <c r="XER1608"/>
      <c r="XES1608"/>
      <c r="XET1608"/>
      <c r="XEU1608"/>
      <c r="XEV1608"/>
      <c r="XEW1608"/>
      <c r="XEX1608"/>
      <c r="XEY1608"/>
      <c r="XEZ1608"/>
      <c r="XFA1608"/>
      <c r="XFB1608"/>
      <c r="XFC1608"/>
    </row>
    <row r="1609" spans="1:20 16329:16383" s="38" customFormat="1" ht="29.1" customHeight="1" outlineLevel="6" x14ac:dyDescent="0.25">
      <c r="A1609" s="49" t="s">
        <v>2782</v>
      </c>
      <c r="B1609" s="50"/>
      <c r="C1609" s="50"/>
      <c r="D1609" s="3" t="s">
        <v>2407</v>
      </c>
      <c r="E1609" s="3"/>
      <c r="F1609" s="51" t="s">
        <v>1960</v>
      </c>
      <c r="G1609" s="50" t="s">
        <v>134</v>
      </c>
      <c r="H1609" s="52">
        <f>1</f>
        <v>1</v>
      </c>
      <c r="I1609" s="36"/>
      <c r="J1609" s="52">
        <v>1</v>
      </c>
      <c r="K1609" s="53">
        <f>0</f>
        <v>0</v>
      </c>
      <c r="L1609" s="53">
        <f>0</f>
        <v>0</v>
      </c>
      <c r="M1609" s="53">
        <f>0</f>
        <v>0</v>
      </c>
      <c r="N1609" s="54">
        <f t="shared" si="299"/>
        <v>0</v>
      </c>
      <c r="O1609" s="54">
        <f t="shared" si="300"/>
        <v>0</v>
      </c>
      <c r="P1609" s="54">
        <f t="shared" si="301"/>
        <v>0</v>
      </c>
      <c r="Q1609" s="54">
        <f t="shared" si="302"/>
        <v>0</v>
      </c>
      <c r="R1609" s="54">
        <f t="shared" si="303"/>
        <v>0</v>
      </c>
      <c r="S1609" s="54"/>
      <c r="T1609" s="36"/>
      <c r="XDA1609"/>
      <c r="XDB1609"/>
      <c r="XDC1609"/>
      <c r="XDD1609"/>
      <c r="XDE1609"/>
      <c r="XDF1609"/>
      <c r="XDG1609"/>
      <c r="XDH1609"/>
      <c r="XDI1609"/>
      <c r="XDJ1609"/>
      <c r="XDK1609"/>
      <c r="XDL1609"/>
      <c r="XDM1609"/>
      <c r="XDN1609"/>
      <c r="XDO1609"/>
      <c r="XDP1609"/>
      <c r="XDQ1609"/>
      <c r="XDR1609"/>
      <c r="XDS1609"/>
      <c r="XDT1609"/>
      <c r="XDU1609"/>
      <c r="XDV1609"/>
      <c r="XDW1609"/>
      <c r="XDX1609"/>
      <c r="XDY1609"/>
      <c r="XDZ1609"/>
      <c r="XEA1609"/>
      <c r="XEB1609"/>
      <c r="XEC1609"/>
      <c r="XED1609"/>
      <c r="XEE1609"/>
      <c r="XEF1609"/>
      <c r="XEG1609"/>
      <c r="XEH1609"/>
      <c r="XEI1609"/>
      <c r="XEJ1609"/>
      <c r="XEK1609"/>
      <c r="XEL1609"/>
      <c r="XEM1609"/>
      <c r="XEN1609"/>
      <c r="XEO1609"/>
      <c r="XEP1609"/>
      <c r="XEQ1609"/>
      <c r="XER1609"/>
      <c r="XES1609"/>
      <c r="XET1609"/>
      <c r="XEU1609"/>
      <c r="XEV1609"/>
      <c r="XEW1609"/>
      <c r="XEX1609"/>
      <c r="XEY1609"/>
      <c r="XEZ1609"/>
      <c r="XFA1609"/>
      <c r="XFB1609"/>
      <c r="XFC1609"/>
    </row>
    <row r="1610" spans="1:20 16329:16383" s="38" customFormat="1" ht="29.1" customHeight="1" outlineLevel="5" x14ac:dyDescent="0.25">
      <c r="A1610" s="65" t="s">
        <v>2783</v>
      </c>
      <c r="B1610" s="66" t="s">
        <v>2784</v>
      </c>
      <c r="C1610" s="66"/>
      <c r="D1610" s="98" t="s">
        <v>1899</v>
      </c>
      <c r="E1610" s="98"/>
      <c r="F1610" s="67"/>
      <c r="G1610" s="66"/>
      <c r="H1610" s="68"/>
      <c r="I1610" s="36"/>
      <c r="J1610" s="68"/>
      <c r="K1610" s="69"/>
      <c r="L1610" s="69"/>
      <c r="M1610" s="69"/>
      <c r="N1610" s="69"/>
      <c r="O1610" s="69">
        <f>SUM(O1611:O1618)</f>
        <v>0</v>
      </c>
      <c r="P1610" s="69">
        <f>SUM(P1611:P1618)</f>
        <v>0</v>
      </c>
      <c r="Q1610" s="69">
        <f>SUM(Q1611:Q1618)</f>
        <v>0</v>
      </c>
      <c r="R1610" s="69">
        <f>SUM(R1611:R1618)</f>
        <v>0</v>
      </c>
      <c r="S1610" s="69"/>
      <c r="T1610" s="36"/>
      <c r="XDA1610"/>
      <c r="XDB1610"/>
      <c r="XDC1610"/>
      <c r="XDD1610"/>
      <c r="XDE1610"/>
      <c r="XDF1610"/>
      <c r="XDG1610"/>
      <c r="XDH1610"/>
      <c r="XDI1610"/>
      <c r="XDJ1610"/>
      <c r="XDK1610"/>
      <c r="XDL1610"/>
      <c r="XDM1610"/>
      <c r="XDN1610"/>
      <c r="XDO1610"/>
      <c r="XDP1610"/>
      <c r="XDQ1610"/>
      <c r="XDR1610"/>
      <c r="XDS1610"/>
      <c r="XDT1610"/>
      <c r="XDU1610"/>
      <c r="XDV1610"/>
      <c r="XDW1610"/>
      <c r="XDX1610"/>
      <c r="XDY1610"/>
      <c r="XDZ1610"/>
      <c r="XEA1610"/>
      <c r="XEB1610"/>
      <c r="XEC1610"/>
      <c r="XED1610"/>
      <c r="XEE1610"/>
      <c r="XEF1610"/>
      <c r="XEG1610"/>
      <c r="XEH1610"/>
      <c r="XEI1610"/>
      <c r="XEJ1610"/>
      <c r="XEK1610"/>
      <c r="XEL1610"/>
      <c r="XEM1610"/>
      <c r="XEN1610"/>
      <c r="XEO1610"/>
      <c r="XEP1610"/>
      <c r="XEQ1610"/>
      <c r="XER1610"/>
      <c r="XES1610"/>
      <c r="XET1610"/>
      <c r="XEU1610"/>
      <c r="XEV1610"/>
      <c r="XEW1610"/>
      <c r="XEX1610"/>
      <c r="XEY1610"/>
      <c r="XEZ1610"/>
      <c r="XFA1610"/>
      <c r="XFB1610"/>
      <c r="XFC1610"/>
    </row>
    <row r="1611" spans="1:20 16329:16383" s="38" customFormat="1" ht="29.1" customHeight="1" outlineLevel="6" x14ac:dyDescent="0.25">
      <c r="A1611" s="49" t="s">
        <v>2785</v>
      </c>
      <c r="B1611" s="50"/>
      <c r="C1611" s="50"/>
      <c r="D1611" s="3" t="s">
        <v>1953</v>
      </c>
      <c r="E1611" s="3"/>
      <c r="F1611" s="51"/>
      <c r="G1611" s="50" t="s">
        <v>102</v>
      </c>
      <c r="H1611" s="52">
        <f>1</f>
        <v>1</v>
      </c>
      <c r="I1611" s="36"/>
      <c r="J1611" s="52">
        <v>1</v>
      </c>
      <c r="K1611" s="53">
        <f>0</f>
        <v>0</v>
      </c>
      <c r="L1611" s="53">
        <f>0</f>
        <v>0</v>
      </c>
      <c r="M1611" s="53">
        <f>0</f>
        <v>0</v>
      </c>
      <c r="N1611" s="54">
        <f t="shared" ref="N1611:N1618" si="304">SUM(K1611:M1611)</f>
        <v>0</v>
      </c>
      <c r="O1611" s="54">
        <f t="shared" ref="O1611:O1618" si="305">ROUND((H1611*K1611),2)</f>
        <v>0</v>
      </c>
      <c r="P1611" s="54">
        <f t="shared" ref="P1611:P1618" si="306">ROUND((H1611*L1611),2)</f>
        <v>0</v>
      </c>
      <c r="Q1611" s="54">
        <f t="shared" ref="Q1611:Q1618" si="307">ROUND((H1611*M1611),2)</f>
        <v>0</v>
      </c>
      <c r="R1611" s="54">
        <f t="shared" ref="R1611:R1618" si="308">ROUND((H1611*N1611),2)</f>
        <v>0</v>
      </c>
      <c r="S1611" s="54"/>
      <c r="T1611" s="36"/>
      <c r="XDA1611"/>
      <c r="XDB1611"/>
      <c r="XDC1611"/>
      <c r="XDD1611"/>
      <c r="XDE1611"/>
      <c r="XDF1611"/>
      <c r="XDG1611"/>
      <c r="XDH1611"/>
      <c r="XDI1611"/>
      <c r="XDJ1611"/>
      <c r="XDK1611"/>
      <c r="XDL1611"/>
      <c r="XDM1611"/>
      <c r="XDN1611"/>
      <c r="XDO1611"/>
      <c r="XDP1611"/>
      <c r="XDQ1611"/>
      <c r="XDR1611"/>
      <c r="XDS1611"/>
      <c r="XDT1611"/>
      <c r="XDU1611"/>
      <c r="XDV1611"/>
      <c r="XDW1611"/>
      <c r="XDX1611"/>
      <c r="XDY1611"/>
      <c r="XDZ1611"/>
      <c r="XEA1611"/>
      <c r="XEB1611"/>
      <c r="XEC1611"/>
      <c r="XED1611"/>
      <c r="XEE1611"/>
      <c r="XEF1611"/>
      <c r="XEG1611"/>
      <c r="XEH1611"/>
      <c r="XEI1611"/>
      <c r="XEJ1611"/>
      <c r="XEK1611"/>
      <c r="XEL1611"/>
      <c r="XEM1611"/>
      <c r="XEN1611"/>
      <c r="XEO1611"/>
      <c r="XEP1611"/>
      <c r="XEQ1611"/>
      <c r="XER1611"/>
      <c r="XES1611"/>
      <c r="XET1611"/>
      <c r="XEU1611"/>
      <c r="XEV1611"/>
      <c r="XEW1611"/>
      <c r="XEX1611"/>
      <c r="XEY1611"/>
      <c r="XEZ1611"/>
      <c r="XFA1611"/>
      <c r="XFB1611"/>
      <c r="XFC1611"/>
    </row>
    <row r="1612" spans="1:20 16329:16383" s="38" customFormat="1" ht="29.1" customHeight="1" outlineLevel="6" x14ac:dyDescent="0.25">
      <c r="A1612" s="49" t="s">
        <v>2786</v>
      </c>
      <c r="B1612" s="50"/>
      <c r="C1612" s="50"/>
      <c r="D1612" s="3" t="s">
        <v>1955</v>
      </c>
      <c r="E1612" s="3"/>
      <c r="F1612" s="51"/>
      <c r="G1612" s="50" t="s">
        <v>102</v>
      </c>
      <c r="H1612" s="52">
        <f>1</f>
        <v>1</v>
      </c>
      <c r="I1612" s="36"/>
      <c r="J1612" s="52">
        <v>1</v>
      </c>
      <c r="K1612" s="53">
        <f>0</f>
        <v>0</v>
      </c>
      <c r="L1612" s="53">
        <f>0</f>
        <v>0</v>
      </c>
      <c r="M1612" s="53">
        <f>0</f>
        <v>0</v>
      </c>
      <c r="N1612" s="54">
        <f t="shared" si="304"/>
        <v>0</v>
      </c>
      <c r="O1612" s="54">
        <f t="shared" si="305"/>
        <v>0</v>
      </c>
      <c r="P1612" s="54">
        <f t="shared" si="306"/>
        <v>0</v>
      </c>
      <c r="Q1612" s="54">
        <f t="shared" si="307"/>
        <v>0</v>
      </c>
      <c r="R1612" s="54">
        <f t="shared" si="308"/>
        <v>0</v>
      </c>
      <c r="S1612" s="54"/>
      <c r="T1612" s="36"/>
      <c r="XDA1612"/>
      <c r="XDB1612"/>
      <c r="XDC1612"/>
      <c r="XDD1612"/>
      <c r="XDE1612"/>
      <c r="XDF1612"/>
      <c r="XDG1612"/>
      <c r="XDH1612"/>
      <c r="XDI1612"/>
      <c r="XDJ1612"/>
      <c r="XDK1612"/>
      <c r="XDL1612"/>
      <c r="XDM1612"/>
      <c r="XDN1612"/>
      <c r="XDO1612"/>
      <c r="XDP1612"/>
      <c r="XDQ1612"/>
      <c r="XDR1612"/>
      <c r="XDS1612"/>
      <c r="XDT1612"/>
      <c r="XDU1612"/>
      <c r="XDV1612"/>
      <c r="XDW1612"/>
      <c r="XDX1612"/>
      <c r="XDY1612"/>
      <c r="XDZ1612"/>
      <c r="XEA1612"/>
      <c r="XEB1612"/>
      <c r="XEC1612"/>
      <c r="XED1612"/>
      <c r="XEE1612"/>
      <c r="XEF1612"/>
      <c r="XEG1612"/>
      <c r="XEH1612"/>
      <c r="XEI1612"/>
      <c r="XEJ1612"/>
      <c r="XEK1612"/>
      <c r="XEL1612"/>
      <c r="XEM1612"/>
      <c r="XEN1612"/>
      <c r="XEO1612"/>
      <c r="XEP1612"/>
      <c r="XEQ1612"/>
      <c r="XER1612"/>
      <c r="XES1612"/>
      <c r="XET1612"/>
      <c r="XEU1612"/>
      <c r="XEV1612"/>
      <c r="XEW1612"/>
      <c r="XEX1612"/>
      <c r="XEY1612"/>
      <c r="XEZ1612"/>
      <c r="XFA1612"/>
      <c r="XFB1612"/>
      <c r="XFC1612"/>
    </row>
    <row r="1613" spans="1:20 16329:16383" s="38" customFormat="1" ht="29.1" customHeight="1" outlineLevel="6" x14ac:dyDescent="0.25">
      <c r="A1613" s="49" t="s">
        <v>2787</v>
      </c>
      <c r="B1613" s="50"/>
      <c r="C1613" s="50"/>
      <c r="D1613" s="3" t="s">
        <v>2238</v>
      </c>
      <c r="E1613" s="3"/>
      <c r="F1613" s="51"/>
      <c r="G1613" s="50" t="s">
        <v>102</v>
      </c>
      <c r="H1613" s="52">
        <f>1</f>
        <v>1</v>
      </c>
      <c r="I1613" s="36"/>
      <c r="J1613" s="52">
        <v>1</v>
      </c>
      <c r="K1613" s="53">
        <f>0</f>
        <v>0</v>
      </c>
      <c r="L1613" s="53">
        <f>0</f>
        <v>0</v>
      </c>
      <c r="M1613" s="53">
        <f>0</f>
        <v>0</v>
      </c>
      <c r="N1613" s="54">
        <f t="shared" si="304"/>
        <v>0</v>
      </c>
      <c r="O1613" s="54">
        <f t="shared" si="305"/>
        <v>0</v>
      </c>
      <c r="P1613" s="54">
        <f t="shared" si="306"/>
        <v>0</v>
      </c>
      <c r="Q1613" s="54">
        <f t="shared" si="307"/>
        <v>0</v>
      </c>
      <c r="R1613" s="54">
        <f t="shared" si="308"/>
        <v>0</v>
      </c>
      <c r="S1613" s="54"/>
      <c r="T1613" s="36"/>
      <c r="XDA1613"/>
      <c r="XDB1613"/>
      <c r="XDC1613"/>
      <c r="XDD1613"/>
      <c r="XDE1613"/>
      <c r="XDF1613"/>
      <c r="XDG1613"/>
      <c r="XDH1613"/>
      <c r="XDI1613"/>
      <c r="XDJ1613"/>
      <c r="XDK1613"/>
      <c r="XDL1613"/>
      <c r="XDM1613"/>
      <c r="XDN1613"/>
      <c r="XDO1613"/>
      <c r="XDP1613"/>
      <c r="XDQ1613"/>
      <c r="XDR1613"/>
      <c r="XDS1613"/>
      <c r="XDT1613"/>
      <c r="XDU1613"/>
      <c r="XDV1613"/>
      <c r="XDW1613"/>
      <c r="XDX1613"/>
      <c r="XDY1613"/>
      <c r="XDZ1613"/>
      <c r="XEA1613"/>
      <c r="XEB1613"/>
      <c r="XEC1613"/>
      <c r="XED1613"/>
      <c r="XEE1613"/>
      <c r="XEF1613"/>
      <c r="XEG1613"/>
      <c r="XEH1613"/>
      <c r="XEI1613"/>
      <c r="XEJ1613"/>
      <c r="XEK1613"/>
      <c r="XEL1613"/>
      <c r="XEM1613"/>
      <c r="XEN1613"/>
      <c r="XEO1613"/>
      <c r="XEP1613"/>
      <c r="XEQ1613"/>
      <c r="XER1613"/>
      <c r="XES1613"/>
      <c r="XET1613"/>
      <c r="XEU1613"/>
      <c r="XEV1613"/>
      <c r="XEW1613"/>
      <c r="XEX1613"/>
      <c r="XEY1613"/>
      <c r="XEZ1613"/>
      <c r="XFA1613"/>
      <c r="XFB1613"/>
      <c r="XFC1613"/>
    </row>
    <row r="1614" spans="1:20 16329:16383" s="38" customFormat="1" ht="29.1" customHeight="1" outlineLevel="6" x14ac:dyDescent="0.25">
      <c r="A1614" s="49" t="s">
        <v>2788</v>
      </c>
      <c r="B1614" s="50"/>
      <c r="C1614" s="50"/>
      <c r="D1614" s="3" t="s">
        <v>1884</v>
      </c>
      <c r="E1614" s="3"/>
      <c r="F1614" s="51"/>
      <c r="G1614" s="50" t="s">
        <v>102</v>
      </c>
      <c r="H1614" s="52">
        <f>1</f>
        <v>1</v>
      </c>
      <c r="I1614" s="36"/>
      <c r="J1614" s="52">
        <v>1</v>
      </c>
      <c r="K1614" s="53">
        <f>0</f>
        <v>0</v>
      </c>
      <c r="L1614" s="53">
        <f>0</f>
        <v>0</v>
      </c>
      <c r="M1614" s="53">
        <f>0</f>
        <v>0</v>
      </c>
      <c r="N1614" s="54">
        <f t="shared" si="304"/>
        <v>0</v>
      </c>
      <c r="O1614" s="54">
        <f t="shared" si="305"/>
        <v>0</v>
      </c>
      <c r="P1614" s="54">
        <f t="shared" si="306"/>
        <v>0</v>
      </c>
      <c r="Q1614" s="54">
        <f t="shared" si="307"/>
        <v>0</v>
      </c>
      <c r="R1614" s="54">
        <f t="shared" si="308"/>
        <v>0</v>
      </c>
      <c r="S1614" s="54"/>
      <c r="T1614" s="36"/>
      <c r="XDA1614"/>
      <c r="XDB1614"/>
      <c r="XDC1614"/>
      <c r="XDD1614"/>
      <c r="XDE1614"/>
      <c r="XDF1614"/>
      <c r="XDG1614"/>
      <c r="XDH1614"/>
      <c r="XDI1614"/>
      <c r="XDJ1614"/>
      <c r="XDK1614"/>
      <c r="XDL1614"/>
      <c r="XDM1614"/>
      <c r="XDN1614"/>
      <c r="XDO1614"/>
      <c r="XDP1614"/>
      <c r="XDQ1614"/>
      <c r="XDR1614"/>
      <c r="XDS1614"/>
      <c r="XDT1614"/>
      <c r="XDU1614"/>
      <c r="XDV1614"/>
      <c r="XDW1614"/>
      <c r="XDX1614"/>
      <c r="XDY1614"/>
      <c r="XDZ1614"/>
      <c r="XEA1614"/>
      <c r="XEB1614"/>
      <c r="XEC1614"/>
      <c r="XED1614"/>
      <c r="XEE1614"/>
      <c r="XEF1614"/>
      <c r="XEG1614"/>
      <c r="XEH1614"/>
      <c r="XEI1614"/>
      <c r="XEJ1614"/>
      <c r="XEK1614"/>
      <c r="XEL1614"/>
      <c r="XEM1614"/>
      <c r="XEN1614"/>
      <c r="XEO1614"/>
      <c r="XEP1614"/>
      <c r="XEQ1614"/>
      <c r="XER1614"/>
      <c r="XES1614"/>
      <c r="XET1614"/>
      <c r="XEU1614"/>
      <c r="XEV1614"/>
      <c r="XEW1614"/>
      <c r="XEX1614"/>
      <c r="XEY1614"/>
      <c r="XEZ1614"/>
      <c r="XFA1614"/>
      <c r="XFB1614"/>
      <c r="XFC1614"/>
    </row>
    <row r="1615" spans="1:20 16329:16383" s="38" customFormat="1" ht="29.1" customHeight="1" outlineLevel="6" x14ac:dyDescent="0.25">
      <c r="A1615" s="49" t="s">
        <v>2789</v>
      </c>
      <c r="B1615" s="50"/>
      <c r="C1615" s="50"/>
      <c r="D1615" s="3" t="s">
        <v>2241</v>
      </c>
      <c r="E1615" s="3"/>
      <c r="F1615" s="51"/>
      <c r="G1615" s="50" t="s">
        <v>102</v>
      </c>
      <c r="H1615" s="52">
        <f>1</f>
        <v>1</v>
      </c>
      <c r="I1615" s="36"/>
      <c r="J1615" s="52">
        <v>1</v>
      </c>
      <c r="K1615" s="53">
        <f>0</f>
        <v>0</v>
      </c>
      <c r="L1615" s="53">
        <f>0</f>
        <v>0</v>
      </c>
      <c r="M1615" s="53">
        <f>0</f>
        <v>0</v>
      </c>
      <c r="N1615" s="54">
        <f t="shared" si="304"/>
        <v>0</v>
      </c>
      <c r="O1615" s="54">
        <f t="shared" si="305"/>
        <v>0</v>
      </c>
      <c r="P1615" s="54">
        <f t="shared" si="306"/>
        <v>0</v>
      </c>
      <c r="Q1615" s="54">
        <f t="shared" si="307"/>
        <v>0</v>
      </c>
      <c r="R1615" s="54">
        <f t="shared" si="308"/>
        <v>0</v>
      </c>
      <c r="S1615" s="54"/>
      <c r="T1615" s="36"/>
      <c r="XDA1615"/>
      <c r="XDB1615"/>
      <c r="XDC1615"/>
      <c r="XDD1615"/>
      <c r="XDE1615"/>
      <c r="XDF1615"/>
      <c r="XDG1615"/>
      <c r="XDH1615"/>
      <c r="XDI1615"/>
      <c r="XDJ1615"/>
      <c r="XDK1615"/>
      <c r="XDL1615"/>
      <c r="XDM1615"/>
      <c r="XDN1615"/>
      <c r="XDO1615"/>
      <c r="XDP1615"/>
      <c r="XDQ1615"/>
      <c r="XDR1615"/>
      <c r="XDS1615"/>
      <c r="XDT1615"/>
      <c r="XDU1615"/>
      <c r="XDV1615"/>
      <c r="XDW1615"/>
      <c r="XDX1615"/>
      <c r="XDY1615"/>
      <c r="XDZ1615"/>
      <c r="XEA1615"/>
      <c r="XEB1615"/>
      <c r="XEC1615"/>
      <c r="XED1615"/>
      <c r="XEE1615"/>
      <c r="XEF1615"/>
      <c r="XEG1615"/>
      <c r="XEH1615"/>
      <c r="XEI1615"/>
      <c r="XEJ1615"/>
      <c r="XEK1615"/>
      <c r="XEL1615"/>
      <c r="XEM1615"/>
      <c r="XEN1615"/>
      <c r="XEO1615"/>
      <c r="XEP1615"/>
      <c r="XEQ1615"/>
      <c r="XER1615"/>
      <c r="XES1615"/>
      <c r="XET1615"/>
      <c r="XEU1615"/>
      <c r="XEV1615"/>
      <c r="XEW1615"/>
      <c r="XEX1615"/>
      <c r="XEY1615"/>
      <c r="XEZ1615"/>
      <c r="XFA1615"/>
      <c r="XFB1615"/>
      <c r="XFC1615"/>
    </row>
    <row r="1616" spans="1:20 16329:16383" s="38" customFormat="1" ht="29.1" customHeight="1" outlineLevel="6" x14ac:dyDescent="0.25">
      <c r="A1616" s="49" t="s">
        <v>2790</v>
      </c>
      <c r="B1616" s="50"/>
      <c r="C1616" s="50"/>
      <c r="D1616" s="3" t="s">
        <v>1886</v>
      </c>
      <c r="E1616" s="3"/>
      <c r="F1616" s="51"/>
      <c r="G1616" s="50" t="s">
        <v>102</v>
      </c>
      <c r="H1616" s="52">
        <f>1</f>
        <v>1</v>
      </c>
      <c r="I1616" s="36"/>
      <c r="J1616" s="52">
        <v>1</v>
      </c>
      <c r="K1616" s="53">
        <f>0</f>
        <v>0</v>
      </c>
      <c r="L1616" s="53">
        <f>0</f>
        <v>0</v>
      </c>
      <c r="M1616" s="53">
        <f>0</f>
        <v>0</v>
      </c>
      <c r="N1616" s="54">
        <f t="shared" si="304"/>
        <v>0</v>
      </c>
      <c r="O1616" s="54">
        <f t="shared" si="305"/>
        <v>0</v>
      </c>
      <c r="P1616" s="54">
        <f t="shared" si="306"/>
        <v>0</v>
      </c>
      <c r="Q1616" s="54">
        <f t="shared" si="307"/>
        <v>0</v>
      </c>
      <c r="R1616" s="54">
        <f t="shared" si="308"/>
        <v>0</v>
      </c>
      <c r="S1616" s="54"/>
      <c r="T1616" s="36"/>
      <c r="XDA1616"/>
      <c r="XDB1616"/>
      <c r="XDC1616"/>
      <c r="XDD1616"/>
      <c r="XDE1616"/>
      <c r="XDF1616"/>
      <c r="XDG1616"/>
      <c r="XDH1616"/>
      <c r="XDI1616"/>
      <c r="XDJ1616"/>
      <c r="XDK1616"/>
      <c r="XDL1616"/>
      <c r="XDM1616"/>
      <c r="XDN1616"/>
      <c r="XDO1616"/>
      <c r="XDP1616"/>
      <c r="XDQ1616"/>
      <c r="XDR1616"/>
      <c r="XDS1616"/>
      <c r="XDT1616"/>
      <c r="XDU1616"/>
      <c r="XDV1616"/>
      <c r="XDW1616"/>
      <c r="XDX1616"/>
      <c r="XDY1616"/>
      <c r="XDZ1616"/>
      <c r="XEA1616"/>
      <c r="XEB1616"/>
      <c r="XEC1616"/>
      <c r="XED1616"/>
      <c r="XEE1616"/>
      <c r="XEF1616"/>
      <c r="XEG1616"/>
      <c r="XEH1616"/>
      <c r="XEI1616"/>
      <c r="XEJ1616"/>
      <c r="XEK1616"/>
      <c r="XEL1616"/>
      <c r="XEM1616"/>
      <c r="XEN1616"/>
      <c r="XEO1616"/>
      <c r="XEP1616"/>
      <c r="XEQ1616"/>
      <c r="XER1616"/>
      <c r="XES1616"/>
      <c r="XET1616"/>
      <c r="XEU1616"/>
      <c r="XEV1616"/>
      <c r="XEW1616"/>
      <c r="XEX1616"/>
      <c r="XEY1616"/>
      <c r="XEZ1616"/>
      <c r="XFA1616"/>
      <c r="XFB1616"/>
      <c r="XFC1616"/>
    </row>
    <row r="1617" spans="1:20 16329:16383" s="38" customFormat="1" ht="29.1" customHeight="1" outlineLevel="6" x14ac:dyDescent="0.25">
      <c r="A1617" s="49" t="s">
        <v>2791</v>
      </c>
      <c r="B1617" s="50"/>
      <c r="C1617" s="50"/>
      <c r="D1617" s="3" t="s">
        <v>2621</v>
      </c>
      <c r="E1617" s="3"/>
      <c r="F1617" s="51"/>
      <c r="G1617" s="50" t="s">
        <v>102</v>
      </c>
      <c r="H1617" s="52">
        <f>1</f>
        <v>1</v>
      </c>
      <c r="I1617" s="36"/>
      <c r="J1617" s="52">
        <v>1</v>
      </c>
      <c r="K1617" s="53">
        <f>0</f>
        <v>0</v>
      </c>
      <c r="L1617" s="53">
        <f>0</f>
        <v>0</v>
      </c>
      <c r="M1617" s="53">
        <f>0</f>
        <v>0</v>
      </c>
      <c r="N1617" s="54">
        <f t="shared" si="304"/>
        <v>0</v>
      </c>
      <c r="O1617" s="54">
        <f t="shared" si="305"/>
        <v>0</v>
      </c>
      <c r="P1617" s="54">
        <f t="shared" si="306"/>
        <v>0</v>
      </c>
      <c r="Q1617" s="54">
        <f t="shared" si="307"/>
        <v>0</v>
      </c>
      <c r="R1617" s="54">
        <f t="shared" si="308"/>
        <v>0</v>
      </c>
      <c r="S1617" s="54"/>
      <c r="T1617" s="36"/>
      <c r="XDA1617"/>
      <c r="XDB1617"/>
      <c r="XDC1617"/>
      <c r="XDD1617"/>
      <c r="XDE1617"/>
      <c r="XDF1617"/>
      <c r="XDG1617"/>
      <c r="XDH1617"/>
      <c r="XDI1617"/>
      <c r="XDJ1617"/>
      <c r="XDK1617"/>
      <c r="XDL1617"/>
      <c r="XDM1617"/>
      <c r="XDN1617"/>
      <c r="XDO1617"/>
      <c r="XDP1617"/>
      <c r="XDQ1617"/>
      <c r="XDR1617"/>
      <c r="XDS1617"/>
      <c r="XDT1617"/>
      <c r="XDU1617"/>
      <c r="XDV1617"/>
      <c r="XDW1617"/>
      <c r="XDX1617"/>
      <c r="XDY1617"/>
      <c r="XDZ1617"/>
      <c r="XEA1617"/>
      <c r="XEB1617"/>
      <c r="XEC1617"/>
      <c r="XED1617"/>
      <c r="XEE1617"/>
      <c r="XEF1617"/>
      <c r="XEG1617"/>
      <c r="XEH1617"/>
      <c r="XEI1617"/>
      <c r="XEJ1617"/>
      <c r="XEK1617"/>
      <c r="XEL1617"/>
      <c r="XEM1617"/>
      <c r="XEN1617"/>
      <c r="XEO1617"/>
      <c r="XEP1617"/>
      <c r="XEQ1617"/>
      <c r="XER1617"/>
      <c r="XES1617"/>
      <c r="XET1617"/>
      <c r="XEU1617"/>
      <c r="XEV1617"/>
      <c r="XEW1617"/>
      <c r="XEX1617"/>
      <c r="XEY1617"/>
      <c r="XEZ1617"/>
      <c r="XFA1617"/>
      <c r="XFB1617"/>
      <c r="XFC1617"/>
    </row>
    <row r="1618" spans="1:20 16329:16383" s="38" customFormat="1" ht="29.1" customHeight="1" outlineLevel="6" x14ac:dyDescent="0.25">
      <c r="A1618" s="49" t="s">
        <v>2792</v>
      </c>
      <c r="B1618" s="50"/>
      <c r="C1618" s="50"/>
      <c r="D1618" s="3" t="s">
        <v>2623</v>
      </c>
      <c r="E1618" s="3"/>
      <c r="F1618" s="51" t="s">
        <v>1960</v>
      </c>
      <c r="G1618" s="50" t="s">
        <v>134</v>
      </c>
      <c r="H1618" s="52">
        <f>1</f>
        <v>1</v>
      </c>
      <c r="I1618" s="36"/>
      <c r="J1618" s="52">
        <v>1</v>
      </c>
      <c r="K1618" s="53">
        <f>0</f>
        <v>0</v>
      </c>
      <c r="L1618" s="53">
        <f>0</f>
        <v>0</v>
      </c>
      <c r="M1618" s="53">
        <f>0</f>
        <v>0</v>
      </c>
      <c r="N1618" s="54">
        <f t="shared" si="304"/>
        <v>0</v>
      </c>
      <c r="O1618" s="54">
        <f t="shared" si="305"/>
        <v>0</v>
      </c>
      <c r="P1618" s="54">
        <f t="shared" si="306"/>
        <v>0</v>
      </c>
      <c r="Q1618" s="54">
        <f t="shared" si="307"/>
        <v>0</v>
      </c>
      <c r="R1618" s="54">
        <f t="shared" si="308"/>
        <v>0</v>
      </c>
      <c r="S1618" s="54"/>
      <c r="T1618" s="36"/>
      <c r="XDA1618"/>
      <c r="XDB1618"/>
      <c r="XDC1618"/>
      <c r="XDD1618"/>
      <c r="XDE1618"/>
      <c r="XDF1618"/>
      <c r="XDG1618"/>
      <c r="XDH1618"/>
      <c r="XDI1618"/>
      <c r="XDJ1618"/>
      <c r="XDK1618"/>
      <c r="XDL1618"/>
      <c r="XDM1618"/>
      <c r="XDN1618"/>
      <c r="XDO1618"/>
      <c r="XDP1618"/>
      <c r="XDQ1618"/>
      <c r="XDR1618"/>
      <c r="XDS1618"/>
      <c r="XDT1618"/>
      <c r="XDU1618"/>
      <c r="XDV1618"/>
      <c r="XDW1618"/>
      <c r="XDX1618"/>
      <c r="XDY1618"/>
      <c r="XDZ1618"/>
      <c r="XEA1618"/>
      <c r="XEB1618"/>
      <c r="XEC1618"/>
      <c r="XED1618"/>
      <c r="XEE1618"/>
      <c r="XEF1618"/>
      <c r="XEG1618"/>
      <c r="XEH1618"/>
      <c r="XEI1618"/>
      <c r="XEJ1618"/>
      <c r="XEK1618"/>
      <c r="XEL1618"/>
      <c r="XEM1618"/>
      <c r="XEN1618"/>
      <c r="XEO1618"/>
      <c r="XEP1618"/>
      <c r="XEQ1618"/>
      <c r="XER1618"/>
      <c r="XES1618"/>
      <c r="XET1618"/>
      <c r="XEU1618"/>
      <c r="XEV1618"/>
      <c r="XEW1618"/>
      <c r="XEX1618"/>
      <c r="XEY1618"/>
      <c r="XEZ1618"/>
      <c r="XFA1618"/>
      <c r="XFB1618"/>
      <c r="XFC1618"/>
    </row>
    <row r="1619" spans="1:20 16329:16383" s="38" customFormat="1" ht="29.1" customHeight="1" outlineLevel="5" x14ac:dyDescent="0.25">
      <c r="A1619" s="65" t="s">
        <v>2793</v>
      </c>
      <c r="B1619" s="66" t="s">
        <v>2794</v>
      </c>
      <c r="C1619" s="66"/>
      <c r="D1619" s="98" t="s">
        <v>1498</v>
      </c>
      <c r="E1619" s="98"/>
      <c r="F1619" s="67"/>
      <c r="G1619" s="66"/>
      <c r="H1619" s="68"/>
      <c r="I1619" s="36"/>
      <c r="J1619" s="68"/>
      <c r="K1619" s="69"/>
      <c r="L1619" s="69"/>
      <c r="M1619" s="69"/>
      <c r="N1619" s="69"/>
      <c r="O1619" s="69">
        <f>SUM(O1620:O1625)</f>
        <v>0</v>
      </c>
      <c r="P1619" s="69">
        <f>SUM(P1620:P1625)</f>
        <v>0</v>
      </c>
      <c r="Q1619" s="69">
        <f>SUM(Q1620:Q1625)</f>
        <v>0</v>
      </c>
      <c r="R1619" s="69">
        <f>SUM(R1620:R1625)</f>
        <v>0</v>
      </c>
      <c r="S1619" s="69"/>
      <c r="T1619" s="36"/>
      <c r="XDA1619"/>
      <c r="XDB1619"/>
      <c r="XDC1619"/>
      <c r="XDD1619"/>
      <c r="XDE1619"/>
      <c r="XDF1619"/>
      <c r="XDG1619"/>
      <c r="XDH1619"/>
      <c r="XDI1619"/>
      <c r="XDJ1619"/>
      <c r="XDK1619"/>
      <c r="XDL1619"/>
      <c r="XDM1619"/>
      <c r="XDN1619"/>
      <c r="XDO1619"/>
      <c r="XDP1619"/>
      <c r="XDQ1619"/>
      <c r="XDR1619"/>
      <c r="XDS1619"/>
      <c r="XDT1619"/>
      <c r="XDU1619"/>
      <c r="XDV1619"/>
      <c r="XDW1619"/>
      <c r="XDX1619"/>
      <c r="XDY1619"/>
      <c r="XDZ1619"/>
      <c r="XEA1619"/>
      <c r="XEB1619"/>
      <c r="XEC1619"/>
      <c r="XED1619"/>
      <c r="XEE1619"/>
      <c r="XEF1619"/>
      <c r="XEG1619"/>
      <c r="XEH1619"/>
      <c r="XEI1619"/>
      <c r="XEJ1619"/>
      <c r="XEK1619"/>
      <c r="XEL1619"/>
      <c r="XEM1619"/>
      <c r="XEN1619"/>
      <c r="XEO1619"/>
      <c r="XEP1619"/>
      <c r="XEQ1619"/>
      <c r="XER1619"/>
      <c r="XES1619"/>
      <c r="XET1619"/>
      <c r="XEU1619"/>
      <c r="XEV1619"/>
      <c r="XEW1619"/>
      <c r="XEX1619"/>
      <c r="XEY1619"/>
      <c r="XEZ1619"/>
      <c r="XFA1619"/>
      <c r="XFB1619"/>
      <c r="XFC1619"/>
    </row>
    <row r="1620" spans="1:20 16329:16383" s="38" customFormat="1" ht="29.1" customHeight="1" outlineLevel="6" x14ac:dyDescent="0.25">
      <c r="A1620" s="49" t="s">
        <v>2795</v>
      </c>
      <c r="B1620" s="50"/>
      <c r="C1620" s="50"/>
      <c r="D1620" s="3" t="s">
        <v>2251</v>
      </c>
      <c r="E1620" s="3"/>
      <c r="F1620" s="51" t="s">
        <v>2252</v>
      </c>
      <c r="G1620" s="50" t="s">
        <v>29</v>
      </c>
      <c r="H1620" s="52">
        <f>1</f>
        <v>1</v>
      </c>
      <c r="I1620" s="36"/>
      <c r="J1620" s="52">
        <v>1</v>
      </c>
      <c r="K1620" s="53">
        <f>0</f>
        <v>0</v>
      </c>
      <c r="L1620" s="53">
        <f>0</f>
        <v>0</v>
      </c>
      <c r="M1620" s="53">
        <f>0</f>
        <v>0</v>
      </c>
      <c r="N1620" s="54">
        <f t="shared" ref="N1620:N1625" si="309">SUM(K1620:M1620)</f>
        <v>0</v>
      </c>
      <c r="O1620" s="54">
        <f t="shared" ref="O1620:O1625" si="310">ROUND((H1620*K1620),2)</f>
        <v>0</v>
      </c>
      <c r="P1620" s="54">
        <f t="shared" ref="P1620:P1625" si="311">ROUND((H1620*L1620),2)</f>
        <v>0</v>
      </c>
      <c r="Q1620" s="54">
        <f t="shared" ref="Q1620:Q1625" si="312">ROUND((H1620*M1620),2)</f>
        <v>0</v>
      </c>
      <c r="R1620" s="54">
        <f t="shared" ref="R1620:R1625" si="313">ROUND((H1620*N1620),2)</f>
        <v>0</v>
      </c>
      <c r="S1620" s="54"/>
      <c r="T1620" s="36"/>
      <c r="XDA1620"/>
      <c r="XDB1620"/>
      <c r="XDC1620"/>
      <c r="XDD1620"/>
      <c r="XDE1620"/>
      <c r="XDF1620"/>
      <c r="XDG1620"/>
      <c r="XDH1620"/>
      <c r="XDI1620"/>
      <c r="XDJ1620"/>
      <c r="XDK1620"/>
      <c r="XDL1620"/>
      <c r="XDM1620"/>
      <c r="XDN1620"/>
      <c r="XDO1620"/>
      <c r="XDP1620"/>
      <c r="XDQ1620"/>
      <c r="XDR1620"/>
      <c r="XDS1620"/>
      <c r="XDT1620"/>
      <c r="XDU1620"/>
      <c r="XDV1620"/>
      <c r="XDW1620"/>
      <c r="XDX1620"/>
      <c r="XDY1620"/>
      <c r="XDZ1620"/>
      <c r="XEA1620"/>
      <c r="XEB1620"/>
      <c r="XEC1620"/>
      <c r="XED1620"/>
      <c r="XEE1620"/>
      <c r="XEF1620"/>
      <c r="XEG1620"/>
      <c r="XEH1620"/>
      <c r="XEI1620"/>
      <c r="XEJ1620"/>
      <c r="XEK1620"/>
      <c r="XEL1620"/>
      <c r="XEM1620"/>
      <c r="XEN1620"/>
      <c r="XEO1620"/>
      <c r="XEP1620"/>
      <c r="XEQ1620"/>
      <c r="XER1620"/>
      <c r="XES1620"/>
      <c r="XET1620"/>
      <c r="XEU1620"/>
      <c r="XEV1620"/>
      <c r="XEW1620"/>
      <c r="XEX1620"/>
      <c r="XEY1620"/>
      <c r="XEZ1620"/>
      <c r="XFA1620"/>
      <c r="XFB1620"/>
      <c r="XFC1620"/>
    </row>
    <row r="1621" spans="1:20 16329:16383" s="38" customFormat="1" ht="29.1" customHeight="1" outlineLevel="6" x14ac:dyDescent="0.25">
      <c r="A1621" s="49" t="s">
        <v>2796</v>
      </c>
      <c r="B1621" s="50"/>
      <c r="C1621" s="50"/>
      <c r="D1621" s="3" t="s">
        <v>2260</v>
      </c>
      <c r="E1621" s="3"/>
      <c r="F1621" s="51" t="s">
        <v>2252</v>
      </c>
      <c r="G1621" s="50" t="s">
        <v>29</v>
      </c>
      <c r="H1621" s="52">
        <f>1</f>
        <v>1</v>
      </c>
      <c r="I1621" s="36"/>
      <c r="J1621" s="52">
        <v>1</v>
      </c>
      <c r="K1621" s="53">
        <f>0</f>
        <v>0</v>
      </c>
      <c r="L1621" s="53">
        <f>0</f>
        <v>0</v>
      </c>
      <c r="M1621" s="53">
        <f>0</f>
        <v>0</v>
      </c>
      <c r="N1621" s="54">
        <f t="shared" si="309"/>
        <v>0</v>
      </c>
      <c r="O1621" s="54">
        <f t="shared" si="310"/>
        <v>0</v>
      </c>
      <c r="P1621" s="54">
        <f t="shared" si="311"/>
        <v>0</v>
      </c>
      <c r="Q1621" s="54">
        <f t="shared" si="312"/>
        <v>0</v>
      </c>
      <c r="R1621" s="54">
        <f t="shared" si="313"/>
        <v>0</v>
      </c>
      <c r="S1621" s="54"/>
      <c r="T1621" s="36"/>
      <c r="XDA1621"/>
      <c r="XDB1621"/>
      <c r="XDC1621"/>
      <c r="XDD1621"/>
      <c r="XDE1621"/>
      <c r="XDF1621"/>
      <c r="XDG1621"/>
      <c r="XDH1621"/>
      <c r="XDI1621"/>
      <c r="XDJ1621"/>
      <c r="XDK1621"/>
      <c r="XDL1621"/>
      <c r="XDM1621"/>
      <c r="XDN1621"/>
      <c r="XDO1621"/>
      <c r="XDP1621"/>
      <c r="XDQ1621"/>
      <c r="XDR1621"/>
      <c r="XDS1621"/>
      <c r="XDT1621"/>
      <c r="XDU1621"/>
      <c r="XDV1621"/>
      <c r="XDW1621"/>
      <c r="XDX1621"/>
      <c r="XDY1621"/>
      <c r="XDZ1621"/>
      <c r="XEA1621"/>
      <c r="XEB1621"/>
      <c r="XEC1621"/>
      <c r="XED1621"/>
      <c r="XEE1621"/>
      <c r="XEF1621"/>
      <c r="XEG1621"/>
      <c r="XEH1621"/>
      <c r="XEI1621"/>
      <c r="XEJ1621"/>
      <c r="XEK1621"/>
      <c r="XEL1621"/>
      <c r="XEM1621"/>
      <c r="XEN1621"/>
      <c r="XEO1621"/>
      <c r="XEP1621"/>
      <c r="XEQ1621"/>
      <c r="XER1621"/>
      <c r="XES1621"/>
      <c r="XET1621"/>
      <c r="XEU1621"/>
      <c r="XEV1621"/>
      <c r="XEW1621"/>
      <c r="XEX1621"/>
      <c r="XEY1621"/>
      <c r="XEZ1621"/>
      <c r="XFA1621"/>
      <c r="XFB1621"/>
      <c r="XFC1621"/>
    </row>
    <row r="1622" spans="1:20 16329:16383" s="38" customFormat="1" ht="29.1" customHeight="1" outlineLevel="6" x14ac:dyDescent="0.25">
      <c r="A1622" s="49" t="s">
        <v>2797</v>
      </c>
      <c r="B1622" s="50"/>
      <c r="C1622" s="50"/>
      <c r="D1622" s="3" t="s">
        <v>2258</v>
      </c>
      <c r="E1622" s="3"/>
      <c r="F1622" s="51" t="s">
        <v>2252</v>
      </c>
      <c r="G1622" s="50" t="s">
        <v>29</v>
      </c>
      <c r="H1622" s="52">
        <f>1</f>
        <v>1</v>
      </c>
      <c r="I1622" s="36"/>
      <c r="J1622" s="52">
        <v>1</v>
      </c>
      <c r="K1622" s="53">
        <f>0</f>
        <v>0</v>
      </c>
      <c r="L1622" s="53">
        <f>0</f>
        <v>0</v>
      </c>
      <c r="M1622" s="53">
        <f>0</f>
        <v>0</v>
      </c>
      <c r="N1622" s="54">
        <f t="shared" si="309"/>
        <v>0</v>
      </c>
      <c r="O1622" s="54">
        <f t="shared" si="310"/>
        <v>0</v>
      </c>
      <c r="P1622" s="54">
        <f t="shared" si="311"/>
        <v>0</v>
      </c>
      <c r="Q1622" s="54">
        <f t="shared" si="312"/>
        <v>0</v>
      </c>
      <c r="R1622" s="54">
        <f t="shared" si="313"/>
        <v>0</v>
      </c>
      <c r="S1622" s="54"/>
      <c r="T1622" s="36"/>
      <c r="XDA1622"/>
      <c r="XDB1622"/>
      <c r="XDC1622"/>
      <c r="XDD1622"/>
      <c r="XDE1622"/>
      <c r="XDF1622"/>
      <c r="XDG1622"/>
      <c r="XDH1622"/>
      <c r="XDI1622"/>
      <c r="XDJ1622"/>
      <c r="XDK1622"/>
      <c r="XDL1622"/>
      <c r="XDM1622"/>
      <c r="XDN1622"/>
      <c r="XDO1622"/>
      <c r="XDP1622"/>
      <c r="XDQ1622"/>
      <c r="XDR1622"/>
      <c r="XDS1622"/>
      <c r="XDT1622"/>
      <c r="XDU1622"/>
      <c r="XDV1622"/>
      <c r="XDW1622"/>
      <c r="XDX1622"/>
      <c r="XDY1622"/>
      <c r="XDZ1622"/>
      <c r="XEA1622"/>
      <c r="XEB1622"/>
      <c r="XEC1622"/>
      <c r="XED1622"/>
      <c r="XEE1622"/>
      <c r="XEF1622"/>
      <c r="XEG1622"/>
      <c r="XEH1622"/>
      <c r="XEI1622"/>
      <c r="XEJ1622"/>
      <c r="XEK1622"/>
      <c r="XEL1622"/>
      <c r="XEM1622"/>
      <c r="XEN1622"/>
      <c r="XEO1622"/>
      <c r="XEP1622"/>
      <c r="XEQ1622"/>
      <c r="XER1622"/>
      <c r="XES1622"/>
      <c r="XET1622"/>
      <c r="XEU1622"/>
      <c r="XEV1622"/>
      <c r="XEW1622"/>
      <c r="XEX1622"/>
      <c r="XEY1622"/>
      <c r="XEZ1622"/>
      <c r="XFA1622"/>
      <c r="XFB1622"/>
      <c r="XFC1622"/>
    </row>
    <row r="1623" spans="1:20 16329:16383" s="38" customFormat="1" ht="29.1" customHeight="1" outlineLevel="6" x14ac:dyDescent="0.25">
      <c r="A1623" s="49" t="s">
        <v>2798</v>
      </c>
      <c r="B1623" s="50"/>
      <c r="C1623" s="50"/>
      <c r="D1623" s="3" t="s">
        <v>2256</v>
      </c>
      <c r="E1623" s="3"/>
      <c r="F1623" s="51" t="s">
        <v>2252</v>
      </c>
      <c r="G1623" s="50" t="s">
        <v>29</v>
      </c>
      <c r="H1623" s="52">
        <f>1</f>
        <v>1</v>
      </c>
      <c r="I1623" s="36"/>
      <c r="J1623" s="52">
        <v>1</v>
      </c>
      <c r="K1623" s="53">
        <f>0</f>
        <v>0</v>
      </c>
      <c r="L1623" s="53">
        <f>0</f>
        <v>0</v>
      </c>
      <c r="M1623" s="53">
        <f>0</f>
        <v>0</v>
      </c>
      <c r="N1623" s="54">
        <f t="shared" si="309"/>
        <v>0</v>
      </c>
      <c r="O1623" s="54">
        <f t="shared" si="310"/>
        <v>0</v>
      </c>
      <c r="P1623" s="54">
        <f t="shared" si="311"/>
        <v>0</v>
      </c>
      <c r="Q1623" s="54">
        <f t="shared" si="312"/>
        <v>0</v>
      </c>
      <c r="R1623" s="54">
        <f t="shared" si="313"/>
        <v>0</v>
      </c>
      <c r="S1623" s="54"/>
      <c r="T1623" s="36"/>
      <c r="XDA1623"/>
      <c r="XDB1623"/>
      <c r="XDC1623"/>
      <c r="XDD1623"/>
      <c r="XDE1623"/>
      <c r="XDF1623"/>
      <c r="XDG1623"/>
      <c r="XDH1623"/>
      <c r="XDI1623"/>
      <c r="XDJ1623"/>
      <c r="XDK1623"/>
      <c r="XDL1623"/>
      <c r="XDM1623"/>
      <c r="XDN1623"/>
      <c r="XDO1623"/>
      <c r="XDP1623"/>
      <c r="XDQ1623"/>
      <c r="XDR1623"/>
      <c r="XDS1623"/>
      <c r="XDT1623"/>
      <c r="XDU1623"/>
      <c r="XDV1623"/>
      <c r="XDW1623"/>
      <c r="XDX1623"/>
      <c r="XDY1623"/>
      <c r="XDZ1623"/>
      <c r="XEA1623"/>
      <c r="XEB1623"/>
      <c r="XEC1623"/>
      <c r="XED1623"/>
      <c r="XEE1623"/>
      <c r="XEF1623"/>
      <c r="XEG1623"/>
      <c r="XEH1623"/>
      <c r="XEI1623"/>
      <c r="XEJ1623"/>
      <c r="XEK1623"/>
      <c r="XEL1623"/>
      <c r="XEM1623"/>
      <c r="XEN1623"/>
      <c r="XEO1623"/>
      <c r="XEP1623"/>
      <c r="XEQ1623"/>
      <c r="XER1623"/>
      <c r="XES1623"/>
      <c r="XET1623"/>
      <c r="XEU1623"/>
      <c r="XEV1623"/>
      <c r="XEW1623"/>
      <c r="XEX1623"/>
      <c r="XEY1623"/>
      <c r="XEZ1623"/>
      <c r="XFA1623"/>
      <c r="XFB1623"/>
      <c r="XFC1623"/>
    </row>
    <row r="1624" spans="1:20 16329:16383" s="38" customFormat="1" ht="29.1" customHeight="1" outlineLevel="6" x14ac:dyDescent="0.25">
      <c r="A1624" s="49" t="s">
        <v>2799</v>
      </c>
      <c r="B1624" s="50"/>
      <c r="C1624" s="50"/>
      <c r="D1624" s="3" t="s">
        <v>2324</v>
      </c>
      <c r="E1624" s="3"/>
      <c r="F1624" s="51" t="s">
        <v>2252</v>
      </c>
      <c r="G1624" s="50" t="s">
        <v>29</v>
      </c>
      <c r="H1624" s="52">
        <f>1</f>
        <v>1</v>
      </c>
      <c r="I1624" s="36"/>
      <c r="J1624" s="52">
        <v>1</v>
      </c>
      <c r="K1624" s="53">
        <f>0</f>
        <v>0</v>
      </c>
      <c r="L1624" s="53">
        <f>0</f>
        <v>0</v>
      </c>
      <c r="M1624" s="53">
        <f>0</f>
        <v>0</v>
      </c>
      <c r="N1624" s="54">
        <f t="shared" si="309"/>
        <v>0</v>
      </c>
      <c r="O1624" s="54">
        <f t="shared" si="310"/>
        <v>0</v>
      </c>
      <c r="P1624" s="54">
        <f t="shared" si="311"/>
        <v>0</v>
      </c>
      <c r="Q1624" s="54">
        <f t="shared" si="312"/>
        <v>0</v>
      </c>
      <c r="R1624" s="54">
        <f t="shared" si="313"/>
        <v>0</v>
      </c>
      <c r="S1624" s="54"/>
      <c r="T1624" s="36"/>
      <c r="XDA1624"/>
      <c r="XDB1624"/>
      <c r="XDC1624"/>
      <c r="XDD1624"/>
      <c r="XDE1624"/>
      <c r="XDF1624"/>
      <c r="XDG1624"/>
      <c r="XDH1624"/>
      <c r="XDI1624"/>
      <c r="XDJ1624"/>
      <c r="XDK1624"/>
      <c r="XDL1624"/>
      <c r="XDM1624"/>
      <c r="XDN1624"/>
      <c r="XDO1624"/>
      <c r="XDP1624"/>
      <c r="XDQ1624"/>
      <c r="XDR1624"/>
      <c r="XDS1624"/>
      <c r="XDT1624"/>
      <c r="XDU1624"/>
      <c r="XDV1624"/>
      <c r="XDW1624"/>
      <c r="XDX1624"/>
      <c r="XDY1624"/>
      <c r="XDZ1624"/>
      <c r="XEA1624"/>
      <c r="XEB1624"/>
      <c r="XEC1624"/>
      <c r="XED1624"/>
      <c r="XEE1624"/>
      <c r="XEF1624"/>
      <c r="XEG1624"/>
      <c r="XEH1624"/>
      <c r="XEI1624"/>
      <c r="XEJ1624"/>
      <c r="XEK1624"/>
      <c r="XEL1624"/>
      <c r="XEM1624"/>
      <c r="XEN1624"/>
      <c r="XEO1624"/>
      <c r="XEP1624"/>
      <c r="XEQ1624"/>
      <c r="XER1624"/>
      <c r="XES1624"/>
      <c r="XET1624"/>
      <c r="XEU1624"/>
      <c r="XEV1624"/>
      <c r="XEW1624"/>
      <c r="XEX1624"/>
      <c r="XEY1624"/>
      <c r="XEZ1624"/>
      <c r="XFA1624"/>
      <c r="XFB1624"/>
      <c r="XFC1624"/>
    </row>
    <row r="1625" spans="1:20 16329:16383" s="38" customFormat="1" ht="29.1" customHeight="1" outlineLevel="6" x14ac:dyDescent="0.25">
      <c r="A1625" s="49" t="s">
        <v>2800</v>
      </c>
      <c r="B1625" s="50"/>
      <c r="C1625" s="50"/>
      <c r="D1625" s="3" t="s">
        <v>2326</v>
      </c>
      <c r="E1625" s="3"/>
      <c r="F1625" s="51" t="s">
        <v>2252</v>
      </c>
      <c r="G1625" s="50" t="s">
        <v>29</v>
      </c>
      <c r="H1625" s="52">
        <f>1</f>
        <v>1</v>
      </c>
      <c r="I1625" s="36"/>
      <c r="J1625" s="52">
        <v>1</v>
      </c>
      <c r="K1625" s="53">
        <f>0</f>
        <v>0</v>
      </c>
      <c r="L1625" s="53">
        <f>0</f>
        <v>0</v>
      </c>
      <c r="M1625" s="53">
        <f>0</f>
        <v>0</v>
      </c>
      <c r="N1625" s="54">
        <f t="shared" si="309"/>
        <v>0</v>
      </c>
      <c r="O1625" s="54">
        <f t="shared" si="310"/>
        <v>0</v>
      </c>
      <c r="P1625" s="54">
        <f t="shared" si="311"/>
        <v>0</v>
      </c>
      <c r="Q1625" s="54">
        <f t="shared" si="312"/>
        <v>0</v>
      </c>
      <c r="R1625" s="54">
        <f t="shared" si="313"/>
        <v>0</v>
      </c>
      <c r="S1625" s="54"/>
      <c r="T1625" s="36"/>
      <c r="XDA1625"/>
      <c r="XDB1625"/>
      <c r="XDC1625"/>
      <c r="XDD1625"/>
      <c r="XDE1625"/>
      <c r="XDF1625"/>
      <c r="XDG1625"/>
      <c r="XDH1625"/>
      <c r="XDI1625"/>
      <c r="XDJ1625"/>
      <c r="XDK1625"/>
      <c r="XDL1625"/>
      <c r="XDM1625"/>
      <c r="XDN1625"/>
      <c r="XDO1625"/>
      <c r="XDP1625"/>
      <c r="XDQ1625"/>
      <c r="XDR1625"/>
      <c r="XDS1625"/>
      <c r="XDT1625"/>
      <c r="XDU1625"/>
      <c r="XDV1625"/>
      <c r="XDW1625"/>
      <c r="XDX1625"/>
      <c r="XDY1625"/>
      <c r="XDZ1625"/>
      <c r="XEA1625"/>
      <c r="XEB1625"/>
      <c r="XEC1625"/>
      <c r="XED1625"/>
      <c r="XEE1625"/>
      <c r="XEF1625"/>
      <c r="XEG1625"/>
      <c r="XEH1625"/>
      <c r="XEI1625"/>
      <c r="XEJ1625"/>
      <c r="XEK1625"/>
      <c r="XEL1625"/>
      <c r="XEM1625"/>
      <c r="XEN1625"/>
      <c r="XEO1625"/>
      <c r="XEP1625"/>
      <c r="XEQ1625"/>
      <c r="XER1625"/>
      <c r="XES1625"/>
      <c r="XET1625"/>
      <c r="XEU1625"/>
      <c r="XEV1625"/>
      <c r="XEW1625"/>
      <c r="XEX1625"/>
      <c r="XEY1625"/>
      <c r="XEZ1625"/>
      <c r="XFA1625"/>
      <c r="XFB1625"/>
      <c r="XFC1625"/>
    </row>
    <row r="1626" spans="1:20 16329:16383" s="38" customFormat="1" ht="29.1" customHeight="1" outlineLevel="4" x14ac:dyDescent="0.25">
      <c r="A1626" s="60" t="s">
        <v>2801</v>
      </c>
      <c r="B1626" s="61" t="s">
        <v>2802</v>
      </c>
      <c r="C1626" s="61" t="s">
        <v>2329</v>
      </c>
      <c r="D1626" s="1" t="s">
        <v>2026</v>
      </c>
      <c r="E1626" s="1"/>
      <c r="F1626" s="62"/>
      <c r="G1626" s="61" t="s">
        <v>102</v>
      </c>
      <c r="H1626" s="63"/>
      <c r="I1626" s="36"/>
      <c r="J1626" s="63"/>
      <c r="K1626" s="64"/>
      <c r="L1626" s="64"/>
      <c r="M1626" s="64"/>
      <c r="N1626" s="64"/>
      <c r="O1626" s="64">
        <f>O1627+O1631+O1636</f>
        <v>0</v>
      </c>
      <c r="P1626" s="64">
        <f>P1627+P1631+P1636</f>
        <v>0</v>
      </c>
      <c r="Q1626" s="64">
        <f>Q1627+Q1631+Q1636</f>
        <v>0</v>
      </c>
      <c r="R1626" s="64">
        <f>R1627+R1631+R1636</f>
        <v>0</v>
      </c>
      <c r="S1626" s="64"/>
      <c r="T1626" s="36"/>
      <c r="XDA1626"/>
      <c r="XDB1626"/>
      <c r="XDC1626"/>
      <c r="XDD1626"/>
      <c r="XDE1626"/>
      <c r="XDF1626"/>
      <c r="XDG1626"/>
      <c r="XDH1626"/>
      <c r="XDI1626"/>
      <c r="XDJ1626"/>
      <c r="XDK1626"/>
      <c r="XDL1626"/>
      <c r="XDM1626"/>
      <c r="XDN1626"/>
      <c r="XDO1626"/>
      <c r="XDP1626"/>
      <c r="XDQ1626"/>
      <c r="XDR1626"/>
      <c r="XDS1626"/>
      <c r="XDT1626"/>
      <c r="XDU1626"/>
      <c r="XDV1626"/>
      <c r="XDW1626"/>
      <c r="XDX1626"/>
      <c r="XDY1626"/>
      <c r="XDZ1626"/>
      <c r="XEA1626"/>
      <c r="XEB1626"/>
      <c r="XEC1626"/>
      <c r="XED1626"/>
      <c r="XEE1626"/>
      <c r="XEF1626"/>
      <c r="XEG1626"/>
      <c r="XEH1626"/>
      <c r="XEI1626"/>
      <c r="XEJ1626"/>
      <c r="XEK1626"/>
      <c r="XEL1626"/>
      <c r="XEM1626"/>
      <c r="XEN1626"/>
      <c r="XEO1626"/>
      <c r="XEP1626"/>
      <c r="XEQ1626"/>
      <c r="XER1626"/>
      <c r="XES1626"/>
      <c r="XET1626"/>
      <c r="XEU1626"/>
      <c r="XEV1626"/>
      <c r="XEW1626"/>
      <c r="XEX1626"/>
      <c r="XEY1626"/>
      <c r="XEZ1626"/>
      <c r="XFA1626"/>
      <c r="XFB1626"/>
      <c r="XFC1626"/>
    </row>
    <row r="1627" spans="1:20 16329:16383" s="38" customFormat="1" ht="29.1" customHeight="1" outlineLevel="5" x14ac:dyDescent="0.25">
      <c r="A1627" s="65" t="s">
        <v>2803</v>
      </c>
      <c r="B1627" s="66" t="s">
        <v>2804</v>
      </c>
      <c r="C1627" s="66"/>
      <c r="D1627" s="98" t="s">
        <v>1873</v>
      </c>
      <c r="E1627" s="98"/>
      <c r="F1627" s="67"/>
      <c r="G1627" s="66"/>
      <c r="H1627" s="68"/>
      <c r="I1627" s="36"/>
      <c r="J1627" s="68"/>
      <c r="K1627" s="69"/>
      <c r="L1627" s="69"/>
      <c r="M1627" s="69"/>
      <c r="N1627" s="69"/>
      <c r="O1627" s="69">
        <f>SUM(O1628:O1630)</f>
        <v>0</v>
      </c>
      <c r="P1627" s="69">
        <f>SUM(P1628:P1630)</f>
        <v>0</v>
      </c>
      <c r="Q1627" s="69">
        <f>SUM(Q1628:Q1630)</f>
        <v>0</v>
      </c>
      <c r="R1627" s="69">
        <f>SUM(R1628:R1630)</f>
        <v>0</v>
      </c>
      <c r="S1627" s="69"/>
      <c r="T1627" s="36"/>
      <c r="XDA1627"/>
      <c r="XDB1627"/>
      <c r="XDC1627"/>
      <c r="XDD1627"/>
      <c r="XDE1627"/>
      <c r="XDF1627"/>
      <c r="XDG1627"/>
      <c r="XDH1627"/>
      <c r="XDI1627"/>
      <c r="XDJ1627"/>
      <c r="XDK1627"/>
      <c r="XDL1627"/>
      <c r="XDM1627"/>
      <c r="XDN1627"/>
      <c r="XDO1627"/>
      <c r="XDP1627"/>
      <c r="XDQ1627"/>
      <c r="XDR1627"/>
      <c r="XDS1627"/>
      <c r="XDT1627"/>
      <c r="XDU1627"/>
      <c r="XDV1627"/>
      <c r="XDW1627"/>
      <c r="XDX1627"/>
      <c r="XDY1627"/>
      <c r="XDZ1627"/>
      <c r="XEA1627"/>
      <c r="XEB1627"/>
      <c r="XEC1627"/>
      <c r="XED1627"/>
      <c r="XEE1627"/>
      <c r="XEF1627"/>
      <c r="XEG1627"/>
      <c r="XEH1627"/>
      <c r="XEI1627"/>
      <c r="XEJ1627"/>
      <c r="XEK1627"/>
      <c r="XEL1627"/>
      <c r="XEM1627"/>
      <c r="XEN1627"/>
      <c r="XEO1627"/>
      <c r="XEP1627"/>
      <c r="XEQ1627"/>
      <c r="XER1627"/>
      <c r="XES1627"/>
      <c r="XET1627"/>
      <c r="XEU1627"/>
      <c r="XEV1627"/>
      <c r="XEW1627"/>
      <c r="XEX1627"/>
      <c r="XEY1627"/>
      <c r="XEZ1627"/>
      <c r="XFA1627"/>
      <c r="XFB1627"/>
      <c r="XFC1627"/>
    </row>
    <row r="1628" spans="1:20 16329:16383" s="38" customFormat="1" ht="29.1" customHeight="1" outlineLevel="6" x14ac:dyDescent="0.25">
      <c r="A1628" s="49" t="s">
        <v>2805</v>
      </c>
      <c r="B1628" s="50"/>
      <c r="C1628" s="50"/>
      <c r="D1628" s="3" t="s">
        <v>1875</v>
      </c>
      <c r="E1628" s="3"/>
      <c r="F1628" s="51"/>
      <c r="G1628" s="50" t="s">
        <v>102</v>
      </c>
      <c r="H1628" s="52">
        <f>1</f>
        <v>1</v>
      </c>
      <c r="I1628" s="36"/>
      <c r="J1628" s="52">
        <v>1</v>
      </c>
      <c r="K1628" s="53">
        <f>0</f>
        <v>0</v>
      </c>
      <c r="L1628" s="53">
        <f>0</f>
        <v>0</v>
      </c>
      <c r="M1628" s="53">
        <f>0</f>
        <v>0</v>
      </c>
      <c r="N1628" s="54">
        <f>SUM(K1628:M1628)</f>
        <v>0</v>
      </c>
      <c r="O1628" s="54">
        <f>ROUND((H1628*K1628),2)</f>
        <v>0</v>
      </c>
      <c r="P1628" s="54">
        <f>ROUND((H1628*L1628),2)</f>
        <v>0</v>
      </c>
      <c r="Q1628" s="54">
        <f>ROUND((H1628*M1628),2)</f>
        <v>0</v>
      </c>
      <c r="R1628" s="54">
        <f>ROUND((H1628*N1628),2)</f>
        <v>0</v>
      </c>
      <c r="S1628" s="54"/>
      <c r="T1628" s="36"/>
      <c r="XDA1628"/>
      <c r="XDB1628"/>
      <c r="XDC1628"/>
      <c r="XDD1628"/>
      <c r="XDE1628"/>
      <c r="XDF1628"/>
      <c r="XDG1628"/>
      <c r="XDH1628"/>
      <c r="XDI1628"/>
      <c r="XDJ1628"/>
      <c r="XDK1628"/>
      <c r="XDL1628"/>
      <c r="XDM1628"/>
      <c r="XDN1628"/>
      <c r="XDO1628"/>
      <c r="XDP1628"/>
      <c r="XDQ1628"/>
      <c r="XDR1628"/>
      <c r="XDS1628"/>
      <c r="XDT1628"/>
      <c r="XDU1628"/>
      <c r="XDV1628"/>
      <c r="XDW1628"/>
      <c r="XDX1628"/>
      <c r="XDY1628"/>
      <c r="XDZ1628"/>
      <c r="XEA1628"/>
      <c r="XEB1628"/>
      <c r="XEC1628"/>
      <c r="XED1628"/>
      <c r="XEE1628"/>
      <c r="XEF1628"/>
      <c r="XEG1628"/>
      <c r="XEH1628"/>
      <c r="XEI1628"/>
      <c r="XEJ1628"/>
      <c r="XEK1628"/>
      <c r="XEL1628"/>
      <c r="XEM1628"/>
      <c r="XEN1628"/>
      <c r="XEO1628"/>
      <c r="XEP1628"/>
      <c r="XEQ1628"/>
      <c r="XER1628"/>
      <c r="XES1628"/>
      <c r="XET1628"/>
      <c r="XEU1628"/>
      <c r="XEV1628"/>
      <c r="XEW1628"/>
      <c r="XEX1628"/>
      <c r="XEY1628"/>
      <c r="XEZ1628"/>
      <c r="XFA1628"/>
      <c r="XFB1628"/>
      <c r="XFC1628"/>
    </row>
    <row r="1629" spans="1:20 16329:16383" s="38" customFormat="1" ht="29.1" customHeight="1" outlineLevel="6" x14ac:dyDescent="0.25">
      <c r="A1629" s="49" t="s">
        <v>2806</v>
      </c>
      <c r="B1629" s="50"/>
      <c r="C1629" s="50"/>
      <c r="D1629" s="3" t="s">
        <v>2093</v>
      </c>
      <c r="E1629" s="3"/>
      <c r="F1629" s="51"/>
      <c r="G1629" s="50" t="s">
        <v>102</v>
      </c>
      <c r="H1629" s="52">
        <f>1</f>
        <v>1</v>
      </c>
      <c r="I1629" s="36"/>
      <c r="J1629" s="52">
        <v>1</v>
      </c>
      <c r="K1629" s="53">
        <f>0</f>
        <v>0</v>
      </c>
      <c r="L1629" s="53">
        <f>0</f>
        <v>0</v>
      </c>
      <c r="M1629" s="53">
        <f>0</f>
        <v>0</v>
      </c>
      <c r="N1629" s="54">
        <f>SUM(K1629:M1629)</f>
        <v>0</v>
      </c>
      <c r="O1629" s="54">
        <f>ROUND((H1629*K1629),2)</f>
        <v>0</v>
      </c>
      <c r="P1629" s="54">
        <f>ROUND((H1629*L1629),2)</f>
        <v>0</v>
      </c>
      <c r="Q1629" s="54">
        <f>ROUND((H1629*M1629),2)</f>
        <v>0</v>
      </c>
      <c r="R1629" s="54">
        <f>ROUND((H1629*N1629),2)</f>
        <v>0</v>
      </c>
      <c r="S1629" s="54"/>
      <c r="T1629" s="36"/>
      <c r="XDA1629"/>
      <c r="XDB1629"/>
      <c r="XDC1629"/>
      <c r="XDD1629"/>
      <c r="XDE1629"/>
      <c r="XDF1629"/>
      <c r="XDG1629"/>
      <c r="XDH1629"/>
      <c r="XDI1629"/>
      <c r="XDJ1629"/>
      <c r="XDK1629"/>
      <c r="XDL1629"/>
      <c r="XDM1629"/>
      <c r="XDN1629"/>
      <c r="XDO1629"/>
      <c r="XDP1629"/>
      <c r="XDQ1629"/>
      <c r="XDR1629"/>
      <c r="XDS1629"/>
      <c r="XDT1629"/>
      <c r="XDU1629"/>
      <c r="XDV1629"/>
      <c r="XDW1629"/>
      <c r="XDX1629"/>
      <c r="XDY1629"/>
      <c r="XDZ1629"/>
      <c r="XEA1629"/>
      <c r="XEB1629"/>
      <c r="XEC1629"/>
      <c r="XED1629"/>
      <c r="XEE1629"/>
      <c r="XEF1629"/>
      <c r="XEG1629"/>
      <c r="XEH1629"/>
      <c r="XEI1629"/>
      <c r="XEJ1629"/>
      <c r="XEK1629"/>
      <c r="XEL1629"/>
      <c r="XEM1629"/>
      <c r="XEN1629"/>
      <c r="XEO1629"/>
      <c r="XEP1629"/>
      <c r="XEQ1629"/>
      <c r="XER1629"/>
      <c r="XES1629"/>
      <c r="XET1629"/>
      <c r="XEU1629"/>
      <c r="XEV1629"/>
      <c r="XEW1629"/>
      <c r="XEX1629"/>
      <c r="XEY1629"/>
      <c r="XEZ1629"/>
      <c r="XFA1629"/>
      <c r="XFB1629"/>
      <c r="XFC1629"/>
    </row>
    <row r="1630" spans="1:20 16329:16383" s="38" customFormat="1" ht="29.1" customHeight="1" outlineLevel="6" x14ac:dyDescent="0.25">
      <c r="A1630" s="49" t="s">
        <v>2807</v>
      </c>
      <c r="B1630" s="50"/>
      <c r="C1630" s="50"/>
      <c r="D1630" s="3" t="s">
        <v>2095</v>
      </c>
      <c r="E1630" s="3"/>
      <c r="F1630" s="51"/>
      <c r="G1630" s="50" t="s">
        <v>102</v>
      </c>
      <c r="H1630" s="52">
        <f>1</f>
        <v>1</v>
      </c>
      <c r="I1630" s="36"/>
      <c r="J1630" s="52">
        <v>1</v>
      </c>
      <c r="K1630" s="53">
        <f>0</f>
        <v>0</v>
      </c>
      <c r="L1630" s="53">
        <f>0</f>
        <v>0</v>
      </c>
      <c r="M1630" s="53">
        <f>0</f>
        <v>0</v>
      </c>
      <c r="N1630" s="54">
        <f>SUM(K1630:M1630)</f>
        <v>0</v>
      </c>
      <c r="O1630" s="54">
        <f>ROUND((H1630*K1630),2)</f>
        <v>0</v>
      </c>
      <c r="P1630" s="54">
        <f>ROUND((H1630*L1630),2)</f>
        <v>0</v>
      </c>
      <c r="Q1630" s="54">
        <f>ROUND((H1630*M1630),2)</f>
        <v>0</v>
      </c>
      <c r="R1630" s="54">
        <f>ROUND((H1630*N1630),2)</f>
        <v>0</v>
      </c>
      <c r="S1630" s="54"/>
      <c r="T1630" s="36"/>
      <c r="XDA1630"/>
      <c r="XDB1630"/>
      <c r="XDC1630"/>
      <c r="XDD1630"/>
      <c r="XDE1630"/>
      <c r="XDF1630"/>
      <c r="XDG1630"/>
      <c r="XDH1630"/>
      <c r="XDI1630"/>
      <c r="XDJ1630"/>
      <c r="XDK1630"/>
      <c r="XDL1630"/>
      <c r="XDM1630"/>
      <c r="XDN1630"/>
      <c r="XDO1630"/>
      <c r="XDP1630"/>
      <c r="XDQ1630"/>
      <c r="XDR1630"/>
      <c r="XDS1630"/>
      <c r="XDT1630"/>
      <c r="XDU1630"/>
      <c r="XDV1630"/>
      <c r="XDW1630"/>
      <c r="XDX1630"/>
      <c r="XDY1630"/>
      <c r="XDZ1630"/>
      <c r="XEA1630"/>
      <c r="XEB1630"/>
      <c r="XEC1630"/>
      <c r="XED1630"/>
      <c r="XEE1630"/>
      <c r="XEF1630"/>
      <c r="XEG1630"/>
      <c r="XEH1630"/>
      <c r="XEI1630"/>
      <c r="XEJ1630"/>
      <c r="XEK1630"/>
      <c r="XEL1630"/>
      <c r="XEM1630"/>
      <c r="XEN1630"/>
      <c r="XEO1630"/>
      <c r="XEP1630"/>
      <c r="XEQ1630"/>
      <c r="XER1630"/>
      <c r="XES1630"/>
      <c r="XET1630"/>
      <c r="XEU1630"/>
      <c r="XEV1630"/>
      <c r="XEW1630"/>
      <c r="XEX1630"/>
      <c r="XEY1630"/>
      <c r="XEZ1630"/>
      <c r="XFA1630"/>
      <c r="XFB1630"/>
      <c r="XFC1630"/>
    </row>
    <row r="1631" spans="1:20 16329:16383" s="38" customFormat="1" ht="29.1" customHeight="1" outlineLevel="5" x14ac:dyDescent="0.25">
      <c r="A1631" s="65" t="s">
        <v>2808</v>
      </c>
      <c r="B1631" s="66" t="s">
        <v>2809</v>
      </c>
      <c r="C1631" s="66"/>
      <c r="D1631" s="98" t="s">
        <v>344</v>
      </c>
      <c r="E1631" s="98"/>
      <c r="F1631" s="67"/>
      <c r="G1631" s="66"/>
      <c r="H1631" s="68"/>
      <c r="I1631" s="36"/>
      <c r="J1631" s="68"/>
      <c r="K1631" s="69"/>
      <c r="L1631" s="69"/>
      <c r="M1631" s="69"/>
      <c r="N1631" s="69"/>
      <c r="O1631" s="69">
        <f>SUM(O1632:O1635)</f>
        <v>0</v>
      </c>
      <c r="P1631" s="69">
        <f>SUM(P1632:P1635)</f>
        <v>0</v>
      </c>
      <c r="Q1631" s="69">
        <f>SUM(Q1632:Q1635)</f>
        <v>0</v>
      </c>
      <c r="R1631" s="69">
        <f>SUM(R1632:R1635)</f>
        <v>0</v>
      </c>
      <c r="S1631" s="69"/>
      <c r="T1631" s="36"/>
      <c r="XDA1631"/>
      <c r="XDB1631"/>
      <c r="XDC1631"/>
      <c r="XDD1631"/>
      <c r="XDE1631"/>
      <c r="XDF1631"/>
      <c r="XDG1631"/>
      <c r="XDH1631"/>
      <c r="XDI1631"/>
      <c r="XDJ1631"/>
      <c r="XDK1631"/>
      <c r="XDL1631"/>
      <c r="XDM1631"/>
      <c r="XDN1631"/>
      <c r="XDO1631"/>
      <c r="XDP1631"/>
      <c r="XDQ1631"/>
      <c r="XDR1631"/>
      <c r="XDS1631"/>
      <c r="XDT1631"/>
      <c r="XDU1631"/>
      <c r="XDV1631"/>
      <c r="XDW1631"/>
      <c r="XDX1631"/>
      <c r="XDY1631"/>
      <c r="XDZ1631"/>
      <c r="XEA1631"/>
      <c r="XEB1631"/>
      <c r="XEC1631"/>
      <c r="XED1631"/>
      <c r="XEE1631"/>
      <c r="XEF1631"/>
      <c r="XEG1631"/>
      <c r="XEH1631"/>
      <c r="XEI1631"/>
      <c r="XEJ1631"/>
      <c r="XEK1631"/>
      <c r="XEL1631"/>
      <c r="XEM1631"/>
      <c r="XEN1631"/>
      <c r="XEO1631"/>
      <c r="XEP1631"/>
      <c r="XEQ1631"/>
      <c r="XER1631"/>
      <c r="XES1631"/>
      <c r="XET1631"/>
      <c r="XEU1631"/>
      <c r="XEV1631"/>
      <c r="XEW1631"/>
      <c r="XEX1631"/>
      <c r="XEY1631"/>
      <c r="XEZ1631"/>
      <c r="XFA1631"/>
      <c r="XFB1631"/>
      <c r="XFC1631"/>
    </row>
    <row r="1632" spans="1:20 16329:16383" s="38" customFormat="1" ht="29.1" customHeight="1" outlineLevel="6" x14ac:dyDescent="0.25">
      <c r="A1632" s="49" t="s">
        <v>2810</v>
      </c>
      <c r="B1632" s="50"/>
      <c r="C1632" s="50"/>
      <c r="D1632" s="3" t="s">
        <v>1884</v>
      </c>
      <c r="E1632" s="3"/>
      <c r="F1632" s="51"/>
      <c r="G1632" s="50" t="s">
        <v>102</v>
      </c>
      <c r="H1632" s="52">
        <f>1</f>
        <v>1</v>
      </c>
      <c r="I1632" s="36"/>
      <c r="J1632" s="52">
        <v>1</v>
      </c>
      <c r="K1632" s="53">
        <f>0</f>
        <v>0</v>
      </c>
      <c r="L1632" s="53">
        <f>0</f>
        <v>0</v>
      </c>
      <c r="M1632" s="53">
        <f>0</f>
        <v>0</v>
      </c>
      <c r="N1632" s="54">
        <f>SUM(K1632:M1632)</f>
        <v>0</v>
      </c>
      <c r="O1632" s="54">
        <f>ROUND((H1632*K1632),2)</f>
        <v>0</v>
      </c>
      <c r="P1632" s="54">
        <f>ROUND((H1632*L1632),2)</f>
        <v>0</v>
      </c>
      <c r="Q1632" s="54">
        <f>ROUND((H1632*M1632),2)</f>
        <v>0</v>
      </c>
      <c r="R1632" s="54">
        <f>ROUND((H1632*N1632),2)</f>
        <v>0</v>
      </c>
      <c r="S1632" s="54"/>
      <c r="T1632" s="36"/>
      <c r="XDA1632"/>
      <c r="XDB1632"/>
      <c r="XDC1632"/>
      <c r="XDD1632"/>
      <c r="XDE1632"/>
      <c r="XDF1632"/>
      <c r="XDG1632"/>
      <c r="XDH1632"/>
      <c r="XDI1632"/>
      <c r="XDJ1632"/>
      <c r="XDK1632"/>
      <c r="XDL1632"/>
      <c r="XDM1632"/>
      <c r="XDN1632"/>
      <c r="XDO1632"/>
      <c r="XDP1632"/>
      <c r="XDQ1632"/>
      <c r="XDR1632"/>
      <c r="XDS1632"/>
      <c r="XDT1632"/>
      <c r="XDU1632"/>
      <c r="XDV1632"/>
      <c r="XDW1632"/>
      <c r="XDX1632"/>
      <c r="XDY1632"/>
      <c r="XDZ1632"/>
      <c r="XEA1632"/>
      <c r="XEB1632"/>
      <c r="XEC1632"/>
      <c r="XED1632"/>
      <c r="XEE1632"/>
      <c r="XEF1632"/>
      <c r="XEG1632"/>
      <c r="XEH1632"/>
      <c r="XEI1632"/>
      <c r="XEJ1632"/>
      <c r="XEK1632"/>
      <c r="XEL1632"/>
      <c r="XEM1632"/>
      <c r="XEN1632"/>
      <c r="XEO1632"/>
      <c r="XEP1632"/>
      <c r="XEQ1632"/>
      <c r="XER1632"/>
      <c r="XES1632"/>
      <c r="XET1632"/>
      <c r="XEU1632"/>
      <c r="XEV1632"/>
      <c r="XEW1632"/>
      <c r="XEX1632"/>
      <c r="XEY1632"/>
      <c r="XEZ1632"/>
      <c r="XFA1632"/>
      <c r="XFB1632"/>
      <c r="XFC1632"/>
    </row>
    <row r="1633" spans="1:20 16329:16383" s="38" customFormat="1" ht="29.1" customHeight="1" outlineLevel="6" x14ac:dyDescent="0.25">
      <c r="A1633" s="49" t="s">
        <v>2811</v>
      </c>
      <c r="B1633" s="50"/>
      <c r="C1633" s="50"/>
      <c r="D1633" s="3" t="s">
        <v>2100</v>
      </c>
      <c r="E1633" s="3"/>
      <c r="F1633" s="51"/>
      <c r="G1633" s="50" t="s">
        <v>102</v>
      </c>
      <c r="H1633" s="52">
        <f>1</f>
        <v>1</v>
      </c>
      <c r="I1633" s="36"/>
      <c r="J1633" s="52">
        <v>1</v>
      </c>
      <c r="K1633" s="53">
        <f>0</f>
        <v>0</v>
      </c>
      <c r="L1633" s="53">
        <f>0</f>
        <v>0</v>
      </c>
      <c r="M1633" s="53">
        <f>0</f>
        <v>0</v>
      </c>
      <c r="N1633" s="54">
        <f>SUM(K1633:M1633)</f>
        <v>0</v>
      </c>
      <c r="O1633" s="54">
        <f>ROUND((H1633*K1633),2)</f>
        <v>0</v>
      </c>
      <c r="P1633" s="54">
        <f>ROUND((H1633*L1633),2)</f>
        <v>0</v>
      </c>
      <c r="Q1633" s="54">
        <f>ROUND((H1633*M1633),2)</f>
        <v>0</v>
      </c>
      <c r="R1633" s="54">
        <f>ROUND((H1633*N1633),2)</f>
        <v>0</v>
      </c>
      <c r="S1633" s="54"/>
      <c r="T1633" s="36"/>
      <c r="XDA1633"/>
      <c r="XDB1633"/>
      <c r="XDC1633"/>
      <c r="XDD1633"/>
      <c r="XDE1633"/>
      <c r="XDF1633"/>
      <c r="XDG1633"/>
      <c r="XDH1633"/>
      <c r="XDI1633"/>
      <c r="XDJ1633"/>
      <c r="XDK1633"/>
      <c r="XDL1633"/>
      <c r="XDM1633"/>
      <c r="XDN1633"/>
      <c r="XDO1633"/>
      <c r="XDP1633"/>
      <c r="XDQ1633"/>
      <c r="XDR1633"/>
      <c r="XDS1633"/>
      <c r="XDT1633"/>
      <c r="XDU1633"/>
      <c r="XDV1633"/>
      <c r="XDW1633"/>
      <c r="XDX1633"/>
      <c r="XDY1633"/>
      <c r="XDZ1633"/>
      <c r="XEA1633"/>
      <c r="XEB1633"/>
      <c r="XEC1633"/>
      <c r="XED1633"/>
      <c r="XEE1633"/>
      <c r="XEF1633"/>
      <c r="XEG1633"/>
      <c r="XEH1633"/>
      <c r="XEI1633"/>
      <c r="XEJ1633"/>
      <c r="XEK1633"/>
      <c r="XEL1633"/>
      <c r="XEM1633"/>
      <c r="XEN1633"/>
      <c r="XEO1633"/>
      <c r="XEP1633"/>
      <c r="XEQ1633"/>
      <c r="XER1633"/>
      <c r="XES1633"/>
      <c r="XET1633"/>
      <c r="XEU1633"/>
      <c r="XEV1633"/>
      <c r="XEW1633"/>
      <c r="XEX1633"/>
      <c r="XEY1633"/>
      <c r="XEZ1633"/>
      <c r="XFA1633"/>
      <c r="XFB1633"/>
      <c r="XFC1633"/>
    </row>
    <row r="1634" spans="1:20 16329:16383" s="38" customFormat="1" ht="29.1" customHeight="1" outlineLevel="6" x14ac:dyDescent="0.25">
      <c r="A1634" s="49" t="s">
        <v>2812</v>
      </c>
      <c r="B1634" s="50"/>
      <c r="C1634" s="50"/>
      <c r="D1634" s="3" t="s">
        <v>1890</v>
      </c>
      <c r="E1634" s="3"/>
      <c r="F1634" s="51"/>
      <c r="G1634" s="50" t="s">
        <v>102</v>
      </c>
      <c r="H1634" s="52">
        <f>1</f>
        <v>1</v>
      </c>
      <c r="I1634" s="36"/>
      <c r="J1634" s="52">
        <v>1</v>
      </c>
      <c r="K1634" s="53">
        <f>0</f>
        <v>0</v>
      </c>
      <c r="L1634" s="53">
        <f>0</f>
        <v>0</v>
      </c>
      <c r="M1634" s="53">
        <f>0</f>
        <v>0</v>
      </c>
      <c r="N1634" s="54">
        <f>SUM(K1634:M1634)</f>
        <v>0</v>
      </c>
      <c r="O1634" s="54">
        <f>ROUND((H1634*K1634),2)</f>
        <v>0</v>
      </c>
      <c r="P1634" s="54">
        <f>ROUND((H1634*L1634),2)</f>
        <v>0</v>
      </c>
      <c r="Q1634" s="54">
        <f>ROUND((H1634*M1634),2)</f>
        <v>0</v>
      </c>
      <c r="R1634" s="54">
        <f>ROUND((H1634*N1634),2)</f>
        <v>0</v>
      </c>
      <c r="S1634" s="54"/>
      <c r="T1634" s="36"/>
      <c r="XDA1634"/>
      <c r="XDB1634"/>
      <c r="XDC1634"/>
      <c r="XDD1634"/>
      <c r="XDE1634"/>
      <c r="XDF1634"/>
      <c r="XDG1634"/>
      <c r="XDH1634"/>
      <c r="XDI1634"/>
      <c r="XDJ1634"/>
      <c r="XDK1634"/>
      <c r="XDL1634"/>
      <c r="XDM1634"/>
      <c r="XDN1634"/>
      <c r="XDO1634"/>
      <c r="XDP1634"/>
      <c r="XDQ1634"/>
      <c r="XDR1634"/>
      <c r="XDS1634"/>
      <c r="XDT1634"/>
      <c r="XDU1634"/>
      <c r="XDV1634"/>
      <c r="XDW1634"/>
      <c r="XDX1634"/>
      <c r="XDY1634"/>
      <c r="XDZ1634"/>
      <c r="XEA1634"/>
      <c r="XEB1634"/>
      <c r="XEC1634"/>
      <c r="XED1634"/>
      <c r="XEE1634"/>
      <c r="XEF1634"/>
      <c r="XEG1634"/>
      <c r="XEH1634"/>
      <c r="XEI1634"/>
      <c r="XEJ1634"/>
      <c r="XEK1634"/>
      <c r="XEL1634"/>
      <c r="XEM1634"/>
      <c r="XEN1634"/>
      <c r="XEO1634"/>
      <c r="XEP1634"/>
      <c r="XEQ1634"/>
      <c r="XER1634"/>
      <c r="XES1634"/>
      <c r="XET1634"/>
      <c r="XEU1634"/>
      <c r="XEV1634"/>
      <c r="XEW1634"/>
      <c r="XEX1634"/>
      <c r="XEY1634"/>
      <c r="XEZ1634"/>
      <c r="XFA1634"/>
      <c r="XFB1634"/>
      <c r="XFC1634"/>
    </row>
    <row r="1635" spans="1:20 16329:16383" s="38" customFormat="1" ht="29.1" customHeight="1" outlineLevel="6" x14ac:dyDescent="0.25">
      <c r="A1635" s="49" t="s">
        <v>2813</v>
      </c>
      <c r="B1635" s="50"/>
      <c r="C1635" s="50"/>
      <c r="D1635" s="3" t="s">
        <v>2103</v>
      </c>
      <c r="E1635" s="3"/>
      <c r="F1635" s="51"/>
      <c r="G1635" s="50" t="s">
        <v>102</v>
      </c>
      <c r="H1635" s="52">
        <f>1</f>
        <v>1</v>
      </c>
      <c r="I1635" s="36"/>
      <c r="J1635" s="52">
        <v>1</v>
      </c>
      <c r="K1635" s="53">
        <f>0</f>
        <v>0</v>
      </c>
      <c r="L1635" s="53">
        <f>0</f>
        <v>0</v>
      </c>
      <c r="M1635" s="53">
        <f>0</f>
        <v>0</v>
      </c>
      <c r="N1635" s="54">
        <f>SUM(K1635:M1635)</f>
        <v>0</v>
      </c>
      <c r="O1635" s="54">
        <f>ROUND((H1635*K1635),2)</f>
        <v>0</v>
      </c>
      <c r="P1635" s="54">
        <f>ROUND((H1635*L1635),2)</f>
        <v>0</v>
      </c>
      <c r="Q1635" s="54">
        <f>ROUND((H1635*M1635),2)</f>
        <v>0</v>
      </c>
      <c r="R1635" s="54">
        <f>ROUND((H1635*N1635),2)</f>
        <v>0</v>
      </c>
      <c r="S1635" s="54"/>
      <c r="T1635" s="36"/>
      <c r="XDA1635"/>
      <c r="XDB1635"/>
      <c r="XDC1635"/>
      <c r="XDD1635"/>
      <c r="XDE1635"/>
      <c r="XDF1635"/>
      <c r="XDG1635"/>
      <c r="XDH1635"/>
      <c r="XDI1635"/>
      <c r="XDJ1635"/>
      <c r="XDK1635"/>
      <c r="XDL1635"/>
      <c r="XDM1635"/>
      <c r="XDN1635"/>
      <c r="XDO1635"/>
      <c r="XDP1635"/>
      <c r="XDQ1635"/>
      <c r="XDR1635"/>
      <c r="XDS1635"/>
      <c r="XDT1635"/>
      <c r="XDU1635"/>
      <c r="XDV1635"/>
      <c r="XDW1635"/>
      <c r="XDX1635"/>
      <c r="XDY1635"/>
      <c r="XDZ1635"/>
      <c r="XEA1635"/>
      <c r="XEB1635"/>
      <c r="XEC1635"/>
      <c r="XED1635"/>
      <c r="XEE1635"/>
      <c r="XEF1635"/>
      <c r="XEG1635"/>
      <c r="XEH1635"/>
      <c r="XEI1635"/>
      <c r="XEJ1635"/>
      <c r="XEK1635"/>
      <c r="XEL1635"/>
      <c r="XEM1635"/>
      <c r="XEN1635"/>
      <c r="XEO1635"/>
      <c r="XEP1635"/>
      <c r="XEQ1635"/>
      <c r="XER1635"/>
      <c r="XES1635"/>
      <c r="XET1635"/>
      <c r="XEU1635"/>
      <c r="XEV1635"/>
      <c r="XEW1635"/>
      <c r="XEX1635"/>
      <c r="XEY1635"/>
      <c r="XEZ1635"/>
      <c r="XFA1635"/>
      <c r="XFB1635"/>
      <c r="XFC1635"/>
    </row>
    <row r="1636" spans="1:20 16329:16383" s="38" customFormat="1" ht="29.1" customHeight="1" outlineLevel="5" x14ac:dyDescent="0.25">
      <c r="A1636" s="65" t="s">
        <v>2814</v>
      </c>
      <c r="B1636" s="66" t="s">
        <v>2815</v>
      </c>
      <c r="C1636" s="66"/>
      <c r="D1636" s="98" t="s">
        <v>1899</v>
      </c>
      <c r="E1636" s="98"/>
      <c r="F1636" s="67"/>
      <c r="G1636" s="66"/>
      <c r="H1636" s="68"/>
      <c r="I1636" s="36"/>
      <c r="J1636" s="68"/>
      <c r="K1636" s="69"/>
      <c r="L1636" s="69"/>
      <c r="M1636" s="69"/>
      <c r="N1636" s="69"/>
      <c r="O1636" s="69">
        <f>O1637</f>
        <v>0</v>
      </c>
      <c r="P1636" s="69">
        <f>P1637</f>
        <v>0</v>
      </c>
      <c r="Q1636" s="69">
        <f>Q1637</f>
        <v>0</v>
      </c>
      <c r="R1636" s="69">
        <f>R1637</f>
        <v>0</v>
      </c>
      <c r="S1636" s="69"/>
      <c r="T1636" s="36"/>
      <c r="XDA1636"/>
      <c r="XDB1636"/>
      <c r="XDC1636"/>
      <c r="XDD1636"/>
      <c r="XDE1636"/>
      <c r="XDF1636"/>
      <c r="XDG1636"/>
      <c r="XDH1636"/>
      <c r="XDI1636"/>
      <c r="XDJ1636"/>
      <c r="XDK1636"/>
      <c r="XDL1636"/>
      <c r="XDM1636"/>
      <c r="XDN1636"/>
      <c r="XDO1636"/>
      <c r="XDP1636"/>
      <c r="XDQ1636"/>
      <c r="XDR1636"/>
      <c r="XDS1636"/>
      <c r="XDT1636"/>
      <c r="XDU1636"/>
      <c r="XDV1636"/>
      <c r="XDW1636"/>
      <c r="XDX1636"/>
      <c r="XDY1636"/>
      <c r="XDZ1636"/>
      <c r="XEA1636"/>
      <c r="XEB1636"/>
      <c r="XEC1636"/>
      <c r="XED1636"/>
      <c r="XEE1636"/>
      <c r="XEF1636"/>
      <c r="XEG1636"/>
      <c r="XEH1636"/>
      <c r="XEI1636"/>
      <c r="XEJ1636"/>
      <c r="XEK1636"/>
      <c r="XEL1636"/>
      <c r="XEM1636"/>
      <c r="XEN1636"/>
      <c r="XEO1636"/>
      <c r="XEP1636"/>
      <c r="XEQ1636"/>
      <c r="XER1636"/>
      <c r="XES1636"/>
      <c r="XET1636"/>
      <c r="XEU1636"/>
      <c r="XEV1636"/>
      <c r="XEW1636"/>
      <c r="XEX1636"/>
      <c r="XEY1636"/>
      <c r="XEZ1636"/>
      <c r="XFA1636"/>
      <c r="XFB1636"/>
      <c r="XFC1636"/>
    </row>
    <row r="1637" spans="1:20 16329:16383" s="38" customFormat="1" ht="29.1" customHeight="1" outlineLevel="6" x14ac:dyDescent="0.25">
      <c r="A1637" s="49" t="s">
        <v>2816</v>
      </c>
      <c r="B1637" s="50"/>
      <c r="C1637" s="50"/>
      <c r="D1637" s="3" t="s">
        <v>2103</v>
      </c>
      <c r="E1637" s="3"/>
      <c r="F1637" s="51"/>
      <c r="G1637" s="50" t="s">
        <v>102</v>
      </c>
      <c r="H1637" s="52">
        <f>1</f>
        <v>1</v>
      </c>
      <c r="I1637" s="36"/>
      <c r="J1637" s="52">
        <v>1</v>
      </c>
      <c r="K1637" s="53">
        <f>0</f>
        <v>0</v>
      </c>
      <c r="L1637" s="53">
        <f>0</f>
        <v>0</v>
      </c>
      <c r="M1637" s="53">
        <f>0</f>
        <v>0</v>
      </c>
      <c r="N1637" s="54">
        <f>SUM(K1637:M1637)</f>
        <v>0</v>
      </c>
      <c r="O1637" s="54">
        <f>ROUND((H1637*K1637),2)</f>
        <v>0</v>
      </c>
      <c r="P1637" s="54">
        <f>ROUND((H1637*L1637),2)</f>
        <v>0</v>
      </c>
      <c r="Q1637" s="54">
        <f>ROUND((H1637*M1637),2)</f>
        <v>0</v>
      </c>
      <c r="R1637" s="54">
        <f>ROUND((H1637*N1637),2)</f>
        <v>0</v>
      </c>
      <c r="S1637" s="54"/>
      <c r="T1637" s="36"/>
      <c r="XDA1637"/>
      <c r="XDB1637"/>
      <c r="XDC1637"/>
      <c r="XDD1637"/>
      <c r="XDE1637"/>
      <c r="XDF1637"/>
      <c r="XDG1637"/>
      <c r="XDH1637"/>
      <c r="XDI1637"/>
      <c r="XDJ1637"/>
      <c r="XDK1637"/>
      <c r="XDL1637"/>
      <c r="XDM1637"/>
      <c r="XDN1637"/>
      <c r="XDO1637"/>
      <c r="XDP1637"/>
      <c r="XDQ1637"/>
      <c r="XDR1637"/>
      <c r="XDS1637"/>
      <c r="XDT1637"/>
      <c r="XDU1637"/>
      <c r="XDV1637"/>
      <c r="XDW1637"/>
      <c r="XDX1637"/>
      <c r="XDY1637"/>
      <c r="XDZ1637"/>
      <c r="XEA1637"/>
      <c r="XEB1637"/>
      <c r="XEC1637"/>
      <c r="XED1637"/>
      <c r="XEE1637"/>
      <c r="XEF1637"/>
      <c r="XEG1637"/>
      <c r="XEH1637"/>
      <c r="XEI1637"/>
      <c r="XEJ1637"/>
      <c r="XEK1637"/>
      <c r="XEL1637"/>
      <c r="XEM1637"/>
      <c r="XEN1637"/>
      <c r="XEO1637"/>
      <c r="XEP1637"/>
      <c r="XEQ1637"/>
      <c r="XER1637"/>
      <c r="XES1637"/>
      <c r="XET1637"/>
      <c r="XEU1637"/>
      <c r="XEV1637"/>
      <c r="XEW1637"/>
      <c r="XEX1637"/>
      <c r="XEY1637"/>
      <c r="XEZ1637"/>
      <c r="XFA1637"/>
      <c r="XFB1637"/>
      <c r="XFC1637"/>
    </row>
    <row r="1638" spans="1:20 16329:16383" s="38" customFormat="1" ht="29.1" customHeight="1" outlineLevel="3" x14ac:dyDescent="0.25">
      <c r="A1638" s="55" t="s">
        <v>2817</v>
      </c>
      <c r="B1638" s="56" t="s">
        <v>2818</v>
      </c>
      <c r="C1638" s="56"/>
      <c r="D1638" s="2" t="s">
        <v>2819</v>
      </c>
      <c r="E1638" s="2"/>
      <c r="F1638" s="57"/>
      <c r="G1638" s="56"/>
      <c r="H1638" s="58"/>
      <c r="I1638" s="36"/>
      <c r="J1638" s="58"/>
      <c r="K1638" s="59"/>
      <c r="L1638" s="59"/>
      <c r="M1638" s="59"/>
      <c r="N1638" s="59"/>
      <c r="O1638" s="59">
        <f>O1639+O1670+O1702+O1719+O1731</f>
        <v>0</v>
      </c>
      <c r="P1638" s="59">
        <f>P1639+P1670+P1702+P1719+P1731</f>
        <v>0</v>
      </c>
      <c r="Q1638" s="59">
        <f>Q1639+Q1670+Q1702+Q1719+Q1731</f>
        <v>0</v>
      </c>
      <c r="R1638" s="59">
        <f>R1639+R1670+R1702+R1719+R1731</f>
        <v>0</v>
      </c>
      <c r="S1638" s="59"/>
      <c r="T1638" s="36"/>
      <c r="XDA1638"/>
      <c r="XDB1638"/>
      <c r="XDC1638"/>
      <c r="XDD1638"/>
      <c r="XDE1638"/>
      <c r="XDF1638"/>
      <c r="XDG1638"/>
      <c r="XDH1638"/>
      <c r="XDI1638"/>
      <c r="XDJ1638"/>
      <c r="XDK1638"/>
      <c r="XDL1638"/>
      <c r="XDM1638"/>
      <c r="XDN1638"/>
      <c r="XDO1638"/>
      <c r="XDP1638"/>
      <c r="XDQ1638"/>
      <c r="XDR1638"/>
      <c r="XDS1638"/>
      <c r="XDT1638"/>
      <c r="XDU1638"/>
      <c r="XDV1638"/>
      <c r="XDW1638"/>
      <c r="XDX1638"/>
      <c r="XDY1638"/>
      <c r="XDZ1638"/>
      <c r="XEA1638"/>
      <c r="XEB1638"/>
      <c r="XEC1638"/>
      <c r="XED1638"/>
      <c r="XEE1638"/>
      <c r="XEF1638"/>
      <c r="XEG1638"/>
      <c r="XEH1638"/>
      <c r="XEI1638"/>
      <c r="XEJ1638"/>
      <c r="XEK1638"/>
      <c r="XEL1638"/>
      <c r="XEM1638"/>
      <c r="XEN1638"/>
      <c r="XEO1638"/>
      <c r="XEP1638"/>
      <c r="XEQ1638"/>
      <c r="XER1638"/>
      <c r="XES1638"/>
      <c r="XET1638"/>
      <c r="XEU1638"/>
      <c r="XEV1638"/>
      <c r="XEW1638"/>
      <c r="XEX1638"/>
      <c r="XEY1638"/>
      <c r="XEZ1638"/>
      <c r="XFA1638"/>
      <c r="XFB1638"/>
      <c r="XFC1638"/>
    </row>
    <row r="1639" spans="1:20 16329:16383" s="38" customFormat="1" ht="29.1" customHeight="1" outlineLevel="4" x14ac:dyDescent="0.25">
      <c r="A1639" s="60" t="s">
        <v>2820</v>
      </c>
      <c r="B1639" s="61" t="s">
        <v>2821</v>
      </c>
      <c r="C1639" s="61" t="s">
        <v>2382</v>
      </c>
      <c r="D1639" s="1" t="s">
        <v>2548</v>
      </c>
      <c r="E1639" s="1"/>
      <c r="F1639" s="62"/>
      <c r="G1639" s="61" t="s">
        <v>102</v>
      </c>
      <c r="H1639" s="63"/>
      <c r="I1639" s="36"/>
      <c r="J1639" s="63"/>
      <c r="K1639" s="64"/>
      <c r="L1639" s="64"/>
      <c r="M1639" s="64"/>
      <c r="N1639" s="64"/>
      <c r="O1639" s="64">
        <f>O1640+O1649+O1660+O1664</f>
        <v>0</v>
      </c>
      <c r="P1639" s="64">
        <f>P1640+P1649+P1660+P1664</f>
        <v>0</v>
      </c>
      <c r="Q1639" s="64">
        <f>Q1640+Q1649+Q1660+Q1664</f>
        <v>0</v>
      </c>
      <c r="R1639" s="64">
        <f>R1640+R1649+R1660+R1664</f>
        <v>0</v>
      </c>
      <c r="S1639" s="64"/>
      <c r="T1639" s="36"/>
      <c r="XDA1639"/>
      <c r="XDB1639"/>
      <c r="XDC1639"/>
      <c r="XDD1639"/>
      <c r="XDE1639"/>
      <c r="XDF1639"/>
      <c r="XDG1639"/>
      <c r="XDH1639"/>
      <c r="XDI1639"/>
      <c r="XDJ1639"/>
      <c r="XDK1639"/>
      <c r="XDL1639"/>
      <c r="XDM1639"/>
      <c r="XDN1639"/>
      <c r="XDO1639"/>
      <c r="XDP1639"/>
      <c r="XDQ1639"/>
      <c r="XDR1639"/>
      <c r="XDS1639"/>
      <c r="XDT1639"/>
      <c r="XDU1639"/>
      <c r="XDV1639"/>
      <c r="XDW1639"/>
      <c r="XDX1639"/>
      <c r="XDY1639"/>
      <c r="XDZ1639"/>
      <c r="XEA1639"/>
      <c r="XEB1639"/>
      <c r="XEC1639"/>
      <c r="XED1639"/>
      <c r="XEE1639"/>
      <c r="XEF1639"/>
      <c r="XEG1639"/>
      <c r="XEH1639"/>
      <c r="XEI1639"/>
      <c r="XEJ1639"/>
      <c r="XEK1639"/>
      <c r="XEL1639"/>
      <c r="XEM1639"/>
      <c r="XEN1639"/>
      <c r="XEO1639"/>
      <c r="XEP1639"/>
      <c r="XEQ1639"/>
      <c r="XER1639"/>
      <c r="XES1639"/>
      <c r="XET1639"/>
      <c r="XEU1639"/>
      <c r="XEV1639"/>
      <c r="XEW1639"/>
      <c r="XEX1639"/>
      <c r="XEY1639"/>
      <c r="XEZ1639"/>
      <c r="XFA1639"/>
      <c r="XFB1639"/>
      <c r="XFC1639"/>
    </row>
    <row r="1640" spans="1:20 16329:16383" s="38" customFormat="1" ht="29.1" customHeight="1" outlineLevel="5" x14ac:dyDescent="0.25">
      <c r="A1640" s="65" t="s">
        <v>2822</v>
      </c>
      <c r="B1640" s="66" t="s">
        <v>2823</v>
      </c>
      <c r="C1640" s="66"/>
      <c r="D1640" s="98" t="s">
        <v>1873</v>
      </c>
      <c r="E1640" s="98"/>
      <c r="F1640" s="67"/>
      <c r="G1640" s="66"/>
      <c r="H1640" s="68"/>
      <c r="I1640" s="36"/>
      <c r="J1640" s="68"/>
      <c r="K1640" s="69"/>
      <c r="L1640" s="69"/>
      <c r="M1640" s="69"/>
      <c r="N1640" s="69"/>
      <c r="O1640" s="69">
        <f>SUM(O1641:O1648)</f>
        <v>0</v>
      </c>
      <c r="P1640" s="69">
        <f>SUM(P1641:P1648)</f>
        <v>0</v>
      </c>
      <c r="Q1640" s="69">
        <f>SUM(Q1641:Q1648)</f>
        <v>0</v>
      </c>
      <c r="R1640" s="69">
        <f>SUM(R1641:R1648)</f>
        <v>0</v>
      </c>
      <c r="S1640" s="69"/>
      <c r="T1640" s="36"/>
      <c r="XDA1640"/>
      <c r="XDB1640"/>
      <c r="XDC1640"/>
      <c r="XDD1640"/>
      <c r="XDE1640"/>
      <c r="XDF1640"/>
      <c r="XDG1640"/>
      <c r="XDH1640"/>
      <c r="XDI1640"/>
      <c r="XDJ1640"/>
      <c r="XDK1640"/>
      <c r="XDL1640"/>
      <c r="XDM1640"/>
      <c r="XDN1640"/>
      <c r="XDO1640"/>
      <c r="XDP1640"/>
      <c r="XDQ1640"/>
      <c r="XDR1640"/>
      <c r="XDS1640"/>
      <c r="XDT1640"/>
      <c r="XDU1640"/>
      <c r="XDV1640"/>
      <c r="XDW1640"/>
      <c r="XDX1640"/>
      <c r="XDY1640"/>
      <c r="XDZ1640"/>
      <c r="XEA1640"/>
      <c r="XEB1640"/>
      <c r="XEC1640"/>
      <c r="XED1640"/>
      <c r="XEE1640"/>
      <c r="XEF1640"/>
      <c r="XEG1640"/>
      <c r="XEH1640"/>
      <c r="XEI1640"/>
      <c r="XEJ1640"/>
      <c r="XEK1640"/>
      <c r="XEL1640"/>
      <c r="XEM1640"/>
      <c r="XEN1640"/>
      <c r="XEO1640"/>
      <c r="XEP1640"/>
      <c r="XEQ1640"/>
      <c r="XER1640"/>
      <c r="XES1640"/>
      <c r="XET1640"/>
      <c r="XEU1640"/>
      <c r="XEV1640"/>
      <c r="XEW1640"/>
      <c r="XEX1640"/>
      <c r="XEY1640"/>
      <c r="XEZ1640"/>
      <c r="XFA1640"/>
      <c r="XFB1640"/>
      <c r="XFC1640"/>
    </row>
    <row r="1641" spans="1:20 16329:16383" s="38" customFormat="1" ht="29.1" customHeight="1" outlineLevel="6" x14ac:dyDescent="0.25">
      <c r="A1641" s="49" t="s">
        <v>2824</v>
      </c>
      <c r="B1641" s="50"/>
      <c r="C1641" s="50"/>
      <c r="D1641" s="3" t="s">
        <v>2387</v>
      </c>
      <c r="E1641" s="3"/>
      <c r="F1641" s="51"/>
      <c r="G1641" s="50" t="s">
        <v>102</v>
      </c>
      <c r="H1641" s="52">
        <f>1</f>
        <v>1</v>
      </c>
      <c r="I1641" s="36"/>
      <c r="J1641" s="52">
        <v>1</v>
      </c>
      <c r="K1641" s="53">
        <f>0</f>
        <v>0</v>
      </c>
      <c r="L1641" s="53">
        <f>0</f>
        <v>0</v>
      </c>
      <c r="M1641" s="53">
        <f>0</f>
        <v>0</v>
      </c>
      <c r="N1641" s="54">
        <f t="shared" ref="N1641:N1648" si="314">SUM(K1641:M1641)</f>
        <v>0</v>
      </c>
      <c r="O1641" s="54">
        <f t="shared" ref="O1641:O1648" si="315">ROUND((H1641*K1641),2)</f>
        <v>0</v>
      </c>
      <c r="P1641" s="54">
        <f t="shared" ref="P1641:P1648" si="316">ROUND((H1641*L1641),2)</f>
        <v>0</v>
      </c>
      <c r="Q1641" s="54">
        <f t="shared" ref="Q1641:Q1648" si="317">ROUND((H1641*M1641),2)</f>
        <v>0</v>
      </c>
      <c r="R1641" s="54">
        <f t="shared" ref="R1641:R1648" si="318">ROUND((H1641*N1641),2)</f>
        <v>0</v>
      </c>
      <c r="S1641" s="54"/>
      <c r="T1641" s="36"/>
      <c r="XDA1641"/>
      <c r="XDB1641"/>
      <c r="XDC1641"/>
      <c r="XDD1641"/>
      <c r="XDE1641"/>
      <c r="XDF1641"/>
      <c r="XDG1641"/>
      <c r="XDH1641"/>
      <c r="XDI1641"/>
      <c r="XDJ1641"/>
      <c r="XDK1641"/>
      <c r="XDL1641"/>
      <c r="XDM1641"/>
      <c r="XDN1641"/>
      <c r="XDO1641"/>
      <c r="XDP1641"/>
      <c r="XDQ1641"/>
      <c r="XDR1641"/>
      <c r="XDS1641"/>
      <c r="XDT1641"/>
      <c r="XDU1641"/>
      <c r="XDV1641"/>
      <c r="XDW1641"/>
      <c r="XDX1641"/>
      <c r="XDY1641"/>
      <c r="XDZ1641"/>
      <c r="XEA1641"/>
      <c r="XEB1641"/>
      <c r="XEC1641"/>
      <c r="XED1641"/>
      <c r="XEE1641"/>
      <c r="XEF1641"/>
      <c r="XEG1641"/>
      <c r="XEH1641"/>
      <c r="XEI1641"/>
      <c r="XEJ1641"/>
      <c r="XEK1641"/>
      <c r="XEL1641"/>
      <c r="XEM1641"/>
      <c r="XEN1641"/>
      <c r="XEO1641"/>
      <c r="XEP1641"/>
      <c r="XEQ1641"/>
      <c r="XER1641"/>
      <c r="XES1641"/>
      <c r="XET1641"/>
      <c r="XEU1641"/>
      <c r="XEV1641"/>
      <c r="XEW1641"/>
      <c r="XEX1641"/>
      <c r="XEY1641"/>
      <c r="XEZ1641"/>
      <c r="XFA1641"/>
      <c r="XFB1641"/>
      <c r="XFC1641"/>
    </row>
    <row r="1642" spans="1:20 16329:16383" s="38" customFormat="1" ht="29.1" customHeight="1" outlineLevel="6" x14ac:dyDescent="0.25">
      <c r="A1642" s="49" t="s">
        <v>2825</v>
      </c>
      <c r="B1642" s="50"/>
      <c r="C1642" s="50"/>
      <c r="D1642" s="3" t="s">
        <v>1875</v>
      </c>
      <c r="E1642" s="3"/>
      <c r="F1642" s="51"/>
      <c r="G1642" s="50" t="s">
        <v>102</v>
      </c>
      <c r="H1642" s="52">
        <f>1</f>
        <v>1</v>
      </c>
      <c r="I1642" s="36"/>
      <c r="J1642" s="52">
        <v>1</v>
      </c>
      <c r="K1642" s="53">
        <f>0</f>
        <v>0</v>
      </c>
      <c r="L1642" s="53">
        <f>0</f>
        <v>0</v>
      </c>
      <c r="M1642" s="53">
        <f>0</f>
        <v>0</v>
      </c>
      <c r="N1642" s="54">
        <f t="shared" si="314"/>
        <v>0</v>
      </c>
      <c r="O1642" s="54">
        <f t="shared" si="315"/>
        <v>0</v>
      </c>
      <c r="P1642" s="54">
        <f t="shared" si="316"/>
        <v>0</v>
      </c>
      <c r="Q1642" s="54">
        <f t="shared" si="317"/>
        <v>0</v>
      </c>
      <c r="R1642" s="54">
        <f t="shared" si="318"/>
        <v>0</v>
      </c>
      <c r="S1642" s="54"/>
      <c r="T1642" s="36"/>
      <c r="XDA1642"/>
      <c r="XDB1642"/>
      <c r="XDC1642"/>
      <c r="XDD1642"/>
      <c r="XDE1642"/>
      <c r="XDF1642"/>
      <c r="XDG1642"/>
      <c r="XDH1642"/>
      <c r="XDI1642"/>
      <c r="XDJ1642"/>
      <c r="XDK1642"/>
      <c r="XDL1642"/>
      <c r="XDM1642"/>
      <c r="XDN1642"/>
      <c r="XDO1642"/>
      <c r="XDP1642"/>
      <c r="XDQ1642"/>
      <c r="XDR1642"/>
      <c r="XDS1642"/>
      <c r="XDT1642"/>
      <c r="XDU1642"/>
      <c r="XDV1642"/>
      <c r="XDW1642"/>
      <c r="XDX1642"/>
      <c r="XDY1642"/>
      <c r="XDZ1642"/>
      <c r="XEA1642"/>
      <c r="XEB1642"/>
      <c r="XEC1642"/>
      <c r="XED1642"/>
      <c r="XEE1642"/>
      <c r="XEF1642"/>
      <c r="XEG1642"/>
      <c r="XEH1642"/>
      <c r="XEI1642"/>
      <c r="XEJ1642"/>
      <c r="XEK1642"/>
      <c r="XEL1642"/>
      <c r="XEM1642"/>
      <c r="XEN1642"/>
      <c r="XEO1642"/>
      <c r="XEP1642"/>
      <c r="XEQ1642"/>
      <c r="XER1642"/>
      <c r="XES1642"/>
      <c r="XET1642"/>
      <c r="XEU1642"/>
      <c r="XEV1642"/>
      <c r="XEW1642"/>
      <c r="XEX1642"/>
      <c r="XEY1642"/>
      <c r="XEZ1642"/>
      <c r="XFA1642"/>
      <c r="XFB1642"/>
      <c r="XFC1642"/>
    </row>
    <row r="1643" spans="1:20 16329:16383" s="38" customFormat="1" ht="29.1" customHeight="1" outlineLevel="6" x14ac:dyDescent="0.25">
      <c r="A1643" s="49" t="s">
        <v>2826</v>
      </c>
      <c r="B1643" s="50"/>
      <c r="C1643" s="50"/>
      <c r="D1643" s="3" t="s">
        <v>2390</v>
      </c>
      <c r="E1643" s="3"/>
      <c r="F1643" s="51"/>
      <c r="G1643" s="50" t="s">
        <v>102</v>
      </c>
      <c r="H1643" s="52">
        <f>1</f>
        <v>1</v>
      </c>
      <c r="I1643" s="36"/>
      <c r="J1643" s="52">
        <v>1</v>
      </c>
      <c r="K1643" s="53">
        <f>0</f>
        <v>0</v>
      </c>
      <c r="L1643" s="53">
        <f>0</f>
        <v>0</v>
      </c>
      <c r="M1643" s="53">
        <f>0</f>
        <v>0</v>
      </c>
      <c r="N1643" s="54">
        <f t="shared" si="314"/>
        <v>0</v>
      </c>
      <c r="O1643" s="54">
        <f t="shared" si="315"/>
        <v>0</v>
      </c>
      <c r="P1643" s="54">
        <f t="shared" si="316"/>
        <v>0</v>
      </c>
      <c r="Q1643" s="54">
        <f t="shared" si="317"/>
        <v>0</v>
      </c>
      <c r="R1643" s="54">
        <f t="shared" si="318"/>
        <v>0</v>
      </c>
      <c r="S1643" s="54"/>
      <c r="T1643" s="36"/>
      <c r="XDA1643"/>
      <c r="XDB1643"/>
      <c r="XDC1643"/>
      <c r="XDD1643"/>
      <c r="XDE1643"/>
      <c r="XDF1643"/>
      <c r="XDG1643"/>
      <c r="XDH1643"/>
      <c r="XDI1643"/>
      <c r="XDJ1643"/>
      <c r="XDK1643"/>
      <c r="XDL1643"/>
      <c r="XDM1643"/>
      <c r="XDN1643"/>
      <c r="XDO1643"/>
      <c r="XDP1643"/>
      <c r="XDQ1643"/>
      <c r="XDR1643"/>
      <c r="XDS1643"/>
      <c r="XDT1643"/>
      <c r="XDU1643"/>
      <c r="XDV1643"/>
      <c r="XDW1643"/>
      <c r="XDX1643"/>
      <c r="XDY1643"/>
      <c r="XDZ1643"/>
      <c r="XEA1643"/>
      <c r="XEB1643"/>
      <c r="XEC1643"/>
      <c r="XED1643"/>
      <c r="XEE1643"/>
      <c r="XEF1643"/>
      <c r="XEG1643"/>
      <c r="XEH1643"/>
      <c r="XEI1643"/>
      <c r="XEJ1643"/>
      <c r="XEK1643"/>
      <c r="XEL1643"/>
      <c r="XEM1643"/>
      <c r="XEN1643"/>
      <c r="XEO1643"/>
      <c r="XEP1643"/>
      <c r="XEQ1643"/>
      <c r="XER1643"/>
      <c r="XES1643"/>
      <c r="XET1643"/>
      <c r="XEU1643"/>
      <c r="XEV1643"/>
      <c r="XEW1643"/>
      <c r="XEX1643"/>
      <c r="XEY1643"/>
      <c r="XEZ1643"/>
      <c r="XFA1643"/>
      <c r="XFB1643"/>
      <c r="XFC1643"/>
    </row>
    <row r="1644" spans="1:20 16329:16383" s="38" customFormat="1" ht="29.1" customHeight="1" outlineLevel="6" x14ac:dyDescent="0.25">
      <c r="A1644" s="49" t="s">
        <v>2827</v>
      </c>
      <c r="B1644" s="50"/>
      <c r="C1644" s="50"/>
      <c r="D1644" s="3" t="s">
        <v>2392</v>
      </c>
      <c r="E1644" s="3"/>
      <c r="F1644" s="51"/>
      <c r="G1644" s="50" t="s">
        <v>102</v>
      </c>
      <c r="H1644" s="52">
        <f>1</f>
        <v>1</v>
      </c>
      <c r="I1644" s="36"/>
      <c r="J1644" s="52">
        <v>1</v>
      </c>
      <c r="K1644" s="53">
        <f>0</f>
        <v>0</v>
      </c>
      <c r="L1644" s="53">
        <f>0</f>
        <v>0</v>
      </c>
      <c r="M1644" s="53">
        <f>0</f>
        <v>0</v>
      </c>
      <c r="N1644" s="54">
        <f t="shared" si="314"/>
        <v>0</v>
      </c>
      <c r="O1644" s="54">
        <f t="shared" si="315"/>
        <v>0</v>
      </c>
      <c r="P1644" s="54">
        <f t="shared" si="316"/>
        <v>0</v>
      </c>
      <c r="Q1644" s="54">
        <f t="shared" si="317"/>
        <v>0</v>
      </c>
      <c r="R1644" s="54">
        <f t="shared" si="318"/>
        <v>0</v>
      </c>
      <c r="S1644" s="54"/>
      <c r="T1644" s="36"/>
      <c r="XDA1644"/>
      <c r="XDB1644"/>
      <c r="XDC1644"/>
      <c r="XDD1644"/>
      <c r="XDE1644"/>
      <c r="XDF1644"/>
      <c r="XDG1644"/>
      <c r="XDH1644"/>
      <c r="XDI1644"/>
      <c r="XDJ1644"/>
      <c r="XDK1644"/>
      <c r="XDL1644"/>
      <c r="XDM1644"/>
      <c r="XDN1644"/>
      <c r="XDO1644"/>
      <c r="XDP1644"/>
      <c r="XDQ1644"/>
      <c r="XDR1644"/>
      <c r="XDS1644"/>
      <c r="XDT1644"/>
      <c r="XDU1644"/>
      <c r="XDV1644"/>
      <c r="XDW1644"/>
      <c r="XDX1644"/>
      <c r="XDY1644"/>
      <c r="XDZ1644"/>
      <c r="XEA1644"/>
      <c r="XEB1644"/>
      <c r="XEC1644"/>
      <c r="XED1644"/>
      <c r="XEE1644"/>
      <c r="XEF1644"/>
      <c r="XEG1644"/>
      <c r="XEH1644"/>
      <c r="XEI1644"/>
      <c r="XEJ1644"/>
      <c r="XEK1644"/>
      <c r="XEL1644"/>
      <c r="XEM1644"/>
      <c r="XEN1644"/>
      <c r="XEO1644"/>
      <c r="XEP1644"/>
      <c r="XEQ1644"/>
      <c r="XER1644"/>
      <c r="XES1644"/>
      <c r="XET1644"/>
      <c r="XEU1644"/>
      <c r="XEV1644"/>
      <c r="XEW1644"/>
      <c r="XEX1644"/>
      <c r="XEY1644"/>
      <c r="XEZ1644"/>
      <c r="XFA1644"/>
      <c r="XFB1644"/>
      <c r="XFC1644"/>
    </row>
    <row r="1645" spans="1:20 16329:16383" s="38" customFormat="1" ht="29.1" customHeight="1" outlineLevel="6" x14ac:dyDescent="0.25">
      <c r="A1645" s="49" t="s">
        <v>2828</v>
      </c>
      <c r="B1645" s="50"/>
      <c r="C1645" s="50"/>
      <c r="D1645" s="3" t="s">
        <v>2394</v>
      </c>
      <c r="E1645" s="3"/>
      <c r="F1645" s="51"/>
      <c r="G1645" s="50" t="s">
        <v>102</v>
      </c>
      <c r="H1645" s="52">
        <f>1</f>
        <v>1</v>
      </c>
      <c r="I1645" s="36"/>
      <c r="J1645" s="52">
        <v>1</v>
      </c>
      <c r="K1645" s="53">
        <f>0</f>
        <v>0</v>
      </c>
      <c r="L1645" s="53">
        <f>0</f>
        <v>0</v>
      </c>
      <c r="M1645" s="53">
        <f>0</f>
        <v>0</v>
      </c>
      <c r="N1645" s="54">
        <f t="shared" si="314"/>
        <v>0</v>
      </c>
      <c r="O1645" s="54">
        <f t="shared" si="315"/>
        <v>0</v>
      </c>
      <c r="P1645" s="54">
        <f t="shared" si="316"/>
        <v>0</v>
      </c>
      <c r="Q1645" s="54">
        <f t="shared" si="317"/>
        <v>0</v>
      </c>
      <c r="R1645" s="54">
        <f t="shared" si="318"/>
        <v>0</v>
      </c>
      <c r="S1645" s="54"/>
      <c r="T1645" s="36"/>
      <c r="XDA1645"/>
      <c r="XDB1645"/>
      <c r="XDC1645"/>
      <c r="XDD1645"/>
      <c r="XDE1645"/>
      <c r="XDF1645"/>
      <c r="XDG1645"/>
      <c r="XDH1645"/>
      <c r="XDI1645"/>
      <c r="XDJ1645"/>
      <c r="XDK1645"/>
      <c r="XDL1645"/>
      <c r="XDM1645"/>
      <c r="XDN1645"/>
      <c r="XDO1645"/>
      <c r="XDP1645"/>
      <c r="XDQ1645"/>
      <c r="XDR1645"/>
      <c r="XDS1645"/>
      <c r="XDT1645"/>
      <c r="XDU1645"/>
      <c r="XDV1645"/>
      <c r="XDW1645"/>
      <c r="XDX1645"/>
      <c r="XDY1645"/>
      <c r="XDZ1645"/>
      <c r="XEA1645"/>
      <c r="XEB1645"/>
      <c r="XEC1645"/>
      <c r="XED1645"/>
      <c r="XEE1645"/>
      <c r="XEF1645"/>
      <c r="XEG1645"/>
      <c r="XEH1645"/>
      <c r="XEI1645"/>
      <c r="XEJ1645"/>
      <c r="XEK1645"/>
      <c r="XEL1645"/>
      <c r="XEM1645"/>
      <c r="XEN1645"/>
      <c r="XEO1645"/>
      <c r="XEP1645"/>
      <c r="XEQ1645"/>
      <c r="XER1645"/>
      <c r="XES1645"/>
      <c r="XET1645"/>
      <c r="XEU1645"/>
      <c r="XEV1645"/>
      <c r="XEW1645"/>
      <c r="XEX1645"/>
      <c r="XEY1645"/>
      <c r="XEZ1645"/>
      <c r="XFA1645"/>
      <c r="XFB1645"/>
      <c r="XFC1645"/>
    </row>
    <row r="1646" spans="1:20 16329:16383" s="38" customFormat="1" ht="29.1" customHeight="1" outlineLevel="6" x14ac:dyDescent="0.25">
      <c r="A1646" s="49" t="s">
        <v>2829</v>
      </c>
      <c r="B1646" s="50"/>
      <c r="C1646" s="50"/>
      <c r="D1646" s="3" t="s">
        <v>2557</v>
      </c>
      <c r="E1646" s="3"/>
      <c r="F1646" s="51"/>
      <c r="G1646" s="50" t="s">
        <v>102</v>
      </c>
      <c r="H1646" s="52">
        <f>1</f>
        <v>1</v>
      </c>
      <c r="I1646" s="36"/>
      <c r="J1646" s="52">
        <v>1</v>
      </c>
      <c r="K1646" s="53">
        <f>0</f>
        <v>0</v>
      </c>
      <c r="L1646" s="53">
        <f>0</f>
        <v>0</v>
      </c>
      <c r="M1646" s="53">
        <f>0</f>
        <v>0</v>
      </c>
      <c r="N1646" s="54">
        <f t="shared" si="314"/>
        <v>0</v>
      </c>
      <c r="O1646" s="54">
        <f t="shared" si="315"/>
        <v>0</v>
      </c>
      <c r="P1646" s="54">
        <f t="shared" si="316"/>
        <v>0</v>
      </c>
      <c r="Q1646" s="54">
        <f t="shared" si="317"/>
        <v>0</v>
      </c>
      <c r="R1646" s="54">
        <f t="shared" si="318"/>
        <v>0</v>
      </c>
      <c r="S1646" s="54"/>
      <c r="T1646" s="36"/>
      <c r="XDA1646"/>
      <c r="XDB1646"/>
      <c r="XDC1646"/>
      <c r="XDD1646"/>
      <c r="XDE1646"/>
      <c r="XDF1646"/>
      <c r="XDG1646"/>
      <c r="XDH1646"/>
      <c r="XDI1646"/>
      <c r="XDJ1646"/>
      <c r="XDK1646"/>
      <c r="XDL1646"/>
      <c r="XDM1646"/>
      <c r="XDN1646"/>
      <c r="XDO1646"/>
      <c r="XDP1646"/>
      <c r="XDQ1646"/>
      <c r="XDR1646"/>
      <c r="XDS1646"/>
      <c r="XDT1646"/>
      <c r="XDU1646"/>
      <c r="XDV1646"/>
      <c r="XDW1646"/>
      <c r="XDX1646"/>
      <c r="XDY1646"/>
      <c r="XDZ1646"/>
      <c r="XEA1646"/>
      <c r="XEB1646"/>
      <c r="XEC1646"/>
      <c r="XED1646"/>
      <c r="XEE1646"/>
      <c r="XEF1646"/>
      <c r="XEG1646"/>
      <c r="XEH1646"/>
      <c r="XEI1646"/>
      <c r="XEJ1646"/>
      <c r="XEK1646"/>
      <c r="XEL1646"/>
      <c r="XEM1646"/>
      <c r="XEN1646"/>
      <c r="XEO1646"/>
      <c r="XEP1646"/>
      <c r="XEQ1646"/>
      <c r="XER1646"/>
      <c r="XES1646"/>
      <c r="XET1646"/>
      <c r="XEU1646"/>
      <c r="XEV1646"/>
      <c r="XEW1646"/>
      <c r="XEX1646"/>
      <c r="XEY1646"/>
      <c r="XEZ1646"/>
      <c r="XFA1646"/>
      <c r="XFB1646"/>
      <c r="XFC1646"/>
    </row>
    <row r="1647" spans="1:20 16329:16383" s="38" customFormat="1" ht="29.1" customHeight="1" outlineLevel="6" x14ac:dyDescent="0.25">
      <c r="A1647" s="49" t="s">
        <v>2830</v>
      </c>
      <c r="B1647" s="50"/>
      <c r="C1647" s="50"/>
      <c r="D1647" s="3" t="s">
        <v>2206</v>
      </c>
      <c r="E1647" s="3"/>
      <c r="F1647" s="51"/>
      <c r="G1647" s="50" t="s">
        <v>194</v>
      </c>
      <c r="H1647" s="52">
        <f>1</f>
        <v>1</v>
      </c>
      <c r="I1647" s="36"/>
      <c r="J1647" s="52">
        <v>1</v>
      </c>
      <c r="K1647" s="53">
        <f>0</f>
        <v>0</v>
      </c>
      <c r="L1647" s="53">
        <f>0</f>
        <v>0</v>
      </c>
      <c r="M1647" s="53">
        <f>0</f>
        <v>0</v>
      </c>
      <c r="N1647" s="54">
        <f t="shared" si="314"/>
        <v>0</v>
      </c>
      <c r="O1647" s="54">
        <f t="shared" si="315"/>
        <v>0</v>
      </c>
      <c r="P1647" s="54">
        <f t="shared" si="316"/>
        <v>0</v>
      </c>
      <c r="Q1647" s="54">
        <f t="shared" si="317"/>
        <v>0</v>
      </c>
      <c r="R1647" s="54">
        <f t="shared" si="318"/>
        <v>0</v>
      </c>
      <c r="S1647" s="54"/>
      <c r="T1647" s="36"/>
      <c r="XDA1647"/>
      <c r="XDB1647"/>
      <c r="XDC1647"/>
      <c r="XDD1647"/>
      <c r="XDE1647"/>
      <c r="XDF1647"/>
      <c r="XDG1647"/>
      <c r="XDH1647"/>
      <c r="XDI1647"/>
      <c r="XDJ1647"/>
      <c r="XDK1647"/>
      <c r="XDL1647"/>
      <c r="XDM1647"/>
      <c r="XDN1647"/>
      <c r="XDO1647"/>
      <c r="XDP1647"/>
      <c r="XDQ1647"/>
      <c r="XDR1647"/>
      <c r="XDS1647"/>
      <c r="XDT1647"/>
      <c r="XDU1647"/>
      <c r="XDV1647"/>
      <c r="XDW1647"/>
      <c r="XDX1647"/>
      <c r="XDY1647"/>
      <c r="XDZ1647"/>
      <c r="XEA1647"/>
      <c r="XEB1647"/>
      <c r="XEC1647"/>
      <c r="XED1647"/>
      <c r="XEE1647"/>
      <c r="XEF1647"/>
      <c r="XEG1647"/>
      <c r="XEH1647"/>
      <c r="XEI1647"/>
      <c r="XEJ1647"/>
      <c r="XEK1647"/>
      <c r="XEL1647"/>
      <c r="XEM1647"/>
      <c r="XEN1647"/>
      <c r="XEO1647"/>
      <c r="XEP1647"/>
      <c r="XEQ1647"/>
      <c r="XER1647"/>
      <c r="XES1647"/>
      <c r="XET1647"/>
      <c r="XEU1647"/>
      <c r="XEV1647"/>
      <c r="XEW1647"/>
      <c r="XEX1647"/>
      <c r="XEY1647"/>
      <c r="XEZ1647"/>
      <c r="XFA1647"/>
      <c r="XFB1647"/>
      <c r="XFC1647"/>
    </row>
    <row r="1648" spans="1:20 16329:16383" s="38" customFormat="1" ht="29.1" customHeight="1" outlineLevel="6" x14ac:dyDescent="0.25">
      <c r="A1648" s="49" t="s">
        <v>2831</v>
      </c>
      <c r="B1648" s="50"/>
      <c r="C1648" s="50"/>
      <c r="D1648" s="3" t="s">
        <v>2278</v>
      </c>
      <c r="E1648" s="3"/>
      <c r="F1648" s="51"/>
      <c r="G1648" s="50" t="s">
        <v>194</v>
      </c>
      <c r="H1648" s="52">
        <f>1</f>
        <v>1</v>
      </c>
      <c r="I1648" s="36"/>
      <c r="J1648" s="52">
        <v>1</v>
      </c>
      <c r="K1648" s="53">
        <f>0</f>
        <v>0</v>
      </c>
      <c r="L1648" s="53">
        <f>0</f>
        <v>0</v>
      </c>
      <c r="M1648" s="53">
        <f>0</f>
        <v>0</v>
      </c>
      <c r="N1648" s="54">
        <f t="shared" si="314"/>
        <v>0</v>
      </c>
      <c r="O1648" s="54">
        <f t="shared" si="315"/>
        <v>0</v>
      </c>
      <c r="P1648" s="54">
        <f t="shared" si="316"/>
        <v>0</v>
      </c>
      <c r="Q1648" s="54">
        <f t="shared" si="317"/>
        <v>0</v>
      </c>
      <c r="R1648" s="54">
        <f t="shared" si="318"/>
        <v>0</v>
      </c>
      <c r="S1648" s="54"/>
      <c r="T1648" s="36"/>
      <c r="XDA1648"/>
      <c r="XDB1648"/>
      <c r="XDC1648"/>
      <c r="XDD1648"/>
      <c r="XDE1648"/>
      <c r="XDF1648"/>
      <c r="XDG1648"/>
      <c r="XDH1648"/>
      <c r="XDI1648"/>
      <c r="XDJ1648"/>
      <c r="XDK1648"/>
      <c r="XDL1648"/>
      <c r="XDM1648"/>
      <c r="XDN1648"/>
      <c r="XDO1648"/>
      <c r="XDP1648"/>
      <c r="XDQ1648"/>
      <c r="XDR1648"/>
      <c r="XDS1648"/>
      <c r="XDT1648"/>
      <c r="XDU1648"/>
      <c r="XDV1648"/>
      <c r="XDW1648"/>
      <c r="XDX1648"/>
      <c r="XDY1648"/>
      <c r="XDZ1648"/>
      <c r="XEA1648"/>
      <c r="XEB1648"/>
      <c r="XEC1648"/>
      <c r="XED1648"/>
      <c r="XEE1648"/>
      <c r="XEF1648"/>
      <c r="XEG1648"/>
      <c r="XEH1648"/>
      <c r="XEI1648"/>
      <c r="XEJ1648"/>
      <c r="XEK1648"/>
      <c r="XEL1648"/>
      <c r="XEM1648"/>
      <c r="XEN1648"/>
      <c r="XEO1648"/>
      <c r="XEP1648"/>
      <c r="XEQ1648"/>
      <c r="XER1648"/>
      <c r="XES1648"/>
      <c r="XET1648"/>
      <c r="XEU1648"/>
      <c r="XEV1648"/>
      <c r="XEW1648"/>
      <c r="XEX1648"/>
      <c r="XEY1648"/>
      <c r="XEZ1648"/>
      <c r="XFA1648"/>
      <c r="XFB1648"/>
      <c r="XFC1648"/>
    </row>
    <row r="1649" spans="1:20 16329:16383" s="38" customFormat="1" ht="29.1" customHeight="1" outlineLevel="5" x14ac:dyDescent="0.25">
      <c r="A1649" s="65" t="s">
        <v>2832</v>
      </c>
      <c r="B1649" s="66" t="s">
        <v>2833</v>
      </c>
      <c r="C1649" s="66"/>
      <c r="D1649" s="98" t="s">
        <v>344</v>
      </c>
      <c r="E1649" s="98"/>
      <c r="F1649" s="67"/>
      <c r="G1649" s="66"/>
      <c r="H1649" s="68"/>
      <c r="I1649" s="36"/>
      <c r="J1649" s="68"/>
      <c r="K1649" s="69"/>
      <c r="L1649" s="69"/>
      <c r="M1649" s="69"/>
      <c r="N1649" s="69"/>
      <c r="O1649" s="69">
        <f>SUM(O1650:O1659)</f>
        <v>0</v>
      </c>
      <c r="P1649" s="69">
        <f>SUM(P1650:P1659)</f>
        <v>0</v>
      </c>
      <c r="Q1649" s="69">
        <f>SUM(Q1650:Q1659)</f>
        <v>0</v>
      </c>
      <c r="R1649" s="69">
        <f>SUM(R1650:R1659)</f>
        <v>0</v>
      </c>
      <c r="S1649" s="69"/>
      <c r="T1649" s="36"/>
      <c r="XDA1649"/>
      <c r="XDB1649"/>
      <c r="XDC1649"/>
      <c r="XDD1649"/>
      <c r="XDE1649"/>
      <c r="XDF1649"/>
      <c r="XDG1649"/>
      <c r="XDH1649"/>
      <c r="XDI1649"/>
      <c r="XDJ1649"/>
      <c r="XDK1649"/>
      <c r="XDL1649"/>
      <c r="XDM1649"/>
      <c r="XDN1649"/>
      <c r="XDO1649"/>
      <c r="XDP1649"/>
      <c r="XDQ1649"/>
      <c r="XDR1649"/>
      <c r="XDS1649"/>
      <c r="XDT1649"/>
      <c r="XDU1649"/>
      <c r="XDV1649"/>
      <c r="XDW1649"/>
      <c r="XDX1649"/>
      <c r="XDY1649"/>
      <c r="XDZ1649"/>
      <c r="XEA1649"/>
      <c r="XEB1649"/>
      <c r="XEC1649"/>
      <c r="XED1649"/>
      <c r="XEE1649"/>
      <c r="XEF1649"/>
      <c r="XEG1649"/>
      <c r="XEH1649"/>
      <c r="XEI1649"/>
      <c r="XEJ1649"/>
      <c r="XEK1649"/>
      <c r="XEL1649"/>
      <c r="XEM1649"/>
      <c r="XEN1649"/>
      <c r="XEO1649"/>
      <c r="XEP1649"/>
      <c r="XEQ1649"/>
      <c r="XER1649"/>
      <c r="XES1649"/>
      <c r="XET1649"/>
      <c r="XEU1649"/>
      <c r="XEV1649"/>
      <c r="XEW1649"/>
      <c r="XEX1649"/>
      <c r="XEY1649"/>
      <c r="XEZ1649"/>
      <c r="XFA1649"/>
      <c r="XFB1649"/>
      <c r="XFC1649"/>
    </row>
    <row r="1650" spans="1:20 16329:16383" s="38" customFormat="1" ht="29.1" customHeight="1" outlineLevel="6" x14ac:dyDescent="0.25">
      <c r="A1650" s="49" t="s">
        <v>2834</v>
      </c>
      <c r="B1650" s="50"/>
      <c r="C1650" s="50"/>
      <c r="D1650" s="3" t="s">
        <v>1886</v>
      </c>
      <c r="E1650" s="3"/>
      <c r="F1650" s="51"/>
      <c r="G1650" s="50" t="s">
        <v>102</v>
      </c>
      <c r="H1650" s="52">
        <f>1</f>
        <v>1</v>
      </c>
      <c r="I1650" s="36"/>
      <c r="J1650" s="52">
        <v>1</v>
      </c>
      <c r="K1650" s="53">
        <f>0</f>
        <v>0</v>
      </c>
      <c r="L1650" s="53">
        <f>0</f>
        <v>0</v>
      </c>
      <c r="M1650" s="53">
        <f>0</f>
        <v>0</v>
      </c>
      <c r="N1650" s="54">
        <f t="shared" ref="N1650:N1659" si="319">SUM(K1650:M1650)</f>
        <v>0</v>
      </c>
      <c r="O1650" s="54">
        <f t="shared" ref="O1650:O1659" si="320">ROUND((H1650*K1650),2)</f>
        <v>0</v>
      </c>
      <c r="P1650" s="54">
        <f t="shared" ref="P1650:P1659" si="321">ROUND((H1650*L1650),2)</f>
        <v>0</v>
      </c>
      <c r="Q1650" s="54">
        <f t="shared" ref="Q1650:Q1659" si="322">ROUND((H1650*M1650),2)</f>
        <v>0</v>
      </c>
      <c r="R1650" s="54">
        <f t="shared" ref="R1650:R1659" si="323">ROUND((H1650*N1650),2)</f>
        <v>0</v>
      </c>
      <c r="S1650" s="54"/>
      <c r="T1650" s="36"/>
      <c r="XDA1650"/>
      <c r="XDB1650"/>
      <c r="XDC1650"/>
      <c r="XDD1650"/>
      <c r="XDE1650"/>
      <c r="XDF1650"/>
      <c r="XDG1650"/>
      <c r="XDH1650"/>
      <c r="XDI1650"/>
      <c r="XDJ1650"/>
      <c r="XDK1650"/>
      <c r="XDL1650"/>
      <c r="XDM1650"/>
      <c r="XDN1650"/>
      <c r="XDO1650"/>
      <c r="XDP1650"/>
      <c r="XDQ1650"/>
      <c r="XDR1650"/>
      <c r="XDS1650"/>
      <c r="XDT1650"/>
      <c r="XDU1650"/>
      <c r="XDV1650"/>
      <c r="XDW1650"/>
      <c r="XDX1650"/>
      <c r="XDY1650"/>
      <c r="XDZ1650"/>
      <c r="XEA1650"/>
      <c r="XEB1650"/>
      <c r="XEC1650"/>
      <c r="XED1650"/>
      <c r="XEE1650"/>
      <c r="XEF1650"/>
      <c r="XEG1650"/>
      <c r="XEH1650"/>
      <c r="XEI1650"/>
      <c r="XEJ1650"/>
      <c r="XEK1650"/>
      <c r="XEL1650"/>
      <c r="XEM1650"/>
      <c r="XEN1650"/>
      <c r="XEO1650"/>
      <c r="XEP1650"/>
      <c r="XEQ1650"/>
      <c r="XER1650"/>
      <c r="XES1650"/>
      <c r="XET1650"/>
      <c r="XEU1650"/>
      <c r="XEV1650"/>
      <c r="XEW1650"/>
      <c r="XEX1650"/>
      <c r="XEY1650"/>
      <c r="XEZ1650"/>
      <c r="XFA1650"/>
      <c r="XFB1650"/>
      <c r="XFC1650"/>
    </row>
    <row r="1651" spans="1:20 16329:16383" s="38" customFormat="1" ht="29.1" customHeight="1" outlineLevel="6" x14ac:dyDescent="0.25">
      <c r="A1651" s="49" t="s">
        <v>2835</v>
      </c>
      <c r="B1651" s="50"/>
      <c r="C1651" s="50"/>
      <c r="D1651" s="3" t="s">
        <v>1890</v>
      </c>
      <c r="E1651" s="3"/>
      <c r="F1651" s="51"/>
      <c r="G1651" s="50" t="s">
        <v>102</v>
      </c>
      <c r="H1651" s="52">
        <f>1</f>
        <v>1</v>
      </c>
      <c r="I1651" s="36"/>
      <c r="J1651" s="52">
        <v>1</v>
      </c>
      <c r="K1651" s="53">
        <f>0</f>
        <v>0</v>
      </c>
      <c r="L1651" s="53">
        <f>0</f>
        <v>0</v>
      </c>
      <c r="M1651" s="53">
        <f>0</f>
        <v>0</v>
      </c>
      <c r="N1651" s="54">
        <f t="shared" si="319"/>
        <v>0</v>
      </c>
      <c r="O1651" s="54">
        <f t="shared" si="320"/>
        <v>0</v>
      </c>
      <c r="P1651" s="54">
        <f t="shared" si="321"/>
        <v>0</v>
      </c>
      <c r="Q1651" s="54">
        <f t="shared" si="322"/>
        <v>0</v>
      </c>
      <c r="R1651" s="54">
        <f t="shared" si="323"/>
        <v>0</v>
      </c>
      <c r="S1651" s="54"/>
      <c r="T1651" s="36"/>
      <c r="XDA1651"/>
      <c r="XDB1651"/>
      <c r="XDC1651"/>
      <c r="XDD1651"/>
      <c r="XDE1651"/>
      <c r="XDF1651"/>
      <c r="XDG1651"/>
      <c r="XDH1651"/>
      <c r="XDI1651"/>
      <c r="XDJ1651"/>
      <c r="XDK1651"/>
      <c r="XDL1651"/>
      <c r="XDM1651"/>
      <c r="XDN1651"/>
      <c r="XDO1651"/>
      <c r="XDP1651"/>
      <c r="XDQ1651"/>
      <c r="XDR1651"/>
      <c r="XDS1651"/>
      <c r="XDT1651"/>
      <c r="XDU1651"/>
      <c r="XDV1651"/>
      <c r="XDW1651"/>
      <c r="XDX1651"/>
      <c r="XDY1651"/>
      <c r="XDZ1651"/>
      <c r="XEA1651"/>
      <c r="XEB1651"/>
      <c r="XEC1651"/>
      <c r="XED1651"/>
      <c r="XEE1651"/>
      <c r="XEF1651"/>
      <c r="XEG1651"/>
      <c r="XEH1651"/>
      <c r="XEI1651"/>
      <c r="XEJ1651"/>
      <c r="XEK1651"/>
      <c r="XEL1651"/>
      <c r="XEM1651"/>
      <c r="XEN1651"/>
      <c r="XEO1651"/>
      <c r="XEP1651"/>
      <c r="XEQ1651"/>
      <c r="XER1651"/>
      <c r="XES1651"/>
      <c r="XET1651"/>
      <c r="XEU1651"/>
      <c r="XEV1651"/>
      <c r="XEW1651"/>
      <c r="XEX1651"/>
      <c r="XEY1651"/>
      <c r="XEZ1651"/>
      <c r="XFA1651"/>
      <c r="XFB1651"/>
      <c r="XFC1651"/>
    </row>
    <row r="1652" spans="1:20 16329:16383" s="38" customFormat="1" ht="29.1" customHeight="1" outlineLevel="6" x14ac:dyDescent="0.25">
      <c r="A1652" s="49" t="s">
        <v>2836</v>
      </c>
      <c r="B1652" s="50"/>
      <c r="C1652" s="50"/>
      <c r="D1652" s="3" t="s">
        <v>1888</v>
      </c>
      <c r="E1652" s="3"/>
      <c r="F1652" s="51"/>
      <c r="G1652" s="50" t="s">
        <v>102</v>
      </c>
      <c r="H1652" s="52">
        <f>1</f>
        <v>1</v>
      </c>
      <c r="I1652" s="36"/>
      <c r="J1652" s="52">
        <v>1</v>
      </c>
      <c r="K1652" s="53">
        <f>0</f>
        <v>0</v>
      </c>
      <c r="L1652" s="53">
        <f>0</f>
        <v>0</v>
      </c>
      <c r="M1652" s="53">
        <f>0</f>
        <v>0</v>
      </c>
      <c r="N1652" s="54">
        <f t="shared" si="319"/>
        <v>0</v>
      </c>
      <c r="O1652" s="54">
        <f t="shared" si="320"/>
        <v>0</v>
      </c>
      <c r="P1652" s="54">
        <f t="shared" si="321"/>
        <v>0</v>
      </c>
      <c r="Q1652" s="54">
        <f t="shared" si="322"/>
        <v>0</v>
      </c>
      <c r="R1652" s="54">
        <f t="shared" si="323"/>
        <v>0</v>
      </c>
      <c r="S1652" s="54"/>
      <c r="T1652" s="36"/>
      <c r="XDA1652"/>
      <c r="XDB1652"/>
      <c r="XDC1652"/>
      <c r="XDD1652"/>
      <c r="XDE1652"/>
      <c r="XDF1652"/>
      <c r="XDG1652"/>
      <c r="XDH1652"/>
      <c r="XDI1652"/>
      <c r="XDJ1652"/>
      <c r="XDK1652"/>
      <c r="XDL1652"/>
      <c r="XDM1652"/>
      <c r="XDN1652"/>
      <c r="XDO1652"/>
      <c r="XDP1652"/>
      <c r="XDQ1652"/>
      <c r="XDR1652"/>
      <c r="XDS1652"/>
      <c r="XDT1652"/>
      <c r="XDU1652"/>
      <c r="XDV1652"/>
      <c r="XDW1652"/>
      <c r="XDX1652"/>
      <c r="XDY1652"/>
      <c r="XDZ1652"/>
      <c r="XEA1652"/>
      <c r="XEB1652"/>
      <c r="XEC1652"/>
      <c r="XED1652"/>
      <c r="XEE1652"/>
      <c r="XEF1652"/>
      <c r="XEG1652"/>
      <c r="XEH1652"/>
      <c r="XEI1652"/>
      <c r="XEJ1652"/>
      <c r="XEK1652"/>
      <c r="XEL1652"/>
      <c r="XEM1652"/>
      <c r="XEN1652"/>
      <c r="XEO1652"/>
      <c r="XEP1652"/>
      <c r="XEQ1652"/>
      <c r="XER1652"/>
      <c r="XES1652"/>
      <c r="XET1652"/>
      <c r="XEU1652"/>
      <c r="XEV1652"/>
      <c r="XEW1652"/>
      <c r="XEX1652"/>
      <c r="XEY1652"/>
      <c r="XEZ1652"/>
      <c r="XFA1652"/>
      <c r="XFB1652"/>
      <c r="XFC1652"/>
    </row>
    <row r="1653" spans="1:20 16329:16383" s="38" customFormat="1" ht="29.1" customHeight="1" outlineLevel="6" x14ac:dyDescent="0.25">
      <c r="A1653" s="49" t="s">
        <v>2837</v>
      </c>
      <c r="B1653" s="50"/>
      <c r="C1653" s="50"/>
      <c r="D1653" s="3" t="s">
        <v>2403</v>
      </c>
      <c r="E1653" s="3"/>
      <c r="F1653" s="51"/>
      <c r="G1653" s="50" t="s">
        <v>102</v>
      </c>
      <c r="H1653" s="52">
        <f>1</f>
        <v>1</v>
      </c>
      <c r="I1653" s="36"/>
      <c r="J1653" s="52">
        <v>1</v>
      </c>
      <c r="K1653" s="53">
        <f>0</f>
        <v>0</v>
      </c>
      <c r="L1653" s="53">
        <f>0</f>
        <v>0</v>
      </c>
      <c r="M1653" s="53">
        <f>0</f>
        <v>0</v>
      </c>
      <c r="N1653" s="54">
        <f t="shared" si="319"/>
        <v>0</v>
      </c>
      <c r="O1653" s="54">
        <f t="shared" si="320"/>
        <v>0</v>
      </c>
      <c r="P1653" s="54">
        <f t="shared" si="321"/>
        <v>0</v>
      </c>
      <c r="Q1653" s="54">
        <f t="shared" si="322"/>
        <v>0</v>
      </c>
      <c r="R1653" s="54">
        <f t="shared" si="323"/>
        <v>0</v>
      </c>
      <c r="S1653" s="54"/>
      <c r="T1653" s="36"/>
      <c r="XDA1653"/>
      <c r="XDB1653"/>
      <c r="XDC1653"/>
      <c r="XDD1653"/>
      <c r="XDE1653"/>
      <c r="XDF1653"/>
      <c r="XDG1653"/>
      <c r="XDH1653"/>
      <c r="XDI1653"/>
      <c r="XDJ1653"/>
      <c r="XDK1653"/>
      <c r="XDL1653"/>
      <c r="XDM1653"/>
      <c r="XDN1653"/>
      <c r="XDO1653"/>
      <c r="XDP1653"/>
      <c r="XDQ1653"/>
      <c r="XDR1653"/>
      <c r="XDS1653"/>
      <c r="XDT1653"/>
      <c r="XDU1653"/>
      <c r="XDV1653"/>
      <c r="XDW1653"/>
      <c r="XDX1653"/>
      <c r="XDY1653"/>
      <c r="XDZ1653"/>
      <c r="XEA1653"/>
      <c r="XEB1653"/>
      <c r="XEC1653"/>
      <c r="XED1653"/>
      <c r="XEE1653"/>
      <c r="XEF1653"/>
      <c r="XEG1653"/>
      <c r="XEH1653"/>
      <c r="XEI1653"/>
      <c r="XEJ1653"/>
      <c r="XEK1653"/>
      <c r="XEL1653"/>
      <c r="XEM1653"/>
      <c r="XEN1653"/>
      <c r="XEO1653"/>
      <c r="XEP1653"/>
      <c r="XEQ1653"/>
      <c r="XER1653"/>
      <c r="XES1653"/>
      <c r="XET1653"/>
      <c r="XEU1653"/>
      <c r="XEV1653"/>
      <c r="XEW1653"/>
      <c r="XEX1653"/>
      <c r="XEY1653"/>
      <c r="XEZ1653"/>
      <c r="XFA1653"/>
      <c r="XFB1653"/>
      <c r="XFC1653"/>
    </row>
    <row r="1654" spans="1:20 16329:16383" s="38" customFormat="1" ht="29.1" customHeight="1" outlineLevel="6" x14ac:dyDescent="0.25">
      <c r="A1654" s="49" t="s">
        <v>2838</v>
      </c>
      <c r="B1654" s="50"/>
      <c r="C1654" s="50"/>
      <c r="D1654" s="3" t="s">
        <v>2567</v>
      </c>
      <c r="E1654" s="3"/>
      <c r="F1654" s="51"/>
      <c r="G1654" s="50" t="s">
        <v>102</v>
      </c>
      <c r="H1654" s="52">
        <f>1</f>
        <v>1</v>
      </c>
      <c r="I1654" s="36"/>
      <c r="J1654" s="52">
        <v>1</v>
      </c>
      <c r="K1654" s="53">
        <f>0</f>
        <v>0</v>
      </c>
      <c r="L1654" s="53">
        <f>0</f>
        <v>0</v>
      </c>
      <c r="M1654" s="53">
        <f>0</f>
        <v>0</v>
      </c>
      <c r="N1654" s="54">
        <f t="shared" si="319"/>
        <v>0</v>
      </c>
      <c r="O1654" s="54">
        <f t="shared" si="320"/>
        <v>0</v>
      </c>
      <c r="P1654" s="54">
        <f t="shared" si="321"/>
        <v>0</v>
      </c>
      <c r="Q1654" s="54">
        <f t="shared" si="322"/>
        <v>0</v>
      </c>
      <c r="R1654" s="54">
        <f t="shared" si="323"/>
        <v>0</v>
      </c>
      <c r="S1654" s="54"/>
      <c r="T1654" s="36"/>
      <c r="XDA1654"/>
      <c r="XDB1654"/>
      <c r="XDC1654"/>
      <c r="XDD1654"/>
      <c r="XDE1654"/>
      <c r="XDF1654"/>
      <c r="XDG1654"/>
      <c r="XDH1654"/>
      <c r="XDI1654"/>
      <c r="XDJ1654"/>
      <c r="XDK1654"/>
      <c r="XDL1654"/>
      <c r="XDM1654"/>
      <c r="XDN1654"/>
      <c r="XDO1654"/>
      <c r="XDP1654"/>
      <c r="XDQ1654"/>
      <c r="XDR1654"/>
      <c r="XDS1654"/>
      <c r="XDT1654"/>
      <c r="XDU1654"/>
      <c r="XDV1654"/>
      <c r="XDW1654"/>
      <c r="XDX1654"/>
      <c r="XDY1654"/>
      <c r="XDZ1654"/>
      <c r="XEA1654"/>
      <c r="XEB1654"/>
      <c r="XEC1654"/>
      <c r="XED1654"/>
      <c r="XEE1654"/>
      <c r="XEF1654"/>
      <c r="XEG1654"/>
      <c r="XEH1654"/>
      <c r="XEI1654"/>
      <c r="XEJ1654"/>
      <c r="XEK1654"/>
      <c r="XEL1654"/>
      <c r="XEM1654"/>
      <c r="XEN1654"/>
      <c r="XEO1654"/>
      <c r="XEP1654"/>
      <c r="XEQ1654"/>
      <c r="XER1654"/>
      <c r="XES1654"/>
      <c r="XET1654"/>
      <c r="XEU1654"/>
      <c r="XEV1654"/>
      <c r="XEW1654"/>
      <c r="XEX1654"/>
      <c r="XEY1654"/>
      <c r="XEZ1654"/>
      <c r="XFA1654"/>
      <c r="XFB1654"/>
      <c r="XFC1654"/>
    </row>
    <row r="1655" spans="1:20 16329:16383" s="38" customFormat="1" ht="29.1" customHeight="1" outlineLevel="6" x14ac:dyDescent="0.25">
      <c r="A1655" s="49" t="s">
        <v>2839</v>
      </c>
      <c r="B1655" s="50"/>
      <c r="C1655" s="50"/>
      <c r="D1655" s="3" t="s">
        <v>2407</v>
      </c>
      <c r="E1655" s="3"/>
      <c r="F1655" s="51" t="s">
        <v>1960</v>
      </c>
      <c r="G1655" s="50" t="s">
        <v>134</v>
      </c>
      <c r="H1655" s="52">
        <f>1</f>
        <v>1</v>
      </c>
      <c r="I1655" s="36"/>
      <c r="J1655" s="52">
        <v>1</v>
      </c>
      <c r="K1655" s="53">
        <f>0</f>
        <v>0</v>
      </c>
      <c r="L1655" s="53">
        <f>0</f>
        <v>0</v>
      </c>
      <c r="M1655" s="53">
        <f>0</f>
        <v>0</v>
      </c>
      <c r="N1655" s="54">
        <f t="shared" si="319"/>
        <v>0</v>
      </c>
      <c r="O1655" s="54">
        <f t="shared" si="320"/>
        <v>0</v>
      </c>
      <c r="P1655" s="54">
        <f t="shared" si="321"/>
        <v>0</v>
      </c>
      <c r="Q1655" s="54">
        <f t="shared" si="322"/>
        <v>0</v>
      </c>
      <c r="R1655" s="54">
        <f t="shared" si="323"/>
        <v>0</v>
      </c>
      <c r="S1655" s="54"/>
      <c r="T1655" s="36"/>
      <c r="XDA1655"/>
      <c r="XDB1655"/>
      <c r="XDC1655"/>
      <c r="XDD1655"/>
      <c r="XDE1655"/>
      <c r="XDF1655"/>
      <c r="XDG1655"/>
      <c r="XDH1655"/>
      <c r="XDI1655"/>
      <c r="XDJ1655"/>
      <c r="XDK1655"/>
      <c r="XDL1655"/>
      <c r="XDM1655"/>
      <c r="XDN1655"/>
      <c r="XDO1655"/>
      <c r="XDP1655"/>
      <c r="XDQ1655"/>
      <c r="XDR1655"/>
      <c r="XDS1655"/>
      <c r="XDT1655"/>
      <c r="XDU1655"/>
      <c r="XDV1655"/>
      <c r="XDW1655"/>
      <c r="XDX1655"/>
      <c r="XDY1655"/>
      <c r="XDZ1655"/>
      <c r="XEA1655"/>
      <c r="XEB1655"/>
      <c r="XEC1655"/>
      <c r="XED1655"/>
      <c r="XEE1655"/>
      <c r="XEF1655"/>
      <c r="XEG1655"/>
      <c r="XEH1655"/>
      <c r="XEI1655"/>
      <c r="XEJ1655"/>
      <c r="XEK1655"/>
      <c r="XEL1655"/>
      <c r="XEM1655"/>
      <c r="XEN1655"/>
      <c r="XEO1655"/>
      <c r="XEP1655"/>
      <c r="XEQ1655"/>
      <c r="XER1655"/>
      <c r="XES1655"/>
      <c r="XET1655"/>
      <c r="XEU1655"/>
      <c r="XEV1655"/>
      <c r="XEW1655"/>
      <c r="XEX1655"/>
      <c r="XEY1655"/>
      <c r="XEZ1655"/>
      <c r="XFA1655"/>
      <c r="XFB1655"/>
      <c r="XFC1655"/>
    </row>
    <row r="1656" spans="1:20 16329:16383" s="38" customFormat="1" ht="29.1" customHeight="1" outlineLevel="6" x14ac:dyDescent="0.25">
      <c r="A1656" s="49" t="s">
        <v>2840</v>
      </c>
      <c r="B1656" s="50"/>
      <c r="C1656" s="50"/>
      <c r="D1656" s="3" t="s">
        <v>2570</v>
      </c>
      <c r="E1656" s="3"/>
      <c r="F1656" s="51"/>
      <c r="G1656" s="50" t="s">
        <v>102</v>
      </c>
      <c r="H1656" s="52">
        <f>1</f>
        <v>1</v>
      </c>
      <c r="I1656" s="36"/>
      <c r="J1656" s="52">
        <v>1</v>
      </c>
      <c r="K1656" s="53">
        <f>0</f>
        <v>0</v>
      </c>
      <c r="L1656" s="53">
        <f>0</f>
        <v>0</v>
      </c>
      <c r="M1656" s="53">
        <f>0</f>
        <v>0</v>
      </c>
      <c r="N1656" s="54">
        <f t="shared" si="319"/>
        <v>0</v>
      </c>
      <c r="O1656" s="54">
        <f t="shared" si="320"/>
        <v>0</v>
      </c>
      <c r="P1656" s="54">
        <f t="shared" si="321"/>
        <v>0</v>
      </c>
      <c r="Q1656" s="54">
        <f t="shared" si="322"/>
        <v>0</v>
      </c>
      <c r="R1656" s="54">
        <f t="shared" si="323"/>
        <v>0</v>
      </c>
      <c r="S1656" s="54"/>
      <c r="T1656" s="36"/>
      <c r="XDA1656"/>
      <c r="XDB1656"/>
      <c r="XDC1656"/>
      <c r="XDD1656"/>
      <c r="XDE1656"/>
      <c r="XDF1656"/>
      <c r="XDG1656"/>
      <c r="XDH1656"/>
      <c r="XDI1656"/>
      <c r="XDJ1656"/>
      <c r="XDK1656"/>
      <c r="XDL1656"/>
      <c r="XDM1656"/>
      <c r="XDN1656"/>
      <c r="XDO1656"/>
      <c r="XDP1656"/>
      <c r="XDQ1656"/>
      <c r="XDR1656"/>
      <c r="XDS1656"/>
      <c r="XDT1656"/>
      <c r="XDU1656"/>
      <c r="XDV1656"/>
      <c r="XDW1656"/>
      <c r="XDX1656"/>
      <c r="XDY1656"/>
      <c r="XDZ1656"/>
      <c r="XEA1656"/>
      <c r="XEB1656"/>
      <c r="XEC1656"/>
      <c r="XED1656"/>
      <c r="XEE1656"/>
      <c r="XEF1656"/>
      <c r="XEG1656"/>
      <c r="XEH1656"/>
      <c r="XEI1656"/>
      <c r="XEJ1656"/>
      <c r="XEK1656"/>
      <c r="XEL1656"/>
      <c r="XEM1656"/>
      <c r="XEN1656"/>
      <c r="XEO1656"/>
      <c r="XEP1656"/>
      <c r="XEQ1656"/>
      <c r="XER1656"/>
      <c r="XES1656"/>
      <c r="XET1656"/>
      <c r="XEU1656"/>
      <c r="XEV1656"/>
      <c r="XEW1656"/>
      <c r="XEX1656"/>
      <c r="XEY1656"/>
      <c r="XEZ1656"/>
      <c r="XFA1656"/>
      <c r="XFB1656"/>
      <c r="XFC1656"/>
    </row>
    <row r="1657" spans="1:20 16329:16383" s="38" customFormat="1" ht="29.1" customHeight="1" outlineLevel="6" x14ac:dyDescent="0.25">
      <c r="A1657" s="49" t="s">
        <v>2841</v>
      </c>
      <c r="B1657" s="50"/>
      <c r="C1657" s="50"/>
      <c r="D1657" s="3" t="s">
        <v>2842</v>
      </c>
      <c r="E1657" s="3"/>
      <c r="F1657" s="51"/>
      <c r="G1657" s="50" t="s">
        <v>194</v>
      </c>
      <c r="H1657" s="52">
        <f>1</f>
        <v>1</v>
      </c>
      <c r="I1657" s="36"/>
      <c r="J1657" s="52">
        <v>1</v>
      </c>
      <c r="K1657" s="53">
        <f>0</f>
        <v>0</v>
      </c>
      <c r="L1657" s="53">
        <f>0</f>
        <v>0</v>
      </c>
      <c r="M1657" s="53">
        <f>0</f>
        <v>0</v>
      </c>
      <c r="N1657" s="54">
        <f t="shared" si="319"/>
        <v>0</v>
      </c>
      <c r="O1657" s="54">
        <f t="shared" si="320"/>
        <v>0</v>
      </c>
      <c r="P1657" s="54">
        <f t="shared" si="321"/>
        <v>0</v>
      </c>
      <c r="Q1657" s="54">
        <f t="shared" si="322"/>
        <v>0</v>
      </c>
      <c r="R1657" s="54">
        <f t="shared" si="323"/>
        <v>0</v>
      </c>
      <c r="S1657" s="54"/>
      <c r="T1657" s="36"/>
      <c r="XDA1657"/>
      <c r="XDB1657"/>
      <c r="XDC1657"/>
      <c r="XDD1657"/>
      <c r="XDE1657"/>
      <c r="XDF1657"/>
      <c r="XDG1657"/>
      <c r="XDH1657"/>
      <c r="XDI1657"/>
      <c r="XDJ1657"/>
      <c r="XDK1657"/>
      <c r="XDL1657"/>
      <c r="XDM1657"/>
      <c r="XDN1657"/>
      <c r="XDO1657"/>
      <c r="XDP1657"/>
      <c r="XDQ1657"/>
      <c r="XDR1657"/>
      <c r="XDS1657"/>
      <c r="XDT1657"/>
      <c r="XDU1657"/>
      <c r="XDV1657"/>
      <c r="XDW1657"/>
      <c r="XDX1657"/>
      <c r="XDY1657"/>
      <c r="XDZ1657"/>
      <c r="XEA1657"/>
      <c r="XEB1657"/>
      <c r="XEC1657"/>
      <c r="XED1657"/>
      <c r="XEE1657"/>
      <c r="XEF1657"/>
      <c r="XEG1657"/>
      <c r="XEH1657"/>
      <c r="XEI1657"/>
      <c r="XEJ1657"/>
      <c r="XEK1657"/>
      <c r="XEL1657"/>
      <c r="XEM1657"/>
      <c r="XEN1657"/>
      <c r="XEO1657"/>
      <c r="XEP1657"/>
      <c r="XEQ1657"/>
      <c r="XER1657"/>
      <c r="XES1657"/>
      <c r="XET1657"/>
      <c r="XEU1657"/>
      <c r="XEV1657"/>
      <c r="XEW1657"/>
      <c r="XEX1657"/>
      <c r="XEY1657"/>
      <c r="XEZ1657"/>
      <c r="XFA1657"/>
      <c r="XFB1657"/>
      <c r="XFC1657"/>
    </row>
    <row r="1658" spans="1:20 16329:16383" s="38" customFormat="1" ht="29.1" customHeight="1" outlineLevel="6" x14ac:dyDescent="0.25">
      <c r="A1658" s="49" t="s">
        <v>2843</v>
      </c>
      <c r="B1658" s="50"/>
      <c r="C1658" s="50"/>
      <c r="D1658" s="3" t="s">
        <v>2844</v>
      </c>
      <c r="E1658" s="3"/>
      <c r="F1658" s="51"/>
      <c r="G1658" s="50" t="s">
        <v>134</v>
      </c>
      <c r="H1658" s="52">
        <f>1</f>
        <v>1</v>
      </c>
      <c r="I1658" s="36"/>
      <c r="J1658" s="52">
        <v>1</v>
      </c>
      <c r="K1658" s="53">
        <f>0</f>
        <v>0</v>
      </c>
      <c r="L1658" s="53">
        <f>0</f>
        <v>0</v>
      </c>
      <c r="M1658" s="53">
        <f>0</f>
        <v>0</v>
      </c>
      <c r="N1658" s="54">
        <f t="shared" si="319"/>
        <v>0</v>
      </c>
      <c r="O1658" s="54">
        <f t="shared" si="320"/>
        <v>0</v>
      </c>
      <c r="P1658" s="54">
        <f t="shared" si="321"/>
        <v>0</v>
      </c>
      <c r="Q1658" s="54">
        <f t="shared" si="322"/>
        <v>0</v>
      </c>
      <c r="R1658" s="54">
        <f t="shared" si="323"/>
        <v>0</v>
      </c>
      <c r="S1658" s="54"/>
      <c r="T1658" s="36"/>
      <c r="XDA1658"/>
      <c r="XDB1658"/>
      <c r="XDC1658"/>
      <c r="XDD1658"/>
      <c r="XDE1658"/>
      <c r="XDF1658"/>
      <c r="XDG1658"/>
      <c r="XDH1658"/>
      <c r="XDI1658"/>
      <c r="XDJ1658"/>
      <c r="XDK1658"/>
      <c r="XDL1658"/>
      <c r="XDM1658"/>
      <c r="XDN1658"/>
      <c r="XDO1658"/>
      <c r="XDP1658"/>
      <c r="XDQ1658"/>
      <c r="XDR1658"/>
      <c r="XDS1658"/>
      <c r="XDT1658"/>
      <c r="XDU1658"/>
      <c r="XDV1658"/>
      <c r="XDW1658"/>
      <c r="XDX1658"/>
      <c r="XDY1658"/>
      <c r="XDZ1658"/>
      <c r="XEA1658"/>
      <c r="XEB1658"/>
      <c r="XEC1658"/>
      <c r="XED1658"/>
      <c r="XEE1658"/>
      <c r="XEF1658"/>
      <c r="XEG1658"/>
      <c r="XEH1658"/>
      <c r="XEI1658"/>
      <c r="XEJ1658"/>
      <c r="XEK1658"/>
      <c r="XEL1658"/>
      <c r="XEM1658"/>
      <c r="XEN1658"/>
      <c r="XEO1658"/>
      <c r="XEP1658"/>
      <c r="XEQ1658"/>
      <c r="XER1658"/>
      <c r="XES1658"/>
      <c r="XET1658"/>
      <c r="XEU1658"/>
      <c r="XEV1658"/>
      <c r="XEW1658"/>
      <c r="XEX1658"/>
      <c r="XEY1658"/>
      <c r="XEZ1658"/>
      <c r="XFA1658"/>
      <c r="XFB1658"/>
      <c r="XFC1658"/>
    </row>
    <row r="1659" spans="1:20 16329:16383" s="38" customFormat="1" ht="29.1" customHeight="1" outlineLevel="6" x14ac:dyDescent="0.25">
      <c r="A1659" s="49" t="s">
        <v>2845</v>
      </c>
      <c r="B1659" s="50"/>
      <c r="C1659" s="50"/>
      <c r="D1659" s="3" t="s">
        <v>2846</v>
      </c>
      <c r="E1659" s="3"/>
      <c r="F1659" s="51"/>
      <c r="G1659" s="50" t="s">
        <v>134</v>
      </c>
      <c r="H1659" s="52">
        <f>1</f>
        <v>1</v>
      </c>
      <c r="I1659" s="36"/>
      <c r="J1659" s="52">
        <v>1</v>
      </c>
      <c r="K1659" s="53">
        <f>0</f>
        <v>0</v>
      </c>
      <c r="L1659" s="53">
        <f>0</f>
        <v>0</v>
      </c>
      <c r="M1659" s="53">
        <f>0</f>
        <v>0</v>
      </c>
      <c r="N1659" s="54">
        <f t="shared" si="319"/>
        <v>0</v>
      </c>
      <c r="O1659" s="54">
        <f t="shared" si="320"/>
        <v>0</v>
      </c>
      <c r="P1659" s="54">
        <f t="shared" si="321"/>
        <v>0</v>
      </c>
      <c r="Q1659" s="54">
        <f t="shared" si="322"/>
        <v>0</v>
      </c>
      <c r="R1659" s="54">
        <f t="shared" si="323"/>
        <v>0</v>
      </c>
      <c r="S1659" s="54"/>
      <c r="T1659" s="36"/>
      <c r="XDA1659"/>
      <c r="XDB1659"/>
      <c r="XDC1659"/>
      <c r="XDD1659"/>
      <c r="XDE1659"/>
      <c r="XDF1659"/>
      <c r="XDG1659"/>
      <c r="XDH1659"/>
      <c r="XDI1659"/>
      <c r="XDJ1659"/>
      <c r="XDK1659"/>
      <c r="XDL1659"/>
      <c r="XDM1659"/>
      <c r="XDN1659"/>
      <c r="XDO1659"/>
      <c r="XDP1659"/>
      <c r="XDQ1659"/>
      <c r="XDR1659"/>
      <c r="XDS1659"/>
      <c r="XDT1659"/>
      <c r="XDU1659"/>
      <c r="XDV1659"/>
      <c r="XDW1659"/>
      <c r="XDX1659"/>
      <c r="XDY1659"/>
      <c r="XDZ1659"/>
      <c r="XEA1659"/>
      <c r="XEB1659"/>
      <c r="XEC1659"/>
      <c r="XED1659"/>
      <c r="XEE1659"/>
      <c r="XEF1659"/>
      <c r="XEG1659"/>
      <c r="XEH1659"/>
      <c r="XEI1659"/>
      <c r="XEJ1659"/>
      <c r="XEK1659"/>
      <c r="XEL1659"/>
      <c r="XEM1659"/>
      <c r="XEN1659"/>
      <c r="XEO1659"/>
      <c r="XEP1659"/>
      <c r="XEQ1659"/>
      <c r="XER1659"/>
      <c r="XES1659"/>
      <c r="XET1659"/>
      <c r="XEU1659"/>
      <c r="XEV1659"/>
      <c r="XEW1659"/>
      <c r="XEX1659"/>
      <c r="XEY1659"/>
      <c r="XEZ1659"/>
      <c r="XFA1659"/>
      <c r="XFB1659"/>
      <c r="XFC1659"/>
    </row>
    <row r="1660" spans="1:20 16329:16383" s="38" customFormat="1" ht="29.1" customHeight="1" outlineLevel="5" x14ac:dyDescent="0.25">
      <c r="A1660" s="65" t="s">
        <v>2847</v>
      </c>
      <c r="B1660" s="66" t="s">
        <v>2848</v>
      </c>
      <c r="C1660" s="66"/>
      <c r="D1660" s="98" t="s">
        <v>1899</v>
      </c>
      <c r="E1660" s="98"/>
      <c r="F1660" s="67"/>
      <c r="G1660" s="66"/>
      <c r="H1660" s="68"/>
      <c r="I1660" s="36"/>
      <c r="J1660" s="68"/>
      <c r="K1660" s="69"/>
      <c r="L1660" s="69"/>
      <c r="M1660" s="69"/>
      <c r="N1660" s="69"/>
      <c r="O1660" s="69">
        <f>SUM(O1661:O1663)</f>
        <v>0</v>
      </c>
      <c r="P1660" s="69">
        <f>SUM(P1661:P1663)</f>
        <v>0</v>
      </c>
      <c r="Q1660" s="69">
        <f>SUM(Q1661:Q1663)</f>
        <v>0</v>
      </c>
      <c r="R1660" s="69">
        <f>SUM(R1661:R1663)</f>
        <v>0</v>
      </c>
      <c r="S1660" s="69"/>
      <c r="T1660" s="36"/>
      <c r="XDA1660"/>
      <c r="XDB1660"/>
      <c r="XDC1660"/>
      <c r="XDD1660"/>
      <c r="XDE1660"/>
      <c r="XDF1660"/>
      <c r="XDG1660"/>
      <c r="XDH1660"/>
      <c r="XDI1660"/>
      <c r="XDJ1660"/>
      <c r="XDK1660"/>
      <c r="XDL1660"/>
      <c r="XDM1660"/>
      <c r="XDN1660"/>
      <c r="XDO1660"/>
      <c r="XDP1660"/>
      <c r="XDQ1660"/>
      <c r="XDR1660"/>
      <c r="XDS1660"/>
      <c r="XDT1660"/>
      <c r="XDU1660"/>
      <c r="XDV1660"/>
      <c r="XDW1660"/>
      <c r="XDX1660"/>
      <c r="XDY1660"/>
      <c r="XDZ1660"/>
      <c r="XEA1660"/>
      <c r="XEB1660"/>
      <c r="XEC1660"/>
      <c r="XED1660"/>
      <c r="XEE1660"/>
      <c r="XEF1660"/>
      <c r="XEG1660"/>
      <c r="XEH1660"/>
      <c r="XEI1660"/>
      <c r="XEJ1660"/>
      <c r="XEK1660"/>
      <c r="XEL1660"/>
      <c r="XEM1660"/>
      <c r="XEN1660"/>
      <c r="XEO1660"/>
      <c r="XEP1660"/>
      <c r="XEQ1660"/>
      <c r="XER1660"/>
      <c r="XES1660"/>
      <c r="XET1660"/>
      <c r="XEU1660"/>
      <c r="XEV1660"/>
      <c r="XEW1660"/>
      <c r="XEX1660"/>
      <c r="XEY1660"/>
      <c r="XEZ1660"/>
      <c r="XFA1660"/>
      <c r="XFB1660"/>
      <c r="XFC1660"/>
    </row>
    <row r="1661" spans="1:20 16329:16383" s="38" customFormat="1" ht="29.1" customHeight="1" outlineLevel="6" x14ac:dyDescent="0.25">
      <c r="A1661" s="49" t="s">
        <v>2849</v>
      </c>
      <c r="B1661" s="50"/>
      <c r="C1661" s="50"/>
      <c r="D1661" s="3" t="s">
        <v>1884</v>
      </c>
      <c r="E1661" s="3"/>
      <c r="F1661" s="51"/>
      <c r="G1661" s="50" t="s">
        <v>102</v>
      </c>
      <c r="H1661" s="52">
        <f>1</f>
        <v>1</v>
      </c>
      <c r="I1661" s="36"/>
      <c r="J1661" s="52">
        <v>1</v>
      </c>
      <c r="K1661" s="53">
        <f>0</f>
        <v>0</v>
      </c>
      <c r="L1661" s="53">
        <f>0</f>
        <v>0</v>
      </c>
      <c r="M1661" s="53">
        <f>0</f>
        <v>0</v>
      </c>
      <c r="N1661" s="54">
        <f>SUM(K1661:M1661)</f>
        <v>0</v>
      </c>
      <c r="O1661" s="54">
        <f>ROUND((H1661*K1661),2)</f>
        <v>0</v>
      </c>
      <c r="P1661" s="54">
        <f>ROUND((H1661*L1661),2)</f>
        <v>0</v>
      </c>
      <c r="Q1661" s="54">
        <f>ROUND((H1661*M1661),2)</f>
        <v>0</v>
      </c>
      <c r="R1661" s="54">
        <f>ROUND((H1661*N1661),2)</f>
        <v>0</v>
      </c>
      <c r="S1661" s="54"/>
      <c r="T1661" s="36"/>
      <c r="XDA1661"/>
      <c r="XDB1661"/>
      <c r="XDC1661"/>
      <c r="XDD1661"/>
      <c r="XDE1661"/>
      <c r="XDF1661"/>
      <c r="XDG1661"/>
      <c r="XDH1661"/>
      <c r="XDI1661"/>
      <c r="XDJ1661"/>
      <c r="XDK1661"/>
      <c r="XDL1661"/>
      <c r="XDM1661"/>
      <c r="XDN1661"/>
      <c r="XDO1661"/>
      <c r="XDP1661"/>
      <c r="XDQ1661"/>
      <c r="XDR1661"/>
      <c r="XDS1661"/>
      <c r="XDT1661"/>
      <c r="XDU1661"/>
      <c r="XDV1661"/>
      <c r="XDW1661"/>
      <c r="XDX1661"/>
      <c r="XDY1661"/>
      <c r="XDZ1661"/>
      <c r="XEA1661"/>
      <c r="XEB1661"/>
      <c r="XEC1661"/>
      <c r="XED1661"/>
      <c r="XEE1661"/>
      <c r="XEF1661"/>
      <c r="XEG1661"/>
      <c r="XEH1661"/>
      <c r="XEI1661"/>
      <c r="XEJ1661"/>
      <c r="XEK1661"/>
      <c r="XEL1661"/>
      <c r="XEM1661"/>
      <c r="XEN1661"/>
      <c r="XEO1661"/>
      <c r="XEP1661"/>
      <c r="XEQ1661"/>
      <c r="XER1661"/>
      <c r="XES1661"/>
      <c r="XET1661"/>
      <c r="XEU1661"/>
      <c r="XEV1661"/>
      <c r="XEW1661"/>
      <c r="XEX1661"/>
      <c r="XEY1661"/>
      <c r="XEZ1661"/>
      <c r="XFA1661"/>
      <c r="XFB1661"/>
      <c r="XFC1661"/>
    </row>
    <row r="1662" spans="1:20 16329:16383" s="38" customFormat="1" ht="29.1" customHeight="1" outlineLevel="6" x14ac:dyDescent="0.25">
      <c r="A1662" s="49" t="s">
        <v>2850</v>
      </c>
      <c r="B1662" s="50"/>
      <c r="C1662" s="50"/>
      <c r="D1662" s="3" t="s">
        <v>2241</v>
      </c>
      <c r="E1662" s="3"/>
      <c r="F1662" s="51"/>
      <c r="G1662" s="50" t="s">
        <v>102</v>
      </c>
      <c r="H1662" s="52">
        <f>1</f>
        <v>1</v>
      </c>
      <c r="I1662" s="36"/>
      <c r="J1662" s="52">
        <v>1</v>
      </c>
      <c r="K1662" s="53">
        <f>0</f>
        <v>0</v>
      </c>
      <c r="L1662" s="53">
        <f>0</f>
        <v>0</v>
      </c>
      <c r="M1662" s="53">
        <f>0</f>
        <v>0</v>
      </c>
      <c r="N1662" s="54">
        <f>SUM(K1662:M1662)</f>
        <v>0</v>
      </c>
      <c r="O1662" s="54">
        <f>ROUND((H1662*K1662),2)</f>
        <v>0</v>
      </c>
      <c r="P1662" s="54">
        <f>ROUND((H1662*L1662),2)</f>
        <v>0</v>
      </c>
      <c r="Q1662" s="54">
        <f>ROUND((H1662*M1662),2)</f>
        <v>0</v>
      </c>
      <c r="R1662" s="54">
        <f>ROUND((H1662*N1662),2)</f>
        <v>0</v>
      </c>
      <c r="S1662" s="54"/>
      <c r="T1662" s="36"/>
      <c r="XDA1662"/>
      <c r="XDB1662"/>
      <c r="XDC1662"/>
      <c r="XDD1662"/>
      <c r="XDE1662"/>
      <c r="XDF1662"/>
      <c r="XDG1662"/>
      <c r="XDH1662"/>
      <c r="XDI1662"/>
      <c r="XDJ1662"/>
      <c r="XDK1662"/>
      <c r="XDL1662"/>
      <c r="XDM1662"/>
      <c r="XDN1662"/>
      <c r="XDO1662"/>
      <c r="XDP1662"/>
      <c r="XDQ1662"/>
      <c r="XDR1662"/>
      <c r="XDS1662"/>
      <c r="XDT1662"/>
      <c r="XDU1662"/>
      <c r="XDV1662"/>
      <c r="XDW1662"/>
      <c r="XDX1662"/>
      <c r="XDY1662"/>
      <c r="XDZ1662"/>
      <c r="XEA1662"/>
      <c r="XEB1662"/>
      <c r="XEC1662"/>
      <c r="XED1662"/>
      <c r="XEE1662"/>
      <c r="XEF1662"/>
      <c r="XEG1662"/>
      <c r="XEH1662"/>
      <c r="XEI1662"/>
      <c r="XEJ1662"/>
      <c r="XEK1662"/>
      <c r="XEL1662"/>
      <c r="XEM1662"/>
      <c r="XEN1662"/>
      <c r="XEO1662"/>
      <c r="XEP1662"/>
      <c r="XEQ1662"/>
      <c r="XER1662"/>
      <c r="XES1662"/>
      <c r="XET1662"/>
      <c r="XEU1662"/>
      <c r="XEV1662"/>
      <c r="XEW1662"/>
      <c r="XEX1662"/>
      <c r="XEY1662"/>
      <c r="XEZ1662"/>
      <c r="XFA1662"/>
      <c r="XFB1662"/>
      <c r="XFC1662"/>
    </row>
    <row r="1663" spans="1:20 16329:16383" s="38" customFormat="1" ht="29.1" customHeight="1" outlineLevel="6" x14ac:dyDescent="0.25">
      <c r="A1663" s="49" t="s">
        <v>2851</v>
      </c>
      <c r="B1663" s="50"/>
      <c r="C1663" s="50"/>
      <c r="D1663" s="3" t="s">
        <v>2582</v>
      </c>
      <c r="E1663" s="3"/>
      <c r="F1663" s="51"/>
      <c r="G1663" s="50" t="s">
        <v>102</v>
      </c>
      <c r="H1663" s="52">
        <f>1</f>
        <v>1</v>
      </c>
      <c r="I1663" s="36"/>
      <c r="J1663" s="52">
        <v>1</v>
      </c>
      <c r="K1663" s="53">
        <f>0</f>
        <v>0</v>
      </c>
      <c r="L1663" s="53">
        <f>0</f>
        <v>0</v>
      </c>
      <c r="M1663" s="53">
        <f>0</f>
        <v>0</v>
      </c>
      <c r="N1663" s="54">
        <f>SUM(K1663:M1663)</f>
        <v>0</v>
      </c>
      <c r="O1663" s="54">
        <f>ROUND((H1663*K1663),2)</f>
        <v>0</v>
      </c>
      <c r="P1663" s="54">
        <f>ROUND((H1663*L1663),2)</f>
        <v>0</v>
      </c>
      <c r="Q1663" s="54">
        <f>ROUND((H1663*M1663),2)</f>
        <v>0</v>
      </c>
      <c r="R1663" s="54">
        <f>ROUND((H1663*N1663),2)</f>
        <v>0</v>
      </c>
      <c r="S1663" s="54"/>
      <c r="T1663" s="36"/>
      <c r="XDA1663"/>
      <c r="XDB1663"/>
      <c r="XDC1663"/>
      <c r="XDD1663"/>
      <c r="XDE1663"/>
      <c r="XDF1663"/>
      <c r="XDG1663"/>
      <c r="XDH1663"/>
      <c r="XDI1663"/>
      <c r="XDJ1663"/>
      <c r="XDK1663"/>
      <c r="XDL1663"/>
      <c r="XDM1663"/>
      <c r="XDN1663"/>
      <c r="XDO1663"/>
      <c r="XDP1663"/>
      <c r="XDQ1663"/>
      <c r="XDR1663"/>
      <c r="XDS1663"/>
      <c r="XDT1663"/>
      <c r="XDU1663"/>
      <c r="XDV1663"/>
      <c r="XDW1663"/>
      <c r="XDX1663"/>
      <c r="XDY1663"/>
      <c r="XDZ1663"/>
      <c r="XEA1663"/>
      <c r="XEB1663"/>
      <c r="XEC1663"/>
      <c r="XED1663"/>
      <c r="XEE1663"/>
      <c r="XEF1663"/>
      <c r="XEG1663"/>
      <c r="XEH1663"/>
      <c r="XEI1663"/>
      <c r="XEJ1663"/>
      <c r="XEK1663"/>
      <c r="XEL1663"/>
      <c r="XEM1663"/>
      <c r="XEN1663"/>
      <c r="XEO1663"/>
      <c r="XEP1663"/>
      <c r="XEQ1663"/>
      <c r="XER1663"/>
      <c r="XES1663"/>
      <c r="XET1663"/>
      <c r="XEU1663"/>
      <c r="XEV1663"/>
      <c r="XEW1663"/>
      <c r="XEX1663"/>
      <c r="XEY1663"/>
      <c r="XEZ1663"/>
      <c r="XFA1663"/>
      <c r="XFB1663"/>
      <c r="XFC1663"/>
    </row>
    <row r="1664" spans="1:20 16329:16383" s="38" customFormat="1" ht="29.1" customHeight="1" outlineLevel="5" x14ac:dyDescent="0.25">
      <c r="A1664" s="65" t="s">
        <v>2852</v>
      </c>
      <c r="B1664" s="66" t="s">
        <v>2853</v>
      </c>
      <c r="C1664" s="66"/>
      <c r="D1664" s="98" t="s">
        <v>1498</v>
      </c>
      <c r="E1664" s="98"/>
      <c r="F1664" s="67"/>
      <c r="G1664" s="66"/>
      <c r="H1664" s="68"/>
      <c r="I1664" s="36"/>
      <c r="J1664" s="68"/>
      <c r="K1664" s="69"/>
      <c r="L1664" s="69"/>
      <c r="M1664" s="69"/>
      <c r="N1664" s="69"/>
      <c r="O1664" s="69">
        <f>SUM(O1665:O1669)</f>
        <v>0</v>
      </c>
      <c r="P1664" s="69">
        <f>SUM(P1665:P1669)</f>
        <v>0</v>
      </c>
      <c r="Q1664" s="69">
        <f>SUM(Q1665:Q1669)</f>
        <v>0</v>
      </c>
      <c r="R1664" s="69">
        <f>SUM(R1665:R1669)</f>
        <v>0</v>
      </c>
      <c r="S1664" s="69"/>
      <c r="T1664" s="36"/>
      <c r="XDA1664"/>
      <c r="XDB1664"/>
      <c r="XDC1664"/>
      <c r="XDD1664"/>
      <c r="XDE1664"/>
      <c r="XDF1664"/>
      <c r="XDG1664"/>
      <c r="XDH1664"/>
      <c r="XDI1664"/>
      <c r="XDJ1664"/>
      <c r="XDK1664"/>
      <c r="XDL1664"/>
      <c r="XDM1664"/>
      <c r="XDN1664"/>
      <c r="XDO1664"/>
      <c r="XDP1664"/>
      <c r="XDQ1664"/>
      <c r="XDR1664"/>
      <c r="XDS1664"/>
      <c r="XDT1664"/>
      <c r="XDU1664"/>
      <c r="XDV1664"/>
      <c r="XDW1664"/>
      <c r="XDX1664"/>
      <c r="XDY1664"/>
      <c r="XDZ1664"/>
      <c r="XEA1664"/>
      <c r="XEB1664"/>
      <c r="XEC1664"/>
      <c r="XED1664"/>
      <c r="XEE1664"/>
      <c r="XEF1664"/>
      <c r="XEG1664"/>
      <c r="XEH1664"/>
      <c r="XEI1664"/>
      <c r="XEJ1664"/>
      <c r="XEK1664"/>
      <c r="XEL1664"/>
      <c r="XEM1664"/>
      <c r="XEN1664"/>
      <c r="XEO1664"/>
      <c r="XEP1664"/>
      <c r="XEQ1664"/>
      <c r="XER1664"/>
      <c r="XES1664"/>
      <c r="XET1664"/>
      <c r="XEU1664"/>
      <c r="XEV1664"/>
      <c r="XEW1664"/>
      <c r="XEX1664"/>
      <c r="XEY1664"/>
      <c r="XEZ1664"/>
      <c r="XFA1664"/>
      <c r="XFB1664"/>
      <c r="XFC1664"/>
    </row>
    <row r="1665" spans="1:20 16329:16383" s="38" customFormat="1" ht="29.1" customHeight="1" outlineLevel="6" x14ac:dyDescent="0.25">
      <c r="A1665" s="49" t="s">
        <v>2854</v>
      </c>
      <c r="B1665" s="50"/>
      <c r="C1665" s="50"/>
      <c r="D1665" s="3" t="s">
        <v>2251</v>
      </c>
      <c r="E1665" s="3"/>
      <c r="F1665" s="51" t="s">
        <v>2252</v>
      </c>
      <c r="G1665" s="50" t="s">
        <v>29</v>
      </c>
      <c r="H1665" s="52">
        <f>1</f>
        <v>1</v>
      </c>
      <c r="I1665" s="36"/>
      <c r="J1665" s="52">
        <v>1</v>
      </c>
      <c r="K1665" s="53">
        <f>0</f>
        <v>0</v>
      </c>
      <c r="L1665" s="53">
        <f>0</f>
        <v>0</v>
      </c>
      <c r="M1665" s="53">
        <f>0</f>
        <v>0</v>
      </c>
      <c r="N1665" s="54">
        <f>SUM(K1665:M1665)</f>
        <v>0</v>
      </c>
      <c r="O1665" s="54">
        <f>ROUND((H1665*K1665),2)</f>
        <v>0</v>
      </c>
      <c r="P1665" s="54">
        <f>ROUND((H1665*L1665),2)</f>
        <v>0</v>
      </c>
      <c r="Q1665" s="54">
        <f>ROUND((H1665*M1665),2)</f>
        <v>0</v>
      </c>
      <c r="R1665" s="54">
        <f>ROUND((H1665*N1665),2)</f>
        <v>0</v>
      </c>
      <c r="S1665" s="54"/>
      <c r="T1665" s="36"/>
      <c r="XDA1665"/>
      <c r="XDB1665"/>
      <c r="XDC1665"/>
      <c r="XDD1665"/>
      <c r="XDE1665"/>
      <c r="XDF1665"/>
      <c r="XDG1665"/>
      <c r="XDH1665"/>
      <c r="XDI1665"/>
      <c r="XDJ1665"/>
      <c r="XDK1665"/>
      <c r="XDL1665"/>
      <c r="XDM1665"/>
      <c r="XDN1665"/>
      <c r="XDO1665"/>
      <c r="XDP1665"/>
      <c r="XDQ1665"/>
      <c r="XDR1665"/>
      <c r="XDS1665"/>
      <c r="XDT1665"/>
      <c r="XDU1665"/>
      <c r="XDV1665"/>
      <c r="XDW1665"/>
      <c r="XDX1665"/>
      <c r="XDY1665"/>
      <c r="XDZ1665"/>
      <c r="XEA1665"/>
      <c r="XEB1665"/>
      <c r="XEC1665"/>
      <c r="XED1665"/>
      <c r="XEE1665"/>
      <c r="XEF1665"/>
      <c r="XEG1665"/>
      <c r="XEH1665"/>
      <c r="XEI1665"/>
      <c r="XEJ1665"/>
      <c r="XEK1665"/>
      <c r="XEL1665"/>
      <c r="XEM1665"/>
      <c r="XEN1665"/>
      <c r="XEO1665"/>
      <c r="XEP1665"/>
      <c r="XEQ1665"/>
      <c r="XER1665"/>
      <c r="XES1665"/>
      <c r="XET1665"/>
      <c r="XEU1665"/>
      <c r="XEV1665"/>
      <c r="XEW1665"/>
      <c r="XEX1665"/>
      <c r="XEY1665"/>
      <c r="XEZ1665"/>
      <c r="XFA1665"/>
      <c r="XFB1665"/>
      <c r="XFC1665"/>
    </row>
    <row r="1666" spans="1:20 16329:16383" s="38" customFormat="1" ht="29.1" customHeight="1" outlineLevel="6" x14ac:dyDescent="0.25">
      <c r="A1666" s="49" t="s">
        <v>2855</v>
      </c>
      <c r="B1666" s="50"/>
      <c r="C1666" s="50"/>
      <c r="D1666" s="3" t="s">
        <v>2260</v>
      </c>
      <c r="E1666" s="3"/>
      <c r="F1666" s="51" t="s">
        <v>2252</v>
      </c>
      <c r="G1666" s="50" t="s">
        <v>29</v>
      </c>
      <c r="H1666" s="52">
        <f>1</f>
        <v>1</v>
      </c>
      <c r="I1666" s="36"/>
      <c r="J1666" s="52">
        <v>1</v>
      </c>
      <c r="K1666" s="53">
        <f>0</f>
        <v>0</v>
      </c>
      <c r="L1666" s="53">
        <f>0</f>
        <v>0</v>
      </c>
      <c r="M1666" s="53">
        <f>0</f>
        <v>0</v>
      </c>
      <c r="N1666" s="54">
        <f>SUM(K1666:M1666)</f>
        <v>0</v>
      </c>
      <c r="O1666" s="54">
        <f>ROUND((H1666*K1666),2)</f>
        <v>0</v>
      </c>
      <c r="P1666" s="54">
        <f>ROUND((H1666*L1666),2)</f>
        <v>0</v>
      </c>
      <c r="Q1666" s="54">
        <f>ROUND((H1666*M1666),2)</f>
        <v>0</v>
      </c>
      <c r="R1666" s="54">
        <f>ROUND((H1666*N1666),2)</f>
        <v>0</v>
      </c>
      <c r="S1666" s="54"/>
      <c r="T1666" s="36"/>
      <c r="XDA1666"/>
      <c r="XDB1666"/>
      <c r="XDC1666"/>
      <c r="XDD1666"/>
      <c r="XDE1666"/>
      <c r="XDF1666"/>
      <c r="XDG1666"/>
      <c r="XDH1666"/>
      <c r="XDI1666"/>
      <c r="XDJ1666"/>
      <c r="XDK1666"/>
      <c r="XDL1666"/>
      <c r="XDM1666"/>
      <c r="XDN1666"/>
      <c r="XDO1666"/>
      <c r="XDP1666"/>
      <c r="XDQ1666"/>
      <c r="XDR1666"/>
      <c r="XDS1666"/>
      <c r="XDT1666"/>
      <c r="XDU1666"/>
      <c r="XDV1666"/>
      <c r="XDW1666"/>
      <c r="XDX1666"/>
      <c r="XDY1666"/>
      <c r="XDZ1666"/>
      <c r="XEA1666"/>
      <c r="XEB1666"/>
      <c r="XEC1666"/>
      <c r="XED1666"/>
      <c r="XEE1666"/>
      <c r="XEF1666"/>
      <c r="XEG1666"/>
      <c r="XEH1666"/>
      <c r="XEI1666"/>
      <c r="XEJ1666"/>
      <c r="XEK1666"/>
      <c r="XEL1666"/>
      <c r="XEM1666"/>
      <c r="XEN1666"/>
      <c r="XEO1666"/>
      <c r="XEP1666"/>
      <c r="XEQ1666"/>
      <c r="XER1666"/>
      <c r="XES1666"/>
      <c r="XET1666"/>
      <c r="XEU1666"/>
      <c r="XEV1666"/>
      <c r="XEW1666"/>
      <c r="XEX1666"/>
      <c r="XEY1666"/>
      <c r="XEZ1666"/>
      <c r="XFA1666"/>
      <c r="XFB1666"/>
      <c r="XFC1666"/>
    </row>
    <row r="1667" spans="1:20 16329:16383" s="38" customFormat="1" ht="29.1" customHeight="1" outlineLevel="6" x14ac:dyDescent="0.25">
      <c r="A1667" s="49" t="s">
        <v>2856</v>
      </c>
      <c r="B1667" s="50"/>
      <c r="C1667" s="50"/>
      <c r="D1667" s="3" t="s">
        <v>2258</v>
      </c>
      <c r="E1667" s="3"/>
      <c r="F1667" s="51" t="s">
        <v>2252</v>
      </c>
      <c r="G1667" s="50" t="s">
        <v>29</v>
      </c>
      <c r="H1667" s="52">
        <f>1</f>
        <v>1</v>
      </c>
      <c r="I1667" s="36"/>
      <c r="J1667" s="52">
        <v>1</v>
      </c>
      <c r="K1667" s="53">
        <f>0</f>
        <v>0</v>
      </c>
      <c r="L1667" s="53">
        <f>0</f>
        <v>0</v>
      </c>
      <c r="M1667" s="53">
        <f>0</f>
        <v>0</v>
      </c>
      <c r="N1667" s="54">
        <f>SUM(K1667:M1667)</f>
        <v>0</v>
      </c>
      <c r="O1667" s="54">
        <f>ROUND((H1667*K1667),2)</f>
        <v>0</v>
      </c>
      <c r="P1667" s="54">
        <f>ROUND((H1667*L1667),2)</f>
        <v>0</v>
      </c>
      <c r="Q1667" s="54">
        <f>ROUND((H1667*M1667),2)</f>
        <v>0</v>
      </c>
      <c r="R1667" s="54">
        <f>ROUND((H1667*N1667),2)</f>
        <v>0</v>
      </c>
      <c r="S1667" s="54"/>
      <c r="T1667" s="36"/>
      <c r="XDA1667"/>
      <c r="XDB1667"/>
      <c r="XDC1667"/>
      <c r="XDD1667"/>
      <c r="XDE1667"/>
      <c r="XDF1667"/>
      <c r="XDG1667"/>
      <c r="XDH1667"/>
      <c r="XDI1667"/>
      <c r="XDJ1667"/>
      <c r="XDK1667"/>
      <c r="XDL1667"/>
      <c r="XDM1667"/>
      <c r="XDN1667"/>
      <c r="XDO1667"/>
      <c r="XDP1667"/>
      <c r="XDQ1667"/>
      <c r="XDR1667"/>
      <c r="XDS1667"/>
      <c r="XDT1667"/>
      <c r="XDU1667"/>
      <c r="XDV1667"/>
      <c r="XDW1667"/>
      <c r="XDX1667"/>
      <c r="XDY1667"/>
      <c r="XDZ1667"/>
      <c r="XEA1667"/>
      <c r="XEB1667"/>
      <c r="XEC1667"/>
      <c r="XED1667"/>
      <c r="XEE1667"/>
      <c r="XEF1667"/>
      <c r="XEG1667"/>
      <c r="XEH1667"/>
      <c r="XEI1667"/>
      <c r="XEJ1667"/>
      <c r="XEK1667"/>
      <c r="XEL1667"/>
      <c r="XEM1667"/>
      <c r="XEN1667"/>
      <c r="XEO1667"/>
      <c r="XEP1667"/>
      <c r="XEQ1667"/>
      <c r="XER1667"/>
      <c r="XES1667"/>
      <c r="XET1667"/>
      <c r="XEU1667"/>
      <c r="XEV1667"/>
      <c r="XEW1667"/>
      <c r="XEX1667"/>
      <c r="XEY1667"/>
      <c r="XEZ1667"/>
      <c r="XFA1667"/>
      <c r="XFB1667"/>
      <c r="XFC1667"/>
    </row>
    <row r="1668" spans="1:20 16329:16383" s="38" customFormat="1" ht="29.1" customHeight="1" outlineLevel="6" x14ac:dyDescent="0.25">
      <c r="A1668" s="49" t="s">
        <v>2857</v>
      </c>
      <c r="B1668" s="50"/>
      <c r="C1668" s="50"/>
      <c r="D1668" s="3" t="s">
        <v>2324</v>
      </c>
      <c r="E1668" s="3"/>
      <c r="F1668" s="51" t="s">
        <v>2252</v>
      </c>
      <c r="G1668" s="50" t="s">
        <v>29</v>
      </c>
      <c r="H1668" s="52">
        <f>1</f>
        <v>1</v>
      </c>
      <c r="I1668" s="36"/>
      <c r="J1668" s="52">
        <v>1</v>
      </c>
      <c r="K1668" s="53">
        <f>0</f>
        <v>0</v>
      </c>
      <c r="L1668" s="53">
        <f>0</f>
        <v>0</v>
      </c>
      <c r="M1668" s="53">
        <f>0</f>
        <v>0</v>
      </c>
      <c r="N1668" s="54">
        <f>SUM(K1668:M1668)</f>
        <v>0</v>
      </c>
      <c r="O1668" s="54">
        <f>ROUND((H1668*K1668),2)</f>
        <v>0</v>
      </c>
      <c r="P1668" s="54">
        <f>ROUND((H1668*L1668),2)</f>
        <v>0</v>
      </c>
      <c r="Q1668" s="54">
        <f>ROUND((H1668*M1668),2)</f>
        <v>0</v>
      </c>
      <c r="R1668" s="54">
        <f>ROUND((H1668*N1668),2)</f>
        <v>0</v>
      </c>
      <c r="S1668" s="54"/>
      <c r="T1668" s="36"/>
      <c r="XDA1668"/>
      <c r="XDB1668"/>
      <c r="XDC1668"/>
      <c r="XDD1668"/>
      <c r="XDE1668"/>
      <c r="XDF1668"/>
      <c r="XDG1668"/>
      <c r="XDH1668"/>
      <c r="XDI1668"/>
      <c r="XDJ1668"/>
      <c r="XDK1668"/>
      <c r="XDL1668"/>
      <c r="XDM1668"/>
      <c r="XDN1668"/>
      <c r="XDO1668"/>
      <c r="XDP1668"/>
      <c r="XDQ1668"/>
      <c r="XDR1668"/>
      <c r="XDS1668"/>
      <c r="XDT1668"/>
      <c r="XDU1668"/>
      <c r="XDV1668"/>
      <c r="XDW1668"/>
      <c r="XDX1668"/>
      <c r="XDY1668"/>
      <c r="XDZ1668"/>
      <c r="XEA1668"/>
      <c r="XEB1668"/>
      <c r="XEC1668"/>
      <c r="XED1668"/>
      <c r="XEE1668"/>
      <c r="XEF1668"/>
      <c r="XEG1668"/>
      <c r="XEH1668"/>
      <c r="XEI1668"/>
      <c r="XEJ1668"/>
      <c r="XEK1668"/>
      <c r="XEL1668"/>
      <c r="XEM1668"/>
      <c r="XEN1668"/>
      <c r="XEO1668"/>
      <c r="XEP1668"/>
      <c r="XEQ1668"/>
      <c r="XER1668"/>
      <c r="XES1668"/>
      <c r="XET1668"/>
      <c r="XEU1668"/>
      <c r="XEV1668"/>
      <c r="XEW1668"/>
      <c r="XEX1668"/>
      <c r="XEY1668"/>
      <c r="XEZ1668"/>
      <c r="XFA1668"/>
      <c r="XFB1668"/>
      <c r="XFC1668"/>
    </row>
    <row r="1669" spans="1:20 16329:16383" s="38" customFormat="1" ht="29.1" customHeight="1" outlineLevel="6" x14ac:dyDescent="0.25">
      <c r="A1669" s="49" t="s">
        <v>2858</v>
      </c>
      <c r="B1669" s="50"/>
      <c r="C1669" s="50"/>
      <c r="D1669" s="3" t="s">
        <v>2326</v>
      </c>
      <c r="E1669" s="3"/>
      <c r="F1669" s="51" t="s">
        <v>2252</v>
      </c>
      <c r="G1669" s="50" t="s">
        <v>29</v>
      </c>
      <c r="H1669" s="52">
        <f>1</f>
        <v>1</v>
      </c>
      <c r="I1669" s="36"/>
      <c r="J1669" s="52">
        <v>1</v>
      </c>
      <c r="K1669" s="53">
        <f>0</f>
        <v>0</v>
      </c>
      <c r="L1669" s="53">
        <f>0</f>
        <v>0</v>
      </c>
      <c r="M1669" s="53">
        <f>0</f>
        <v>0</v>
      </c>
      <c r="N1669" s="54">
        <f>SUM(K1669:M1669)</f>
        <v>0</v>
      </c>
      <c r="O1669" s="54">
        <f>ROUND((H1669*K1669),2)</f>
        <v>0</v>
      </c>
      <c r="P1669" s="54">
        <f>ROUND((H1669*L1669),2)</f>
        <v>0</v>
      </c>
      <c r="Q1669" s="54">
        <f>ROUND((H1669*M1669),2)</f>
        <v>0</v>
      </c>
      <c r="R1669" s="54">
        <f>ROUND((H1669*N1669),2)</f>
        <v>0</v>
      </c>
      <c r="S1669" s="54"/>
      <c r="T1669" s="36"/>
      <c r="XDA1669"/>
      <c r="XDB1669"/>
      <c r="XDC1669"/>
      <c r="XDD1669"/>
      <c r="XDE1669"/>
      <c r="XDF1669"/>
      <c r="XDG1669"/>
      <c r="XDH1669"/>
      <c r="XDI1669"/>
      <c r="XDJ1669"/>
      <c r="XDK1669"/>
      <c r="XDL1669"/>
      <c r="XDM1669"/>
      <c r="XDN1669"/>
      <c r="XDO1669"/>
      <c r="XDP1669"/>
      <c r="XDQ1669"/>
      <c r="XDR1669"/>
      <c r="XDS1669"/>
      <c r="XDT1669"/>
      <c r="XDU1669"/>
      <c r="XDV1669"/>
      <c r="XDW1669"/>
      <c r="XDX1669"/>
      <c r="XDY1669"/>
      <c r="XDZ1669"/>
      <c r="XEA1669"/>
      <c r="XEB1669"/>
      <c r="XEC1669"/>
      <c r="XED1669"/>
      <c r="XEE1669"/>
      <c r="XEF1669"/>
      <c r="XEG1669"/>
      <c r="XEH1669"/>
      <c r="XEI1669"/>
      <c r="XEJ1669"/>
      <c r="XEK1669"/>
      <c r="XEL1669"/>
      <c r="XEM1669"/>
      <c r="XEN1669"/>
      <c r="XEO1669"/>
      <c r="XEP1669"/>
      <c r="XEQ1669"/>
      <c r="XER1669"/>
      <c r="XES1669"/>
      <c r="XET1669"/>
      <c r="XEU1669"/>
      <c r="XEV1669"/>
      <c r="XEW1669"/>
      <c r="XEX1669"/>
      <c r="XEY1669"/>
      <c r="XEZ1669"/>
      <c r="XFA1669"/>
      <c r="XFB1669"/>
      <c r="XFC1669"/>
    </row>
    <row r="1670" spans="1:20 16329:16383" s="38" customFormat="1" ht="29.1" customHeight="1" outlineLevel="4" x14ac:dyDescent="0.25">
      <c r="A1670" s="60" t="s">
        <v>2859</v>
      </c>
      <c r="B1670" s="61" t="s">
        <v>2860</v>
      </c>
      <c r="C1670" s="61" t="s">
        <v>2382</v>
      </c>
      <c r="D1670" s="1" t="s">
        <v>2592</v>
      </c>
      <c r="E1670" s="1"/>
      <c r="F1670" s="62"/>
      <c r="G1670" s="61" t="s">
        <v>102</v>
      </c>
      <c r="H1670" s="63"/>
      <c r="I1670" s="36"/>
      <c r="J1670" s="63"/>
      <c r="K1670" s="64"/>
      <c r="L1670" s="64"/>
      <c r="M1670" s="64"/>
      <c r="N1670" s="64"/>
      <c r="O1670" s="64">
        <f>O1671+O1680+O1687+O1696</f>
        <v>0</v>
      </c>
      <c r="P1670" s="64">
        <f>P1671+P1680+P1687+P1696</f>
        <v>0</v>
      </c>
      <c r="Q1670" s="64">
        <f>Q1671+Q1680+Q1687+Q1696</f>
        <v>0</v>
      </c>
      <c r="R1670" s="64">
        <f>R1671+R1680+R1687+R1696</f>
        <v>0</v>
      </c>
      <c r="S1670" s="64"/>
      <c r="T1670" s="36"/>
      <c r="XDA1670"/>
      <c r="XDB1670"/>
      <c r="XDC1670"/>
      <c r="XDD1670"/>
      <c r="XDE1670"/>
      <c r="XDF1670"/>
      <c r="XDG1670"/>
      <c r="XDH1670"/>
      <c r="XDI1670"/>
      <c r="XDJ1670"/>
      <c r="XDK1670"/>
      <c r="XDL1670"/>
      <c r="XDM1670"/>
      <c r="XDN1670"/>
      <c r="XDO1670"/>
      <c r="XDP1670"/>
      <c r="XDQ1670"/>
      <c r="XDR1670"/>
      <c r="XDS1670"/>
      <c r="XDT1670"/>
      <c r="XDU1670"/>
      <c r="XDV1670"/>
      <c r="XDW1670"/>
      <c r="XDX1670"/>
      <c r="XDY1670"/>
      <c r="XDZ1670"/>
      <c r="XEA1670"/>
      <c r="XEB1670"/>
      <c r="XEC1670"/>
      <c r="XED1670"/>
      <c r="XEE1670"/>
      <c r="XEF1670"/>
      <c r="XEG1670"/>
      <c r="XEH1670"/>
      <c r="XEI1670"/>
      <c r="XEJ1670"/>
      <c r="XEK1670"/>
      <c r="XEL1670"/>
      <c r="XEM1670"/>
      <c r="XEN1670"/>
      <c r="XEO1670"/>
      <c r="XEP1670"/>
      <c r="XEQ1670"/>
      <c r="XER1670"/>
      <c r="XES1670"/>
      <c r="XET1670"/>
      <c r="XEU1670"/>
      <c r="XEV1670"/>
      <c r="XEW1670"/>
      <c r="XEX1670"/>
      <c r="XEY1670"/>
      <c r="XEZ1670"/>
      <c r="XFA1670"/>
      <c r="XFB1670"/>
      <c r="XFC1670"/>
    </row>
    <row r="1671" spans="1:20 16329:16383" s="38" customFormat="1" ht="29.1" customHeight="1" outlineLevel="5" x14ac:dyDescent="0.25">
      <c r="A1671" s="65" t="s">
        <v>2861</v>
      </c>
      <c r="B1671" s="66" t="s">
        <v>2862</v>
      </c>
      <c r="C1671" s="66"/>
      <c r="D1671" s="98" t="s">
        <v>1873</v>
      </c>
      <c r="E1671" s="98"/>
      <c r="F1671" s="67"/>
      <c r="G1671" s="66"/>
      <c r="H1671" s="68"/>
      <c r="I1671" s="36"/>
      <c r="J1671" s="68"/>
      <c r="K1671" s="69"/>
      <c r="L1671" s="69"/>
      <c r="M1671" s="69"/>
      <c r="N1671" s="69"/>
      <c r="O1671" s="69">
        <f>SUM(O1672:O1679)</f>
        <v>0</v>
      </c>
      <c r="P1671" s="69">
        <f>SUM(P1672:P1679)</f>
        <v>0</v>
      </c>
      <c r="Q1671" s="69">
        <f>SUM(Q1672:Q1679)</f>
        <v>0</v>
      </c>
      <c r="R1671" s="69">
        <f>SUM(R1672:R1679)</f>
        <v>0</v>
      </c>
      <c r="S1671" s="69"/>
      <c r="T1671" s="36"/>
      <c r="XDA1671"/>
      <c r="XDB1671"/>
      <c r="XDC1671"/>
      <c r="XDD1671"/>
      <c r="XDE1671"/>
      <c r="XDF1671"/>
      <c r="XDG1671"/>
      <c r="XDH1671"/>
      <c r="XDI1671"/>
      <c r="XDJ1671"/>
      <c r="XDK1671"/>
      <c r="XDL1671"/>
      <c r="XDM1671"/>
      <c r="XDN1671"/>
      <c r="XDO1671"/>
      <c r="XDP1671"/>
      <c r="XDQ1671"/>
      <c r="XDR1671"/>
      <c r="XDS1671"/>
      <c r="XDT1671"/>
      <c r="XDU1671"/>
      <c r="XDV1671"/>
      <c r="XDW1671"/>
      <c r="XDX1671"/>
      <c r="XDY1671"/>
      <c r="XDZ1671"/>
      <c r="XEA1671"/>
      <c r="XEB1671"/>
      <c r="XEC1671"/>
      <c r="XED1671"/>
      <c r="XEE1671"/>
      <c r="XEF1671"/>
      <c r="XEG1671"/>
      <c r="XEH1671"/>
      <c r="XEI1671"/>
      <c r="XEJ1671"/>
      <c r="XEK1671"/>
      <c r="XEL1671"/>
      <c r="XEM1671"/>
      <c r="XEN1671"/>
      <c r="XEO1671"/>
      <c r="XEP1671"/>
      <c r="XEQ1671"/>
      <c r="XER1671"/>
      <c r="XES1671"/>
      <c r="XET1671"/>
      <c r="XEU1671"/>
      <c r="XEV1671"/>
      <c r="XEW1671"/>
      <c r="XEX1671"/>
      <c r="XEY1671"/>
      <c r="XEZ1671"/>
      <c r="XFA1671"/>
      <c r="XFB1671"/>
      <c r="XFC1671"/>
    </row>
    <row r="1672" spans="1:20 16329:16383" s="38" customFormat="1" ht="29.1" customHeight="1" outlineLevel="6" x14ac:dyDescent="0.25">
      <c r="A1672" s="49" t="s">
        <v>2863</v>
      </c>
      <c r="B1672" s="50"/>
      <c r="C1672" s="50"/>
      <c r="D1672" s="3" t="s">
        <v>2387</v>
      </c>
      <c r="E1672" s="3"/>
      <c r="F1672" s="51"/>
      <c r="G1672" s="50" t="s">
        <v>102</v>
      </c>
      <c r="H1672" s="52">
        <f>1</f>
        <v>1</v>
      </c>
      <c r="I1672" s="36"/>
      <c r="J1672" s="52">
        <v>1</v>
      </c>
      <c r="K1672" s="53">
        <f>0</f>
        <v>0</v>
      </c>
      <c r="L1672" s="53">
        <f>0</f>
        <v>0</v>
      </c>
      <c r="M1672" s="53">
        <f>0</f>
        <v>0</v>
      </c>
      <c r="N1672" s="54">
        <f t="shared" ref="N1672:N1679" si="324">SUM(K1672:M1672)</f>
        <v>0</v>
      </c>
      <c r="O1672" s="54">
        <f t="shared" ref="O1672:O1679" si="325">ROUND((H1672*K1672),2)</f>
        <v>0</v>
      </c>
      <c r="P1672" s="54">
        <f t="shared" ref="P1672:P1679" si="326">ROUND((H1672*L1672),2)</f>
        <v>0</v>
      </c>
      <c r="Q1672" s="54">
        <f t="shared" ref="Q1672:Q1679" si="327">ROUND((H1672*M1672),2)</f>
        <v>0</v>
      </c>
      <c r="R1672" s="54">
        <f t="shared" ref="R1672:R1679" si="328">ROUND((H1672*N1672),2)</f>
        <v>0</v>
      </c>
      <c r="S1672" s="54"/>
      <c r="T1672" s="36"/>
      <c r="XDA1672"/>
      <c r="XDB1672"/>
      <c r="XDC1672"/>
      <c r="XDD1672"/>
      <c r="XDE1672"/>
      <c r="XDF1672"/>
      <c r="XDG1672"/>
      <c r="XDH1672"/>
      <c r="XDI1672"/>
      <c r="XDJ1672"/>
      <c r="XDK1672"/>
      <c r="XDL1672"/>
      <c r="XDM1672"/>
      <c r="XDN1672"/>
      <c r="XDO1672"/>
      <c r="XDP1672"/>
      <c r="XDQ1672"/>
      <c r="XDR1672"/>
      <c r="XDS1672"/>
      <c r="XDT1672"/>
      <c r="XDU1672"/>
      <c r="XDV1672"/>
      <c r="XDW1672"/>
      <c r="XDX1672"/>
      <c r="XDY1672"/>
      <c r="XDZ1672"/>
      <c r="XEA1672"/>
      <c r="XEB1672"/>
      <c r="XEC1672"/>
      <c r="XED1672"/>
      <c r="XEE1672"/>
      <c r="XEF1672"/>
      <c r="XEG1672"/>
      <c r="XEH1672"/>
      <c r="XEI1672"/>
      <c r="XEJ1672"/>
      <c r="XEK1672"/>
      <c r="XEL1672"/>
      <c r="XEM1672"/>
      <c r="XEN1672"/>
      <c r="XEO1672"/>
      <c r="XEP1672"/>
      <c r="XEQ1672"/>
      <c r="XER1672"/>
      <c r="XES1672"/>
      <c r="XET1672"/>
      <c r="XEU1672"/>
      <c r="XEV1672"/>
      <c r="XEW1672"/>
      <c r="XEX1672"/>
      <c r="XEY1672"/>
      <c r="XEZ1672"/>
      <c r="XFA1672"/>
      <c r="XFB1672"/>
      <c r="XFC1672"/>
    </row>
    <row r="1673" spans="1:20 16329:16383" s="38" customFormat="1" ht="29.1" customHeight="1" outlineLevel="6" x14ac:dyDescent="0.25">
      <c r="A1673" s="49" t="s">
        <v>2864</v>
      </c>
      <c r="B1673" s="50"/>
      <c r="C1673" s="50"/>
      <c r="D1673" s="3" t="s">
        <v>1875</v>
      </c>
      <c r="E1673" s="3"/>
      <c r="F1673" s="51"/>
      <c r="G1673" s="50" t="s">
        <v>102</v>
      </c>
      <c r="H1673" s="52">
        <f>1</f>
        <v>1</v>
      </c>
      <c r="I1673" s="36"/>
      <c r="J1673" s="52">
        <v>1</v>
      </c>
      <c r="K1673" s="53">
        <f>0</f>
        <v>0</v>
      </c>
      <c r="L1673" s="53">
        <f>0</f>
        <v>0</v>
      </c>
      <c r="M1673" s="53">
        <f>0</f>
        <v>0</v>
      </c>
      <c r="N1673" s="54">
        <f t="shared" si="324"/>
        <v>0</v>
      </c>
      <c r="O1673" s="54">
        <f t="shared" si="325"/>
        <v>0</v>
      </c>
      <c r="P1673" s="54">
        <f t="shared" si="326"/>
        <v>0</v>
      </c>
      <c r="Q1673" s="54">
        <f t="shared" si="327"/>
        <v>0</v>
      </c>
      <c r="R1673" s="54">
        <f t="shared" si="328"/>
        <v>0</v>
      </c>
      <c r="S1673" s="54"/>
      <c r="T1673" s="36"/>
      <c r="XDA1673"/>
      <c r="XDB1673"/>
      <c r="XDC1673"/>
      <c r="XDD1673"/>
      <c r="XDE1673"/>
      <c r="XDF1673"/>
      <c r="XDG1673"/>
      <c r="XDH1673"/>
      <c r="XDI1673"/>
      <c r="XDJ1673"/>
      <c r="XDK1673"/>
      <c r="XDL1673"/>
      <c r="XDM1673"/>
      <c r="XDN1673"/>
      <c r="XDO1673"/>
      <c r="XDP1673"/>
      <c r="XDQ1673"/>
      <c r="XDR1673"/>
      <c r="XDS1673"/>
      <c r="XDT1673"/>
      <c r="XDU1673"/>
      <c r="XDV1673"/>
      <c r="XDW1673"/>
      <c r="XDX1673"/>
      <c r="XDY1673"/>
      <c r="XDZ1673"/>
      <c r="XEA1673"/>
      <c r="XEB1673"/>
      <c r="XEC1673"/>
      <c r="XED1673"/>
      <c r="XEE1673"/>
      <c r="XEF1673"/>
      <c r="XEG1673"/>
      <c r="XEH1673"/>
      <c r="XEI1673"/>
      <c r="XEJ1673"/>
      <c r="XEK1673"/>
      <c r="XEL1673"/>
      <c r="XEM1673"/>
      <c r="XEN1673"/>
      <c r="XEO1673"/>
      <c r="XEP1673"/>
      <c r="XEQ1673"/>
      <c r="XER1673"/>
      <c r="XES1673"/>
      <c r="XET1673"/>
      <c r="XEU1673"/>
      <c r="XEV1673"/>
      <c r="XEW1673"/>
      <c r="XEX1673"/>
      <c r="XEY1673"/>
      <c r="XEZ1673"/>
      <c r="XFA1673"/>
      <c r="XFB1673"/>
      <c r="XFC1673"/>
    </row>
    <row r="1674" spans="1:20 16329:16383" s="38" customFormat="1" ht="29.1" customHeight="1" outlineLevel="6" x14ac:dyDescent="0.25">
      <c r="A1674" s="49" t="s">
        <v>2865</v>
      </c>
      <c r="B1674" s="50"/>
      <c r="C1674" s="50"/>
      <c r="D1674" s="3" t="s">
        <v>2390</v>
      </c>
      <c r="E1674" s="3"/>
      <c r="F1674" s="51"/>
      <c r="G1674" s="50" t="s">
        <v>102</v>
      </c>
      <c r="H1674" s="52">
        <f>1</f>
        <v>1</v>
      </c>
      <c r="I1674" s="36"/>
      <c r="J1674" s="52">
        <v>1</v>
      </c>
      <c r="K1674" s="53">
        <f>0</f>
        <v>0</v>
      </c>
      <c r="L1674" s="53">
        <f>0</f>
        <v>0</v>
      </c>
      <c r="M1674" s="53">
        <f>0</f>
        <v>0</v>
      </c>
      <c r="N1674" s="54">
        <f t="shared" si="324"/>
        <v>0</v>
      </c>
      <c r="O1674" s="54">
        <f t="shared" si="325"/>
        <v>0</v>
      </c>
      <c r="P1674" s="54">
        <f t="shared" si="326"/>
        <v>0</v>
      </c>
      <c r="Q1674" s="54">
        <f t="shared" si="327"/>
        <v>0</v>
      </c>
      <c r="R1674" s="54">
        <f t="shared" si="328"/>
        <v>0</v>
      </c>
      <c r="S1674" s="54"/>
      <c r="T1674" s="36"/>
      <c r="XDA1674"/>
      <c r="XDB1674"/>
      <c r="XDC1674"/>
      <c r="XDD1674"/>
      <c r="XDE1674"/>
      <c r="XDF1674"/>
      <c r="XDG1674"/>
      <c r="XDH1674"/>
      <c r="XDI1674"/>
      <c r="XDJ1674"/>
      <c r="XDK1674"/>
      <c r="XDL1674"/>
      <c r="XDM1674"/>
      <c r="XDN1674"/>
      <c r="XDO1674"/>
      <c r="XDP1674"/>
      <c r="XDQ1674"/>
      <c r="XDR1674"/>
      <c r="XDS1674"/>
      <c r="XDT1674"/>
      <c r="XDU1674"/>
      <c r="XDV1674"/>
      <c r="XDW1674"/>
      <c r="XDX1674"/>
      <c r="XDY1674"/>
      <c r="XDZ1674"/>
      <c r="XEA1674"/>
      <c r="XEB1674"/>
      <c r="XEC1674"/>
      <c r="XED1674"/>
      <c r="XEE1674"/>
      <c r="XEF1674"/>
      <c r="XEG1674"/>
      <c r="XEH1674"/>
      <c r="XEI1674"/>
      <c r="XEJ1674"/>
      <c r="XEK1674"/>
      <c r="XEL1674"/>
      <c r="XEM1674"/>
      <c r="XEN1674"/>
      <c r="XEO1674"/>
      <c r="XEP1674"/>
      <c r="XEQ1674"/>
      <c r="XER1674"/>
      <c r="XES1674"/>
      <c r="XET1674"/>
      <c r="XEU1674"/>
      <c r="XEV1674"/>
      <c r="XEW1674"/>
      <c r="XEX1674"/>
      <c r="XEY1674"/>
      <c r="XEZ1674"/>
      <c r="XFA1674"/>
      <c r="XFB1674"/>
      <c r="XFC1674"/>
    </row>
    <row r="1675" spans="1:20 16329:16383" s="38" customFormat="1" ht="29.1" customHeight="1" outlineLevel="6" x14ac:dyDescent="0.25">
      <c r="A1675" s="49" t="s">
        <v>2866</v>
      </c>
      <c r="B1675" s="50"/>
      <c r="C1675" s="50"/>
      <c r="D1675" s="3" t="s">
        <v>2392</v>
      </c>
      <c r="E1675" s="3"/>
      <c r="F1675" s="51"/>
      <c r="G1675" s="50" t="s">
        <v>102</v>
      </c>
      <c r="H1675" s="52">
        <f>1</f>
        <v>1</v>
      </c>
      <c r="I1675" s="36"/>
      <c r="J1675" s="52">
        <v>1</v>
      </c>
      <c r="K1675" s="53">
        <f>0</f>
        <v>0</v>
      </c>
      <c r="L1675" s="53">
        <f>0</f>
        <v>0</v>
      </c>
      <c r="M1675" s="53">
        <f>0</f>
        <v>0</v>
      </c>
      <c r="N1675" s="54">
        <f t="shared" si="324"/>
        <v>0</v>
      </c>
      <c r="O1675" s="54">
        <f t="shared" si="325"/>
        <v>0</v>
      </c>
      <c r="P1675" s="54">
        <f t="shared" si="326"/>
        <v>0</v>
      </c>
      <c r="Q1675" s="54">
        <f t="shared" si="327"/>
        <v>0</v>
      </c>
      <c r="R1675" s="54">
        <f t="shared" si="328"/>
        <v>0</v>
      </c>
      <c r="S1675" s="54"/>
      <c r="T1675" s="36"/>
      <c r="XDA1675"/>
      <c r="XDB1675"/>
      <c r="XDC1675"/>
      <c r="XDD1675"/>
      <c r="XDE1675"/>
      <c r="XDF1675"/>
      <c r="XDG1675"/>
      <c r="XDH1675"/>
      <c r="XDI1675"/>
      <c r="XDJ1675"/>
      <c r="XDK1675"/>
      <c r="XDL1675"/>
      <c r="XDM1675"/>
      <c r="XDN1675"/>
      <c r="XDO1675"/>
      <c r="XDP1675"/>
      <c r="XDQ1675"/>
      <c r="XDR1675"/>
      <c r="XDS1675"/>
      <c r="XDT1675"/>
      <c r="XDU1675"/>
      <c r="XDV1675"/>
      <c r="XDW1675"/>
      <c r="XDX1675"/>
      <c r="XDY1675"/>
      <c r="XDZ1675"/>
      <c r="XEA1675"/>
      <c r="XEB1675"/>
      <c r="XEC1675"/>
      <c r="XED1675"/>
      <c r="XEE1675"/>
      <c r="XEF1675"/>
      <c r="XEG1675"/>
      <c r="XEH1675"/>
      <c r="XEI1675"/>
      <c r="XEJ1675"/>
      <c r="XEK1675"/>
      <c r="XEL1675"/>
      <c r="XEM1675"/>
      <c r="XEN1675"/>
      <c r="XEO1675"/>
      <c r="XEP1675"/>
      <c r="XEQ1675"/>
      <c r="XER1675"/>
      <c r="XES1675"/>
      <c r="XET1675"/>
      <c r="XEU1675"/>
      <c r="XEV1675"/>
      <c r="XEW1675"/>
      <c r="XEX1675"/>
      <c r="XEY1675"/>
      <c r="XEZ1675"/>
      <c r="XFA1675"/>
      <c r="XFB1675"/>
      <c r="XFC1675"/>
    </row>
    <row r="1676" spans="1:20 16329:16383" s="38" customFormat="1" ht="29.1" customHeight="1" outlineLevel="6" x14ac:dyDescent="0.25">
      <c r="A1676" s="49" t="s">
        <v>2867</v>
      </c>
      <c r="B1676" s="50"/>
      <c r="C1676" s="50"/>
      <c r="D1676" s="3" t="s">
        <v>2394</v>
      </c>
      <c r="E1676" s="3"/>
      <c r="F1676" s="51"/>
      <c r="G1676" s="50" t="s">
        <v>102</v>
      </c>
      <c r="H1676" s="52">
        <f>1</f>
        <v>1</v>
      </c>
      <c r="I1676" s="36"/>
      <c r="J1676" s="52">
        <v>1</v>
      </c>
      <c r="K1676" s="53">
        <f>0</f>
        <v>0</v>
      </c>
      <c r="L1676" s="53">
        <f>0</f>
        <v>0</v>
      </c>
      <c r="M1676" s="53">
        <f>0</f>
        <v>0</v>
      </c>
      <c r="N1676" s="54">
        <f t="shared" si="324"/>
        <v>0</v>
      </c>
      <c r="O1676" s="54">
        <f t="shared" si="325"/>
        <v>0</v>
      </c>
      <c r="P1676" s="54">
        <f t="shared" si="326"/>
        <v>0</v>
      </c>
      <c r="Q1676" s="54">
        <f t="shared" si="327"/>
        <v>0</v>
      </c>
      <c r="R1676" s="54">
        <f t="shared" si="328"/>
        <v>0</v>
      </c>
      <c r="S1676" s="54"/>
      <c r="T1676" s="36"/>
      <c r="XDA1676"/>
      <c r="XDB1676"/>
      <c r="XDC1676"/>
      <c r="XDD1676"/>
      <c r="XDE1676"/>
      <c r="XDF1676"/>
      <c r="XDG1676"/>
      <c r="XDH1676"/>
      <c r="XDI1676"/>
      <c r="XDJ1676"/>
      <c r="XDK1676"/>
      <c r="XDL1676"/>
      <c r="XDM1676"/>
      <c r="XDN1676"/>
      <c r="XDO1676"/>
      <c r="XDP1676"/>
      <c r="XDQ1676"/>
      <c r="XDR1676"/>
      <c r="XDS1676"/>
      <c r="XDT1676"/>
      <c r="XDU1676"/>
      <c r="XDV1676"/>
      <c r="XDW1676"/>
      <c r="XDX1676"/>
      <c r="XDY1676"/>
      <c r="XDZ1676"/>
      <c r="XEA1676"/>
      <c r="XEB1676"/>
      <c r="XEC1676"/>
      <c r="XED1676"/>
      <c r="XEE1676"/>
      <c r="XEF1676"/>
      <c r="XEG1676"/>
      <c r="XEH1676"/>
      <c r="XEI1676"/>
      <c r="XEJ1676"/>
      <c r="XEK1676"/>
      <c r="XEL1676"/>
      <c r="XEM1676"/>
      <c r="XEN1676"/>
      <c r="XEO1676"/>
      <c r="XEP1676"/>
      <c r="XEQ1676"/>
      <c r="XER1676"/>
      <c r="XES1676"/>
      <c r="XET1676"/>
      <c r="XEU1676"/>
      <c r="XEV1676"/>
      <c r="XEW1676"/>
      <c r="XEX1676"/>
      <c r="XEY1676"/>
      <c r="XEZ1676"/>
      <c r="XFA1676"/>
      <c r="XFB1676"/>
      <c r="XFC1676"/>
    </row>
    <row r="1677" spans="1:20 16329:16383" s="38" customFormat="1" ht="29.1" customHeight="1" outlineLevel="6" x14ac:dyDescent="0.25">
      <c r="A1677" s="49" t="s">
        <v>2868</v>
      </c>
      <c r="B1677" s="50"/>
      <c r="C1677" s="50"/>
      <c r="D1677" s="3" t="s">
        <v>2557</v>
      </c>
      <c r="E1677" s="3"/>
      <c r="F1677" s="51"/>
      <c r="G1677" s="50" t="s">
        <v>102</v>
      </c>
      <c r="H1677" s="52">
        <f>1</f>
        <v>1</v>
      </c>
      <c r="I1677" s="36"/>
      <c r="J1677" s="52">
        <v>1</v>
      </c>
      <c r="K1677" s="53">
        <f>0</f>
        <v>0</v>
      </c>
      <c r="L1677" s="53">
        <f>0</f>
        <v>0</v>
      </c>
      <c r="M1677" s="53">
        <f>0</f>
        <v>0</v>
      </c>
      <c r="N1677" s="54">
        <f t="shared" si="324"/>
        <v>0</v>
      </c>
      <c r="O1677" s="54">
        <f t="shared" si="325"/>
        <v>0</v>
      </c>
      <c r="P1677" s="54">
        <f t="shared" si="326"/>
        <v>0</v>
      </c>
      <c r="Q1677" s="54">
        <f t="shared" si="327"/>
        <v>0</v>
      </c>
      <c r="R1677" s="54">
        <f t="shared" si="328"/>
        <v>0</v>
      </c>
      <c r="S1677" s="54"/>
      <c r="T1677" s="36"/>
      <c r="XDA1677"/>
      <c r="XDB1677"/>
      <c r="XDC1677"/>
      <c r="XDD1677"/>
      <c r="XDE1677"/>
      <c r="XDF1677"/>
      <c r="XDG1677"/>
      <c r="XDH1677"/>
      <c r="XDI1677"/>
      <c r="XDJ1677"/>
      <c r="XDK1677"/>
      <c r="XDL1677"/>
      <c r="XDM1677"/>
      <c r="XDN1677"/>
      <c r="XDO1677"/>
      <c r="XDP1677"/>
      <c r="XDQ1677"/>
      <c r="XDR1677"/>
      <c r="XDS1677"/>
      <c r="XDT1677"/>
      <c r="XDU1677"/>
      <c r="XDV1677"/>
      <c r="XDW1677"/>
      <c r="XDX1677"/>
      <c r="XDY1677"/>
      <c r="XDZ1677"/>
      <c r="XEA1677"/>
      <c r="XEB1677"/>
      <c r="XEC1677"/>
      <c r="XED1677"/>
      <c r="XEE1677"/>
      <c r="XEF1677"/>
      <c r="XEG1677"/>
      <c r="XEH1677"/>
      <c r="XEI1677"/>
      <c r="XEJ1677"/>
      <c r="XEK1677"/>
      <c r="XEL1677"/>
      <c r="XEM1677"/>
      <c r="XEN1677"/>
      <c r="XEO1677"/>
      <c r="XEP1677"/>
      <c r="XEQ1677"/>
      <c r="XER1677"/>
      <c r="XES1677"/>
      <c r="XET1677"/>
      <c r="XEU1677"/>
      <c r="XEV1677"/>
      <c r="XEW1677"/>
      <c r="XEX1677"/>
      <c r="XEY1677"/>
      <c r="XEZ1677"/>
      <c r="XFA1677"/>
      <c r="XFB1677"/>
      <c r="XFC1677"/>
    </row>
    <row r="1678" spans="1:20 16329:16383" s="38" customFormat="1" ht="29.1" customHeight="1" outlineLevel="6" x14ac:dyDescent="0.25">
      <c r="A1678" s="49" t="s">
        <v>2869</v>
      </c>
      <c r="B1678" s="50"/>
      <c r="C1678" s="50"/>
      <c r="D1678" s="3" t="s">
        <v>2206</v>
      </c>
      <c r="E1678" s="3"/>
      <c r="F1678" s="51"/>
      <c r="G1678" s="50" t="s">
        <v>194</v>
      </c>
      <c r="H1678" s="52">
        <f>1</f>
        <v>1</v>
      </c>
      <c r="I1678" s="36"/>
      <c r="J1678" s="52">
        <v>1</v>
      </c>
      <c r="K1678" s="53">
        <f>0</f>
        <v>0</v>
      </c>
      <c r="L1678" s="53">
        <f>0</f>
        <v>0</v>
      </c>
      <c r="M1678" s="53">
        <f>0</f>
        <v>0</v>
      </c>
      <c r="N1678" s="54">
        <f t="shared" si="324"/>
        <v>0</v>
      </c>
      <c r="O1678" s="54">
        <f t="shared" si="325"/>
        <v>0</v>
      </c>
      <c r="P1678" s="54">
        <f t="shared" si="326"/>
        <v>0</v>
      </c>
      <c r="Q1678" s="54">
        <f t="shared" si="327"/>
        <v>0</v>
      </c>
      <c r="R1678" s="54">
        <f t="shared" si="328"/>
        <v>0</v>
      </c>
      <c r="S1678" s="54"/>
      <c r="T1678" s="36"/>
      <c r="XDA1678"/>
      <c r="XDB1678"/>
      <c r="XDC1678"/>
      <c r="XDD1678"/>
      <c r="XDE1678"/>
      <c r="XDF1678"/>
      <c r="XDG1678"/>
      <c r="XDH1678"/>
      <c r="XDI1678"/>
      <c r="XDJ1678"/>
      <c r="XDK1678"/>
      <c r="XDL1678"/>
      <c r="XDM1678"/>
      <c r="XDN1678"/>
      <c r="XDO1678"/>
      <c r="XDP1678"/>
      <c r="XDQ1678"/>
      <c r="XDR1678"/>
      <c r="XDS1678"/>
      <c r="XDT1678"/>
      <c r="XDU1678"/>
      <c r="XDV1678"/>
      <c r="XDW1678"/>
      <c r="XDX1678"/>
      <c r="XDY1678"/>
      <c r="XDZ1678"/>
      <c r="XEA1678"/>
      <c r="XEB1678"/>
      <c r="XEC1678"/>
      <c r="XED1678"/>
      <c r="XEE1678"/>
      <c r="XEF1678"/>
      <c r="XEG1678"/>
      <c r="XEH1678"/>
      <c r="XEI1678"/>
      <c r="XEJ1678"/>
      <c r="XEK1678"/>
      <c r="XEL1678"/>
      <c r="XEM1678"/>
      <c r="XEN1678"/>
      <c r="XEO1678"/>
      <c r="XEP1678"/>
      <c r="XEQ1678"/>
      <c r="XER1678"/>
      <c r="XES1678"/>
      <c r="XET1678"/>
      <c r="XEU1678"/>
      <c r="XEV1678"/>
      <c r="XEW1678"/>
      <c r="XEX1678"/>
      <c r="XEY1678"/>
      <c r="XEZ1678"/>
      <c r="XFA1678"/>
      <c r="XFB1678"/>
      <c r="XFC1678"/>
    </row>
    <row r="1679" spans="1:20 16329:16383" s="38" customFormat="1" ht="29.1" customHeight="1" outlineLevel="6" x14ac:dyDescent="0.25">
      <c r="A1679" s="49" t="s">
        <v>2870</v>
      </c>
      <c r="B1679" s="50"/>
      <c r="C1679" s="50"/>
      <c r="D1679" s="3" t="s">
        <v>2278</v>
      </c>
      <c r="E1679" s="3"/>
      <c r="F1679" s="51"/>
      <c r="G1679" s="50" t="s">
        <v>194</v>
      </c>
      <c r="H1679" s="52">
        <f>1</f>
        <v>1</v>
      </c>
      <c r="I1679" s="36"/>
      <c r="J1679" s="52">
        <v>1</v>
      </c>
      <c r="K1679" s="53">
        <f>0</f>
        <v>0</v>
      </c>
      <c r="L1679" s="53">
        <f>0</f>
        <v>0</v>
      </c>
      <c r="M1679" s="53">
        <f>0</f>
        <v>0</v>
      </c>
      <c r="N1679" s="54">
        <f t="shared" si="324"/>
        <v>0</v>
      </c>
      <c r="O1679" s="54">
        <f t="shared" si="325"/>
        <v>0</v>
      </c>
      <c r="P1679" s="54">
        <f t="shared" si="326"/>
        <v>0</v>
      </c>
      <c r="Q1679" s="54">
        <f t="shared" si="327"/>
        <v>0</v>
      </c>
      <c r="R1679" s="54">
        <f t="shared" si="328"/>
        <v>0</v>
      </c>
      <c r="S1679" s="54"/>
      <c r="T1679" s="36"/>
      <c r="XDA1679"/>
      <c r="XDB1679"/>
      <c r="XDC1679"/>
      <c r="XDD1679"/>
      <c r="XDE1679"/>
      <c r="XDF1679"/>
      <c r="XDG1679"/>
      <c r="XDH1679"/>
      <c r="XDI1679"/>
      <c r="XDJ1679"/>
      <c r="XDK1679"/>
      <c r="XDL1679"/>
      <c r="XDM1679"/>
      <c r="XDN1679"/>
      <c r="XDO1679"/>
      <c r="XDP1679"/>
      <c r="XDQ1679"/>
      <c r="XDR1679"/>
      <c r="XDS1679"/>
      <c r="XDT1679"/>
      <c r="XDU1679"/>
      <c r="XDV1679"/>
      <c r="XDW1679"/>
      <c r="XDX1679"/>
      <c r="XDY1679"/>
      <c r="XDZ1679"/>
      <c r="XEA1679"/>
      <c r="XEB1679"/>
      <c r="XEC1679"/>
      <c r="XED1679"/>
      <c r="XEE1679"/>
      <c r="XEF1679"/>
      <c r="XEG1679"/>
      <c r="XEH1679"/>
      <c r="XEI1679"/>
      <c r="XEJ1679"/>
      <c r="XEK1679"/>
      <c r="XEL1679"/>
      <c r="XEM1679"/>
      <c r="XEN1679"/>
      <c r="XEO1679"/>
      <c r="XEP1679"/>
      <c r="XEQ1679"/>
      <c r="XER1679"/>
      <c r="XES1679"/>
      <c r="XET1679"/>
      <c r="XEU1679"/>
      <c r="XEV1679"/>
      <c r="XEW1679"/>
      <c r="XEX1679"/>
      <c r="XEY1679"/>
      <c r="XEZ1679"/>
      <c r="XFA1679"/>
      <c r="XFB1679"/>
      <c r="XFC1679"/>
    </row>
    <row r="1680" spans="1:20 16329:16383" s="38" customFormat="1" ht="29.1" customHeight="1" outlineLevel="5" x14ac:dyDescent="0.25">
      <c r="A1680" s="65" t="s">
        <v>2871</v>
      </c>
      <c r="B1680" s="66" t="s">
        <v>2872</v>
      </c>
      <c r="C1680" s="66"/>
      <c r="D1680" s="98" t="s">
        <v>344</v>
      </c>
      <c r="E1680" s="98"/>
      <c r="F1680" s="67"/>
      <c r="G1680" s="66"/>
      <c r="H1680" s="68"/>
      <c r="I1680" s="36"/>
      <c r="J1680" s="68"/>
      <c r="K1680" s="69"/>
      <c r="L1680" s="69"/>
      <c r="M1680" s="69"/>
      <c r="N1680" s="69"/>
      <c r="O1680" s="69">
        <f>SUM(O1681:O1686)</f>
        <v>0</v>
      </c>
      <c r="P1680" s="69">
        <f>SUM(P1681:P1686)</f>
        <v>0</v>
      </c>
      <c r="Q1680" s="69">
        <f>SUM(Q1681:Q1686)</f>
        <v>0</v>
      </c>
      <c r="R1680" s="69">
        <f>SUM(R1681:R1686)</f>
        <v>0</v>
      </c>
      <c r="S1680" s="69"/>
      <c r="T1680" s="36"/>
      <c r="XDA1680"/>
      <c r="XDB1680"/>
      <c r="XDC1680"/>
      <c r="XDD1680"/>
      <c r="XDE1680"/>
      <c r="XDF1680"/>
      <c r="XDG1680"/>
      <c r="XDH1680"/>
      <c r="XDI1680"/>
      <c r="XDJ1680"/>
      <c r="XDK1680"/>
      <c r="XDL1680"/>
      <c r="XDM1680"/>
      <c r="XDN1680"/>
      <c r="XDO1680"/>
      <c r="XDP1680"/>
      <c r="XDQ1680"/>
      <c r="XDR1680"/>
      <c r="XDS1680"/>
      <c r="XDT1680"/>
      <c r="XDU1680"/>
      <c r="XDV1680"/>
      <c r="XDW1680"/>
      <c r="XDX1680"/>
      <c r="XDY1680"/>
      <c r="XDZ1680"/>
      <c r="XEA1680"/>
      <c r="XEB1680"/>
      <c r="XEC1680"/>
      <c r="XED1680"/>
      <c r="XEE1680"/>
      <c r="XEF1680"/>
      <c r="XEG1680"/>
      <c r="XEH1680"/>
      <c r="XEI1680"/>
      <c r="XEJ1680"/>
      <c r="XEK1680"/>
      <c r="XEL1680"/>
      <c r="XEM1680"/>
      <c r="XEN1680"/>
      <c r="XEO1680"/>
      <c r="XEP1680"/>
      <c r="XEQ1680"/>
      <c r="XER1680"/>
      <c r="XES1680"/>
      <c r="XET1680"/>
      <c r="XEU1680"/>
      <c r="XEV1680"/>
      <c r="XEW1680"/>
      <c r="XEX1680"/>
      <c r="XEY1680"/>
      <c r="XEZ1680"/>
      <c r="XFA1680"/>
      <c r="XFB1680"/>
      <c r="XFC1680"/>
    </row>
    <row r="1681" spans="1:20 16329:16383" s="38" customFormat="1" ht="29.1" customHeight="1" outlineLevel="6" x14ac:dyDescent="0.25">
      <c r="A1681" s="49" t="s">
        <v>2873</v>
      </c>
      <c r="B1681" s="50"/>
      <c r="C1681" s="50"/>
      <c r="D1681" s="3" t="s">
        <v>1886</v>
      </c>
      <c r="E1681" s="3"/>
      <c r="F1681" s="51"/>
      <c r="G1681" s="50" t="s">
        <v>102</v>
      </c>
      <c r="H1681" s="52">
        <f>1</f>
        <v>1</v>
      </c>
      <c r="I1681" s="36"/>
      <c r="J1681" s="52">
        <v>1</v>
      </c>
      <c r="K1681" s="53">
        <f>0</f>
        <v>0</v>
      </c>
      <c r="L1681" s="53">
        <f>0</f>
        <v>0</v>
      </c>
      <c r="M1681" s="53">
        <f>0</f>
        <v>0</v>
      </c>
      <c r="N1681" s="54">
        <f t="shared" ref="N1681:N1686" si="329">SUM(K1681:M1681)</f>
        <v>0</v>
      </c>
      <c r="O1681" s="54">
        <f t="shared" ref="O1681:O1686" si="330">ROUND((H1681*K1681),2)</f>
        <v>0</v>
      </c>
      <c r="P1681" s="54">
        <f t="shared" ref="P1681:P1686" si="331">ROUND((H1681*L1681),2)</f>
        <v>0</v>
      </c>
      <c r="Q1681" s="54">
        <f t="shared" ref="Q1681:Q1686" si="332">ROUND((H1681*M1681),2)</f>
        <v>0</v>
      </c>
      <c r="R1681" s="54">
        <f t="shared" ref="R1681:R1686" si="333">ROUND((H1681*N1681),2)</f>
        <v>0</v>
      </c>
      <c r="S1681" s="54"/>
      <c r="T1681" s="36"/>
      <c r="XDA1681"/>
      <c r="XDB1681"/>
      <c r="XDC1681"/>
      <c r="XDD1681"/>
      <c r="XDE1681"/>
      <c r="XDF1681"/>
      <c r="XDG1681"/>
      <c r="XDH1681"/>
      <c r="XDI1681"/>
      <c r="XDJ1681"/>
      <c r="XDK1681"/>
      <c r="XDL1681"/>
      <c r="XDM1681"/>
      <c r="XDN1681"/>
      <c r="XDO1681"/>
      <c r="XDP1681"/>
      <c r="XDQ1681"/>
      <c r="XDR1681"/>
      <c r="XDS1681"/>
      <c r="XDT1681"/>
      <c r="XDU1681"/>
      <c r="XDV1681"/>
      <c r="XDW1681"/>
      <c r="XDX1681"/>
      <c r="XDY1681"/>
      <c r="XDZ1681"/>
      <c r="XEA1681"/>
      <c r="XEB1681"/>
      <c r="XEC1681"/>
      <c r="XED1681"/>
      <c r="XEE1681"/>
      <c r="XEF1681"/>
      <c r="XEG1681"/>
      <c r="XEH1681"/>
      <c r="XEI1681"/>
      <c r="XEJ1681"/>
      <c r="XEK1681"/>
      <c r="XEL1681"/>
      <c r="XEM1681"/>
      <c r="XEN1681"/>
      <c r="XEO1681"/>
      <c r="XEP1681"/>
      <c r="XEQ1681"/>
      <c r="XER1681"/>
      <c r="XES1681"/>
      <c r="XET1681"/>
      <c r="XEU1681"/>
      <c r="XEV1681"/>
      <c r="XEW1681"/>
      <c r="XEX1681"/>
      <c r="XEY1681"/>
      <c r="XEZ1681"/>
      <c r="XFA1681"/>
      <c r="XFB1681"/>
      <c r="XFC1681"/>
    </row>
    <row r="1682" spans="1:20 16329:16383" s="38" customFormat="1" ht="29.1" customHeight="1" outlineLevel="6" x14ac:dyDescent="0.25">
      <c r="A1682" s="49" t="s">
        <v>2874</v>
      </c>
      <c r="B1682" s="50"/>
      <c r="C1682" s="50"/>
      <c r="D1682" s="3" t="s">
        <v>1955</v>
      </c>
      <c r="E1682" s="3"/>
      <c r="F1682" s="51"/>
      <c r="G1682" s="50" t="s">
        <v>102</v>
      </c>
      <c r="H1682" s="52">
        <f>1</f>
        <v>1</v>
      </c>
      <c r="I1682" s="36"/>
      <c r="J1682" s="52">
        <v>1</v>
      </c>
      <c r="K1682" s="53">
        <f>0</f>
        <v>0</v>
      </c>
      <c r="L1682" s="53">
        <f>0</f>
        <v>0</v>
      </c>
      <c r="M1682" s="53">
        <f>0</f>
        <v>0</v>
      </c>
      <c r="N1682" s="54">
        <f t="shared" si="329"/>
        <v>0</v>
      </c>
      <c r="O1682" s="54">
        <f t="shared" si="330"/>
        <v>0</v>
      </c>
      <c r="P1682" s="54">
        <f t="shared" si="331"/>
        <v>0</v>
      </c>
      <c r="Q1682" s="54">
        <f t="shared" si="332"/>
        <v>0</v>
      </c>
      <c r="R1682" s="54">
        <f t="shared" si="333"/>
        <v>0</v>
      </c>
      <c r="S1682" s="54"/>
      <c r="T1682" s="36"/>
      <c r="XDA1682"/>
      <c r="XDB1682"/>
      <c r="XDC1682"/>
      <c r="XDD1682"/>
      <c r="XDE1682"/>
      <c r="XDF1682"/>
      <c r="XDG1682"/>
      <c r="XDH1682"/>
      <c r="XDI1682"/>
      <c r="XDJ1682"/>
      <c r="XDK1682"/>
      <c r="XDL1682"/>
      <c r="XDM1682"/>
      <c r="XDN1682"/>
      <c r="XDO1682"/>
      <c r="XDP1682"/>
      <c r="XDQ1682"/>
      <c r="XDR1682"/>
      <c r="XDS1682"/>
      <c r="XDT1682"/>
      <c r="XDU1682"/>
      <c r="XDV1682"/>
      <c r="XDW1682"/>
      <c r="XDX1682"/>
      <c r="XDY1682"/>
      <c r="XDZ1682"/>
      <c r="XEA1682"/>
      <c r="XEB1682"/>
      <c r="XEC1682"/>
      <c r="XED1682"/>
      <c r="XEE1682"/>
      <c r="XEF1682"/>
      <c r="XEG1682"/>
      <c r="XEH1682"/>
      <c r="XEI1682"/>
      <c r="XEJ1682"/>
      <c r="XEK1682"/>
      <c r="XEL1682"/>
      <c r="XEM1682"/>
      <c r="XEN1682"/>
      <c r="XEO1682"/>
      <c r="XEP1682"/>
      <c r="XEQ1682"/>
      <c r="XER1682"/>
      <c r="XES1682"/>
      <c r="XET1682"/>
      <c r="XEU1682"/>
      <c r="XEV1682"/>
      <c r="XEW1682"/>
      <c r="XEX1682"/>
      <c r="XEY1682"/>
      <c r="XEZ1682"/>
      <c r="XFA1682"/>
      <c r="XFB1682"/>
      <c r="XFC1682"/>
    </row>
    <row r="1683" spans="1:20 16329:16383" s="38" customFormat="1" ht="29.1" customHeight="1" outlineLevel="6" x14ac:dyDescent="0.25">
      <c r="A1683" s="49" t="s">
        <v>2875</v>
      </c>
      <c r="B1683" s="50"/>
      <c r="C1683" s="50"/>
      <c r="D1683" s="3" t="s">
        <v>1888</v>
      </c>
      <c r="E1683" s="3"/>
      <c r="F1683" s="51"/>
      <c r="G1683" s="50" t="s">
        <v>102</v>
      </c>
      <c r="H1683" s="52">
        <f>1</f>
        <v>1</v>
      </c>
      <c r="I1683" s="36"/>
      <c r="J1683" s="52">
        <v>1</v>
      </c>
      <c r="K1683" s="53">
        <f>0</f>
        <v>0</v>
      </c>
      <c r="L1683" s="53">
        <f>0</f>
        <v>0</v>
      </c>
      <c r="M1683" s="53">
        <f>0</f>
        <v>0</v>
      </c>
      <c r="N1683" s="54">
        <f t="shared" si="329"/>
        <v>0</v>
      </c>
      <c r="O1683" s="54">
        <f t="shared" si="330"/>
        <v>0</v>
      </c>
      <c r="P1683" s="54">
        <f t="shared" si="331"/>
        <v>0</v>
      </c>
      <c r="Q1683" s="54">
        <f t="shared" si="332"/>
        <v>0</v>
      </c>
      <c r="R1683" s="54">
        <f t="shared" si="333"/>
        <v>0</v>
      </c>
      <c r="S1683" s="54"/>
      <c r="T1683" s="36"/>
      <c r="XDA1683"/>
      <c r="XDB1683"/>
      <c r="XDC1683"/>
      <c r="XDD1683"/>
      <c r="XDE1683"/>
      <c r="XDF1683"/>
      <c r="XDG1683"/>
      <c r="XDH1683"/>
      <c r="XDI1683"/>
      <c r="XDJ1683"/>
      <c r="XDK1683"/>
      <c r="XDL1683"/>
      <c r="XDM1683"/>
      <c r="XDN1683"/>
      <c r="XDO1683"/>
      <c r="XDP1683"/>
      <c r="XDQ1683"/>
      <c r="XDR1683"/>
      <c r="XDS1683"/>
      <c r="XDT1683"/>
      <c r="XDU1683"/>
      <c r="XDV1683"/>
      <c r="XDW1683"/>
      <c r="XDX1683"/>
      <c r="XDY1683"/>
      <c r="XDZ1683"/>
      <c r="XEA1683"/>
      <c r="XEB1683"/>
      <c r="XEC1683"/>
      <c r="XED1683"/>
      <c r="XEE1683"/>
      <c r="XEF1683"/>
      <c r="XEG1683"/>
      <c r="XEH1683"/>
      <c r="XEI1683"/>
      <c r="XEJ1683"/>
      <c r="XEK1683"/>
      <c r="XEL1683"/>
      <c r="XEM1683"/>
      <c r="XEN1683"/>
      <c r="XEO1683"/>
      <c r="XEP1683"/>
      <c r="XEQ1683"/>
      <c r="XER1683"/>
      <c r="XES1683"/>
      <c r="XET1683"/>
      <c r="XEU1683"/>
      <c r="XEV1683"/>
      <c r="XEW1683"/>
      <c r="XEX1683"/>
      <c r="XEY1683"/>
      <c r="XEZ1683"/>
      <c r="XFA1683"/>
      <c r="XFB1683"/>
      <c r="XFC1683"/>
    </row>
    <row r="1684" spans="1:20 16329:16383" s="38" customFormat="1" ht="29.1" customHeight="1" outlineLevel="6" x14ac:dyDescent="0.25">
      <c r="A1684" s="49" t="s">
        <v>2876</v>
      </c>
      <c r="B1684" s="50"/>
      <c r="C1684" s="50"/>
      <c r="D1684" s="3" t="s">
        <v>2609</v>
      </c>
      <c r="E1684" s="3"/>
      <c r="F1684" s="51"/>
      <c r="G1684" s="50" t="s">
        <v>102</v>
      </c>
      <c r="H1684" s="52">
        <f>1</f>
        <v>1</v>
      </c>
      <c r="I1684" s="36"/>
      <c r="J1684" s="52">
        <v>1</v>
      </c>
      <c r="K1684" s="53">
        <f>0</f>
        <v>0</v>
      </c>
      <c r="L1684" s="53">
        <f>0</f>
        <v>0</v>
      </c>
      <c r="M1684" s="53">
        <f>0</f>
        <v>0</v>
      </c>
      <c r="N1684" s="54">
        <f t="shared" si="329"/>
        <v>0</v>
      </c>
      <c r="O1684" s="54">
        <f t="shared" si="330"/>
        <v>0</v>
      </c>
      <c r="P1684" s="54">
        <f t="shared" si="331"/>
        <v>0</v>
      </c>
      <c r="Q1684" s="54">
        <f t="shared" si="332"/>
        <v>0</v>
      </c>
      <c r="R1684" s="54">
        <f t="shared" si="333"/>
        <v>0</v>
      </c>
      <c r="S1684" s="54"/>
      <c r="T1684" s="36"/>
      <c r="XDA1684"/>
      <c r="XDB1684"/>
      <c r="XDC1684"/>
      <c r="XDD1684"/>
      <c r="XDE1684"/>
      <c r="XDF1684"/>
      <c r="XDG1684"/>
      <c r="XDH1684"/>
      <c r="XDI1684"/>
      <c r="XDJ1684"/>
      <c r="XDK1684"/>
      <c r="XDL1684"/>
      <c r="XDM1684"/>
      <c r="XDN1684"/>
      <c r="XDO1684"/>
      <c r="XDP1684"/>
      <c r="XDQ1684"/>
      <c r="XDR1684"/>
      <c r="XDS1684"/>
      <c r="XDT1684"/>
      <c r="XDU1684"/>
      <c r="XDV1684"/>
      <c r="XDW1684"/>
      <c r="XDX1684"/>
      <c r="XDY1684"/>
      <c r="XDZ1684"/>
      <c r="XEA1684"/>
      <c r="XEB1684"/>
      <c r="XEC1684"/>
      <c r="XED1684"/>
      <c r="XEE1684"/>
      <c r="XEF1684"/>
      <c r="XEG1684"/>
      <c r="XEH1684"/>
      <c r="XEI1684"/>
      <c r="XEJ1684"/>
      <c r="XEK1684"/>
      <c r="XEL1684"/>
      <c r="XEM1684"/>
      <c r="XEN1684"/>
      <c r="XEO1684"/>
      <c r="XEP1684"/>
      <c r="XEQ1684"/>
      <c r="XER1684"/>
      <c r="XES1684"/>
      <c r="XET1684"/>
      <c r="XEU1684"/>
      <c r="XEV1684"/>
      <c r="XEW1684"/>
      <c r="XEX1684"/>
      <c r="XEY1684"/>
      <c r="XEZ1684"/>
      <c r="XFA1684"/>
      <c r="XFB1684"/>
      <c r="XFC1684"/>
    </row>
    <row r="1685" spans="1:20 16329:16383" s="38" customFormat="1" ht="29.1" customHeight="1" outlineLevel="6" x14ac:dyDescent="0.25">
      <c r="A1685" s="49" t="s">
        <v>2877</v>
      </c>
      <c r="B1685" s="50"/>
      <c r="C1685" s="50"/>
      <c r="D1685" s="3" t="s">
        <v>2299</v>
      </c>
      <c r="E1685" s="3"/>
      <c r="F1685" s="51" t="s">
        <v>2300</v>
      </c>
      <c r="G1685" s="50" t="s">
        <v>29</v>
      </c>
      <c r="H1685" s="52">
        <f>1</f>
        <v>1</v>
      </c>
      <c r="I1685" s="36"/>
      <c r="J1685" s="52">
        <v>1</v>
      </c>
      <c r="K1685" s="53">
        <f>0</f>
        <v>0</v>
      </c>
      <c r="L1685" s="53">
        <f>0</f>
        <v>0</v>
      </c>
      <c r="M1685" s="53">
        <f>0</f>
        <v>0</v>
      </c>
      <c r="N1685" s="54">
        <f t="shared" si="329"/>
        <v>0</v>
      </c>
      <c r="O1685" s="54">
        <f t="shared" si="330"/>
        <v>0</v>
      </c>
      <c r="P1685" s="54">
        <f t="shared" si="331"/>
        <v>0</v>
      </c>
      <c r="Q1685" s="54">
        <f t="shared" si="332"/>
        <v>0</v>
      </c>
      <c r="R1685" s="54">
        <f t="shared" si="333"/>
        <v>0</v>
      </c>
      <c r="S1685" s="54"/>
      <c r="T1685" s="36"/>
      <c r="XDA1685"/>
      <c r="XDB1685"/>
      <c r="XDC1685"/>
      <c r="XDD1685"/>
      <c r="XDE1685"/>
      <c r="XDF1685"/>
      <c r="XDG1685"/>
      <c r="XDH1685"/>
      <c r="XDI1685"/>
      <c r="XDJ1685"/>
      <c r="XDK1685"/>
      <c r="XDL1685"/>
      <c r="XDM1685"/>
      <c r="XDN1685"/>
      <c r="XDO1685"/>
      <c r="XDP1685"/>
      <c r="XDQ1685"/>
      <c r="XDR1685"/>
      <c r="XDS1685"/>
      <c r="XDT1685"/>
      <c r="XDU1685"/>
      <c r="XDV1685"/>
      <c r="XDW1685"/>
      <c r="XDX1685"/>
      <c r="XDY1685"/>
      <c r="XDZ1685"/>
      <c r="XEA1685"/>
      <c r="XEB1685"/>
      <c r="XEC1685"/>
      <c r="XED1685"/>
      <c r="XEE1685"/>
      <c r="XEF1685"/>
      <c r="XEG1685"/>
      <c r="XEH1685"/>
      <c r="XEI1685"/>
      <c r="XEJ1685"/>
      <c r="XEK1685"/>
      <c r="XEL1685"/>
      <c r="XEM1685"/>
      <c r="XEN1685"/>
      <c r="XEO1685"/>
      <c r="XEP1685"/>
      <c r="XEQ1685"/>
      <c r="XER1685"/>
      <c r="XES1685"/>
      <c r="XET1685"/>
      <c r="XEU1685"/>
      <c r="XEV1685"/>
      <c r="XEW1685"/>
      <c r="XEX1685"/>
      <c r="XEY1685"/>
      <c r="XEZ1685"/>
      <c r="XFA1685"/>
      <c r="XFB1685"/>
      <c r="XFC1685"/>
    </row>
    <row r="1686" spans="1:20 16329:16383" s="38" customFormat="1" ht="29.1" customHeight="1" outlineLevel="6" x14ac:dyDescent="0.25">
      <c r="A1686" s="49" t="s">
        <v>2878</v>
      </c>
      <c r="B1686" s="50"/>
      <c r="C1686" s="50"/>
      <c r="D1686" s="3" t="s">
        <v>2407</v>
      </c>
      <c r="E1686" s="3"/>
      <c r="F1686" s="51" t="s">
        <v>1960</v>
      </c>
      <c r="G1686" s="50" t="s">
        <v>134</v>
      </c>
      <c r="H1686" s="52">
        <f>1</f>
        <v>1</v>
      </c>
      <c r="I1686" s="36"/>
      <c r="J1686" s="52">
        <v>1</v>
      </c>
      <c r="K1686" s="53">
        <f>0</f>
        <v>0</v>
      </c>
      <c r="L1686" s="53">
        <f>0</f>
        <v>0</v>
      </c>
      <c r="M1686" s="53">
        <f>0</f>
        <v>0</v>
      </c>
      <c r="N1686" s="54">
        <f t="shared" si="329"/>
        <v>0</v>
      </c>
      <c r="O1686" s="54">
        <f t="shared" si="330"/>
        <v>0</v>
      </c>
      <c r="P1686" s="54">
        <f t="shared" si="331"/>
        <v>0</v>
      </c>
      <c r="Q1686" s="54">
        <f t="shared" si="332"/>
        <v>0</v>
      </c>
      <c r="R1686" s="54">
        <f t="shared" si="333"/>
        <v>0</v>
      </c>
      <c r="S1686" s="54"/>
      <c r="T1686" s="36"/>
      <c r="XDA1686"/>
      <c r="XDB1686"/>
      <c r="XDC1686"/>
      <c r="XDD1686"/>
      <c r="XDE1686"/>
      <c r="XDF1686"/>
      <c r="XDG1686"/>
      <c r="XDH1686"/>
      <c r="XDI1686"/>
      <c r="XDJ1686"/>
      <c r="XDK1686"/>
      <c r="XDL1686"/>
      <c r="XDM1686"/>
      <c r="XDN1686"/>
      <c r="XDO1686"/>
      <c r="XDP1686"/>
      <c r="XDQ1686"/>
      <c r="XDR1686"/>
      <c r="XDS1686"/>
      <c r="XDT1686"/>
      <c r="XDU1686"/>
      <c r="XDV1686"/>
      <c r="XDW1686"/>
      <c r="XDX1686"/>
      <c r="XDY1686"/>
      <c r="XDZ1686"/>
      <c r="XEA1686"/>
      <c r="XEB1686"/>
      <c r="XEC1686"/>
      <c r="XED1686"/>
      <c r="XEE1686"/>
      <c r="XEF1686"/>
      <c r="XEG1686"/>
      <c r="XEH1686"/>
      <c r="XEI1686"/>
      <c r="XEJ1686"/>
      <c r="XEK1686"/>
      <c r="XEL1686"/>
      <c r="XEM1686"/>
      <c r="XEN1686"/>
      <c r="XEO1686"/>
      <c r="XEP1686"/>
      <c r="XEQ1686"/>
      <c r="XER1686"/>
      <c r="XES1686"/>
      <c r="XET1686"/>
      <c r="XEU1686"/>
      <c r="XEV1686"/>
      <c r="XEW1686"/>
      <c r="XEX1686"/>
      <c r="XEY1686"/>
      <c r="XEZ1686"/>
      <c r="XFA1686"/>
      <c r="XFB1686"/>
      <c r="XFC1686"/>
    </row>
    <row r="1687" spans="1:20 16329:16383" s="38" customFormat="1" ht="29.1" customHeight="1" outlineLevel="5" x14ac:dyDescent="0.25">
      <c r="A1687" s="65" t="s">
        <v>2879</v>
      </c>
      <c r="B1687" s="66" t="s">
        <v>2880</v>
      </c>
      <c r="C1687" s="66"/>
      <c r="D1687" s="98" t="s">
        <v>1899</v>
      </c>
      <c r="E1687" s="98"/>
      <c r="F1687" s="67"/>
      <c r="G1687" s="66"/>
      <c r="H1687" s="68"/>
      <c r="I1687" s="36"/>
      <c r="J1687" s="68"/>
      <c r="K1687" s="69"/>
      <c r="L1687" s="69"/>
      <c r="M1687" s="69"/>
      <c r="N1687" s="69"/>
      <c r="O1687" s="69">
        <f>SUM(O1688:O1695)</f>
        <v>0</v>
      </c>
      <c r="P1687" s="69">
        <f>SUM(P1688:P1695)</f>
        <v>0</v>
      </c>
      <c r="Q1687" s="69">
        <f>SUM(Q1688:Q1695)</f>
        <v>0</v>
      </c>
      <c r="R1687" s="69">
        <f>SUM(R1688:R1695)</f>
        <v>0</v>
      </c>
      <c r="S1687" s="69"/>
      <c r="T1687" s="36"/>
      <c r="XDA1687"/>
      <c r="XDB1687"/>
      <c r="XDC1687"/>
      <c r="XDD1687"/>
      <c r="XDE1687"/>
      <c r="XDF1687"/>
      <c r="XDG1687"/>
      <c r="XDH1687"/>
      <c r="XDI1687"/>
      <c r="XDJ1687"/>
      <c r="XDK1687"/>
      <c r="XDL1687"/>
      <c r="XDM1687"/>
      <c r="XDN1687"/>
      <c r="XDO1687"/>
      <c r="XDP1687"/>
      <c r="XDQ1687"/>
      <c r="XDR1687"/>
      <c r="XDS1687"/>
      <c r="XDT1687"/>
      <c r="XDU1687"/>
      <c r="XDV1687"/>
      <c r="XDW1687"/>
      <c r="XDX1687"/>
      <c r="XDY1687"/>
      <c r="XDZ1687"/>
      <c r="XEA1687"/>
      <c r="XEB1687"/>
      <c r="XEC1687"/>
      <c r="XED1687"/>
      <c r="XEE1687"/>
      <c r="XEF1687"/>
      <c r="XEG1687"/>
      <c r="XEH1687"/>
      <c r="XEI1687"/>
      <c r="XEJ1687"/>
      <c r="XEK1687"/>
      <c r="XEL1687"/>
      <c r="XEM1687"/>
      <c r="XEN1687"/>
      <c r="XEO1687"/>
      <c r="XEP1687"/>
      <c r="XEQ1687"/>
      <c r="XER1687"/>
      <c r="XES1687"/>
      <c r="XET1687"/>
      <c r="XEU1687"/>
      <c r="XEV1687"/>
      <c r="XEW1687"/>
      <c r="XEX1687"/>
      <c r="XEY1687"/>
      <c r="XEZ1687"/>
      <c r="XFA1687"/>
      <c r="XFB1687"/>
      <c r="XFC1687"/>
    </row>
    <row r="1688" spans="1:20 16329:16383" s="38" customFormat="1" ht="29.1" customHeight="1" outlineLevel="6" x14ac:dyDescent="0.25">
      <c r="A1688" s="49" t="s">
        <v>2881</v>
      </c>
      <c r="B1688" s="50"/>
      <c r="C1688" s="50"/>
      <c r="D1688" s="3" t="s">
        <v>1953</v>
      </c>
      <c r="E1688" s="3"/>
      <c r="F1688" s="51"/>
      <c r="G1688" s="50" t="s">
        <v>102</v>
      </c>
      <c r="H1688" s="52">
        <f>1</f>
        <v>1</v>
      </c>
      <c r="I1688" s="36"/>
      <c r="J1688" s="52">
        <v>1</v>
      </c>
      <c r="K1688" s="53">
        <f>0</f>
        <v>0</v>
      </c>
      <c r="L1688" s="53">
        <f>0</f>
        <v>0</v>
      </c>
      <c r="M1688" s="53">
        <f>0</f>
        <v>0</v>
      </c>
      <c r="N1688" s="54">
        <f t="shared" ref="N1688:N1695" si="334">SUM(K1688:M1688)</f>
        <v>0</v>
      </c>
      <c r="O1688" s="54">
        <f t="shared" ref="O1688:O1695" si="335">ROUND((H1688*K1688),2)</f>
        <v>0</v>
      </c>
      <c r="P1688" s="54">
        <f t="shared" ref="P1688:P1695" si="336">ROUND((H1688*L1688),2)</f>
        <v>0</v>
      </c>
      <c r="Q1688" s="54">
        <f t="shared" ref="Q1688:Q1695" si="337">ROUND((H1688*M1688),2)</f>
        <v>0</v>
      </c>
      <c r="R1688" s="54">
        <f t="shared" ref="R1688:R1695" si="338">ROUND((H1688*N1688),2)</f>
        <v>0</v>
      </c>
      <c r="S1688" s="54"/>
      <c r="T1688" s="36"/>
      <c r="XDA1688"/>
      <c r="XDB1688"/>
      <c r="XDC1688"/>
      <c r="XDD1688"/>
      <c r="XDE1688"/>
      <c r="XDF1688"/>
      <c r="XDG1688"/>
      <c r="XDH1688"/>
      <c r="XDI1688"/>
      <c r="XDJ1688"/>
      <c r="XDK1688"/>
      <c r="XDL1688"/>
      <c r="XDM1688"/>
      <c r="XDN1688"/>
      <c r="XDO1688"/>
      <c r="XDP1688"/>
      <c r="XDQ1688"/>
      <c r="XDR1688"/>
      <c r="XDS1688"/>
      <c r="XDT1688"/>
      <c r="XDU1688"/>
      <c r="XDV1688"/>
      <c r="XDW1688"/>
      <c r="XDX1688"/>
      <c r="XDY1688"/>
      <c r="XDZ1688"/>
      <c r="XEA1688"/>
      <c r="XEB1688"/>
      <c r="XEC1688"/>
      <c r="XED1688"/>
      <c r="XEE1688"/>
      <c r="XEF1688"/>
      <c r="XEG1688"/>
      <c r="XEH1688"/>
      <c r="XEI1688"/>
      <c r="XEJ1688"/>
      <c r="XEK1688"/>
      <c r="XEL1688"/>
      <c r="XEM1688"/>
      <c r="XEN1688"/>
      <c r="XEO1688"/>
      <c r="XEP1688"/>
      <c r="XEQ1688"/>
      <c r="XER1688"/>
      <c r="XES1688"/>
      <c r="XET1688"/>
      <c r="XEU1688"/>
      <c r="XEV1688"/>
      <c r="XEW1688"/>
      <c r="XEX1688"/>
      <c r="XEY1688"/>
      <c r="XEZ1688"/>
      <c r="XFA1688"/>
      <c r="XFB1688"/>
      <c r="XFC1688"/>
    </row>
    <row r="1689" spans="1:20 16329:16383" s="38" customFormat="1" ht="29.1" customHeight="1" outlineLevel="6" x14ac:dyDescent="0.25">
      <c r="A1689" s="49" t="s">
        <v>2882</v>
      </c>
      <c r="B1689" s="50"/>
      <c r="C1689" s="50"/>
      <c r="D1689" s="3" t="s">
        <v>1955</v>
      </c>
      <c r="E1689" s="3"/>
      <c r="F1689" s="51"/>
      <c r="G1689" s="50" t="s">
        <v>102</v>
      </c>
      <c r="H1689" s="52">
        <f>1</f>
        <v>1</v>
      </c>
      <c r="I1689" s="36"/>
      <c r="J1689" s="52">
        <v>1</v>
      </c>
      <c r="K1689" s="53">
        <f>0</f>
        <v>0</v>
      </c>
      <c r="L1689" s="53">
        <f>0</f>
        <v>0</v>
      </c>
      <c r="M1689" s="53">
        <f>0</f>
        <v>0</v>
      </c>
      <c r="N1689" s="54">
        <f t="shared" si="334"/>
        <v>0</v>
      </c>
      <c r="O1689" s="54">
        <f t="shared" si="335"/>
        <v>0</v>
      </c>
      <c r="P1689" s="54">
        <f t="shared" si="336"/>
        <v>0</v>
      </c>
      <c r="Q1689" s="54">
        <f t="shared" si="337"/>
        <v>0</v>
      </c>
      <c r="R1689" s="54">
        <f t="shared" si="338"/>
        <v>0</v>
      </c>
      <c r="S1689" s="54"/>
      <c r="T1689" s="36"/>
      <c r="XDA1689"/>
      <c r="XDB1689"/>
      <c r="XDC1689"/>
      <c r="XDD1689"/>
      <c r="XDE1689"/>
      <c r="XDF1689"/>
      <c r="XDG1689"/>
      <c r="XDH1689"/>
      <c r="XDI1689"/>
      <c r="XDJ1689"/>
      <c r="XDK1689"/>
      <c r="XDL1689"/>
      <c r="XDM1689"/>
      <c r="XDN1689"/>
      <c r="XDO1689"/>
      <c r="XDP1689"/>
      <c r="XDQ1689"/>
      <c r="XDR1689"/>
      <c r="XDS1689"/>
      <c r="XDT1689"/>
      <c r="XDU1689"/>
      <c r="XDV1689"/>
      <c r="XDW1689"/>
      <c r="XDX1689"/>
      <c r="XDY1689"/>
      <c r="XDZ1689"/>
      <c r="XEA1689"/>
      <c r="XEB1689"/>
      <c r="XEC1689"/>
      <c r="XED1689"/>
      <c r="XEE1689"/>
      <c r="XEF1689"/>
      <c r="XEG1689"/>
      <c r="XEH1689"/>
      <c r="XEI1689"/>
      <c r="XEJ1689"/>
      <c r="XEK1689"/>
      <c r="XEL1689"/>
      <c r="XEM1689"/>
      <c r="XEN1689"/>
      <c r="XEO1689"/>
      <c r="XEP1689"/>
      <c r="XEQ1689"/>
      <c r="XER1689"/>
      <c r="XES1689"/>
      <c r="XET1689"/>
      <c r="XEU1689"/>
      <c r="XEV1689"/>
      <c r="XEW1689"/>
      <c r="XEX1689"/>
      <c r="XEY1689"/>
      <c r="XEZ1689"/>
      <c r="XFA1689"/>
      <c r="XFB1689"/>
      <c r="XFC1689"/>
    </row>
    <row r="1690" spans="1:20 16329:16383" s="38" customFormat="1" ht="29.1" customHeight="1" outlineLevel="6" x14ac:dyDescent="0.25">
      <c r="A1690" s="49" t="s">
        <v>2883</v>
      </c>
      <c r="B1690" s="50"/>
      <c r="C1690" s="50"/>
      <c r="D1690" s="3" t="s">
        <v>2238</v>
      </c>
      <c r="E1690" s="3"/>
      <c r="F1690" s="51"/>
      <c r="G1690" s="50" t="s">
        <v>102</v>
      </c>
      <c r="H1690" s="52">
        <f>1</f>
        <v>1</v>
      </c>
      <c r="I1690" s="36"/>
      <c r="J1690" s="52">
        <v>1</v>
      </c>
      <c r="K1690" s="53">
        <f>0</f>
        <v>0</v>
      </c>
      <c r="L1690" s="53">
        <f>0</f>
        <v>0</v>
      </c>
      <c r="M1690" s="53">
        <f>0</f>
        <v>0</v>
      </c>
      <c r="N1690" s="54">
        <f t="shared" si="334"/>
        <v>0</v>
      </c>
      <c r="O1690" s="54">
        <f t="shared" si="335"/>
        <v>0</v>
      </c>
      <c r="P1690" s="54">
        <f t="shared" si="336"/>
        <v>0</v>
      </c>
      <c r="Q1690" s="54">
        <f t="shared" si="337"/>
        <v>0</v>
      </c>
      <c r="R1690" s="54">
        <f t="shared" si="338"/>
        <v>0</v>
      </c>
      <c r="S1690" s="54"/>
      <c r="T1690" s="36"/>
      <c r="XDA1690"/>
      <c r="XDB1690"/>
      <c r="XDC1690"/>
      <c r="XDD1690"/>
      <c r="XDE1690"/>
      <c r="XDF1690"/>
      <c r="XDG1690"/>
      <c r="XDH1690"/>
      <c r="XDI1690"/>
      <c r="XDJ1690"/>
      <c r="XDK1690"/>
      <c r="XDL1690"/>
      <c r="XDM1690"/>
      <c r="XDN1690"/>
      <c r="XDO1690"/>
      <c r="XDP1690"/>
      <c r="XDQ1690"/>
      <c r="XDR1690"/>
      <c r="XDS1690"/>
      <c r="XDT1690"/>
      <c r="XDU1690"/>
      <c r="XDV1690"/>
      <c r="XDW1690"/>
      <c r="XDX1690"/>
      <c r="XDY1690"/>
      <c r="XDZ1690"/>
      <c r="XEA1690"/>
      <c r="XEB1690"/>
      <c r="XEC1690"/>
      <c r="XED1690"/>
      <c r="XEE1690"/>
      <c r="XEF1690"/>
      <c r="XEG1690"/>
      <c r="XEH1690"/>
      <c r="XEI1690"/>
      <c r="XEJ1690"/>
      <c r="XEK1690"/>
      <c r="XEL1690"/>
      <c r="XEM1690"/>
      <c r="XEN1690"/>
      <c r="XEO1690"/>
      <c r="XEP1690"/>
      <c r="XEQ1690"/>
      <c r="XER1690"/>
      <c r="XES1690"/>
      <c r="XET1690"/>
      <c r="XEU1690"/>
      <c r="XEV1690"/>
      <c r="XEW1690"/>
      <c r="XEX1690"/>
      <c r="XEY1690"/>
      <c r="XEZ1690"/>
      <c r="XFA1690"/>
      <c r="XFB1690"/>
      <c r="XFC1690"/>
    </row>
    <row r="1691" spans="1:20 16329:16383" s="38" customFormat="1" ht="29.1" customHeight="1" outlineLevel="6" x14ac:dyDescent="0.25">
      <c r="A1691" s="49" t="s">
        <v>2884</v>
      </c>
      <c r="B1691" s="50"/>
      <c r="C1691" s="50"/>
      <c r="D1691" s="3" t="s">
        <v>1884</v>
      </c>
      <c r="E1691" s="3"/>
      <c r="F1691" s="51"/>
      <c r="G1691" s="50" t="s">
        <v>102</v>
      </c>
      <c r="H1691" s="52">
        <f>1</f>
        <v>1</v>
      </c>
      <c r="I1691" s="36"/>
      <c r="J1691" s="52">
        <v>1</v>
      </c>
      <c r="K1691" s="53">
        <f>0</f>
        <v>0</v>
      </c>
      <c r="L1691" s="53">
        <f>0</f>
        <v>0</v>
      </c>
      <c r="M1691" s="53">
        <f>0</f>
        <v>0</v>
      </c>
      <c r="N1691" s="54">
        <f t="shared" si="334"/>
        <v>0</v>
      </c>
      <c r="O1691" s="54">
        <f t="shared" si="335"/>
        <v>0</v>
      </c>
      <c r="P1691" s="54">
        <f t="shared" si="336"/>
        <v>0</v>
      </c>
      <c r="Q1691" s="54">
        <f t="shared" si="337"/>
        <v>0</v>
      </c>
      <c r="R1691" s="54">
        <f t="shared" si="338"/>
        <v>0</v>
      </c>
      <c r="S1691" s="54"/>
      <c r="T1691" s="36"/>
      <c r="XDA1691"/>
      <c r="XDB1691"/>
      <c r="XDC1691"/>
      <c r="XDD1691"/>
      <c r="XDE1691"/>
      <c r="XDF1691"/>
      <c r="XDG1691"/>
      <c r="XDH1691"/>
      <c r="XDI1691"/>
      <c r="XDJ1691"/>
      <c r="XDK1691"/>
      <c r="XDL1691"/>
      <c r="XDM1691"/>
      <c r="XDN1691"/>
      <c r="XDO1691"/>
      <c r="XDP1691"/>
      <c r="XDQ1691"/>
      <c r="XDR1691"/>
      <c r="XDS1691"/>
      <c r="XDT1691"/>
      <c r="XDU1691"/>
      <c r="XDV1691"/>
      <c r="XDW1691"/>
      <c r="XDX1691"/>
      <c r="XDY1691"/>
      <c r="XDZ1691"/>
      <c r="XEA1691"/>
      <c r="XEB1691"/>
      <c r="XEC1691"/>
      <c r="XED1691"/>
      <c r="XEE1691"/>
      <c r="XEF1691"/>
      <c r="XEG1691"/>
      <c r="XEH1691"/>
      <c r="XEI1691"/>
      <c r="XEJ1691"/>
      <c r="XEK1691"/>
      <c r="XEL1691"/>
      <c r="XEM1691"/>
      <c r="XEN1691"/>
      <c r="XEO1691"/>
      <c r="XEP1691"/>
      <c r="XEQ1691"/>
      <c r="XER1691"/>
      <c r="XES1691"/>
      <c r="XET1691"/>
      <c r="XEU1691"/>
      <c r="XEV1691"/>
      <c r="XEW1691"/>
      <c r="XEX1691"/>
      <c r="XEY1691"/>
      <c r="XEZ1691"/>
      <c r="XFA1691"/>
      <c r="XFB1691"/>
      <c r="XFC1691"/>
    </row>
    <row r="1692" spans="1:20 16329:16383" s="38" customFormat="1" ht="29.1" customHeight="1" outlineLevel="6" x14ac:dyDescent="0.25">
      <c r="A1692" s="49" t="s">
        <v>2885</v>
      </c>
      <c r="B1692" s="50"/>
      <c r="C1692" s="50"/>
      <c r="D1692" s="3" t="s">
        <v>2241</v>
      </c>
      <c r="E1692" s="3"/>
      <c r="F1692" s="51"/>
      <c r="G1692" s="50" t="s">
        <v>102</v>
      </c>
      <c r="H1692" s="52">
        <f>1</f>
        <v>1</v>
      </c>
      <c r="I1692" s="36"/>
      <c r="J1692" s="52">
        <v>1</v>
      </c>
      <c r="K1692" s="53">
        <f>0</f>
        <v>0</v>
      </c>
      <c r="L1692" s="53">
        <f>0</f>
        <v>0</v>
      </c>
      <c r="M1692" s="53">
        <f>0</f>
        <v>0</v>
      </c>
      <c r="N1692" s="54">
        <f t="shared" si="334"/>
        <v>0</v>
      </c>
      <c r="O1692" s="54">
        <f t="shared" si="335"/>
        <v>0</v>
      </c>
      <c r="P1692" s="54">
        <f t="shared" si="336"/>
        <v>0</v>
      </c>
      <c r="Q1692" s="54">
        <f t="shared" si="337"/>
        <v>0</v>
      </c>
      <c r="R1692" s="54">
        <f t="shared" si="338"/>
        <v>0</v>
      </c>
      <c r="S1692" s="54"/>
      <c r="T1692" s="36"/>
      <c r="XDA1692"/>
      <c r="XDB1692"/>
      <c r="XDC1692"/>
      <c r="XDD1692"/>
      <c r="XDE1692"/>
      <c r="XDF1692"/>
      <c r="XDG1692"/>
      <c r="XDH1692"/>
      <c r="XDI1692"/>
      <c r="XDJ1692"/>
      <c r="XDK1692"/>
      <c r="XDL1692"/>
      <c r="XDM1692"/>
      <c r="XDN1692"/>
      <c r="XDO1692"/>
      <c r="XDP1692"/>
      <c r="XDQ1692"/>
      <c r="XDR1692"/>
      <c r="XDS1692"/>
      <c r="XDT1692"/>
      <c r="XDU1692"/>
      <c r="XDV1692"/>
      <c r="XDW1692"/>
      <c r="XDX1692"/>
      <c r="XDY1692"/>
      <c r="XDZ1692"/>
      <c r="XEA1692"/>
      <c r="XEB1692"/>
      <c r="XEC1692"/>
      <c r="XED1692"/>
      <c r="XEE1692"/>
      <c r="XEF1692"/>
      <c r="XEG1692"/>
      <c r="XEH1692"/>
      <c r="XEI1692"/>
      <c r="XEJ1692"/>
      <c r="XEK1692"/>
      <c r="XEL1692"/>
      <c r="XEM1692"/>
      <c r="XEN1692"/>
      <c r="XEO1692"/>
      <c r="XEP1692"/>
      <c r="XEQ1692"/>
      <c r="XER1692"/>
      <c r="XES1692"/>
      <c r="XET1692"/>
      <c r="XEU1692"/>
      <c r="XEV1692"/>
      <c r="XEW1692"/>
      <c r="XEX1692"/>
      <c r="XEY1692"/>
      <c r="XEZ1692"/>
      <c r="XFA1692"/>
      <c r="XFB1692"/>
      <c r="XFC1692"/>
    </row>
    <row r="1693" spans="1:20 16329:16383" s="38" customFormat="1" ht="29.1" customHeight="1" outlineLevel="6" x14ac:dyDescent="0.25">
      <c r="A1693" s="49" t="s">
        <v>2886</v>
      </c>
      <c r="B1693" s="50"/>
      <c r="C1693" s="50"/>
      <c r="D1693" s="3" t="s">
        <v>1886</v>
      </c>
      <c r="E1693" s="3"/>
      <c r="F1693" s="51"/>
      <c r="G1693" s="50" t="s">
        <v>102</v>
      </c>
      <c r="H1693" s="52">
        <f>1</f>
        <v>1</v>
      </c>
      <c r="I1693" s="36"/>
      <c r="J1693" s="52">
        <v>1</v>
      </c>
      <c r="K1693" s="53">
        <f>0</f>
        <v>0</v>
      </c>
      <c r="L1693" s="53">
        <f>0</f>
        <v>0</v>
      </c>
      <c r="M1693" s="53">
        <f>0</f>
        <v>0</v>
      </c>
      <c r="N1693" s="54">
        <f t="shared" si="334"/>
        <v>0</v>
      </c>
      <c r="O1693" s="54">
        <f t="shared" si="335"/>
        <v>0</v>
      </c>
      <c r="P1693" s="54">
        <f t="shared" si="336"/>
        <v>0</v>
      </c>
      <c r="Q1693" s="54">
        <f t="shared" si="337"/>
        <v>0</v>
      </c>
      <c r="R1693" s="54">
        <f t="shared" si="338"/>
        <v>0</v>
      </c>
      <c r="S1693" s="54"/>
      <c r="T1693" s="36"/>
      <c r="XDA1693"/>
      <c r="XDB1693"/>
      <c r="XDC1693"/>
      <c r="XDD1693"/>
      <c r="XDE1693"/>
      <c r="XDF1693"/>
      <c r="XDG1693"/>
      <c r="XDH1693"/>
      <c r="XDI1693"/>
      <c r="XDJ1693"/>
      <c r="XDK1693"/>
      <c r="XDL1693"/>
      <c r="XDM1693"/>
      <c r="XDN1693"/>
      <c r="XDO1693"/>
      <c r="XDP1693"/>
      <c r="XDQ1693"/>
      <c r="XDR1693"/>
      <c r="XDS1693"/>
      <c r="XDT1693"/>
      <c r="XDU1693"/>
      <c r="XDV1693"/>
      <c r="XDW1693"/>
      <c r="XDX1693"/>
      <c r="XDY1693"/>
      <c r="XDZ1693"/>
      <c r="XEA1693"/>
      <c r="XEB1693"/>
      <c r="XEC1693"/>
      <c r="XED1693"/>
      <c r="XEE1693"/>
      <c r="XEF1693"/>
      <c r="XEG1693"/>
      <c r="XEH1693"/>
      <c r="XEI1693"/>
      <c r="XEJ1693"/>
      <c r="XEK1693"/>
      <c r="XEL1693"/>
      <c r="XEM1693"/>
      <c r="XEN1693"/>
      <c r="XEO1693"/>
      <c r="XEP1693"/>
      <c r="XEQ1693"/>
      <c r="XER1693"/>
      <c r="XES1693"/>
      <c r="XET1693"/>
      <c r="XEU1693"/>
      <c r="XEV1693"/>
      <c r="XEW1693"/>
      <c r="XEX1693"/>
      <c r="XEY1693"/>
      <c r="XEZ1693"/>
      <c r="XFA1693"/>
      <c r="XFB1693"/>
      <c r="XFC1693"/>
    </row>
    <row r="1694" spans="1:20 16329:16383" s="38" customFormat="1" ht="29.1" customHeight="1" outlineLevel="6" x14ac:dyDescent="0.25">
      <c r="A1694" s="49" t="s">
        <v>2887</v>
      </c>
      <c r="B1694" s="50"/>
      <c r="C1694" s="50"/>
      <c r="D1694" s="3" t="s">
        <v>2621</v>
      </c>
      <c r="E1694" s="3"/>
      <c r="F1694" s="51"/>
      <c r="G1694" s="50" t="s">
        <v>102</v>
      </c>
      <c r="H1694" s="52">
        <f>1</f>
        <v>1</v>
      </c>
      <c r="I1694" s="36"/>
      <c r="J1694" s="52">
        <v>1</v>
      </c>
      <c r="K1694" s="53">
        <f>0</f>
        <v>0</v>
      </c>
      <c r="L1694" s="53">
        <f>0</f>
        <v>0</v>
      </c>
      <c r="M1694" s="53">
        <f>0</f>
        <v>0</v>
      </c>
      <c r="N1694" s="54">
        <f t="shared" si="334"/>
        <v>0</v>
      </c>
      <c r="O1694" s="54">
        <f t="shared" si="335"/>
        <v>0</v>
      </c>
      <c r="P1694" s="54">
        <f t="shared" si="336"/>
        <v>0</v>
      </c>
      <c r="Q1694" s="54">
        <f t="shared" si="337"/>
        <v>0</v>
      </c>
      <c r="R1694" s="54">
        <f t="shared" si="338"/>
        <v>0</v>
      </c>
      <c r="S1694" s="54"/>
      <c r="T1694" s="36"/>
      <c r="XDA1694"/>
      <c r="XDB1694"/>
      <c r="XDC1694"/>
      <c r="XDD1694"/>
      <c r="XDE1694"/>
      <c r="XDF1694"/>
      <c r="XDG1694"/>
      <c r="XDH1694"/>
      <c r="XDI1694"/>
      <c r="XDJ1694"/>
      <c r="XDK1694"/>
      <c r="XDL1694"/>
      <c r="XDM1694"/>
      <c r="XDN1694"/>
      <c r="XDO1694"/>
      <c r="XDP1694"/>
      <c r="XDQ1694"/>
      <c r="XDR1694"/>
      <c r="XDS1694"/>
      <c r="XDT1694"/>
      <c r="XDU1694"/>
      <c r="XDV1694"/>
      <c r="XDW1694"/>
      <c r="XDX1694"/>
      <c r="XDY1694"/>
      <c r="XDZ1694"/>
      <c r="XEA1694"/>
      <c r="XEB1694"/>
      <c r="XEC1694"/>
      <c r="XED1694"/>
      <c r="XEE1694"/>
      <c r="XEF1694"/>
      <c r="XEG1694"/>
      <c r="XEH1694"/>
      <c r="XEI1694"/>
      <c r="XEJ1694"/>
      <c r="XEK1694"/>
      <c r="XEL1694"/>
      <c r="XEM1694"/>
      <c r="XEN1694"/>
      <c r="XEO1694"/>
      <c r="XEP1694"/>
      <c r="XEQ1694"/>
      <c r="XER1694"/>
      <c r="XES1694"/>
      <c r="XET1694"/>
      <c r="XEU1694"/>
      <c r="XEV1694"/>
      <c r="XEW1694"/>
      <c r="XEX1694"/>
      <c r="XEY1694"/>
      <c r="XEZ1694"/>
      <c r="XFA1694"/>
      <c r="XFB1694"/>
      <c r="XFC1694"/>
    </row>
    <row r="1695" spans="1:20 16329:16383" s="38" customFormat="1" ht="29.1" customHeight="1" outlineLevel="6" x14ac:dyDescent="0.25">
      <c r="A1695" s="49" t="s">
        <v>2888</v>
      </c>
      <c r="B1695" s="50"/>
      <c r="C1695" s="50"/>
      <c r="D1695" s="3" t="s">
        <v>2623</v>
      </c>
      <c r="E1695" s="3"/>
      <c r="F1695" s="51" t="s">
        <v>1960</v>
      </c>
      <c r="G1695" s="50" t="s">
        <v>134</v>
      </c>
      <c r="H1695" s="52">
        <f>1</f>
        <v>1</v>
      </c>
      <c r="I1695" s="36"/>
      <c r="J1695" s="52">
        <v>1</v>
      </c>
      <c r="K1695" s="53">
        <f>0</f>
        <v>0</v>
      </c>
      <c r="L1695" s="53">
        <f>0</f>
        <v>0</v>
      </c>
      <c r="M1695" s="53">
        <f>0</f>
        <v>0</v>
      </c>
      <c r="N1695" s="54">
        <f t="shared" si="334"/>
        <v>0</v>
      </c>
      <c r="O1695" s="54">
        <f t="shared" si="335"/>
        <v>0</v>
      </c>
      <c r="P1695" s="54">
        <f t="shared" si="336"/>
        <v>0</v>
      </c>
      <c r="Q1695" s="54">
        <f t="shared" si="337"/>
        <v>0</v>
      </c>
      <c r="R1695" s="54">
        <f t="shared" si="338"/>
        <v>0</v>
      </c>
      <c r="S1695" s="54"/>
      <c r="T1695" s="36"/>
      <c r="XDA1695"/>
      <c r="XDB1695"/>
      <c r="XDC1695"/>
      <c r="XDD1695"/>
      <c r="XDE1695"/>
      <c r="XDF1695"/>
      <c r="XDG1695"/>
      <c r="XDH1695"/>
      <c r="XDI1695"/>
      <c r="XDJ1695"/>
      <c r="XDK1695"/>
      <c r="XDL1695"/>
      <c r="XDM1695"/>
      <c r="XDN1695"/>
      <c r="XDO1695"/>
      <c r="XDP1695"/>
      <c r="XDQ1695"/>
      <c r="XDR1695"/>
      <c r="XDS1695"/>
      <c r="XDT1695"/>
      <c r="XDU1695"/>
      <c r="XDV1695"/>
      <c r="XDW1695"/>
      <c r="XDX1695"/>
      <c r="XDY1695"/>
      <c r="XDZ1695"/>
      <c r="XEA1695"/>
      <c r="XEB1695"/>
      <c r="XEC1695"/>
      <c r="XED1695"/>
      <c r="XEE1695"/>
      <c r="XEF1695"/>
      <c r="XEG1695"/>
      <c r="XEH1695"/>
      <c r="XEI1695"/>
      <c r="XEJ1695"/>
      <c r="XEK1695"/>
      <c r="XEL1695"/>
      <c r="XEM1695"/>
      <c r="XEN1695"/>
      <c r="XEO1695"/>
      <c r="XEP1695"/>
      <c r="XEQ1695"/>
      <c r="XER1695"/>
      <c r="XES1695"/>
      <c r="XET1695"/>
      <c r="XEU1695"/>
      <c r="XEV1695"/>
      <c r="XEW1695"/>
      <c r="XEX1695"/>
      <c r="XEY1695"/>
      <c r="XEZ1695"/>
      <c r="XFA1695"/>
      <c r="XFB1695"/>
      <c r="XFC1695"/>
    </row>
    <row r="1696" spans="1:20 16329:16383" s="38" customFormat="1" ht="29.1" customHeight="1" outlineLevel="5" x14ac:dyDescent="0.25">
      <c r="A1696" s="65" t="s">
        <v>2889</v>
      </c>
      <c r="B1696" s="66" t="s">
        <v>2890</v>
      </c>
      <c r="C1696" s="66"/>
      <c r="D1696" s="98" t="s">
        <v>1498</v>
      </c>
      <c r="E1696" s="98"/>
      <c r="F1696" s="67"/>
      <c r="G1696" s="66"/>
      <c r="H1696" s="68"/>
      <c r="I1696" s="36"/>
      <c r="J1696" s="68"/>
      <c r="K1696" s="69"/>
      <c r="L1696" s="69"/>
      <c r="M1696" s="69"/>
      <c r="N1696" s="69"/>
      <c r="O1696" s="69">
        <f>SUM(O1697:O1701)</f>
        <v>0</v>
      </c>
      <c r="P1696" s="69">
        <f>SUM(P1697:P1701)</f>
        <v>0</v>
      </c>
      <c r="Q1696" s="69">
        <f>SUM(Q1697:Q1701)</f>
        <v>0</v>
      </c>
      <c r="R1696" s="69">
        <f>SUM(R1697:R1701)</f>
        <v>0</v>
      </c>
      <c r="S1696" s="69"/>
      <c r="T1696" s="36"/>
      <c r="XDA1696"/>
      <c r="XDB1696"/>
      <c r="XDC1696"/>
      <c r="XDD1696"/>
      <c r="XDE1696"/>
      <c r="XDF1696"/>
      <c r="XDG1696"/>
      <c r="XDH1696"/>
      <c r="XDI1696"/>
      <c r="XDJ1696"/>
      <c r="XDK1696"/>
      <c r="XDL1696"/>
      <c r="XDM1696"/>
      <c r="XDN1696"/>
      <c r="XDO1696"/>
      <c r="XDP1696"/>
      <c r="XDQ1696"/>
      <c r="XDR1696"/>
      <c r="XDS1696"/>
      <c r="XDT1696"/>
      <c r="XDU1696"/>
      <c r="XDV1696"/>
      <c r="XDW1696"/>
      <c r="XDX1696"/>
      <c r="XDY1696"/>
      <c r="XDZ1696"/>
      <c r="XEA1696"/>
      <c r="XEB1696"/>
      <c r="XEC1696"/>
      <c r="XED1696"/>
      <c r="XEE1696"/>
      <c r="XEF1696"/>
      <c r="XEG1696"/>
      <c r="XEH1696"/>
      <c r="XEI1696"/>
      <c r="XEJ1696"/>
      <c r="XEK1696"/>
      <c r="XEL1696"/>
      <c r="XEM1696"/>
      <c r="XEN1696"/>
      <c r="XEO1696"/>
      <c r="XEP1696"/>
      <c r="XEQ1696"/>
      <c r="XER1696"/>
      <c r="XES1696"/>
      <c r="XET1696"/>
      <c r="XEU1696"/>
      <c r="XEV1696"/>
      <c r="XEW1696"/>
      <c r="XEX1696"/>
      <c r="XEY1696"/>
      <c r="XEZ1696"/>
      <c r="XFA1696"/>
      <c r="XFB1696"/>
      <c r="XFC1696"/>
    </row>
    <row r="1697" spans="1:20 16329:16383" s="38" customFormat="1" ht="29.1" customHeight="1" outlineLevel="6" x14ac:dyDescent="0.25">
      <c r="A1697" s="49" t="s">
        <v>2891</v>
      </c>
      <c r="B1697" s="50"/>
      <c r="C1697" s="50"/>
      <c r="D1697" s="3" t="s">
        <v>2251</v>
      </c>
      <c r="E1697" s="3"/>
      <c r="F1697" s="51" t="s">
        <v>2252</v>
      </c>
      <c r="G1697" s="50" t="s">
        <v>29</v>
      </c>
      <c r="H1697" s="52">
        <f>1</f>
        <v>1</v>
      </c>
      <c r="I1697" s="36"/>
      <c r="J1697" s="52">
        <v>1</v>
      </c>
      <c r="K1697" s="53">
        <f>0</f>
        <v>0</v>
      </c>
      <c r="L1697" s="53">
        <f>0</f>
        <v>0</v>
      </c>
      <c r="M1697" s="53">
        <f>0</f>
        <v>0</v>
      </c>
      <c r="N1697" s="54">
        <f>SUM(K1697:M1697)</f>
        <v>0</v>
      </c>
      <c r="O1697" s="54">
        <f>ROUND((H1697*K1697),2)</f>
        <v>0</v>
      </c>
      <c r="P1697" s="54">
        <f>ROUND((H1697*L1697),2)</f>
        <v>0</v>
      </c>
      <c r="Q1697" s="54">
        <f>ROUND((H1697*M1697),2)</f>
        <v>0</v>
      </c>
      <c r="R1697" s="54">
        <f>ROUND((H1697*N1697),2)</f>
        <v>0</v>
      </c>
      <c r="S1697" s="54"/>
      <c r="T1697" s="36"/>
      <c r="XDA1697"/>
      <c r="XDB1697"/>
      <c r="XDC1697"/>
      <c r="XDD1697"/>
      <c r="XDE1697"/>
      <c r="XDF1697"/>
      <c r="XDG1697"/>
      <c r="XDH1697"/>
      <c r="XDI1697"/>
      <c r="XDJ1697"/>
      <c r="XDK1697"/>
      <c r="XDL1697"/>
      <c r="XDM1697"/>
      <c r="XDN1697"/>
      <c r="XDO1697"/>
      <c r="XDP1697"/>
      <c r="XDQ1697"/>
      <c r="XDR1697"/>
      <c r="XDS1697"/>
      <c r="XDT1697"/>
      <c r="XDU1697"/>
      <c r="XDV1697"/>
      <c r="XDW1697"/>
      <c r="XDX1697"/>
      <c r="XDY1697"/>
      <c r="XDZ1697"/>
      <c r="XEA1697"/>
      <c r="XEB1697"/>
      <c r="XEC1697"/>
      <c r="XED1697"/>
      <c r="XEE1697"/>
      <c r="XEF1697"/>
      <c r="XEG1697"/>
      <c r="XEH1697"/>
      <c r="XEI1697"/>
      <c r="XEJ1697"/>
      <c r="XEK1697"/>
      <c r="XEL1697"/>
      <c r="XEM1697"/>
      <c r="XEN1697"/>
      <c r="XEO1697"/>
      <c r="XEP1697"/>
      <c r="XEQ1697"/>
      <c r="XER1697"/>
      <c r="XES1697"/>
      <c r="XET1697"/>
      <c r="XEU1697"/>
      <c r="XEV1697"/>
      <c r="XEW1697"/>
      <c r="XEX1697"/>
      <c r="XEY1697"/>
      <c r="XEZ1697"/>
      <c r="XFA1697"/>
      <c r="XFB1697"/>
      <c r="XFC1697"/>
    </row>
    <row r="1698" spans="1:20 16329:16383" s="38" customFormat="1" ht="29.1" customHeight="1" outlineLevel="6" x14ac:dyDescent="0.25">
      <c r="A1698" s="49" t="s">
        <v>2892</v>
      </c>
      <c r="B1698" s="50"/>
      <c r="C1698" s="50"/>
      <c r="D1698" s="3" t="s">
        <v>2260</v>
      </c>
      <c r="E1698" s="3"/>
      <c r="F1698" s="51" t="s">
        <v>2252</v>
      </c>
      <c r="G1698" s="50" t="s">
        <v>29</v>
      </c>
      <c r="H1698" s="52">
        <f>1</f>
        <v>1</v>
      </c>
      <c r="I1698" s="36"/>
      <c r="J1698" s="52">
        <v>1</v>
      </c>
      <c r="K1698" s="53">
        <f>0</f>
        <v>0</v>
      </c>
      <c r="L1698" s="53">
        <f>0</f>
        <v>0</v>
      </c>
      <c r="M1698" s="53">
        <f>0</f>
        <v>0</v>
      </c>
      <c r="N1698" s="54">
        <f>SUM(K1698:M1698)</f>
        <v>0</v>
      </c>
      <c r="O1698" s="54">
        <f>ROUND((H1698*K1698),2)</f>
        <v>0</v>
      </c>
      <c r="P1698" s="54">
        <f>ROUND((H1698*L1698),2)</f>
        <v>0</v>
      </c>
      <c r="Q1698" s="54">
        <f>ROUND((H1698*M1698),2)</f>
        <v>0</v>
      </c>
      <c r="R1698" s="54">
        <f>ROUND((H1698*N1698),2)</f>
        <v>0</v>
      </c>
      <c r="S1698" s="54"/>
      <c r="T1698" s="36"/>
      <c r="XDA1698"/>
      <c r="XDB1698"/>
      <c r="XDC1698"/>
      <c r="XDD1698"/>
      <c r="XDE1698"/>
      <c r="XDF1698"/>
      <c r="XDG1698"/>
      <c r="XDH1698"/>
      <c r="XDI1698"/>
      <c r="XDJ1698"/>
      <c r="XDK1698"/>
      <c r="XDL1698"/>
      <c r="XDM1698"/>
      <c r="XDN1698"/>
      <c r="XDO1698"/>
      <c r="XDP1698"/>
      <c r="XDQ1698"/>
      <c r="XDR1698"/>
      <c r="XDS1698"/>
      <c r="XDT1698"/>
      <c r="XDU1698"/>
      <c r="XDV1698"/>
      <c r="XDW1698"/>
      <c r="XDX1698"/>
      <c r="XDY1698"/>
      <c r="XDZ1698"/>
      <c r="XEA1698"/>
      <c r="XEB1698"/>
      <c r="XEC1698"/>
      <c r="XED1698"/>
      <c r="XEE1698"/>
      <c r="XEF1698"/>
      <c r="XEG1698"/>
      <c r="XEH1698"/>
      <c r="XEI1698"/>
      <c r="XEJ1698"/>
      <c r="XEK1698"/>
      <c r="XEL1698"/>
      <c r="XEM1698"/>
      <c r="XEN1698"/>
      <c r="XEO1698"/>
      <c r="XEP1698"/>
      <c r="XEQ1698"/>
      <c r="XER1698"/>
      <c r="XES1698"/>
      <c r="XET1698"/>
      <c r="XEU1698"/>
      <c r="XEV1698"/>
      <c r="XEW1698"/>
      <c r="XEX1698"/>
      <c r="XEY1698"/>
      <c r="XEZ1698"/>
      <c r="XFA1698"/>
      <c r="XFB1698"/>
      <c r="XFC1698"/>
    </row>
    <row r="1699" spans="1:20 16329:16383" s="38" customFormat="1" ht="29.1" customHeight="1" outlineLevel="6" x14ac:dyDescent="0.25">
      <c r="A1699" s="49" t="s">
        <v>2893</v>
      </c>
      <c r="B1699" s="50"/>
      <c r="C1699" s="50"/>
      <c r="D1699" s="3" t="s">
        <v>2258</v>
      </c>
      <c r="E1699" s="3"/>
      <c r="F1699" s="51" t="s">
        <v>2252</v>
      </c>
      <c r="G1699" s="50" t="s">
        <v>29</v>
      </c>
      <c r="H1699" s="52">
        <f>1</f>
        <v>1</v>
      </c>
      <c r="I1699" s="36"/>
      <c r="J1699" s="52">
        <v>1</v>
      </c>
      <c r="K1699" s="53">
        <f>0</f>
        <v>0</v>
      </c>
      <c r="L1699" s="53">
        <f>0</f>
        <v>0</v>
      </c>
      <c r="M1699" s="53">
        <f>0</f>
        <v>0</v>
      </c>
      <c r="N1699" s="54">
        <f>SUM(K1699:M1699)</f>
        <v>0</v>
      </c>
      <c r="O1699" s="54">
        <f>ROUND((H1699*K1699),2)</f>
        <v>0</v>
      </c>
      <c r="P1699" s="54">
        <f>ROUND((H1699*L1699),2)</f>
        <v>0</v>
      </c>
      <c r="Q1699" s="54">
        <f>ROUND((H1699*M1699),2)</f>
        <v>0</v>
      </c>
      <c r="R1699" s="54">
        <f>ROUND((H1699*N1699),2)</f>
        <v>0</v>
      </c>
      <c r="S1699" s="54"/>
      <c r="T1699" s="36"/>
      <c r="XDA1699"/>
      <c r="XDB1699"/>
      <c r="XDC1699"/>
      <c r="XDD1699"/>
      <c r="XDE1699"/>
      <c r="XDF1699"/>
      <c r="XDG1699"/>
      <c r="XDH1699"/>
      <c r="XDI1699"/>
      <c r="XDJ1699"/>
      <c r="XDK1699"/>
      <c r="XDL1699"/>
      <c r="XDM1699"/>
      <c r="XDN1699"/>
      <c r="XDO1699"/>
      <c r="XDP1699"/>
      <c r="XDQ1699"/>
      <c r="XDR1699"/>
      <c r="XDS1699"/>
      <c r="XDT1699"/>
      <c r="XDU1699"/>
      <c r="XDV1699"/>
      <c r="XDW1699"/>
      <c r="XDX1699"/>
      <c r="XDY1699"/>
      <c r="XDZ1699"/>
      <c r="XEA1699"/>
      <c r="XEB1699"/>
      <c r="XEC1699"/>
      <c r="XED1699"/>
      <c r="XEE1699"/>
      <c r="XEF1699"/>
      <c r="XEG1699"/>
      <c r="XEH1699"/>
      <c r="XEI1699"/>
      <c r="XEJ1699"/>
      <c r="XEK1699"/>
      <c r="XEL1699"/>
      <c r="XEM1699"/>
      <c r="XEN1699"/>
      <c r="XEO1699"/>
      <c r="XEP1699"/>
      <c r="XEQ1699"/>
      <c r="XER1699"/>
      <c r="XES1699"/>
      <c r="XET1699"/>
      <c r="XEU1699"/>
      <c r="XEV1699"/>
      <c r="XEW1699"/>
      <c r="XEX1699"/>
      <c r="XEY1699"/>
      <c r="XEZ1699"/>
      <c r="XFA1699"/>
      <c r="XFB1699"/>
      <c r="XFC1699"/>
    </row>
    <row r="1700" spans="1:20 16329:16383" s="38" customFormat="1" ht="29.1" customHeight="1" outlineLevel="6" x14ac:dyDescent="0.25">
      <c r="A1700" s="49" t="s">
        <v>2894</v>
      </c>
      <c r="B1700" s="50"/>
      <c r="C1700" s="50"/>
      <c r="D1700" s="3" t="s">
        <v>2324</v>
      </c>
      <c r="E1700" s="3"/>
      <c r="F1700" s="51" t="s">
        <v>2252</v>
      </c>
      <c r="G1700" s="50" t="s">
        <v>29</v>
      </c>
      <c r="H1700" s="52">
        <f>1</f>
        <v>1</v>
      </c>
      <c r="I1700" s="36"/>
      <c r="J1700" s="52">
        <v>1</v>
      </c>
      <c r="K1700" s="53">
        <f>0</f>
        <v>0</v>
      </c>
      <c r="L1700" s="53">
        <f>0</f>
        <v>0</v>
      </c>
      <c r="M1700" s="53">
        <f>0</f>
        <v>0</v>
      </c>
      <c r="N1700" s="54">
        <f>SUM(K1700:M1700)</f>
        <v>0</v>
      </c>
      <c r="O1700" s="54">
        <f>ROUND((H1700*K1700),2)</f>
        <v>0</v>
      </c>
      <c r="P1700" s="54">
        <f>ROUND((H1700*L1700),2)</f>
        <v>0</v>
      </c>
      <c r="Q1700" s="54">
        <f>ROUND((H1700*M1700),2)</f>
        <v>0</v>
      </c>
      <c r="R1700" s="54">
        <f>ROUND((H1700*N1700),2)</f>
        <v>0</v>
      </c>
      <c r="S1700" s="54"/>
      <c r="T1700" s="36"/>
      <c r="XDA1700"/>
      <c r="XDB1700"/>
      <c r="XDC1700"/>
      <c r="XDD1700"/>
      <c r="XDE1700"/>
      <c r="XDF1700"/>
      <c r="XDG1700"/>
      <c r="XDH1700"/>
      <c r="XDI1700"/>
      <c r="XDJ1700"/>
      <c r="XDK1700"/>
      <c r="XDL1700"/>
      <c r="XDM1700"/>
      <c r="XDN1700"/>
      <c r="XDO1700"/>
      <c r="XDP1700"/>
      <c r="XDQ1700"/>
      <c r="XDR1700"/>
      <c r="XDS1700"/>
      <c r="XDT1700"/>
      <c r="XDU1700"/>
      <c r="XDV1700"/>
      <c r="XDW1700"/>
      <c r="XDX1700"/>
      <c r="XDY1700"/>
      <c r="XDZ1700"/>
      <c r="XEA1700"/>
      <c r="XEB1700"/>
      <c r="XEC1700"/>
      <c r="XED1700"/>
      <c r="XEE1700"/>
      <c r="XEF1700"/>
      <c r="XEG1700"/>
      <c r="XEH1700"/>
      <c r="XEI1700"/>
      <c r="XEJ1700"/>
      <c r="XEK1700"/>
      <c r="XEL1700"/>
      <c r="XEM1700"/>
      <c r="XEN1700"/>
      <c r="XEO1700"/>
      <c r="XEP1700"/>
      <c r="XEQ1700"/>
      <c r="XER1700"/>
      <c r="XES1700"/>
      <c r="XET1700"/>
      <c r="XEU1700"/>
      <c r="XEV1700"/>
      <c r="XEW1700"/>
      <c r="XEX1700"/>
      <c r="XEY1700"/>
      <c r="XEZ1700"/>
      <c r="XFA1700"/>
      <c r="XFB1700"/>
      <c r="XFC1700"/>
    </row>
    <row r="1701" spans="1:20 16329:16383" s="38" customFormat="1" ht="29.1" customHeight="1" outlineLevel="6" x14ac:dyDescent="0.25">
      <c r="A1701" s="49" t="s">
        <v>2895</v>
      </c>
      <c r="B1701" s="50"/>
      <c r="C1701" s="50"/>
      <c r="D1701" s="3" t="s">
        <v>2326</v>
      </c>
      <c r="E1701" s="3"/>
      <c r="F1701" s="51" t="s">
        <v>2252</v>
      </c>
      <c r="G1701" s="50" t="s">
        <v>29</v>
      </c>
      <c r="H1701" s="52">
        <f>1</f>
        <v>1</v>
      </c>
      <c r="I1701" s="36"/>
      <c r="J1701" s="52">
        <v>1</v>
      </c>
      <c r="K1701" s="53">
        <f>0</f>
        <v>0</v>
      </c>
      <c r="L1701" s="53">
        <f>0</f>
        <v>0</v>
      </c>
      <c r="M1701" s="53">
        <f>0</f>
        <v>0</v>
      </c>
      <c r="N1701" s="54">
        <f>SUM(K1701:M1701)</f>
        <v>0</v>
      </c>
      <c r="O1701" s="54">
        <f>ROUND((H1701*K1701),2)</f>
        <v>0</v>
      </c>
      <c r="P1701" s="54">
        <f>ROUND((H1701*L1701),2)</f>
        <v>0</v>
      </c>
      <c r="Q1701" s="54">
        <f>ROUND((H1701*M1701),2)</f>
        <v>0</v>
      </c>
      <c r="R1701" s="54">
        <f>ROUND((H1701*N1701),2)</f>
        <v>0</v>
      </c>
      <c r="S1701" s="54"/>
      <c r="T1701" s="36"/>
      <c r="XDA1701"/>
      <c r="XDB1701"/>
      <c r="XDC1701"/>
      <c r="XDD1701"/>
      <c r="XDE1701"/>
      <c r="XDF1701"/>
      <c r="XDG1701"/>
      <c r="XDH1701"/>
      <c r="XDI1701"/>
      <c r="XDJ1701"/>
      <c r="XDK1701"/>
      <c r="XDL1701"/>
      <c r="XDM1701"/>
      <c r="XDN1701"/>
      <c r="XDO1701"/>
      <c r="XDP1701"/>
      <c r="XDQ1701"/>
      <c r="XDR1701"/>
      <c r="XDS1701"/>
      <c r="XDT1701"/>
      <c r="XDU1701"/>
      <c r="XDV1701"/>
      <c r="XDW1701"/>
      <c r="XDX1701"/>
      <c r="XDY1701"/>
      <c r="XDZ1701"/>
      <c r="XEA1701"/>
      <c r="XEB1701"/>
      <c r="XEC1701"/>
      <c r="XED1701"/>
      <c r="XEE1701"/>
      <c r="XEF1701"/>
      <c r="XEG1701"/>
      <c r="XEH1701"/>
      <c r="XEI1701"/>
      <c r="XEJ1701"/>
      <c r="XEK1701"/>
      <c r="XEL1701"/>
      <c r="XEM1701"/>
      <c r="XEN1701"/>
      <c r="XEO1701"/>
      <c r="XEP1701"/>
      <c r="XEQ1701"/>
      <c r="XER1701"/>
      <c r="XES1701"/>
      <c r="XET1701"/>
      <c r="XEU1701"/>
      <c r="XEV1701"/>
      <c r="XEW1701"/>
      <c r="XEX1701"/>
      <c r="XEY1701"/>
      <c r="XEZ1701"/>
      <c r="XFA1701"/>
      <c r="XFB1701"/>
      <c r="XFC1701"/>
    </row>
    <row r="1702" spans="1:20 16329:16383" s="38" customFormat="1" ht="29.1" customHeight="1" outlineLevel="4" x14ac:dyDescent="0.25">
      <c r="A1702" s="60" t="s">
        <v>2896</v>
      </c>
      <c r="B1702" s="61" t="s">
        <v>2897</v>
      </c>
      <c r="C1702" s="61" t="s">
        <v>2157</v>
      </c>
      <c r="D1702" s="1" t="s">
        <v>2158</v>
      </c>
      <c r="E1702" s="1"/>
      <c r="F1702" s="62"/>
      <c r="G1702" s="61" t="s">
        <v>102</v>
      </c>
      <c r="H1702" s="63"/>
      <c r="I1702" s="36"/>
      <c r="J1702" s="63"/>
      <c r="K1702" s="64"/>
      <c r="L1702" s="64"/>
      <c r="M1702" s="64"/>
      <c r="N1702" s="64"/>
      <c r="O1702" s="64">
        <f>O1703+O1708+O1713+O1717</f>
        <v>0</v>
      </c>
      <c r="P1702" s="64">
        <f>P1703+P1708+P1713+P1717</f>
        <v>0</v>
      </c>
      <c r="Q1702" s="64">
        <f>Q1703+Q1708+Q1713+Q1717</f>
        <v>0</v>
      </c>
      <c r="R1702" s="64">
        <f>R1703+R1708+R1713+R1717</f>
        <v>0</v>
      </c>
      <c r="S1702" s="64"/>
      <c r="T1702" s="36"/>
      <c r="XDA1702"/>
      <c r="XDB1702"/>
      <c r="XDC1702"/>
      <c r="XDD1702"/>
      <c r="XDE1702"/>
      <c r="XDF1702"/>
      <c r="XDG1702"/>
      <c r="XDH1702"/>
      <c r="XDI1702"/>
      <c r="XDJ1702"/>
      <c r="XDK1702"/>
      <c r="XDL1702"/>
      <c r="XDM1702"/>
      <c r="XDN1702"/>
      <c r="XDO1702"/>
      <c r="XDP1702"/>
      <c r="XDQ1702"/>
      <c r="XDR1702"/>
      <c r="XDS1702"/>
      <c r="XDT1702"/>
      <c r="XDU1702"/>
      <c r="XDV1702"/>
      <c r="XDW1702"/>
      <c r="XDX1702"/>
      <c r="XDY1702"/>
      <c r="XDZ1702"/>
      <c r="XEA1702"/>
      <c r="XEB1702"/>
      <c r="XEC1702"/>
      <c r="XED1702"/>
      <c r="XEE1702"/>
      <c r="XEF1702"/>
      <c r="XEG1702"/>
      <c r="XEH1702"/>
      <c r="XEI1702"/>
      <c r="XEJ1702"/>
      <c r="XEK1702"/>
      <c r="XEL1702"/>
      <c r="XEM1702"/>
      <c r="XEN1702"/>
      <c r="XEO1702"/>
      <c r="XEP1702"/>
      <c r="XEQ1702"/>
      <c r="XER1702"/>
      <c r="XES1702"/>
      <c r="XET1702"/>
      <c r="XEU1702"/>
      <c r="XEV1702"/>
      <c r="XEW1702"/>
      <c r="XEX1702"/>
      <c r="XEY1702"/>
      <c r="XEZ1702"/>
      <c r="XFA1702"/>
      <c r="XFB1702"/>
      <c r="XFC1702"/>
    </row>
    <row r="1703" spans="1:20 16329:16383" s="38" customFormat="1" ht="29.1" customHeight="1" outlineLevel="5" x14ac:dyDescent="0.25">
      <c r="A1703" s="65" t="s">
        <v>2898</v>
      </c>
      <c r="B1703" s="66" t="s">
        <v>2899</v>
      </c>
      <c r="C1703" s="66"/>
      <c r="D1703" s="98" t="s">
        <v>1873</v>
      </c>
      <c r="E1703" s="98"/>
      <c r="F1703" s="67"/>
      <c r="G1703" s="66"/>
      <c r="H1703" s="68"/>
      <c r="I1703" s="36"/>
      <c r="J1703" s="68"/>
      <c r="K1703" s="69"/>
      <c r="L1703" s="69"/>
      <c r="M1703" s="69"/>
      <c r="N1703" s="69"/>
      <c r="O1703" s="69">
        <f>SUM(O1704:O1707)</f>
        <v>0</v>
      </c>
      <c r="P1703" s="69">
        <f>SUM(P1704:P1707)</f>
        <v>0</v>
      </c>
      <c r="Q1703" s="69">
        <f>SUM(Q1704:Q1707)</f>
        <v>0</v>
      </c>
      <c r="R1703" s="69">
        <f>SUM(R1704:R1707)</f>
        <v>0</v>
      </c>
      <c r="S1703" s="69"/>
      <c r="T1703" s="36"/>
      <c r="XDA1703"/>
      <c r="XDB1703"/>
      <c r="XDC1703"/>
      <c r="XDD1703"/>
      <c r="XDE1703"/>
      <c r="XDF1703"/>
      <c r="XDG1703"/>
      <c r="XDH1703"/>
      <c r="XDI1703"/>
      <c r="XDJ1703"/>
      <c r="XDK1703"/>
      <c r="XDL1703"/>
      <c r="XDM1703"/>
      <c r="XDN1703"/>
      <c r="XDO1703"/>
      <c r="XDP1703"/>
      <c r="XDQ1703"/>
      <c r="XDR1703"/>
      <c r="XDS1703"/>
      <c r="XDT1703"/>
      <c r="XDU1703"/>
      <c r="XDV1703"/>
      <c r="XDW1703"/>
      <c r="XDX1703"/>
      <c r="XDY1703"/>
      <c r="XDZ1703"/>
      <c r="XEA1703"/>
      <c r="XEB1703"/>
      <c r="XEC1703"/>
      <c r="XED1703"/>
      <c r="XEE1703"/>
      <c r="XEF1703"/>
      <c r="XEG1703"/>
      <c r="XEH1703"/>
      <c r="XEI1703"/>
      <c r="XEJ1703"/>
      <c r="XEK1703"/>
      <c r="XEL1703"/>
      <c r="XEM1703"/>
      <c r="XEN1703"/>
      <c r="XEO1703"/>
      <c r="XEP1703"/>
      <c r="XEQ1703"/>
      <c r="XER1703"/>
      <c r="XES1703"/>
      <c r="XET1703"/>
      <c r="XEU1703"/>
      <c r="XEV1703"/>
      <c r="XEW1703"/>
      <c r="XEX1703"/>
      <c r="XEY1703"/>
      <c r="XEZ1703"/>
      <c r="XFA1703"/>
      <c r="XFB1703"/>
      <c r="XFC1703"/>
    </row>
    <row r="1704" spans="1:20 16329:16383" s="38" customFormat="1" ht="29.1" customHeight="1" outlineLevel="6" x14ac:dyDescent="0.25">
      <c r="A1704" s="49" t="s">
        <v>2900</v>
      </c>
      <c r="B1704" s="50"/>
      <c r="C1704" s="50"/>
      <c r="D1704" s="3" t="s">
        <v>1968</v>
      </c>
      <c r="E1704" s="3"/>
      <c r="F1704" s="51"/>
      <c r="G1704" s="50" t="s">
        <v>102</v>
      </c>
      <c r="H1704" s="52">
        <f>1</f>
        <v>1</v>
      </c>
      <c r="I1704" s="36"/>
      <c r="J1704" s="52">
        <v>1</v>
      </c>
      <c r="K1704" s="53">
        <f>0</f>
        <v>0</v>
      </c>
      <c r="L1704" s="53">
        <f>0</f>
        <v>0</v>
      </c>
      <c r="M1704" s="53">
        <f>0</f>
        <v>0</v>
      </c>
      <c r="N1704" s="54">
        <f>SUM(K1704:M1704)</f>
        <v>0</v>
      </c>
      <c r="O1704" s="54">
        <f>ROUND((H1704*K1704),2)</f>
        <v>0</v>
      </c>
      <c r="P1704" s="54">
        <f>ROUND((H1704*L1704),2)</f>
        <v>0</v>
      </c>
      <c r="Q1704" s="54">
        <f>ROUND((H1704*M1704),2)</f>
        <v>0</v>
      </c>
      <c r="R1704" s="54">
        <f>ROUND((H1704*N1704),2)</f>
        <v>0</v>
      </c>
      <c r="S1704" s="54"/>
      <c r="T1704" s="36"/>
      <c r="XDA1704"/>
      <c r="XDB1704"/>
      <c r="XDC1704"/>
      <c r="XDD1704"/>
      <c r="XDE1704"/>
      <c r="XDF1704"/>
      <c r="XDG1704"/>
      <c r="XDH1704"/>
      <c r="XDI1704"/>
      <c r="XDJ1704"/>
      <c r="XDK1704"/>
      <c r="XDL1704"/>
      <c r="XDM1704"/>
      <c r="XDN1704"/>
      <c r="XDO1704"/>
      <c r="XDP1704"/>
      <c r="XDQ1704"/>
      <c r="XDR1704"/>
      <c r="XDS1704"/>
      <c r="XDT1704"/>
      <c r="XDU1704"/>
      <c r="XDV1704"/>
      <c r="XDW1704"/>
      <c r="XDX1704"/>
      <c r="XDY1704"/>
      <c r="XDZ1704"/>
      <c r="XEA1704"/>
      <c r="XEB1704"/>
      <c r="XEC1704"/>
      <c r="XED1704"/>
      <c r="XEE1704"/>
      <c r="XEF1704"/>
      <c r="XEG1704"/>
      <c r="XEH1704"/>
      <c r="XEI1704"/>
      <c r="XEJ1704"/>
      <c r="XEK1704"/>
      <c r="XEL1704"/>
      <c r="XEM1704"/>
      <c r="XEN1704"/>
      <c r="XEO1704"/>
      <c r="XEP1704"/>
      <c r="XEQ1704"/>
      <c r="XER1704"/>
      <c r="XES1704"/>
      <c r="XET1704"/>
      <c r="XEU1704"/>
      <c r="XEV1704"/>
      <c r="XEW1704"/>
      <c r="XEX1704"/>
      <c r="XEY1704"/>
      <c r="XEZ1704"/>
      <c r="XFA1704"/>
      <c r="XFB1704"/>
      <c r="XFC1704"/>
    </row>
    <row r="1705" spans="1:20 16329:16383" s="38" customFormat="1" ht="29.1" customHeight="1" outlineLevel="6" x14ac:dyDescent="0.25">
      <c r="A1705" s="49" t="s">
        <v>2901</v>
      </c>
      <c r="B1705" s="50"/>
      <c r="C1705" s="50"/>
      <c r="D1705" s="3" t="s">
        <v>1970</v>
      </c>
      <c r="E1705" s="3"/>
      <c r="F1705" s="51"/>
      <c r="G1705" s="50" t="s">
        <v>102</v>
      </c>
      <c r="H1705" s="52">
        <f>1</f>
        <v>1</v>
      </c>
      <c r="I1705" s="36"/>
      <c r="J1705" s="52">
        <v>1</v>
      </c>
      <c r="K1705" s="53">
        <f>0</f>
        <v>0</v>
      </c>
      <c r="L1705" s="53">
        <f>0</f>
        <v>0</v>
      </c>
      <c r="M1705" s="53">
        <f>0</f>
        <v>0</v>
      </c>
      <c r="N1705" s="54">
        <f>SUM(K1705:M1705)</f>
        <v>0</v>
      </c>
      <c r="O1705" s="54">
        <f>ROUND((H1705*K1705),2)</f>
        <v>0</v>
      </c>
      <c r="P1705" s="54">
        <f>ROUND((H1705*L1705),2)</f>
        <v>0</v>
      </c>
      <c r="Q1705" s="54">
        <f>ROUND((H1705*M1705),2)</f>
        <v>0</v>
      </c>
      <c r="R1705" s="54">
        <f>ROUND((H1705*N1705),2)</f>
        <v>0</v>
      </c>
      <c r="S1705" s="54"/>
      <c r="T1705" s="36"/>
      <c r="XDA1705"/>
      <c r="XDB1705"/>
      <c r="XDC1705"/>
      <c r="XDD1705"/>
      <c r="XDE1705"/>
      <c r="XDF1705"/>
      <c r="XDG1705"/>
      <c r="XDH1705"/>
      <c r="XDI1705"/>
      <c r="XDJ1705"/>
      <c r="XDK1705"/>
      <c r="XDL1705"/>
      <c r="XDM1705"/>
      <c r="XDN1705"/>
      <c r="XDO1705"/>
      <c r="XDP1705"/>
      <c r="XDQ1705"/>
      <c r="XDR1705"/>
      <c r="XDS1705"/>
      <c r="XDT1705"/>
      <c r="XDU1705"/>
      <c r="XDV1705"/>
      <c r="XDW1705"/>
      <c r="XDX1705"/>
      <c r="XDY1705"/>
      <c r="XDZ1705"/>
      <c r="XEA1705"/>
      <c r="XEB1705"/>
      <c r="XEC1705"/>
      <c r="XED1705"/>
      <c r="XEE1705"/>
      <c r="XEF1705"/>
      <c r="XEG1705"/>
      <c r="XEH1705"/>
      <c r="XEI1705"/>
      <c r="XEJ1705"/>
      <c r="XEK1705"/>
      <c r="XEL1705"/>
      <c r="XEM1705"/>
      <c r="XEN1705"/>
      <c r="XEO1705"/>
      <c r="XEP1705"/>
      <c r="XEQ1705"/>
      <c r="XER1705"/>
      <c r="XES1705"/>
      <c r="XET1705"/>
      <c r="XEU1705"/>
      <c r="XEV1705"/>
      <c r="XEW1705"/>
      <c r="XEX1705"/>
      <c r="XEY1705"/>
      <c r="XEZ1705"/>
      <c r="XFA1705"/>
      <c r="XFB1705"/>
      <c r="XFC1705"/>
    </row>
    <row r="1706" spans="1:20 16329:16383" s="38" customFormat="1" ht="29.1" customHeight="1" outlineLevel="6" x14ac:dyDescent="0.25">
      <c r="A1706" s="49" t="s">
        <v>2902</v>
      </c>
      <c r="B1706" s="50"/>
      <c r="C1706" s="50"/>
      <c r="D1706" s="3" t="s">
        <v>1972</v>
      </c>
      <c r="E1706" s="3"/>
      <c r="F1706" s="51"/>
      <c r="G1706" s="50" t="s">
        <v>102</v>
      </c>
      <c r="H1706" s="52">
        <f>1</f>
        <v>1</v>
      </c>
      <c r="I1706" s="36"/>
      <c r="J1706" s="52">
        <v>1</v>
      </c>
      <c r="K1706" s="53">
        <f>0</f>
        <v>0</v>
      </c>
      <c r="L1706" s="53">
        <f>0</f>
        <v>0</v>
      </c>
      <c r="M1706" s="53">
        <f>0</f>
        <v>0</v>
      </c>
      <c r="N1706" s="54">
        <f>SUM(K1706:M1706)</f>
        <v>0</v>
      </c>
      <c r="O1706" s="54">
        <f>ROUND((H1706*K1706),2)</f>
        <v>0</v>
      </c>
      <c r="P1706" s="54">
        <f>ROUND((H1706*L1706),2)</f>
        <v>0</v>
      </c>
      <c r="Q1706" s="54">
        <f>ROUND((H1706*M1706),2)</f>
        <v>0</v>
      </c>
      <c r="R1706" s="54">
        <f>ROUND((H1706*N1706),2)</f>
        <v>0</v>
      </c>
      <c r="S1706" s="54"/>
      <c r="T1706" s="36"/>
      <c r="XDA1706"/>
      <c r="XDB1706"/>
      <c r="XDC1706"/>
      <c r="XDD1706"/>
      <c r="XDE1706"/>
      <c r="XDF1706"/>
      <c r="XDG1706"/>
      <c r="XDH1706"/>
      <c r="XDI1706"/>
      <c r="XDJ1706"/>
      <c r="XDK1706"/>
      <c r="XDL1706"/>
      <c r="XDM1706"/>
      <c r="XDN1706"/>
      <c r="XDO1706"/>
      <c r="XDP1706"/>
      <c r="XDQ1706"/>
      <c r="XDR1706"/>
      <c r="XDS1706"/>
      <c r="XDT1706"/>
      <c r="XDU1706"/>
      <c r="XDV1706"/>
      <c r="XDW1706"/>
      <c r="XDX1706"/>
      <c r="XDY1706"/>
      <c r="XDZ1706"/>
      <c r="XEA1706"/>
      <c r="XEB1706"/>
      <c r="XEC1706"/>
      <c r="XED1706"/>
      <c r="XEE1706"/>
      <c r="XEF1706"/>
      <c r="XEG1706"/>
      <c r="XEH1706"/>
      <c r="XEI1706"/>
      <c r="XEJ1706"/>
      <c r="XEK1706"/>
      <c r="XEL1706"/>
      <c r="XEM1706"/>
      <c r="XEN1706"/>
      <c r="XEO1706"/>
      <c r="XEP1706"/>
      <c r="XEQ1706"/>
      <c r="XER1706"/>
      <c r="XES1706"/>
      <c r="XET1706"/>
      <c r="XEU1706"/>
      <c r="XEV1706"/>
      <c r="XEW1706"/>
      <c r="XEX1706"/>
      <c r="XEY1706"/>
      <c r="XEZ1706"/>
      <c r="XFA1706"/>
      <c r="XFB1706"/>
      <c r="XFC1706"/>
    </row>
    <row r="1707" spans="1:20 16329:16383" s="38" customFormat="1" ht="29.1" customHeight="1" outlineLevel="6" x14ac:dyDescent="0.25">
      <c r="A1707" s="49" t="s">
        <v>2903</v>
      </c>
      <c r="B1707" s="50"/>
      <c r="C1707" s="50"/>
      <c r="D1707" s="3" t="s">
        <v>1937</v>
      </c>
      <c r="E1707" s="3"/>
      <c r="F1707" s="51"/>
      <c r="G1707" s="50" t="s">
        <v>194</v>
      </c>
      <c r="H1707" s="52">
        <f>1</f>
        <v>1</v>
      </c>
      <c r="I1707" s="36"/>
      <c r="J1707" s="52">
        <v>1</v>
      </c>
      <c r="K1707" s="53">
        <f>0</f>
        <v>0</v>
      </c>
      <c r="L1707" s="53">
        <f>0</f>
        <v>0</v>
      </c>
      <c r="M1707" s="53">
        <f>0</f>
        <v>0</v>
      </c>
      <c r="N1707" s="54">
        <f>SUM(K1707:M1707)</f>
        <v>0</v>
      </c>
      <c r="O1707" s="54">
        <f>ROUND((H1707*K1707),2)</f>
        <v>0</v>
      </c>
      <c r="P1707" s="54">
        <f>ROUND((H1707*L1707),2)</f>
        <v>0</v>
      </c>
      <c r="Q1707" s="54">
        <f>ROUND((H1707*M1707),2)</f>
        <v>0</v>
      </c>
      <c r="R1707" s="54">
        <f>ROUND((H1707*N1707),2)</f>
        <v>0</v>
      </c>
      <c r="S1707" s="54"/>
      <c r="T1707" s="36"/>
      <c r="XDA1707"/>
      <c r="XDB1707"/>
      <c r="XDC1707"/>
      <c r="XDD1707"/>
      <c r="XDE1707"/>
      <c r="XDF1707"/>
      <c r="XDG1707"/>
      <c r="XDH1707"/>
      <c r="XDI1707"/>
      <c r="XDJ1707"/>
      <c r="XDK1707"/>
      <c r="XDL1707"/>
      <c r="XDM1707"/>
      <c r="XDN1707"/>
      <c r="XDO1707"/>
      <c r="XDP1707"/>
      <c r="XDQ1707"/>
      <c r="XDR1707"/>
      <c r="XDS1707"/>
      <c r="XDT1707"/>
      <c r="XDU1707"/>
      <c r="XDV1707"/>
      <c r="XDW1707"/>
      <c r="XDX1707"/>
      <c r="XDY1707"/>
      <c r="XDZ1707"/>
      <c r="XEA1707"/>
      <c r="XEB1707"/>
      <c r="XEC1707"/>
      <c r="XED1707"/>
      <c r="XEE1707"/>
      <c r="XEF1707"/>
      <c r="XEG1707"/>
      <c r="XEH1707"/>
      <c r="XEI1707"/>
      <c r="XEJ1707"/>
      <c r="XEK1707"/>
      <c r="XEL1707"/>
      <c r="XEM1707"/>
      <c r="XEN1707"/>
      <c r="XEO1707"/>
      <c r="XEP1707"/>
      <c r="XEQ1707"/>
      <c r="XER1707"/>
      <c r="XES1707"/>
      <c r="XET1707"/>
      <c r="XEU1707"/>
      <c r="XEV1707"/>
      <c r="XEW1707"/>
      <c r="XEX1707"/>
      <c r="XEY1707"/>
      <c r="XEZ1707"/>
      <c r="XFA1707"/>
      <c r="XFB1707"/>
      <c r="XFC1707"/>
    </row>
    <row r="1708" spans="1:20 16329:16383" s="38" customFormat="1" ht="29.1" customHeight="1" outlineLevel="5" x14ac:dyDescent="0.25">
      <c r="A1708" s="65" t="s">
        <v>2904</v>
      </c>
      <c r="B1708" s="66" t="s">
        <v>2905</v>
      </c>
      <c r="C1708" s="66"/>
      <c r="D1708" s="98" t="s">
        <v>344</v>
      </c>
      <c r="E1708" s="98"/>
      <c r="F1708" s="67"/>
      <c r="G1708" s="66"/>
      <c r="H1708" s="68"/>
      <c r="I1708" s="36"/>
      <c r="J1708" s="68"/>
      <c r="K1708" s="69"/>
      <c r="L1708" s="69"/>
      <c r="M1708" s="69"/>
      <c r="N1708" s="69"/>
      <c r="O1708" s="69">
        <f>SUM(O1709:O1712)</f>
        <v>0</v>
      </c>
      <c r="P1708" s="69">
        <f>SUM(P1709:P1712)</f>
        <v>0</v>
      </c>
      <c r="Q1708" s="69">
        <f>SUM(Q1709:Q1712)</f>
        <v>0</v>
      </c>
      <c r="R1708" s="69">
        <f>SUM(R1709:R1712)</f>
        <v>0</v>
      </c>
      <c r="S1708" s="69"/>
      <c r="T1708" s="36"/>
      <c r="XDA1708"/>
      <c r="XDB1708"/>
      <c r="XDC1708"/>
      <c r="XDD1708"/>
      <c r="XDE1708"/>
      <c r="XDF1708"/>
      <c r="XDG1708"/>
      <c r="XDH1708"/>
      <c r="XDI1708"/>
      <c r="XDJ1708"/>
      <c r="XDK1708"/>
      <c r="XDL1708"/>
      <c r="XDM1708"/>
      <c r="XDN1708"/>
      <c r="XDO1708"/>
      <c r="XDP1708"/>
      <c r="XDQ1708"/>
      <c r="XDR1708"/>
      <c r="XDS1708"/>
      <c r="XDT1708"/>
      <c r="XDU1708"/>
      <c r="XDV1708"/>
      <c r="XDW1708"/>
      <c r="XDX1708"/>
      <c r="XDY1708"/>
      <c r="XDZ1708"/>
      <c r="XEA1708"/>
      <c r="XEB1708"/>
      <c r="XEC1708"/>
      <c r="XED1708"/>
      <c r="XEE1708"/>
      <c r="XEF1708"/>
      <c r="XEG1708"/>
      <c r="XEH1708"/>
      <c r="XEI1708"/>
      <c r="XEJ1708"/>
      <c r="XEK1708"/>
      <c r="XEL1708"/>
      <c r="XEM1708"/>
      <c r="XEN1708"/>
      <c r="XEO1708"/>
      <c r="XEP1708"/>
      <c r="XEQ1708"/>
      <c r="XER1708"/>
      <c r="XES1708"/>
      <c r="XET1708"/>
      <c r="XEU1708"/>
      <c r="XEV1708"/>
      <c r="XEW1708"/>
      <c r="XEX1708"/>
      <c r="XEY1708"/>
      <c r="XEZ1708"/>
      <c r="XFA1708"/>
      <c r="XFB1708"/>
      <c r="XFC1708"/>
    </row>
    <row r="1709" spans="1:20 16329:16383" s="38" customFormat="1" ht="29.1" customHeight="1" outlineLevel="6" x14ac:dyDescent="0.25">
      <c r="A1709" s="49" t="s">
        <v>2906</v>
      </c>
      <c r="B1709" s="50"/>
      <c r="C1709" s="50"/>
      <c r="D1709" s="3" t="s">
        <v>1884</v>
      </c>
      <c r="E1709" s="3"/>
      <c r="F1709" s="51"/>
      <c r="G1709" s="50" t="s">
        <v>102</v>
      </c>
      <c r="H1709" s="52">
        <f>1</f>
        <v>1</v>
      </c>
      <c r="I1709" s="36"/>
      <c r="J1709" s="52">
        <v>1</v>
      </c>
      <c r="K1709" s="53">
        <f>0</f>
        <v>0</v>
      </c>
      <c r="L1709" s="53">
        <f>0</f>
        <v>0</v>
      </c>
      <c r="M1709" s="53">
        <f>0</f>
        <v>0</v>
      </c>
      <c r="N1709" s="54">
        <f>SUM(K1709:M1709)</f>
        <v>0</v>
      </c>
      <c r="O1709" s="54">
        <f>ROUND((H1709*K1709),2)</f>
        <v>0</v>
      </c>
      <c r="P1709" s="54">
        <f>ROUND((H1709*L1709),2)</f>
        <v>0</v>
      </c>
      <c r="Q1709" s="54">
        <f>ROUND((H1709*M1709),2)</f>
        <v>0</v>
      </c>
      <c r="R1709" s="54">
        <f>ROUND((H1709*N1709),2)</f>
        <v>0</v>
      </c>
      <c r="S1709" s="54"/>
      <c r="T1709" s="36"/>
      <c r="XDA1709"/>
      <c r="XDB1709"/>
      <c r="XDC1709"/>
      <c r="XDD1709"/>
      <c r="XDE1709"/>
      <c r="XDF1709"/>
      <c r="XDG1709"/>
      <c r="XDH1709"/>
      <c r="XDI1709"/>
      <c r="XDJ1709"/>
      <c r="XDK1709"/>
      <c r="XDL1709"/>
      <c r="XDM1709"/>
      <c r="XDN1709"/>
      <c r="XDO1709"/>
      <c r="XDP1709"/>
      <c r="XDQ1709"/>
      <c r="XDR1709"/>
      <c r="XDS1709"/>
      <c r="XDT1709"/>
      <c r="XDU1709"/>
      <c r="XDV1709"/>
      <c r="XDW1709"/>
      <c r="XDX1709"/>
      <c r="XDY1709"/>
      <c r="XDZ1709"/>
      <c r="XEA1709"/>
      <c r="XEB1709"/>
      <c r="XEC1709"/>
      <c r="XED1709"/>
      <c r="XEE1709"/>
      <c r="XEF1709"/>
      <c r="XEG1709"/>
      <c r="XEH1709"/>
      <c r="XEI1709"/>
      <c r="XEJ1709"/>
      <c r="XEK1709"/>
      <c r="XEL1709"/>
      <c r="XEM1709"/>
      <c r="XEN1709"/>
      <c r="XEO1709"/>
      <c r="XEP1709"/>
      <c r="XEQ1709"/>
      <c r="XER1709"/>
      <c r="XES1709"/>
      <c r="XET1709"/>
      <c r="XEU1709"/>
      <c r="XEV1709"/>
      <c r="XEW1709"/>
      <c r="XEX1709"/>
      <c r="XEY1709"/>
      <c r="XEZ1709"/>
      <c r="XFA1709"/>
      <c r="XFB1709"/>
      <c r="XFC1709"/>
    </row>
    <row r="1710" spans="1:20 16329:16383" s="38" customFormat="1" ht="29.1" customHeight="1" outlineLevel="6" x14ac:dyDescent="0.25">
      <c r="A1710" s="49" t="s">
        <v>2907</v>
      </c>
      <c r="B1710" s="50"/>
      <c r="C1710" s="50"/>
      <c r="D1710" s="3" t="s">
        <v>1955</v>
      </c>
      <c r="E1710" s="3"/>
      <c r="F1710" s="51"/>
      <c r="G1710" s="50" t="s">
        <v>102</v>
      </c>
      <c r="H1710" s="52">
        <f>1</f>
        <v>1</v>
      </c>
      <c r="I1710" s="36"/>
      <c r="J1710" s="52">
        <v>1</v>
      </c>
      <c r="K1710" s="53">
        <f>0</f>
        <v>0</v>
      </c>
      <c r="L1710" s="53">
        <f>0</f>
        <v>0</v>
      </c>
      <c r="M1710" s="53">
        <f>0</f>
        <v>0</v>
      </c>
      <c r="N1710" s="54">
        <f>SUM(K1710:M1710)</f>
        <v>0</v>
      </c>
      <c r="O1710" s="54">
        <f>ROUND((H1710*K1710),2)</f>
        <v>0</v>
      </c>
      <c r="P1710" s="54">
        <f>ROUND((H1710*L1710),2)</f>
        <v>0</v>
      </c>
      <c r="Q1710" s="54">
        <f>ROUND((H1710*M1710),2)</f>
        <v>0</v>
      </c>
      <c r="R1710" s="54">
        <f>ROUND((H1710*N1710),2)</f>
        <v>0</v>
      </c>
      <c r="S1710" s="54"/>
      <c r="T1710" s="36"/>
      <c r="XDA1710"/>
      <c r="XDB1710"/>
      <c r="XDC1710"/>
      <c r="XDD1710"/>
      <c r="XDE1710"/>
      <c r="XDF1710"/>
      <c r="XDG1710"/>
      <c r="XDH1710"/>
      <c r="XDI1710"/>
      <c r="XDJ1710"/>
      <c r="XDK1710"/>
      <c r="XDL1710"/>
      <c r="XDM1710"/>
      <c r="XDN1710"/>
      <c r="XDO1710"/>
      <c r="XDP1710"/>
      <c r="XDQ1710"/>
      <c r="XDR1710"/>
      <c r="XDS1710"/>
      <c r="XDT1710"/>
      <c r="XDU1710"/>
      <c r="XDV1710"/>
      <c r="XDW1710"/>
      <c r="XDX1710"/>
      <c r="XDY1710"/>
      <c r="XDZ1710"/>
      <c r="XEA1710"/>
      <c r="XEB1710"/>
      <c r="XEC1710"/>
      <c r="XED1710"/>
      <c r="XEE1710"/>
      <c r="XEF1710"/>
      <c r="XEG1710"/>
      <c r="XEH1710"/>
      <c r="XEI1710"/>
      <c r="XEJ1710"/>
      <c r="XEK1710"/>
      <c r="XEL1710"/>
      <c r="XEM1710"/>
      <c r="XEN1710"/>
      <c r="XEO1710"/>
      <c r="XEP1710"/>
      <c r="XEQ1710"/>
      <c r="XER1710"/>
      <c r="XES1710"/>
      <c r="XET1710"/>
      <c r="XEU1710"/>
      <c r="XEV1710"/>
      <c r="XEW1710"/>
      <c r="XEX1710"/>
      <c r="XEY1710"/>
      <c r="XEZ1710"/>
      <c r="XFA1710"/>
      <c r="XFB1710"/>
      <c r="XFC1710"/>
    </row>
    <row r="1711" spans="1:20 16329:16383" s="38" customFormat="1" ht="29.1" customHeight="1" outlineLevel="6" x14ac:dyDescent="0.25">
      <c r="A1711" s="49" t="s">
        <v>2908</v>
      </c>
      <c r="B1711" s="50"/>
      <c r="C1711" s="50"/>
      <c r="D1711" s="3" t="s">
        <v>1957</v>
      </c>
      <c r="E1711" s="3"/>
      <c r="F1711" s="51"/>
      <c r="G1711" s="50" t="s">
        <v>102</v>
      </c>
      <c r="H1711" s="52">
        <f>1</f>
        <v>1</v>
      </c>
      <c r="I1711" s="36"/>
      <c r="J1711" s="52">
        <v>1</v>
      </c>
      <c r="K1711" s="53">
        <f>0</f>
        <v>0</v>
      </c>
      <c r="L1711" s="53">
        <f>0</f>
        <v>0</v>
      </c>
      <c r="M1711" s="53">
        <f>0</f>
        <v>0</v>
      </c>
      <c r="N1711" s="54">
        <f>SUM(K1711:M1711)</f>
        <v>0</v>
      </c>
      <c r="O1711" s="54">
        <f>ROUND((H1711*K1711),2)</f>
        <v>0</v>
      </c>
      <c r="P1711" s="54">
        <f>ROUND((H1711*L1711),2)</f>
        <v>0</v>
      </c>
      <c r="Q1711" s="54">
        <f>ROUND((H1711*M1711),2)</f>
        <v>0</v>
      </c>
      <c r="R1711" s="54">
        <f>ROUND((H1711*N1711),2)</f>
        <v>0</v>
      </c>
      <c r="S1711" s="54"/>
      <c r="T1711" s="36"/>
      <c r="XDA1711"/>
      <c r="XDB1711"/>
      <c r="XDC1711"/>
      <c r="XDD1711"/>
      <c r="XDE1711"/>
      <c r="XDF1711"/>
      <c r="XDG1711"/>
      <c r="XDH1711"/>
      <c r="XDI1711"/>
      <c r="XDJ1711"/>
      <c r="XDK1711"/>
      <c r="XDL1711"/>
      <c r="XDM1711"/>
      <c r="XDN1711"/>
      <c r="XDO1711"/>
      <c r="XDP1711"/>
      <c r="XDQ1711"/>
      <c r="XDR1711"/>
      <c r="XDS1711"/>
      <c r="XDT1711"/>
      <c r="XDU1711"/>
      <c r="XDV1711"/>
      <c r="XDW1711"/>
      <c r="XDX1711"/>
      <c r="XDY1711"/>
      <c r="XDZ1711"/>
      <c r="XEA1711"/>
      <c r="XEB1711"/>
      <c r="XEC1711"/>
      <c r="XED1711"/>
      <c r="XEE1711"/>
      <c r="XEF1711"/>
      <c r="XEG1711"/>
      <c r="XEH1711"/>
      <c r="XEI1711"/>
      <c r="XEJ1711"/>
      <c r="XEK1711"/>
      <c r="XEL1711"/>
      <c r="XEM1711"/>
      <c r="XEN1711"/>
      <c r="XEO1711"/>
      <c r="XEP1711"/>
      <c r="XEQ1711"/>
      <c r="XER1711"/>
      <c r="XES1711"/>
      <c r="XET1711"/>
      <c r="XEU1711"/>
      <c r="XEV1711"/>
      <c r="XEW1711"/>
      <c r="XEX1711"/>
      <c r="XEY1711"/>
      <c r="XEZ1711"/>
      <c r="XFA1711"/>
      <c r="XFB1711"/>
      <c r="XFC1711"/>
    </row>
    <row r="1712" spans="1:20 16329:16383" s="38" customFormat="1" ht="29.1" customHeight="1" outlineLevel="6" x14ac:dyDescent="0.25">
      <c r="A1712" s="49" t="s">
        <v>2909</v>
      </c>
      <c r="B1712" s="50"/>
      <c r="C1712" s="50"/>
      <c r="D1712" s="3" t="s">
        <v>2910</v>
      </c>
      <c r="E1712" s="3"/>
      <c r="F1712" s="51"/>
      <c r="G1712" s="50" t="s">
        <v>102</v>
      </c>
      <c r="H1712" s="52">
        <f>1</f>
        <v>1</v>
      </c>
      <c r="I1712" s="36"/>
      <c r="J1712" s="52">
        <v>1</v>
      </c>
      <c r="K1712" s="53">
        <f>0</f>
        <v>0</v>
      </c>
      <c r="L1712" s="53">
        <f>0</f>
        <v>0</v>
      </c>
      <c r="M1712" s="53">
        <f>0</f>
        <v>0</v>
      </c>
      <c r="N1712" s="54">
        <f>SUM(K1712:M1712)</f>
        <v>0</v>
      </c>
      <c r="O1712" s="54">
        <f>ROUND((H1712*K1712),2)</f>
        <v>0</v>
      </c>
      <c r="P1712" s="54">
        <f>ROUND((H1712*L1712),2)</f>
        <v>0</v>
      </c>
      <c r="Q1712" s="54">
        <f>ROUND((H1712*M1712),2)</f>
        <v>0</v>
      </c>
      <c r="R1712" s="54">
        <f>ROUND((H1712*N1712),2)</f>
        <v>0</v>
      </c>
      <c r="S1712" s="54"/>
      <c r="T1712" s="36"/>
      <c r="XDA1712"/>
      <c r="XDB1712"/>
      <c r="XDC1712"/>
      <c r="XDD1712"/>
      <c r="XDE1712"/>
      <c r="XDF1712"/>
      <c r="XDG1712"/>
      <c r="XDH1712"/>
      <c r="XDI1712"/>
      <c r="XDJ1712"/>
      <c r="XDK1712"/>
      <c r="XDL1712"/>
      <c r="XDM1712"/>
      <c r="XDN1712"/>
      <c r="XDO1712"/>
      <c r="XDP1712"/>
      <c r="XDQ1712"/>
      <c r="XDR1712"/>
      <c r="XDS1712"/>
      <c r="XDT1712"/>
      <c r="XDU1712"/>
      <c r="XDV1712"/>
      <c r="XDW1712"/>
      <c r="XDX1712"/>
      <c r="XDY1712"/>
      <c r="XDZ1712"/>
      <c r="XEA1712"/>
      <c r="XEB1712"/>
      <c r="XEC1712"/>
      <c r="XED1712"/>
      <c r="XEE1712"/>
      <c r="XEF1712"/>
      <c r="XEG1712"/>
      <c r="XEH1712"/>
      <c r="XEI1712"/>
      <c r="XEJ1712"/>
      <c r="XEK1712"/>
      <c r="XEL1712"/>
      <c r="XEM1712"/>
      <c r="XEN1712"/>
      <c r="XEO1712"/>
      <c r="XEP1712"/>
      <c r="XEQ1712"/>
      <c r="XER1712"/>
      <c r="XES1712"/>
      <c r="XET1712"/>
      <c r="XEU1712"/>
      <c r="XEV1712"/>
      <c r="XEW1712"/>
      <c r="XEX1712"/>
      <c r="XEY1712"/>
      <c r="XEZ1712"/>
      <c r="XFA1712"/>
      <c r="XFB1712"/>
      <c r="XFC1712"/>
    </row>
    <row r="1713" spans="1:20 16329:16383" s="38" customFormat="1" ht="29.1" customHeight="1" outlineLevel="5" x14ac:dyDescent="0.25">
      <c r="A1713" s="65" t="s">
        <v>2911</v>
      </c>
      <c r="B1713" s="66" t="s">
        <v>2912</v>
      </c>
      <c r="C1713" s="66"/>
      <c r="D1713" s="98" t="s">
        <v>1899</v>
      </c>
      <c r="E1713" s="98"/>
      <c r="F1713" s="67"/>
      <c r="G1713" s="66"/>
      <c r="H1713" s="68"/>
      <c r="I1713" s="36"/>
      <c r="J1713" s="68"/>
      <c r="K1713" s="69"/>
      <c r="L1713" s="69"/>
      <c r="M1713" s="69"/>
      <c r="N1713" s="69"/>
      <c r="O1713" s="69">
        <f>SUM(O1714:O1716)</f>
        <v>0</v>
      </c>
      <c r="P1713" s="69">
        <f>SUM(P1714:P1716)</f>
        <v>0</v>
      </c>
      <c r="Q1713" s="69">
        <f>SUM(Q1714:Q1716)</f>
        <v>0</v>
      </c>
      <c r="R1713" s="69">
        <f>SUM(R1714:R1716)</f>
        <v>0</v>
      </c>
      <c r="S1713" s="69"/>
      <c r="T1713" s="36"/>
      <c r="XDA1713"/>
      <c r="XDB1713"/>
      <c r="XDC1713"/>
      <c r="XDD1713"/>
      <c r="XDE1713"/>
      <c r="XDF1713"/>
      <c r="XDG1713"/>
      <c r="XDH1713"/>
      <c r="XDI1713"/>
      <c r="XDJ1713"/>
      <c r="XDK1713"/>
      <c r="XDL1713"/>
      <c r="XDM1713"/>
      <c r="XDN1713"/>
      <c r="XDO1713"/>
      <c r="XDP1713"/>
      <c r="XDQ1713"/>
      <c r="XDR1713"/>
      <c r="XDS1713"/>
      <c r="XDT1713"/>
      <c r="XDU1713"/>
      <c r="XDV1713"/>
      <c r="XDW1713"/>
      <c r="XDX1713"/>
      <c r="XDY1713"/>
      <c r="XDZ1713"/>
      <c r="XEA1713"/>
      <c r="XEB1713"/>
      <c r="XEC1713"/>
      <c r="XED1713"/>
      <c r="XEE1713"/>
      <c r="XEF1713"/>
      <c r="XEG1713"/>
      <c r="XEH1713"/>
      <c r="XEI1713"/>
      <c r="XEJ1713"/>
      <c r="XEK1713"/>
      <c r="XEL1713"/>
      <c r="XEM1713"/>
      <c r="XEN1713"/>
      <c r="XEO1713"/>
      <c r="XEP1713"/>
      <c r="XEQ1713"/>
      <c r="XER1713"/>
      <c r="XES1713"/>
      <c r="XET1713"/>
      <c r="XEU1713"/>
      <c r="XEV1713"/>
      <c r="XEW1713"/>
      <c r="XEX1713"/>
      <c r="XEY1713"/>
      <c r="XEZ1713"/>
      <c r="XFA1713"/>
      <c r="XFB1713"/>
      <c r="XFC1713"/>
    </row>
    <row r="1714" spans="1:20 16329:16383" s="38" customFormat="1" ht="29.1" customHeight="1" outlineLevel="6" x14ac:dyDescent="0.25">
      <c r="A1714" s="49" t="s">
        <v>2913</v>
      </c>
      <c r="B1714" s="50"/>
      <c r="C1714" s="50"/>
      <c r="D1714" s="3" t="s">
        <v>1884</v>
      </c>
      <c r="E1714" s="3"/>
      <c r="F1714" s="51"/>
      <c r="G1714" s="50" t="s">
        <v>102</v>
      </c>
      <c r="H1714" s="52">
        <f>1</f>
        <v>1</v>
      </c>
      <c r="I1714" s="36"/>
      <c r="J1714" s="52">
        <v>1</v>
      </c>
      <c r="K1714" s="53">
        <f>0</f>
        <v>0</v>
      </c>
      <c r="L1714" s="53">
        <f>0</f>
        <v>0</v>
      </c>
      <c r="M1714" s="53">
        <f>0</f>
        <v>0</v>
      </c>
      <c r="N1714" s="54">
        <f>SUM(K1714:M1714)</f>
        <v>0</v>
      </c>
      <c r="O1714" s="54">
        <f>ROUND((H1714*K1714),2)</f>
        <v>0</v>
      </c>
      <c r="P1714" s="54">
        <f>ROUND((H1714*L1714),2)</f>
        <v>0</v>
      </c>
      <c r="Q1714" s="54">
        <f>ROUND((H1714*M1714),2)</f>
        <v>0</v>
      </c>
      <c r="R1714" s="54">
        <f>ROUND((H1714*N1714),2)</f>
        <v>0</v>
      </c>
      <c r="S1714" s="54"/>
      <c r="T1714" s="36"/>
      <c r="XDA1714"/>
      <c r="XDB1714"/>
      <c r="XDC1714"/>
      <c r="XDD1714"/>
      <c r="XDE1714"/>
      <c r="XDF1714"/>
      <c r="XDG1714"/>
      <c r="XDH1714"/>
      <c r="XDI1714"/>
      <c r="XDJ1714"/>
      <c r="XDK1714"/>
      <c r="XDL1714"/>
      <c r="XDM1714"/>
      <c r="XDN1714"/>
      <c r="XDO1714"/>
      <c r="XDP1714"/>
      <c r="XDQ1714"/>
      <c r="XDR1714"/>
      <c r="XDS1714"/>
      <c r="XDT1714"/>
      <c r="XDU1714"/>
      <c r="XDV1714"/>
      <c r="XDW1714"/>
      <c r="XDX1714"/>
      <c r="XDY1714"/>
      <c r="XDZ1714"/>
      <c r="XEA1714"/>
      <c r="XEB1714"/>
      <c r="XEC1714"/>
      <c r="XED1714"/>
      <c r="XEE1714"/>
      <c r="XEF1714"/>
      <c r="XEG1714"/>
      <c r="XEH1714"/>
      <c r="XEI1714"/>
      <c r="XEJ1714"/>
      <c r="XEK1714"/>
      <c r="XEL1714"/>
      <c r="XEM1714"/>
      <c r="XEN1714"/>
      <c r="XEO1714"/>
      <c r="XEP1714"/>
      <c r="XEQ1714"/>
      <c r="XER1714"/>
      <c r="XES1714"/>
      <c r="XET1714"/>
      <c r="XEU1714"/>
      <c r="XEV1714"/>
      <c r="XEW1714"/>
      <c r="XEX1714"/>
      <c r="XEY1714"/>
      <c r="XEZ1714"/>
      <c r="XFA1714"/>
      <c r="XFB1714"/>
      <c r="XFC1714"/>
    </row>
    <row r="1715" spans="1:20 16329:16383" s="38" customFormat="1" ht="29.1" customHeight="1" outlineLevel="6" x14ac:dyDescent="0.25">
      <c r="A1715" s="49" t="s">
        <v>2914</v>
      </c>
      <c r="B1715" s="50"/>
      <c r="C1715" s="50"/>
      <c r="D1715" s="3" t="s">
        <v>1955</v>
      </c>
      <c r="E1715" s="3"/>
      <c r="F1715" s="51"/>
      <c r="G1715" s="50" t="s">
        <v>102</v>
      </c>
      <c r="H1715" s="52">
        <f>1</f>
        <v>1</v>
      </c>
      <c r="I1715" s="36"/>
      <c r="J1715" s="52">
        <v>1</v>
      </c>
      <c r="K1715" s="53">
        <f>0</f>
        <v>0</v>
      </c>
      <c r="L1715" s="53">
        <f>0</f>
        <v>0</v>
      </c>
      <c r="M1715" s="53">
        <f>0</f>
        <v>0</v>
      </c>
      <c r="N1715" s="54">
        <f>SUM(K1715:M1715)</f>
        <v>0</v>
      </c>
      <c r="O1715" s="54">
        <f>ROUND((H1715*K1715),2)</f>
        <v>0</v>
      </c>
      <c r="P1715" s="54">
        <f>ROUND((H1715*L1715),2)</f>
        <v>0</v>
      </c>
      <c r="Q1715" s="54">
        <f>ROUND((H1715*M1715),2)</f>
        <v>0</v>
      </c>
      <c r="R1715" s="54">
        <f>ROUND((H1715*N1715),2)</f>
        <v>0</v>
      </c>
      <c r="S1715" s="54"/>
      <c r="T1715" s="36"/>
      <c r="XDA1715"/>
      <c r="XDB1715"/>
      <c r="XDC1715"/>
      <c r="XDD1715"/>
      <c r="XDE1715"/>
      <c r="XDF1715"/>
      <c r="XDG1715"/>
      <c r="XDH1715"/>
      <c r="XDI1715"/>
      <c r="XDJ1715"/>
      <c r="XDK1715"/>
      <c r="XDL1715"/>
      <c r="XDM1715"/>
      <c r="XDN1715"/>
      <c r="XDO1715"/>
      <c r="XDP1715"/>
      <c r="XDQ1715"/>
      <c r="XDR1715"/>
      <c r="XDS1715"/>
      <c r="XDT1715"/>
      <c r="XDU1715"/>
      <c r="XDV1715"/>
      <c r="XDW1715"/>
      <c r="XDX1715"/>
      <c r="XDY1715"/>
      <c r="XDZ1715"/>
      <c r="XEA1715"/>
      <c r="XEB1715"/>
      <c r="XEC1715"/>
      <c r="XED1715"/>
      <c r="XEE1715"/>
      <c r="XEF1715"/>
      <c r="XEG1715"/>
      <c r="XEH1715"/>
      <c r="XEI1715"/>
      <c r="XEJ1715"/>
      <c r="XEK1715"/>
      <c r="XEL1715"/>
      <c r="XEM1715"/>
      <c r="XEN1715"/>
      <c r="XEO1715"/>
      <c r="XEP1715"/>
      <c r="XEQ1715"/>
      <c r="XER1715"/>
      <c r="XES1715"/>
      <c r="XET1715"/>
      <c r="XEU1715"/>
      <c r="XEV1715"/>
      <c r="XEW1715"/>
      <c r="XEX1715"/>
      <c r="XEY1715"/>
      <c r="XEZ1715"/>
      <c r="XFA1715"/>
      <c r="XFB1715"/>
      <c r="XFC1715"/>
    </row>
    <row r="1716" spans="1:20 16329:16383" s="38" customFormat="1" ht="29.1" customHeight="1" outlineLevel="6" x14ac:dyDescent="0.25">
      <c r="A1716" s="49" t="s">
        <v>2915</v>
      </c>
      <c r="B1716" s="50"/>
      <c r="C1716" s="50"/>
      <c r="D1716" s="3" t="s">
        <v>2621</v>
      </c>
      <c r="E1716" s="3"/>
      <c r="F1716" s="51"/>
      <c r="G1716" s="50" t="s">
        <v>102</v>
      </c>
      <c r="H1716" s="52">
        <f>1</f>
        <v>1</v>
      </c>
      <c r="I1716" s="36"/>
      <c r="J1716" s="52">
        <v>1</v>
      </c>
      <c r="K1716" s="53">
        <f>0</f>
        <v>0</v>
      </c>
      <c r="L1716" s="53">
        <f>0</f>
        <v>0</v>
      </c>
      <c r="M1716" s="53">
        <f>0</f>
        <v>0</v>
      </c>
      <c r="N1716" s="54">
        <f>SUM(K1716:M1716)</f>
        <v>0</v>
      </c>
      <c r="O1716" s="54">
        <f>ROUND((H1716*K1716),2)</f>
        <v>0</v>
      </c>
      <c r="P1716" s="54">
        <f>ROUND((H1716*L1716),2)</f>
        <v>0</v>
      </c>
      <c r="Q1716" s="54">
        <f>ROUND((H1716*M1716),2)</f>
        <v>0</v>
      </c>
      <c r="R1716" s="54">
        <f>ROUND((H1716*N1716),2)</f>
        <v>0</v>
      </c>
      <c r="S1716" s="54"/>
      <c r="T1716" s="36"/>
      <c r="XDA1716"/>
      <c r="XDB1716"/>
      <c r="XDC1716"/>
      <c r="XDD1716"/>
      <c r="XDE1716"/>
      <c r="XDF1716"/>
      <c r="XDG1716"/>
      <c r="XDH1716"/>
      <c r="XDI1716"/>
      <c r="XDJ1716"/>
      <c r="XDK1716"/>
      <c r="XDL1716"/>
      <c r="XDM1716"/>
      <c r="XDN1716"/>
      <c r="XDO1716"/>
      <c r="XDP1716"/>
      <c r="XDQ1716"/>
      <c r="XDR1716"/>
      <c r="XDS1716"/>
      <c r="XDT1716"/>
      <c r="XDU1716"/>
      <c r="XDV1716"/>
      <c r="XDW1716"/>
      <c r="XDX1716"/>
      <c r="XDY1716"/>
      <c r="XDZ1716"/>
      <c r="XEA1716"/>
      <c r="XEB1716"/>
      <c r="XEC1716"/>
      <c r="XED1716"/>
      <c r="XEE1716"/>
      <c r="XEF1716"/>
      <c r="XEG1716"/>
      <c r="XEH1716"/>
      <c r="XEI1716"/>
      <c r="XEJ1716"/>
      <c r="XEK1716"/>
      <c r="XEL1716"/>
      <c r="XEM1716"/>
      <c r="XEN1716"/>
      <c r="XEO1716"/>
      <c r="XEP1716"/>
      <c r="XEQ1716"/>
      <c r="XER1716"/>
      <c r="XES1716"/>
      <c r="XET1716"/>
      <c r="XEU1716"/>
      <c r="XEV1716"/>
      <c r="XEW1716"/>
      <c r="XEX1716"/>
      <c r="XEY1716"/>
      <c r="XEZ1716"/>
      <c r="XFA1716"/>
      <c r="XFB1716"/>
      <c r="XFC1716"/>
    </row>
    <row r="1717" spans="1:20 16329:16383" s="38" customFormat="1" ht="29.1" customHeight="1" outlineLevel="5" x14ac:dyDescent="0.25">
      <c r="A1717" s="65" t="s">
        <v>2916</v>
      </c>
      <c r="B1717" s="66" t="s">
        <v>2917</v>
      </c>
      <c r="C1717" s="66"/>
      <c r="D1717" s="98" t="s">
        <v>1498</v>
      </c>
      <c r="E1717" s="98"/>
      <c r="F1717" s="67"/>
      <c r="G1717" s="66"/>
      <c r="H1717" s="68"/>
      <c r="I1717" s="36"/>
      <c r="J1717" s="68"/>
      <c r="K1717" s="69"/>
      <c r="L1717" s="69"/>
      <c r="M1717" s="69"/>
      <c r="N1717" s="69"/>
      <c r="O1717" s="69">
        <f>O1718</f>
        <v>0</v>
      </c>
      <c r="P1717" s="69">
        <f>P1718</f>
        <v>0</v>
      </c>
      <c r="Q1717" s="69">
        <f>Q1718</f>
        <v>0</v>
      </c>
      <c r="R1717" s="69">
        <f>R1718</f>
        <v>0</v>
      </c>
      <c r="S1717" s="69"/>
      <c r="T1717" s="36"/>
      <c r="XDA1717"/>
      <c r="XDB1717"/>
      <c r="XDC1717"/>
      <c r="XDD1717"/>
      <c r="XDE1717"/>
      <c r="XDF1717"/>
      <c r="XDG1717"/>
      <c r="XDH1717"/>
      <c r="XDI1717"/>
      <c r="XDJ1717"/>
      <c r="XDK1717"/>
      <c r="XDL1717"/>
      <c r="XDM1717"/>
      <c r="XDN1717"/>
      <c r="XDO1717"/>
      <c r="XDP1717"/>
      <c r="XDQ1717"/>
      <c r="XDR1717"/>
      <c r="XDS1717"/>
      <c r="XDT1717"/>
      <c r="XDU1717"/>
      <c r="XDV1717"/>
      <c r="XDW1717"/>
      <c r="XDX1717"/>
      <c r="XDY1717"/>
      <c r="XDZ1717"/>
      <c r="XEA1717"/>
      <c r="XEB1717"/>
      <c r="XEC1717"/>
      <c r="XED1717"/>
      <c r="XEE1717"/>
      <c r="XEF1717"/>
      <c r="XEG1717"/>
      <c r="XEH1717"/>
      <c r="XEI1717"/>
      <c r="XEJ1717"/>
      <c r="XEK1717"/>
      <c r="XEL1717"/>
      <c r="XEM1717"/>
      <c r="XEN1717"/>
      <c r="XEO1717"/>
      <c r="XEP1717"/>
      <c r="XEQ1717"/>
      <c r="XER1717"/>
      <c r="XES1717"/>
      <c r="XET1717"/>
      <c r="XEU1717"/>
      <c r="XEV1717"/>
      <c r="XEW1717"/>
      <c r="XEX1717"/>
      <c r="XEY1717"/>
      <c r="XEZ1717"/>
      <c r="XFA1717"/>
      <c r="XFB1717"/>
      <c r="XFC1717"/>
    </row>
    <row r="1718" spans="1:20 16329:16383" s="38" customFormat="1" ht="29.1" customHeight="1" outlineLevel="6" x14ac:dyDescent="0.25">
      <c r="A1718" s="49" t="s">
        <v>2918</v>
      </c>
      <c r="B1718" s="50"/>
      <c r="C1718" s="50"/>
      <c r="D1718" s="3" t="s">
        <v>1987</v>
      </c>
      <c r="E1718" s="3"/>
      <c r="F1718" s="51"/>
      <c r="G1718" s="50" t="s">
        <v>194</v>
      </c>
      <c r="H1718" s="52">
        <f>1</f>
        <v>1</v>
      </c>
      <c r="I1718" s="36"/>
      <c r="J1718" s="52">
        <v>1</v>
      </c>
      <c r="K1718" s="53">
        <f>0</f>
        <v>0</v>
      </c>
      <c r="L1718" s="53">
        <f>0</f>
        <v>0</v>
      </c>
      <c r="M1718" s="53">
        <f>0</f>
        <v>0</v>
      </c>
      <c r="N1718" s="54">
        <f>SUM(K1718:M1718)</f>
        <v>0</v>
      </c>
      <c r="O1718" s="54">
        <f>ROUND((H1718*K1718),2)</f>
        <v>0</v>
      </c>
      <c r="P1718" s="54">
        <f>ROUND((H1718*L1718),2)</f>
        <v>0</v>
      </c>
      <c r="Q1718" s="54">
        <f>ROUND((H1718*M1718),2)</f>
        <v>0</v>
      </c>
      <c r="R1718" s="54">
        <f>ROUND((H1718*N1718),2)</f>
        <v>0</v>
      </c>
      <c r="S1718" s="54"/>
      <c r="T1718" s="36"/>
      <c r="XDA1718"/>
      <c r="XDB1718"/>
      <c r="XDC1718"/>
      <c r="XDD1718"/>
      <c r="XDE1718"/>
      <c r="XDF1718"/>
      <c r="XDG1718"/>
      <c r="XDH1718"/>
      <c r="XDI1718"/>
      <c r="XDJ1718"/>
      <c r="XDK1718"/>
      <c r="XDL1718"/>
      <c r="XDM1718"/>
      <c r="XDN1718"/>
      <c r="XDO1718"/>
      <c r="XDP1718"/>
      <c r="XDQ1718"/>
      <c r="XDR1718"/>
      <c r="XDS1718"/>
      <c r="XDT1718"/>
      <c r="XDU1718"/>
      <c r="XDV1718"/>
      <c r="XDW1718"/>
      <c r="XDX1718"/>
      <c r="XDY1718"/>
      <c r="XDZ1718"/>
      <c r="XEA1718"/>
      <c r="XEB1718"/>
      <c r="XEC1718"/>
      <c r="XED1718"/>
      <c r="XEE1718"/>
      <c r="XEF1718"/>
      <c r="XEG1718"/>
      <c r="XEH1718"/>
      <c r="XEI1718"/>
      <c r="XEJ1718"/>
      <c r="XEK1718"/>
      <c r="XEL1718"/>
      <c r="XEM1718"/>
      <c r="XEN1718"/>
      <c r="XEO1718"/>
      <c r="XEP1718"/>
      <c r="XEQ1718"/>
      <c r="XER1718"/>
      <c r="XES1718"/>
      <c r="XET1718"/>
      <c r="XEU1718"/>
      <c r="XEV1718"/>
      <c r="XEW1718"/>
      <c r="XEX1718"/>
      <c r="XEY1718"/>
      <c r="XEZ1718"/>
      <c r="XFA1718"/>
      <c r="XFB1718"/>
      <c r="XFC1718"/>
    </row>
    <row r="1719" spans="1:20 16329:16383" s="38" customFormat="1" ht="29.1" customHeight="1" outlineLevel="4" x14ac:dyDescent="0.25">
      <c r="A1719" s="60" t="s">
        <v>2919</v>
      </c>
      <c r="B1719" s="61" t="s">
        <v>2920</v>
      </c>
      <c r="C1719" s="61" t="s">
        <v>2329</v>
      </c>
      <c r="D1719" s="1" t="s">
        <v>2026</v>
      </c>
      <c r="E1719" s="1"/>
      <c r="F1719" s="62"/>
      <c r="G1719" s="61" t="s">
        <v>102</v>
      </c>
      <c r="H1719" s="63"/>
      <c r="I1719" s="36"/>
      <c r="J1719" s="63"/>
      <c r="K1719" s="64"/>
      <c r="L1719" s="64"/>
      <c r="M1719" s="64"/>
      <c r="N1719" s="64"/>
      <c r="O1719" s="64">
        <f>O1720+O1724+O1729</f>
        <v>0</v>
      </c>
      <c r="P1719" s="64">
        <f>P1720+P1724+P1729</f>
        <v>0</v>
      </c>
      <c r="Q1719" s="64">
        <f>Q1720+Q1724+Q1729</f>
        <v>0</v>
      </c>
      <c r="R1719" s="64">
        <f>R1720+R1724+R1729</f>
        <v>0</v>
      </c>
      <c r="S1719" s="64"/>
      <c r="T1719" s="36"/>
      <c r="XDA1719"/>
      <c r="XDB1719"/>
      <c r="XDC1719"/>
      <c r="XDD1719"/>
      <c r="XDE1719"/>
      <c r="XDF1719"/>
      <c r="XDG1719"/>
      <c r="XDH1719"/>
      <c r="XDI1719"/>
      <c r="XDJ1719"/>
      <c r="XDK1719"/>
      <c r="XDL1719"/>
      <c r="XDM1719"/>
      <c r="XDN1719"/>
      <c r="XDO1719"/>
      <c r="XDP1719"/>
      <c r="XDQ1719"/>
      <c r="XDR1719"/>
      <c r="XDS1719"/>
      <c r="XDT1719"/>
      <c r="XDU1719"/>
      <c r="XDV1719"/>
      <c r="XDW1719"/>
      <c r="XDX1719"/>
      <c r="XDY1719"/>
      <c r="XDZ1719"/>
      <c r="XEA1719"/>
      <c r="XEB1719"/>
      <c r="XEC1719"/>
      <c r="XED1719"/>
      <c r="XEE1719"/>
      <c r="XEF1719"/>
      <c r="XEG1719"/>
      <c r="XEH1719"/>
      <c r="XEI1719"/>
      <c r="XEJ1719"/>
      <c r="XEK1719"/>
      <c r="XEL1719"/>
      <c r="XEM1719"/>
      <c r="XEN1719"/>
      <c r="XEO1719"/>
      <c r="XEP1719"/>
      <c r="XEQ1719"/>
      <c r="XER1719"/>
      <c r="XES1719"/>
      <c r="XET1719"/>
      <c r="XEU1719"/>
      <c r="XEV1719"/>
      <c r="XEW1719"/>
      <c r="XEX1719"/>
      <c r="XEY1719"/>
      <c r="XEZ1719"/>
      <c r="XFA1719"/>
      <c r="XFB1719"/>
      <c r="XFC1719"/>
    </row>
    <row r="1720" spans="1:20 16329:16383" s="38" customFormat="1" ht="29.1" customHeight="1" outlineLevel="5" x14ac:dyDescent="0.25">
      <c r="A1720" s="65" t="s">
        <v>2921</v>
      </c>
      <c r="B1720" s="66" t="s">
        <v>2922</v>
      </c>
      <c r="C1720" s="66"/>
      <c r="D1720" s="98" t="s">
        <v>1873</v>
      </c>
      <c r="E1720" s="98"/>
      <c r="F1720" s="67"/>
      <c r="G1720" s="66"/>
      <c r="H1720" s="68"/>
      <c r="I1720" s="36"/>
      <c r="J1720" s="68"/>
      <c r="K1720" s="69"/>
      <c r="L1720" s="69"/>
      <c r="M1720" s="69"/>
      <c r="N1720" s="69"/>
      <c r="O1720" s="69">
        <f>SUM(O1721:O1723)</f>
        <v>0</v>
      </c>
      <c r="P1720" s="69">
        <f>SUM(P1721:P1723)</f>
        <v>0</v>
      </c>
      <c r="Q1720" s="69">
        <f>SUM(Q1721:Q1723)</f>
        <v>0</v>
      </c>
      <c r="R1720" s="69">
        <f>SUM(R1721:R1723)</f>
        <v>0</v>
      </c>
      <c r="S1720" s="69"/>
      <c r="T1720" s="36"/>
      <c r="XDA1720"/>
      <c r="XDB1720"/>
      <c r="XDC1720"/>
      <c r="XDD1720"/>
      <c r="XDE1720"/>
      <c r="XDF1720"/>
      <c r="XDG1720"/>
      <c r="XDH1720"/>
      <c r="XDI1720"/>
      <c r="XDJ1720"/>
      <c r="XDK1720"/>
      <c r="XDL1720"/>
      <c r="XDM1720"/>
      <c r="XDN1720"/>
      <c r="XDO1720"/>
      <c r="XDP1720"/>
      <c r="XDQ1720"/>
      <c r="XDR1720"/>
      <c r="XDS1720"/>
      <c r="XDT1720"/>
      <c r="XDU1720"/>
      <c r="XDV1720"/>
      <c r="XDW1720"/>
      <c r="XDX1720"/>
      <c r="XDY1720"/>
      <c r="XDZ1720"/>
      <c r="XEA1720"/>
      <c r="XEB1720"/>
      <c r="XEC1720"/>
      <c r="XED1720"/>
      <c r="XEE1720"/>
      <c r="XEF1720"/>
      <c r="XEG1720"/>
      <c r="XEH1720"/>
      <c r="XEI1720"/>
      <c r="XEJ1720"/>
      <c r="XEK1720"/>
      <c r="XEL1720"/>
      <c r="XEM1720"/>
      <c r="XEN1720"/>
      <c r="XEO1720"/>
      <c r="XEP1720"/>
      <c r="XEQ1720"/>
      <c r="XER1720"/>
      <c r="XES1720"/>
      <c r="XET1720"/>
      <c r="XEU1720"/>
      <c r="XEV1720"/>
      <c r="XEW1720"/>
      <c r="XEX1720"/>
      <c r="XEY1720"/>
      <c r="XEZ1720"/>
      <c r="XFA1720"/>
      <c r="XFB1720"/>
      <c r="XFC1720"/>
    </row>
    <row r="1721" spans="1:20 16329:16383" s="38" customFormat="1" ht="29.1" customHeight="1" outlineLevel="6" x14ac:dyDescent="0.25">
      <c r="A1721" s="49" t="s">
        <v>2923</v>
      </c>
      <c r="B1721" s="50"/>
      <c r="C1721" s="50"/>
      <c r="D1721" s="3" t="s">
        <v>1875</v>
      </c>
      <c r="E1721" s="3"/>
      <c r="F1721" s="51"/>
      <c r="G1721" s="50" t="s">
        <v>102</v>
      </c>
      <c r="H1721" s="52">
        <f>1</f>
        <v>1</v>
      </c>
      <c r="I1721" s="36"/>
      <c r="J1721" s="52">
        <v>1</v>
      </c>
      <c r="K1721" s="53">
        <f>0</f>
        <v>0</v>
      </c>
      <c r="L1721" s="53">
        <f>0</f>
        <v>0</v>
      </c>
      <c r="M1721" s="53">
        <f>0</f>
        <v>0</v>
      </c>
      <c r="N1721" s="54">
        <f>SUM(K1721:M1721)</f>
        <v>0</v>
      </c>
      <c r="O1721" s="54">
        <f>ROUND((H1721*K1721),2)</f>
        <v>0</v>
      </c>
      <c r="P1721" s="54">
        <f>ROUND((H1721*L1721),2)</f>
        <v>0</v>
      </c>
      <c r="Q1721" s="54">
        <f>ROUND((H1721*M1721),2)</f>
        <v>0</v>
      </c>
      <c r="R1721" s="54">
        <f>ROUND((H1721*N1721),2)</f>
        <v>0</v>
      </c>
      <c r="S1721" s="54"/>
      <c r="T1721" s="36"/>
      <c r="XDA1721"/>
      <c r="XDB1721"/>
      <c r="XDC1721"/>
      <c r="XDD1721"/>
      <c r="XDE1721"/>
      <c r="XDF1721"/>
      <c r="XDG1721"/>
      <c r="XDH1721"/>
      <c r="XDI1721"/>
      <c r="XDJ1721"/>
      <c r="XDK1721"/>
      <c r="XDL1721"/>
      <c r="XDM1721"/>
      <c r="XDN1721"/>
      <c r="XDO1721"/>
      <c r="XDP1721"/>
      <c r="XDQ1721"/>
      <c r="XDR1721"/>
      <c r="XDS1721"/>
      <c r="XDT1721"/>
      <c r="XDU1721"/>
      <c r="XDV1721"/>
      <c r="XDW1721"/>
      <c r="XDX1721"/>
      <c r="XDY1721"/>
      <c r="XDZ1721"/>
      <c r="XEA1721"/>
      <c r="XEB1721"/>
      <c r="XEC1721"/>
      <c r="XED1721"/>
      <c r="XEE1721"/>
      <c r="XEF1721"/>
      <c r="XEG1721"/>
      <c r="XEH1721"/>
      <c r="XEI1721"/>
      <c r="XEJ1721"/>
      <c r="XEK1721"/>
      <c r="XEL1721"/>
      <c r="XEM1721"/>
      <c r="XEN1721"/>
      <c r="XEO1721"/>
      <c r="XEP1721"/>
      <c r="XEQ1721"/>
      <c r="XER1721"/>
      <c r="XES1721"/>
      <c r="XET1721"/>
      <c r="XEU1721"/>
      <c r="XEV1721"/>
      <c r="XEW1721"/>
      <c r="XEX1721"/>
      <c r="XEY1721"/>
      <c r="XEZ1721"/>
      <c r="XFA1721"/>
      <c r="XFB1721"/>
      <c r="XFC1721"/>
    </row>
    <row r="1722" spans="1:20 16329:16383" s="38" customFormat="1" ht="29.1" customHeight="1" outlineLevel="6" x14ac:dyDescent="0.25">
      <c r="A1722" s="49" t="s">
        <v>2924</v>
      </c>
      <c r="B1722" s="50"/>
      <c r="C1722" s="50"/>
      <c r="D1722" s="3" t="s">
        <v>2093</v>
      </c>
      <c r="E1722" s="3"/>
      <c r="F1722" s="51"/>
      <c r="G1722" s="50" t="s">
        <v>102</v>
      </c>
      <c r="H1722" s="52">
        <f>1</f>
        <v>1</v>
      </c>
      <c r="I1722" s="36"/>
      <c r="J1722" s="52">
        <v>1</v>
      </c>
      <c r="K1722" s="53">
        <f>0</f>
        <v>0</v>
      </c>
      <c r="L1722" s="53">
        <f>0</f>
        <v>0</v>
      </c>
      <c r="M1722" s="53">
        <f>0</f>
        <v>0</v>
      </c>
      <c r="N1722" s="54">
        <f>SUM(K1722:M1722)</f>
        <v>0</v>
      </c>
      <c r="O1722" s="54">
        <f>ROUND((H1722*K1722),2)</f>
        <v>0</v>
      </c>
      <c r="P1722" s="54">
        <f>ROUND((H1722*L1722),2)</f>
        <v>0</v>
      </c>
      <c r="Q1722" s="54">
        <f>ROUND((H1722*M1722),2)</f>
        <v>0</v>
      </c>
      <c r="R1722" s="54">
        <f>ROUND((H1722*N1722),2)</f>
        <v>0</v>
      </c>
      <c r="S1722" s="54"/>
      <c r="T1722" s="36"/>
      <c r="XDA1722"/>
      <c r="XDB1722"/>
      <c r="XDC1722"/>
      <c r="XDD1722"/>
      <c r="XDE1722"/>
      <c r="XDF1722"/>
      <c r="XDG1722"/>
      <c r="XDH1722"/>
      <c r="XDI1722"/>
      <c r="XDJ1722"/>
      <c r="XDK1722"/>
      <c r="XDL1722"/>
      <c r="XDM1722"/>
      <c r="XDN1722"/>
      <c r="XDO1722"/>
      <c r="XDP1722"/>
      <c r="XDQ1722"/>
      <c r="XDR1722"/>
      <c r="XDS1722"/>
      <c r="XDT1722"/>
      <c r="XDU1722"/>
      <c r="XDV1722"/>
      <c r="XDW1722"/>
      <c r="XDX1722"/>
      <c r="XDY1722"/>
      <c r="XDZ1722"/>
      <c r="XEA1722"/>
      <c r="XEB1722"/>
      <c r="XEC1722"/>
      <c r="XED1722"/>
      <c r="XEE1722"/>
      <c r="XEF1722"/>
      <c r="XEG1722"/>
      <c r="XEH1722"/>
      <c r="XEI1722"/>
      <c r="XEJ1722"/>
      <c r="XEK1722"/>
      <c r="XEL1722"/>
      <c r="XEM1722"/>
      <c r="XEN1722"/>
      <c r="XEO1722"/>
      <c r="XEP1722"/>
      <c r="XEQ1722"/>
      <c r="XER1722"/>
      <c r="XES1722"/>
      <c r="XET1722"/>
      <c r="XEU1722"/>
      <c r="XEV1722"/>
      <c r="XEW1722"/>
      <c r="XEX1722"/>
      <c r="XEY1722"/>
      <c r="XEZ1722"/>
      <c r="XFA1722"/>
      <c r="XFB1722"/>
      <c r="XFC1722"/>
    </row>
    <row r="1723" spans="1:20 16329:16383" s="38" customFormat="1" ht="29.1" customHeight="1" outlineLevel="6" x14ac:dyDescent="0.25">
      <c r="A1723" s="49" t="s">
        <v>2925</v>
      </c>
      <c r="B1723" s="50"/>
      <c r="C1723" s="50"/>
      <c r="D1723" s="3" t="s">
        <v>2095</v>
      </c>
      <c r="E1723" s="3"/>
      <c r="F1723" s="51"/>
      <c r="G1723" s="50" t="s">
        <v>102</v>
      </c>
      <c r="H1723" s="52">
        <f>1</f>
        <v>1</v>
      </c>
      <c r="I1723" s="36"/>
      <c r="J1723" s="52">
        <v>1</v>
      </c>
      <c r="K1723" s="53">
        <f>0</f>
        <v>0</v>
      </c>
      <c r="L1723" s="53">
        <f>0</f>
        <v>0</v>
      </c>
      <c r="M1723" s="53">
        <f>0</f>
        <v>0</v>
      </c>
      <c r="N1723" s="54">
        <f>SUM(K1723:M1723)</f>
        <v>0</v>
      </c>
      <c r="O1723" s="54">
        <f>ROUND((H1723*K1723),2)</f>
        <v>0</v>
      </c>
      <c r="P1723" s="54">
        <f>ROUND((H1723*L1723),2)</f>
        <v>0</v>
      </c>
      <c r="Q1723" s="54">
        <f>ROUND((H1723*M1723),2)</f>
        <v>0</v>
      </c>
      <c r="R1723" s="54">
        <f>ROUND((H1723*N1723),2)</f>
        <v>0</v>
      </c>
      <c r="S1723" s="54"/>
      <c r="T1723" s="36"/>
      <c r="XDA1723"/>
      <c r="XDB1723"/>
      <c r="XDC1723"/>
      <c r="XDD1723"/>
      <c r="XDE1723"/>
      <c r="XDF1723"/>
      <c r="XDG1723"/>
      <c r="XDH1723"/>
      <c r="XDI1723"/>
      <c r="XDJ1723"/>
      <c r="XDK1723"/>
      <c r="XDL1723"/>
      <c r="XDM1723"/>
      <c r="XDN1723"/>
      <c r="XDO1723"/>
      <c r="XDP1723"/>
      <c r="XDQ1723"/>
      <c r="XDR1723"/>
      <c r="XDS1723"/>
      <c r="XDT1723"/>
      <c r="XDU1723"/>
      <c r="XDV1723"/>
      <c r="XDW1723"/>
      <c r="XDX1723"/>
      <c r="XDY1723"/>
      <c r="XDZ1723"/>
      <c r="XEA1723"/>
      <c r="XEB1723"/>
      <c r="XEC1723"/>
      <c r="XED1723"/>
      <c r="XEE1723"/>
      <c r="XEF1723"/>
      <c r="XEG1723"/>
      <c r="XEH1723"/>
      <c r="XEI1723"/>
      <c r="XEJ1723"/>
      <c r="XEK1723"/>
      <c r="XEL1723"/>
      <c r="XEM1723"/>
      <c r="XEN1723"/>
      <c r="XEO1723"/>
      <c r="XEP1723"/>
      <c r="XEQ1723"/>
      <c r="XER1723"/>
      <c r="XES1723"/>
      <c r="XET1723"/>
      <c r="XEU1723"/>
      <c r="XEV1723"/>
      <c r="XEW1723"/>
      <c r="XEX1723"/>
      <c r="XEY1723"/>
      <c r="XEZ1723"/>
      <c r="XFA1723"/>
      <c r="XFB1723"/>
      <c r="XFC1723"/>
    </row>
    <row r="1724" spans="1:20 16329:16383" s="38" customFormat="1" ht="29.1" customHeight="1" outlineLevel="5" x14ac:dyDescent="0.25">
      <c r="A1724" s="65" t="s">
        <v>2926</v>
      </c>
      <c r="B1724" s="66" t="s">
        <v>2927</v>
      </c>
      <c r="C1724" s="66"/>
      <c r="D1724" s="98" t="s">
        <v>344</v>
      </c>
      <c r="E1724" s="98"/>
      <c r="F1724" s="67"/>
      <c r="G1724" s="66"/>
      <c r="H1724" s="68"/>
      <c r="I1724" s="36"/>
      <c r="J1724" s="68"/>
      <c r="K1724" s="69"/>
      <c r="L1724" s="69"/>
      <c r="M1724" s="69"/>
      <c r="N1724" s="69"/>
      <c r="O1724" s="69">
        <f>SUM(O1725:O1728)</f>
        <v>0</v>
      </c>
      <c r="P1724" s="69">
        <f>SUM(P1725:P1728)</f>
        <v>0</v>
      </c>
      <c r="Q1724" s="69">
        <f>SUM(Q1725:Q1728)</f>
        <v>0</v>
      </c>
      <c r="R1724" s="69">
        <f>SUM(R1725:R1728)</f>
        <v>0</v>
      </c>
      <c r="S1724" s="69"/>
      <c r="T1724" s="36"/>
      <c r="XDA1724"/>
      <c r="XDB1724"/>
      <c r="XDC1724"/>
      <c r="XDD1724"/>
      <c r="XDE1724"/>
      <c r="XDF1724"/>
      <c r="XDG1724"/>
      <c r="XDH1724"/>
      <c r="XDI1724"/>
      <c r="XDJ1724"/>
      <c r="XDK1724"/>
      <c r="XDL1724"/>
      <c r="XDM1724"/>
      <c r="XDN1724"/>
      <c r="XDO1724"/>
      <c r="XDP1724"/>
      <c r="XDQ1724"/>
      <c r="XDR1724"/>
      <c r="XDS1724"/>
      <c r="XDT1724"/>
      <c r="XDU1724"/>
      <c r="XDV1724"/>
      <c r="XDW1724"/>
      <c r="XDX1724"/>
      <c r="XDY1724"/>
      <c r="XDZ1724"/>
      <c r="XEA1724"/>
      <c r="XEB1724"/>
      <c r="XEC1724"/>
      <c r="XED1724"/>
      <c r="XEE1724"/>
      <c r="XEF1724"/>
      <c r="XEG1724"/>
      <c r="XEH1724"/>
      <c r="XEI1724"/>
      <c r="XEJ1724"/>
      <c r="XEK1724"/>
      <c r="XEL1724"/>
      <c r="XEM1724"/>
      <c r="XEN1724"/>
      <c r="XEO1724"/>
      <c r="XEP1724"/>
      <c r="XEQ1724"/>
      <c r="XER1724"/>
      <c r="XES1724"/>
      <c r="XET1724"/>
      <c r="XEU1724"/>
      <c r="XEV1724"/>
      <c r="XEW1724"/>
      <c r="XEX1724"/>
      <c r="XEY1724"/>
      <c r="XEZ1724"/>
      <c r="XFA1724"/>
      <c r="XFB1724"/>
      <c r="XFC1724"/>
    </row>
    <row r="1725" spans="1:20 16329:16383" s="38" customFormat="1" ht="29.1" customHeight="1" outlineLevel="6" x14ac:dyDescent="0.25">
      <c r="A1725" s="49" t="s">
        <v>2928</v>
      </c>
      <c r="B1725" s="50"/>
      <c r="C1725" s="50"/>
      <c r="D1725" s="3" t="s">
        <v>1884</v>
      </c>
      <c r="E1725" s="3"/>
      <c r="F1725" s="51"/>
      <c r="G1725" s="50" t="s">
        <v>102</v>
      </c>
      <c r="H1725" s="52">
        <f>1</f>
        <v>1</v>
      </c>
      <c r="I1725" s="36"/>
      <c r="J1725" s="52">
        <v>1</v>
      </c>
      <c r="K1725" s="53">
        <f>0</f>
        <v>0</v>
      </c>
      <c r="L1725" s="53">
        <f>0</f>
        <v>0</v>
      </c>
      <c r="M1725" s="53">
        <f>0</f>
        <v>0</v>
      </c>
      <c r="N1725" s="54">
        <f>SUM(K1725:M1725)</f>
        <v>0</v>
      </c>
      <c r="O1725" s="54">
        <f>ROUND((H1725*K1725),2)</f>
        <v>0</v>
      </c>
      <c r="P1725" s="54">
        <f>ROUND((H1725*L1725),2)</f>
        <v>0</v>
      </c>
      <c r="Q1725" s="54">
        <f>ROUND((H1725*M1725),2)</f>
        <v>0</v>
      </c>
      <c r="R1725" s="54">
        <f>ROUND((H1725*N1725),2)</f>
        <v>0</v>
      </c>
      <c r="S1725" s="54"/>
      <c r="T1725" s="36"/>
      <c r="XDA1725"/>
      <c r="XDB1725"/>
      <c r="XDC1725"/>
      <c r="XDD1725"/>
      <c r="XDE1725"/>
      <c r="XDF1725"/>
      <c r="XDG1725"/>
      <c r="XDH1725"/>
      <c r="XDI1725"/>
      <c r="XDJ1725"/>
      <c r="XDK1725"/>
      <c r="XDL1725"/>
      <c r="XDM1725"/>
      <c r="XDN1725"/>
      <c r="XDO1725"/>
      <c r="XDP1725"/>
      <c r="XDQ1725"/>
      <c r="XDR1725"/>
      <c r="XDS1725"/>
      <c r="XDT1725"/>
      <c r="XDU1725"/>
      <c r="XDV1725"/>
      <c r="XDW1725"/>
      <c r="XDX1725"/>
      <c r="XDY1725"/>
      <c r="XDZ1725"/>
      <c r="XEA1725"/>
      <c r="XEB1725"/>
      <c r="XEC1725"/>
      <c r="XED1725"/>
      <c r="XEE1725"/>
      <c r="XEF1725"/>
      <c r="XEG1725"/>
      <c r="XEH1725"/>
      <c r="XEI1725"/>
      <c r="XEJ1725"/>
      <c r="XEK1725"/>
      <c r="XEL1725"/>
      <c r="XEM1725"/>
      <c r="XEN1725"/>
      <c r="XEO1725"/>
      <c r="XEP1725"/>
      <c r="XEQ1725"/>
      <c r="XER1725"/>
      <c r="XES1725"/>
      <c r="XET1725"/>
      <c r="XEU1725"/>
      <c r="XEV1725"/>
      <c r="XEW1725"/>
      <c r="XEX1725"/>
      <c r="XEY1725"/>
      <c r="XEZ1725"/>
      <c r="XFA1725"/>
      <c r="XFB1725"/>
      <c r="XFC1725"/>
    </row>
    <row r="1726" spans="1:20 16329:16383" s="38" customFormat="1" ht="29.1" customHeight="1" outlineLevel="6" x14ac:dyDescent="0.25">
      <c r="A1726" s="49" t="s">
        <v>2929</v>
      </c>
      <c r="B1726" s="50"/>
      <c r="C1726" s="50"/>
      <c r="D1726" s="3" t="s">
        <v>2100</v>
      </c>
      <c r="E1726" s="3"/>
      <c r="F1726" s="51"/>
      <c r="G1726" s="50" t="s">
        <v>102</v>
      </c>
      <c r="H1726" s="52">
        <f>1</f>
        <v>1</v>
      </c>
      <c r="I1726" s="36"/>
      <c r="J1726" s="52">
        <v>1</v>
      </c>
      <c r="K1726" s="53">
        <f>0</f>
        <v>0</v>
      </c>
      <c r="L1726" s="53">
        <f>0</f>
        <v>0</v>
      </c>
      <c r="M1726" s="53">
        <f>0</f>
        <v>0</v>
      </c>
      <c r="N1726" s="54">
        <f>SUM(K1726:M1726)</f>
        <v>0</v>
      </c>
      <c r="O1726" s="54">
        <f>ROUND((H1726*K1726),2)</f>
        <v>0</v>
      </c>
      <c r="P1726" s="54">
        <f>ROUND((H1726*L1726),2)</f>
        <v>0</v>
      </c>
      <c r="Q1726" s="54">
        <f>ROUND((H1726*M1726),2)</f>
        <v>0</v>
      </c>
      <c r="R1726" s="54">
        <f>ROUND((H1726*N1726),2)</f>
        <v>0</v>
      </c>
      <c r="S1726" s="54"/>
      <c r="T1726" s="36"/>
      <c r="XDA1726"/>
      <c r="XDB1726"/>
      <c r="XDC1726"/>
      <c r="XDD1726"/>
      <c r="XDE1726"/>
      <c r="XDF1726"/>
      <c r="XDG1726"/>
      <c r="XDH1726"/>
      <c r="XDI1726"/>
      <c r="XDJ1726"/>
      <c r="XDK1726"/>
      <c r="XDL1726"/>
      <c r="XDM1726"/>
      <c r="XDN1726"/>
      <c r="XDO1726"/>
      <c r="XDP1726"/>
      <c r="XDQ1726"/>
      <c r="XDR1726"/>
      <c r="XDS1726"/>
      <c r="XDT1726"/>
      <c r="XDU1726"/>
      <c r="XDV1726"/>
      <c r="XDW1726"/>
      <c r="XDX1726"/>
      <c r="XDY1726"/>
      <c r="XDZ1726"/>
      <c r="XEA1726"/>
      <c r="XEB1726"/>
      <c r="XEC1726"/>
      <c r="XED1726"/>
      <c r="XEE1726"/>
      <c r="XEF1726"/>
      <c r="XEG1726"/>
      <c r="XEH1726"/>
      <c r="XEI1726"/>
      <c r="XEJ1726"/>
      <c r="XEK1726"/>
      <c r="XEL1726"/>
      <c r="XEM1726"/>
      <c r="XEN1726"/>
      <c r="XEO1726"/>
      <c r="XEP1726"/>
      <c r="XEQ1726"/>
      <c r="XER1726"/>
      <c r="XES1726"/>
      <c r="XET1726"/>
      <c r="XEU1726"/>
      <c r="XEV1726"/>
      <c r="XEW1726"/>
      <c r="XEX1726"/>
      <c r="XEY1726"/>
      <c r="XEZ1726"/>
      <c r="XFA1726"/>
      <c r="XFB1726"/>
      <c r="XFC1726"/>
    </row>
    <row r="1727" spans="1:20 16329:16383" s="38" customFormat="1" ht="29.1" customHeight="1" outlineLevel="6" x14ac:dyDescent="0.25">
      <c r="A1727" s="49" t="s">
        <v>2930</v>
      </c>
      <c r="B1727" s="50"/>
      <c r="C1727" s="50"/>
      <c r="D1727" s="3" t="s">
        <v>1890</v>
      </c>
      <c r="E1727" s="3"/>
      <c r="F1727" s="51"/>
      <c r="G1727" s="50" t="s">
        <v>102</v>
      </c>
      <c r="H1727" s="52">
        <f>1</f>
        <v>1</v>
      </c>
      <c r="I1727" s="36"/>
      <c r="J1727" s="52">
        <v>1</v>
      </c>
      <c r="K1727" s="53">
        <f>0</f>
        <v>0</v>
      </c>
      <c r="L1727" s="53">
        <f>0</f>
        <v>0</v>
      </c>
      <c r="M1727" s="53">
        <f>0</f>
        <v>0</v>
      </c>
      <c r="N1727" s="54">
        <f>SUM(K1727:M1727)</f>
        <v>0</v>
      </c>
      <c r="O1727" s="54">
        <f>ROUND((H1727*K1727),2)</f>
        <v>0</v>
      </c>
      <c r="P1727" s="54">
        <f>ROUND((H1727*L1727),2)</f>
        <v>0</v>
      </c>
      <c r="Q1727" s="54">
        <f>ROUND((H1727*M1727),2)</f>
        <v>0</v>
      </c>
      <c r="R1727" s="54">
        <f>ROUND((H1727*N1727),2)</f>
        <v>0</v>
      </c>
      <c r="S1727" s="54"/>
      <c r="T1727" s="36"/>
      <c r="XDA1727"/>
      <c r="XDB1727"/>
      <c r="XDC1727"/>
      <c r="XDD1727"/>
      <c r="XDE1727"/>
      <c r="XDF1727"/>
      <c r="XDG1727"/>
      <c r="XDH1727"/>
      <c r="XDI1727"/>
      <c r="XDJ1727"/>
      <c r="XDK1727"/>
      <c r="XDL1727"/>
      <c r="XDM1727"/>
      <c r="XDN1727"/>
      <c r="XDO1727"/>
      <c r="XDP1727"/>
      <c r="XDQ1727"/>
      <c r="XDR1727"/>
      <c r="XDS1727"/>
      <c r="XDT1727"/>
      <c r="XDU1727"/>
      <c r="XDV1727"/>
      <c r="XDW1727"/>
      <c r="XDX1727"/>
      <c r="XDY1727"/>
      <c r="XDZ1727"/>
      <c r="XEA1727"/>
      <c r="XEB1727"/>
      <c r="XEC1727"/>
      <c r="XED1727"/>
      <c r="XEE1727"/>
      <c r="XEF1727"/>
      <c r="XEG1727"/>
      <c r="XEH1727"/>
      <c r="XEI1727"/>
      <c r="XEJ1727"/>
      <c r="XEK1727"/>
      <c r="XEL1727"/>
      <c r="XEM1727"/>
      <c r="XEN1727"/>
      <c r="XEO1727"/>
      <c r="XEP1727"/>
      <c r="XEQ1727"/>
      <c r="XER1727"/>
      <c r="XES1727"/>
      <c r="XET1727"/>
      <c r="XEU1727"/>
      <c r="XEV1727"/>
      <c r="XEW1727"/>
      <c r="XEX1727"/>
      <c r="XEY1727"/>
      <c r="XEZ1727"/>
      <c r="XFA1727"/>
      <c r="XFB1727"/>
      <c r="XFC1727"/>
    </row>
    <row r="1728" spans="1:20 16329:16383" s="38" customFormat="1" ht="29.1" customHeight="1" outlineLevel="6" x14ac:dyDescent="0.25">
      <c r="A1728" s="49" t="s">
        <v>2931</v>
      </c>
      <c r="B1728" s="50"/>
      <c r="C1728" s="50"/>
      <c r="D1728" s="3" t="s">
        <v>2103</v>
      </c>
      <c r="E1728" s="3"/>
      <c r="F1728" s="51"/>
      <c r="G1728" s="50" t="s">
        <v>102</v>
      </c>
      <c r="H1728" s="52">
        <f>1</f>
        <v>1</v>
      </c>
      <c r="I1728" s="36"/>
      <c r="J1728" s="52">
        <v>1</v>
      </c>
      <c r="K1728" s="53">
        <f>0</f>
        <v>0</v>
      </c>
      <c r="L1728" s="53">
        <f>0</f>
        <v>0</v>
      </c>
      <c r="M1728" s="53">
        <f>0</f>
        <v>0</v>
      </c>
      <c r="N1728" s="54">
        <f>SUM(K1728:M1728)</f>
        <v>0</v>
      </c>
      <c r="O1728" s="54">
        <f>ROUND((H1728*K1728),2)</f>
        <v>0</v>
      </c>
      <c r="P1728" s="54">
        <f>ROUND((H1728*L1728),2)</f>
        <v>0</v>
      </c>
      <c r="Q1728" s="54">
        <f>ROUND((H1728*M1728),2)</f>
        <v>0</v>
      </c>
      <c r="R1728" s="54">
        <f>ROUND((H1728*N1728),2)</f>
        <v>0</v>
      </c>
      <c r="S1728" s="54"/>
      <c r="T1728" s="36"/>
      <c r="XDA1728"/>
      <c r="XDB1728"/>
      <c r="XDC1728"/>
      <c r="XDD1728"/>
      <c r="XDE1728"/>
      <c r="XDF1728"/>
      <c r="XDG1728"/>
      <c r="XDH1728"/>
      <c r="XDI1728"/>
      <c r="XDJ1728"/>
      <c r="XDK1728"/>
      <c r="XDL1728"/>
      <c r="XDM1728"/>
      <c r="XDN1728"/>
      <c r="XDO1728"/>
      <c r="XDP1728"/>
      <c r="XDQ1728"/>
      <c r="XDR1728"/>
      <c r="XDS1728"/>
      <c r="XDT1728"/>
      <c r="XDU1728"/>
      <c r="XDV1728"/>
      <c r="XDW1728"/>
      <c r="XDX1728"/>
      <c r="XDY1728"/>
      <c r="XDZ1728"/>
      <c r="XEA1728"/>
      <c r="XEB1728"/>
      <c r="XEC1728"/>
      <c r="XED1728"/>
      <c r="XEE1728"/>
      <c r="XEF1728"/>
      <c r="XEG1728"/>
      <c r="XEH1728"/>
      <c r="XEI1728"/>
      <c r="XEJ1728"/>
      <c r="XEK1728"/>
      <c r="XEL1728"/>
      <c r="XEM1728"/>
      <c r="XEN1728"/>
      <c r="XEO1728"/>
      <c r="XEP1728"/>
      <c r="XEQ1728"/>
      <c r="XER1728"/>
      <c r="XES1728"/>
      <c r="XET1728"/>
      <c r="XEU1728"/>
      <c r="XEV1728"/>
      <c r="XEW1728"/>
      <c r="XEX1728"/>
      <c r="XEY1728"/>
      <c r="XEZ1728"/>
      <c r="XFA1728"/>
      <c r="XFB1728"/>
      <c r="XFC1728"/>
    </row>
    <row r="1729" spans="1:20 16329:16383" s="38" customFormat="1" ht="29.1" customHeight="1" outlineLevel="5" x14ac:dyDescent="0.25">
      <c r="A1729" s="65" t="s">
        <v>2932</v>
      </c>
      <c r="B1729" s="66" t="s">
        <v>2933</v>
      </c>
      <c r="C1729" s="66"/>
      <c r="D1729" s="98" t="s">
        <v>1899</v>
      </c>
      <c r="E1729" s="98"/>
      <c r="F1729" s="67"/>
      <c r="G1729" s="66"/>
      <c r="H1729" s="68"/>
      <c r="I1729" s="36"/>
      <c r="J1729" s="68"/>
      <c r="K1729" s="69"/>
      <c r="L1729" s="69"/>
      <c r="M1729" s="69"/>
      <c r="N1729" s="69"/>
      <c r="O1729" s="69">
        <f>O1730</f>
        <v>0</v>
      </c>
      <c r="P1729" s="69">
        <f>P1730</f>
        <v>0</v>
      </c>
      <c r="Q1729" s="69">
        <f>Q1730</f>
        <v>0</v>
      </c>
      <c r="R1729" s="69">
        <f>R1730</f>
        <v>0</v>
      </c>
      <c r="S1729" s="69"/>
      <c r="T1729" s="36"/>
      <c r="XDA1729"/>
      <c r="XDB1729"/>
      <c r="XDC1729"/>
      <c r="XDD1729"/>
      <c r="XDE1729"/>
      <c r="XDF1729"/>
      <c r="XDG1729"/>
      <c r="XDH1729"/>
      <c r="XDI1729"/>
      <c r="XDJ1729"/>
      <c r="XDK1729"/>
      <c r="XDL1729"/>
      <c r="XDM1729"/>
      <c r="XDN1729"/>
      <c r="XDO1729"/>
      <c r="XDP1729"/>
      <c r="XDQ1729"/>
      <c r="XDR1729"/>
      <c r="XDS1729"/>
      <c r="XDT1729"/>
      <c r="XDU1729"/>
      <c r="XDV1729"/>
      <c r="XDW1729"/>
      <c r="XDX1729"/>
      <c r="XDY1729"/>
      <c r="XDZ1729"/>
      <c r="XEA1729"/>
      <c r="XEB1729"/>
      <c r="XEC1729"/>
      <c r="XED1729"/>
      <c r="XEE1729"/>
      <c r="XEF1729"/>
      <c r="XEG1729"/>
      <c r="XEH1729"/>
      <c r="XEI1729"/>
      <c r="XEJ1729"/>
      <c r="XEK1729"/>
      <c r="XEL1729"/>
      <c r="XEM1729"/>
      <c r="XEN1729"/>
      <c r="XEO1729"/>
      <c r="XEP1729"/>
      <c r="XEQ1729"/>
      <c r="XER1729"/>
      <c r="XES1729"/>
      <c r="XET1729"/>
      <c r="XEU1729"/>
      <c r="XEV1729"/>
      <c r="XEW1729"/>
      <c r="XEX1729"/>
      <c r="XEY1729"/>
      <c r="XEZ1729"/>
      <c r="XFA1729"/>
      <c r="XFB1729"/>
      <c r="XFC1729"/>
    </row>
    <row r="1730" spans="1:20 16329:16383" s="38" customFormat="1" ht="29.1" customHeight="1" outlineLevel="6" x14ac:dyDescent="0.25">
      <c r="A1730" s="49" t="s">
        <v>2934</v>
      </c>
      <c r="B1730" s="50"/>
      <c r="C1730" s="50"/>
      <c r="D1730" s="3" t="s">
        <v>2103</v>
      </c>
      <c r="E1730" s="3"/>
      <c r="F1730" s="51"/>
      <c r="G1730" s="50" t="s">
        <v>102</v>
      </c>
      <c r="H1730" s="52">
        <f>1</f>
        <v>1</v>
      </c>
      <c r="I1730" s="36"/>
      <c r="J1730" s="52">
        <v>1</v>
      </c>
      <c r="K1730" s="53">
        <f>0</f>
        <v>0</v>
      </c>
      <c r="L1730" s="53">
        <f>0</f>
        <v>0</v>
      </c>
      <c r="M1730" s="53">
        <f>0</f>
        <v>0</v>
      </c>
      <c r="N1730" s="54">
        <f>SUM(K1730:M1730)</f>
        <v>0</v>
      </c>
      <c r="O1730" s="54">
        <f>ROUND((H1730*K1730),2)</f>
        <v>0</v>
      </c>
      <c r="P1730" s="54">
        <f>ROUND((H1730*L1730),2)</f>
        <v>0</v>
      </c>
      <c r="Q1730" s="54">
        <f>ROUND((H1730*M1730),2)</f>
        <v>0</v>
      </c>
      <c r="R1730" s="54">
        <f>ROUND((H1730*N1730),2)</f>
        <v>0</v>
      </c>
      <c r="S1730" s="54"/>
      <c r="T1730" s="36"/>
      <c r="XDA1730"/>
      <c r="XDB1730"/>
      <c r="XDC1730"/>
      <c r="XDD1730"/>
      <c r="XDE1730"/>
      <c r="XDF1730"/>
      <c r="XDG1730"/>
      <c r="XDH1730"/>
      <c r="XDI1730"/>
      <c r="XDJ1730"/>
      <c r="XDK1730"/>
      <c r="XDL1730"/>
      <c r="XDM1730"/>
      <c r="XDN1730"/>
      <c r="XDO1730"/>
      <c r="XDP1730"/>
      <c r="XDQ1730"/>
      <c r="XDR1730"/>
      <c r="XDS1730"/>
      <c r="XDT1730"/>
      <c r="XDU1730"/>
      <c r="XDV1730"/>
      <c r="XDW1730"/>
      <c r="XDX1730"/>
      <c r="XDY1730"/>
      <c r="XDZ1730"/>
      <c r="XEA1730"/>
      <c r="XEB1730"/>
      <c r="XEC1730"/>
      <c r="XED1730"/>
      <c r="XEE1730"/>
      <c r="XEF1730"/>
      <c r="XEG1730"/>
      <c r="XEH1730"/>
      <c r="XEI1730"/>
      <c r="XEJ1730"/>
      <c r="XEK1730"/>
      <c r="XEL1730"/>
      <c r="XEM1730"/>
      <c r="XEN1730"/>
      <c r="XEO1730"/>
      <c r="XEP1730"/>
      <c r="XEQ1730"/>
      <c r="XER1730"/>
      <c r="XES1730"/>
      <c r="XET1730"/>
      <c r="XEU1730"/>
      <c r="XEV1730"/>
      <c r="XEW1730"/>
      <c r="XEX1730"/>
      <c r="XEY1730"/>
      <c r="XEZ1730"/>
      <c r="XFA1730"/>
      <c r="XFB1730"/>
      <c r="XFC1730"/>
    </row>
    <row r="1731" spans="1:20 16329:16383" s="38" customFormat="1" ht="29.1" customHeight="1" outlineLevel="4" x14ac:dyDescent="0.25">
      <c r="A1731" s="60" t="s">
        <v>2935</v>
      </c>
      <c r="B1731" s="61" t="s">
        <v>2936</v>
      </c>
      <c r="C1731" s="61" t="s">
        <v>2329</v>
      </c>
      <c r="D1731" s="1" t="s">
        <v>2937</v>
      </c>
      <c r="E1731" s="1"/>
      <c r="F1731" s="62"/>
      <c r="G1731" s="61" t="s">
        <v>102</v>
      </c>
      <c r="H1731" s="63"/>
      <c r="I1731" s="36"/>
      <c r="J1731" s="63"/>
      <c r="K1731" s="64"/>
      <c r="L1731" s="64"/>
      <c r="M1731" s="64"/>
      <c r="N1731" s="64"/>
      <c r="O1731" s="64">
        <f>O1732+O1737+O1741</f>
        <v>0</v>
      </c>
      <c r="P1731" s="64">
        <f>P1732+P1737+P1741</f>
        <v>0</v>
      </c>
      <c r="Q1731" s="64">
        <f>Q1732+Q1737+Q1741</f>
        <v>0</v>
      </c>
      <c r="R1731" s="64">
        <f>R1732+R1737+R1741</f>
        <v>0</v>
      </c>
      <c r="S1731" s="64"/>
      <c r="T1731" s="36"/>
      <c r="XDA1731"/>
      <c r="XDB1731"/>
      <c r="XDC1731"/>
      <c r="XDD1731"/>
      <c r="XDE1731"/>
      <c r="XDF1731"/>
      <c r="XDG1731"/>
      <c r="XDH1731"/>
      <c r="XDI1731"/>
      <c r="XDJ1731"/>
      <c r="XDK1731"/>
      <c r="XDL1731"/>
      <c r="XDM1731"/>
      <c r="XDN1731"/>
      <c r="XDO1731"/>
      <c r="XDP1731"/>
      <c r="XDQ1731"/>
      <c r="XDR1731"/>
      <c r="XDS1731"/>
      <c r="XDT1731"/>
      <c r="XDU1731"/>
      <c r="XDV1731"/>
      <c r="XDW1731"/>
      <c r="XDX1731"/>
      <c r="XDY1731"/>
      <c r="XDZ1731"/>
      <c r="XEA1731"/>
      <c r="XEB1731"/>
      <c r="XEC1731"/>
      <c r="XED1731"/>
      <c r="XEE1731"/>
      <c r="XEF1731"/>
      <c r="XEG1731"/>
      <c r="XEH1731"/>
      <c r="XEI1731"/>
      <c r="XEJ1731"/>
      <c r="XEK1731"/>
      <c r="XEL1731"/>
      <c r="XEM1731"/>
      <c r="XEN1731"/>
      <c r="XEO1731"/>
      <c r="XEP1731"/>
      <c r="XEQ1731"/>
      <c r="XER1731"/>
      <c r="XES1731"/>
      <c r="XET1731"/>
      <c r="XEU1731"/>
      <c r="XEV1731"/>
      <c r="XEW1731"/>
      <c r="XEX1731"/>
      <c r="XEY1731"/>
      <c r="XEZ1731"/>
      <c r="XFA1731"/>
      <c r="XFB1731"/>
      <c r="XFC1731"/>
    </row>
    <row r="1732" spans="1:20 16329:16383" s="38" customFormat="1" ht="29.1" customHeight="1" outlineLevel="5" x14ac:dyDescent="0.25">
      <c r="A1732" s="65" t="s">
        <v>2938</v>
      </c>
      <c r="B1732" s="66" t="s">
        <v>2939</v>
      </c>
      <c r="C1732" s="66"/>
      <c r="D1732" s="98" t="s">
        <v>1873</v>
      </c>
      <c r="E1732" s="98"/>
      <c r="F1732" s="67"/>
      <c r="G1732" s="66"/>
      <c r="H1732" s="68"/>
      <c r="I1732" s="36"/>
      <c r="J1732" s="68"/>
      <c r="K1732" s="69"/>
      <c r="L1732" s="69"/>
      <c r="M1732" s="69"/>
      <c r="N1732" s="69"/>
      <c r="O1732" s="69">
        <f>SUM(O1733:O1736)</f>
        <v>0</v>
      </c>
      <c r="P1732" s="69">
        <f>SUM(P1733:P1736)</f>
        <v>0</v>
      </c>
      <c r="Q1732" s="69">
        <f>SUM(Q1733:Q1736)</f>
        <v>0</v>
      </c>
      <c r="R1732" s="69">
        <f>SUM(R1733:R1736)</f>
        <v>0</v>
      </c>
      <c r="S1732" s="69"/>
      <c r="T1732" s="36"/>
      <c r="XDA1732"/>
      <c r="XDB1732"/>
      <c r="XDC1732"/>
      <c r="XDD1732"/>
      <c r="XDE1732"/>
      <c r="XDF1732"/>
      <c r="XDG1732"/>
      <c r="XDH1732"/>
      <c r="XDI1732"/>
      <c r="XDJ1732"/>
      <c r="XDK1732"/>
      <c r="XDL1732"/>
      <c r="XDM1732"/>
      <c r="XDN1732"/>
      <c r="XDO1732"/>
      <c r="XDP1732"/>
      <c r="XDQ1732"/>
      <c r="XDR1732"/>
      <c r="XDS1732"/>
      <c r="XDT1732"/>
      <c r="XDU1732"/>
      <c r="XDV1732"/>
      <c r="XDW1732"/>
      <c r="XDX1732"/>
      <c r="XDY1732"/>
      <c r="XDZ1732"/>
      <c r="XEA1732"/>
      <c r="XEB1732"/>
      <c r="XEC1732"/>
      <c r="XED1732"/>
      <c r="XEE1732"/>
      <c r="XEF1732"/>
      <c r="XEG1732"/>
      <c r="XEH1732"/>
      <c r="XEI1732"/>
      <c r="XEJ1732"/>
      <c r="XEK1732"/>
      <c r="XEL1732"/>
      <c r="XEM1732"/>
      <c r="XEN1732"/>
      <c r="XEO1732"/>
      <c r="XEP1732"/>
      <c r="XEQ1732"/>
      <c r="XER1732"/>
      <c r="XES1732"/>
      <c r="XET1732"/>
      <c r="XEU1732"/>
      <c r="XEV1732"/>
      <c r="XEW1732"/>
      <c r="XEX1732"/>
      <c r="XEY1732"/>
      <c r="XEZ1732"/>
      <c r="XFA1732"/>
      <c r="XFB1732"/>
      <c r="XFC1732"/>
    </row>
    <row r="1733" spans="1:20 16329:16383" s="38" customFormat="1" ht="29.1" customHeight="1" outlineLevel="6" x14ac:dyDescent="0.25">
      <c r="A1733" s="49" t="s">
        <v>2940</v>
      </c>
      <c r="B1733" s="50"/>
      <c r="C1733" s="50"/>
      <c r="D1733" s="3" t="s">
        <v>1968</v>
      </c>
      <c r="E1733" s="3"/>
      <c r="F1733" s="51"/>
      <c r="G1733" s="50" t="s">
        <v>102</v>
      </c>
      <c r="H1733" s="52">
        <f>1</f>
        <v>1</v>
      </c>
      <c r="I1733" s="36"/>
      <c r="J1733" s="52">
        <v>1</v>
      </c>
      <c r="K1733" s="53">
        <f>0</f>
        <v>0</v>
      </c>
      <c r="L1733" s="53">
        <f>0</f>
        <v>0</v>
      </c>
      <c r="M1733" s="53">
        <f>0</f>
        <v>0</v>
      </c>
      <c r="N1733" s="54">
        <f>SUM(K1733:M1733)</f>
        <v>0</v>
      </c>
      <c r="O1733" s="54">
        <f>ROUND((H1733*K1733),2)</f>
        <v>0</v>
      </c>
      <c r="P1733" s="54">
        <f>ROUND((H1733*L1733),2)</f>
        <v>0</v>
      </c>
      <c r="Q1733" s="54">
        <f>ROUND((H1733*M1733),2)</f>
        <v>0</v>
      </c>
      <c r="R1733" s="54">
        <f>ROUND((H1733*N1733),2)</f>
        <v>0</v>
      </c>
      <c r="S1733" s="54"/>
      <c r="T1733" s="36"/>
      <c r="XDA1733"/>
      <c r="XDB1733"/>
      <c r="XDC1733"/>
      <c r="XDD1733"/>
      <c r="XDE1733"/>
      <c r="XDF1733"/>
      <c r="XDG1733"/>
      <c r="XDH1733"/>
      <c r="XDI1733"/>
      <c r="XDJ1733"/>
      <c r="XDK1733"/>
      <c r="XDL1733"/>
      <c r="XDM1733"/>
      <c r="XDN1733"/>
      <c r="XDO1733"/>
      <c r="XDP1733"/>
      <c r="XDQ1733"/>
      <c r="XDR1733"/>
      <c r="XDS1733"/>
      <c r="XDT1733"/>
      <c r="XDU1733"/>
      <c r="XDV1733"/>
      <c r="XDW1733"/>
      <c r="XDX1733"/>
      <c r="XDY1733"/>
      <c r="XDZ1733"/>
      <c r="XEA1733"/>
      <c r="XEB1733"/>
      <c r="XEC1733"/>
      <c r="XED1733"/>
      <c r="XEE1733"/>
      <c r="XEF1733"/>
      <c r="XEG1733"/>
      <c r="XEH1733"/>
      <c r="XEI1733"/>
      <c r="XEJ1733"/>
      <c r="XEK1733"/>
      <c r="XEL1733"/>
      <c r="XEM1733"/>
      <c r="XEN1733"/>
      <c r="XEO1733"/>
      <c r="XEP1733"/>
      <c r="XEQ1733"/>
      <c r="XER1733"/>
      <c r="XES1733"/>
      <c r="XET1733"/>
      <c r="XEU1733"/>
      <c r="XEV1733"/>
      <c r="XEW1733"/>
      <c r="XEX1733"/>
      <c r="XEY1733"/>
      <c r="XEZ1733"/>
      <c r="XFA1733"/>
      <c r="XFB1733"/>
      <c r="XFC1733"/>
    </row>
    <row r="1734" spans="1:20 16329:16383" s="38" customFormat="1" ht="29.1" customHeight="1" outlineLevel="6" x14ac:dyDescent="0.25">
      <c r="A1734" s="49" t="s">
        <v>2941</v>
      </c>
      <c r="B1734" s="50"/>
      <c r="C1734" s="50"/>
      <c r="D1734" s="3" t="s">
        <v>2942</v>
      </c>
      <c r="E1734" s="3"/>
      <c r="F1734" s="51"/>
      <c r="G1734" s="50" t="s">
        <v>102</v>
      </c>
      <c r="H1734" s="52">
        <f>1</f>
        <v>1</v>
      </c>
      <c r="I1734" s="36"/>
      <c r="J1734" s="52">
        <v>1</v>
      </c>
      <c r="K1734" s="53">
        <f>0</f>
        <v>0</v>
      </c>
      <c r="L1734" s="53">
        <f>0</f>
        <v>0</v>
      </c>
      <c r="M1734" s="53">
        <f>0</f>
        <v>0</v>
      </c>
      <c r="N1734" s="54">
        <f>SUM(K1734:M1734)</f>
        <v>0</v>
      </c>
      <c r="O1734" s="54">
        <f>ROUND((H1734*K1734),2)</f>
        <v>0</v>
      </c>
      <c r="P1734" s="54">
        <f>ROUND((H1734*L1734),2)</f>
        <v>0</v>
      </c>
      <c r="Q1734" s="54">
        <f>ROUND((H1734*M1734),2)</f>
        <v>0</v>
      </c>
      <c r="R1734" s="54">
        <f>ROUND((H1734*N1734),2)</f>
        <v>0</v>
      </c>
      <c r="S1734" s="54"/>
      <c r="T1734" s="36"/>
      <c r="XDA1734"/>
      <c r="XDB1734"/>
      <c r="XDC1734"/>
      <c r="XDD1734"/>
      <c r="XDE1734"/>
      <c r="XDF1734"/>
      <c r="XDG1734"/>
      <c r="XDH1734"/>
      <c r="XDI1734"/>
      <c r="XDJ1734"/>
      <c r="XDK1734"/>
      <c r="XDL1734"/>
      <c r="XDM1734"/>
      <c r="XDN1734"/>
      <c r="XDO1734"/>
      <c r="XDP1734"/>
      <c r="XDQ1734"/>
      <c r="XDR1734"/>
      <c r="XDS1734"/>
      <c r="XDT1734"/>
      <c r="XDU1734"/>
      <c r="XDV1734"/>
      <c r="XDW1734"/>
      <c r="XDX1734"/>
      <c r="XDY1734"/>
      <c r="XDZ1734"/>
      <c r="XEA1734"/>
      <c r="XEB1734"/>
      <c r="XEC1734"/>
      <c r="XED1734"/>
      <c r="XEE1734"/>
      <c r="XEF1734"/>
      <c r="XEG1734"/>
      <c r="XEH1734"/>
      <c r="XEI1734"/>
      <c r="XEJ1734"/>
      <c r="XEK1734"/>
      <c r="XEL1734"/>
      <c r="XEM1734"/>
      <c r="XEN1734"/>
      <c r="XEO1734"/>
      <c r="XEP1734"/>
      <c r="XEQ1734"/>
      <c r="XER1734"/>
      <c r="XES1734"/>
      <c r="XET1734"/>
      <c r="XEU1734"/>
      <c r="XEV1734"/>
      <c r="XEW1734"/>
      <c r="XEX1734"/>
      <c r="XEY1734"/>
      <c r="XEZ1734"/>
      <c r="XFA1734"/>
      <c r="XFB1734"/>
      <c r="XFC1734"/>
    </row>
    <row r="1735" spans="1:20 16329:16383" s="38" customFormat="1" ht="29.1" customHeight="1" outlineLevel="6" x14ac:dyDescent="0.25">
      <c r="A1735" s="49" t="s">
        <v>2943</v>
      </c>
      <c r="B1735" s="50"/>
      <c r="C1735" s="50"/>
      <c r="D1735" s="3" t="s">
        <v>1972</v>
      </c>
      <c r="E1735" s="3"/>
      <c r="F1735" s="51"/>
      <c r="G1735" s="50" t="s">
        <v>102</v>
      </c>
      <c r="H1735" s="52">
        <f>1</f>
        <v>1</v>
      </c>
      <c r="I1735" s="36"/>
      <c r="J1735" s="52">
        <v>1</v>
      </c>
      <c r="K1735" s="53">
        <f>0</f>
        <v>0</v>
      </c>
      <c r="L1735" s="53">
        <f>0</f>
        <v>0</v>
      </c>
      <c r="M1735" s="53">
        <f>0</f>
        <v>0</v>
      </c>
      <c r="N1735" s="54">
        <f>SUM(K1735:M1735)</f>
        <v>0</v>
      </c>
      <c r="O1735" s="54">
        <f>ROUND((H1735*K1735),2)</f>
        <v>0</v>
      </c>
      <c r="P1735" s="54">
        <f>ROUND((H1735*L1735),2)</f>
        <v>0</v>
      </c>
      <c r="Q1735" s="54">
        <f>ROUND((H1735*M1735),2)</f>
        <v>0</v>
      </c>
      <c r="R1735" s="54">
        <f>ROUND((H1735*N1735),2)</f>
        <v>0</v>
      </c>
      <c r="S1735" s="54"/>
      <c r="T1735" s="36"/>
      <c r="XDA1735"/>
      <c r="XDB1735"/>
      <c r="XDC1735"/>
      <c r="XDD1735"/>
      <c r="XDE1735"/>
      <c r="XDF1735"/>
      <c r="XDG1735"/>
      <c r="XDH1735"/>
      <c r="XDI1735"/>
      <c r="XDJ1735"/>
      <c r="XDK1735"/>
      <c r="XDL1735"/>
      <c r="XDM1735"/>
      <c r="XDN1735"/>
      <c r="XDO1735"/>
      <c r="XDP1735"/>
      <c r="XDQ1735"/>
      <c r="XDR1735"/>
      <c r="XDS1735"/>
      <c r="XDT1735"/>
      <c r="XDU1735"/>
      <c r="XDV1735"/>
      <c r="XDW1735"/>
      <c r="XDX1735"/>
      <c r="XDY1735"/>
      <c r="XDZ1735"/>
      <c r="XEA1735"/>
      <c r="XEB1735"/>
      <c r="XEC1735"/>
      <c r="XED1735"/>
      <c r="XEE1735"/>
      <c r="XEF1735"/>
      <c r="XEG1735"/>
      <c r="XEH1735"/>
      <c r="XEI1735"/>
      <c r="XEJ1735"/>
      <c r="XEK1735"/>
      <c r="XEL1735"/>
      <c r="XEM1735"/>
      <c r="XEN1735"/>
      <c r="XEO1735"/>
      <c r="XEP1735"/>
      <c r="XEQ1735"/>
      <c r="XER1735"/>
      <c r="XES1735"/>
      <c r="XET1735"/>
      <c r="XEU1735"/>
      <c r="XEV1735"/>
      <c r="XEW1735"/>
      <c r="XEX1735"/>
      <c r="XEY1735"/>
      <c r="XEZ1735"/>
      <c r="XFA1735"/>
      <c r="XFB1735"/>
      <c r="XFC1735"/>
    </row>
    <row r="1736" spans="1:20 16329:16383" s="38" customFormat="1" ht="29.1" customHeight="1" outlineLevel="6" x14ac:dyDescent="0.25">
      <c r="A1736" s="49" t="s">
        <v>2944</v>
      </c>
      <c r="B1736" s="50"/>
      <c r="C1736" s="50"/>
      <c r="D1736" s="3" t="s">
        <v>1937</v>
      </c>
      <c r="E1736" s="3"/>
      <c r="F1736" s="51"/>
      <c r="G1736" s="50" t="s">
        <v>194</v>
      </c>
      <c r="H1736" s="52">
        <f>1</f>
        <v>1</v>
      </c>
      <c r="I1736" s="36"/>
      <c r="J1736" s="52">
        <v>1</v>
      </c>
      <c r="K1736" s="53">
        <f>0</f>
        <v>0</v>
      </c>
      <c r="L1736" s="53">
        <f>0</f>
        <v>0</v>
      </c>
      <c r="M1736" s="53">
        <f>0</f>
        <v>0</v>
      </c>
      <c r="N1736" s="54">
        <f>SUM(K1736:M1736)</f>
        <v>0</v>
      </c>
      <c r="O1736" s="54">
        <f>ROUND((H1736*K1736),2)</f>
        <v>0</v>
      </c>
      <c r="P1736" s="54">
        <f>ROUND((H1736*L1736),2)</f>
        <v>0</v>
      </c>
      <c r="Q1736" s="54">
        <f>ROUND((H1736*M1736),2)</f>
        <v>0</v>
      </c>
      <c r="R1736" s="54">
        <f>ROUND((H1736*N1736),2)</f>
        <v>0</v>
      </c>
      <c r="S1736" s="54"/>
      <c r="T1736" s="36"/>
      <c r="XDA1736"/>
      <c r="XDB1736"/>
      <c r="XDC1736"/>
      <c r="XDD1736"/>
      <c r="XDE1736"/>
      <c r="XDF1736"/>
      <c r="XDG1736"/>
      <c r="XDH1736"/>
      <c r="XDI1736"/>
      <c r="XDJ1736"/>
      <c r="XDK1736"/>
      <c r="XDL1736"/>
      <c r="XDM1736"/>
      <c r="XDN1736"/>
      <c r="XDO1736"/>
      <c r="XDP1736"/>
      <c r="XDQ1736"/>
      <c r="XDR1736"/>
      <c r="XDS1736"/>
      <c r="XDT1736"/>
      <c r="XDU1736"/>
      <c r="XDV1736"/>
      <c r="XDW1736"/>
      <c r="XDX1736"/>
      <c r="XDY1736"/>
      <c r="XDZ1736"/>
      <c r="XEA1736"/>
      <c r="XEB1736"/>
      <c r="XEC1736"/>
      <c r="XED1736"/>
      <c r="XEE1736"/>
      <c r="XEF1736"/>
      <c r="XEG1736"/>
      <c r="XEH1736"/>
      <c r="XEI1736"/>
      <c r="XEJ1736"/>
      <c r="XEK1736"/>
      <c r="XEL1736"/>
      <c r="XEM1736"/>
      <c r="XEN1736"/>
      <c r="XEO1736"/>
      <c r="XEP1736"/>
      <c r="XEQ1736"/>
      <c r="XER1736"/>
      <c r="XES1736"/>
      <c r="XET1736"/>
      <c r="XEU1736"/>
      <c r="XEV1736"/>
      <c r="XEW1736"/>
      <c r="XEX1736"/>
      <c r="XEY1736"/>
      <c r="XEZ1736"/>
      <c r="XFA1736"/>
      <c r="XFB1736"/>
      <c r="XFC1736"/>
    </row>
    <row r="1737" spans="1:20 16329:16383" s="38" customFormat="1" ht="29.1" customHeight="1" outlineLevel="5" x14ac:dyDescent="0.25">
      <c r="A1737" s="65" t="s">
        <v>2945</v>
      </c>
      <c r="B1737" s="66" t="s">
        <v>2946</v>
      </c>
      <c r="C1737" s="66"/>
      <c r="D1737" s="98" t="s">
        <v>344</v>
      </c>
      <c r="E1737" s="98"/>
      <c r="F1737" s="67"/>
      <c r="G1737" s="66"/>
      <c r="H1737" s="68"/>
      <c r="I1737" s="36"/>
      <c r="J1737" s="68"/>
      <c r="K1737" s="69"/>
      <c r="L1737" s="69"/>
      <c r="M1737" s="69"/>
      <c r="N1737" s="69"/>
      <c r="O1737" s="69">
        <f>SUM(O1738:O1740)</f>
        <v>0</v>
      </c>
      <c r="P1737" s="69">
        <f>SUM(P1738:P1740)</f>
        <v>0</v>
      </c>
      <c r="Q1737" s="69">
        <f>SUM(Q1738:Q1740)</f>
        <v>0</v>
      </c>
      <c r="R1737" s="69">
        <f>SUM(R1738:R1740)</f>
        <v>0</v>
      </c>
      <c r="S1737" s="69"/>
      <c r="T1737" s="36"/>
      <c r="XDA1737"/>
      <c r="XDB1737"/>
      <c r="XDC1737"/>
      <c r="XDD1737"/>
      <c r="XDE1737"/>
      <c r="XDF1737"/>
      <c r="XDG1737"/>
      <c r="XDH1737"/>
      <c r="XDI1737"/>
      <c r="XDJ1737"/>
      <c r="XDK1737"/>
      <c r="XDL1737"/>
      <c r="XDM1737"/>
      <c r="XDN1737"/>
      <c r="XDO1737"/>
      <c r="XDP1737"/>
      <c r="XDQ1737"/>
      <c r="XDR1737"/>
      <c r="XDS1737"/>
      <c r="XDT1737"/>
      <c r="XDU1737"/>
      <c r="XDV1737"/>
      <c r="XDW1737"/>
      <c r="XDX1737"/>
      <c r="XDY1737"/>
      <c r="XDZ1737"/>
      <c r="XEA1737"/>
      <c r="XEB1737"/>
      <c r="XEC1737"/>
      <c r="XED1737"/>
      <c r="XEE1737"/>
      <c r="XEF1737"/>
      <c r="XEG1737"/>
      <c r="XEH1737"/>
      <c r="XEI1737"/>
      <c r="XEJ1737"/>
      <c r="XEK1737"/>
      <c r="XEL1737"/>
      <c r="XEM1737"/>
      <c r="XEN1737"/>
      <c r="XEO1737"/>
      <c r="XEP1737"/>
      <c r="XEQ1737"/>
      <c r="XER1737"/>
      <c r="XES1737"/>
      <c r="XET1737"/>
      <c r="XEU1737"/>
      <c r="XEV1737"/>
      <c r="XEW1737"/>
      <c r="XEX1737"/>
      <c r="XEY1737"/>
      <c r="XEZ1737"/>
      <c r="XFA1737"/>
      <c r="XFB1737"/>
      <c r="XFC1737"/>
    </row>
    <row r="1738" spans="1:20 16329:16383" s="38" customFormat="1" ht="29.1" customHeight="1" outlineLevel="6" x14ac:dyDescent="0.25">
      <c r="A1738" s="49" t="s">
        <v>2947</v>
      </c>
      <c r="B1738" s="50"/>
      <c r="C1738" s="50"/>
      <c r="D1738" s="3" t="s">
        <v>1884</v>
      </c>
      <c r="E1738" s="3"/>
      <c r="F1738" s="51"/>
      <c r="G1738" s="50" t="s">
        <v>102</v>
      </c>
      <c r="H1738" s="52">
        <f>1</f>
        <v>1</v>
      </c>
      <c r="I1738" s="36"/>
      <c r="J1738" s="52">
        <v>1</v>
      </c>
      <c r="K1738" s="53">
        <f>0</f>
        <v>0</v>
      </c>
      <c r="L1738" s="53">
        <f>0</f>
        <v>0</v>
      </c>
      <c r="M1738" s="53">
        <f>0</f>
        <v>0</v>
      </c>
      <c r="N1738" s="54">
        <f>SUM(K1738:M1738)</f>
        <v>0</v>
      </c>
      <c r="O1738" s="54">
        <f>ROUND((H1738*K1738),2)</f>
        <v>0</v>
      </c>
      <c r="P1738" s="54">
        <f>ROUND((H1738*L1738),2)</f>
        <v>0</v>
      </c>
      <c r="Q1738" s="54">
        <f>ROUND((H1738*M1738),2)</f>
        <v>0</v>
      </c>
      <c r="R1738" s="54">
        <f>ROUND((H1738*N1738),2)</f>
        <v>0</v>
      </c>
      <c r="S1738" s="54"/>
      <c r="T1738" s="36"/>
      <c r="XDA1738"/>
      <c r="XDB1738"/>
      <c r="XDC1738"/>
      <c r="XDD1738"/>
      <c r="XDE1738"/>
      <c r="XDF1738"/>
      <c r="XDG1738"/>
      <c r="XDH1738"/>
      <c r="XDI1738"/>
      <c r="XDJ1738"/>
      <c r="XDK1738"/>
      <c r="XDL1738"/>
      <c r="XDM1738"/>
      <c r="XDN1738"/>
      <c r="XDO1738"/>
      <c r="XDP1738"/>
      <c r="XDQ1738"/>
      <c r="XDR1738"/>
      <c r="XDS1738"/>
      <c r="XDT1738"/>
      <c r="XDU1738"/>
      <c r="XDV1738"/>
      <c r="XDW1738"/>
      <c r="XDX1738"/>
      <c r="XDY1738"/>
      <c r="XDZ1738"/>
      <c r="XEA1738"/>
      <c r="XEB1738"/>
      <c r="XEC1738"/>
      <c r="XED1738"/>
      <c r="XEE1738"/>
      <c r="XEF1738"/>
      <c r="XEG1738"/>
      <c r="XEH1738"/>
      <c r="XEI1738"/>
      <c r="XEJ1738"/>
      <c r="XEK1738"/>
      <c r="XEL1738"/>
      <c r="XEM1738"/>
      <c r="XEN1738"/>
      <c r="XEO1738"/>
      <c r="XEP1738"/>
      <c r="XEQ1738"/>
      <c r="XER1738"/>
      <c r="XES1738"/>
      <c r="XET1738"/>
      <c r="XEU1738"/>
      <c r="XEV1738"/>
      <c r="XEW1738"/>
      <c r="XEX1738"/>
      <c r="XEY1738"/>
      <c r="XEZ1738"/>
      <c r="XFA1738"/>
      <c r="XFB1738"/>
      <c r="XFC1738"/>
    </row>
    <row r="1739" spans="1:20 16329:16383" s="38" customFormat="1" ht="29.1" customHeight="1" outlineLevel="6" x14ac:dyDescent="0.25">
      <c r="A1739" s="49" t="s">
        <v>2948</v>
      </c>
      <c r="B1739" s="50"/>
      <c r="C1739" s="50"/>
      <c r="D1739" s="3" t="s">
        <v>1955</v>
      </c>
      <c r="E1739" s="3"/>
      <c r="F1739" s="51"/>
      <c r="G1739" s="50" t="s">
        <v>102</v>
      </c>
      <c r="H1739" s="52">
        <f>1</f>
        <v>1</v>
      </c>
      <c r="I1739" s="36"/>
      <c r="J1739" s="52">
        <v>1</v>
      </c>
      <c r="K1739" s="53">
        <f>0</f>
        <v>0</v>
      </c>
      <c r="L1739" s="53">
        <f>0</f>
        <v>0</v>
      </c>
      <c r="M1739" s="53">
        <f>0</f>
        <v>0</v>
      </c>
      <c r="N1739" s="54">
        <f>SUM(K1739:M1739)</f>
        <v>0</v>
      </c>
      <c r="O1739" s="54">
        <f>ROUND((H1739*K1739),2)</f>
        <v>0</v>
      </c>
      <c r="P1739" s="54">
        <f>ROUND((H1739*L1739),2)</f>
        <v>0</v>
      </c>
      <c r="Q1739" s="54">
        <f>ROUND((H1739*M1739),2)</f>
        <v>0</v>
      </c>
      <c r="R1739" s="54">
        <f>ROUND((H1739*N1739),2)</f>
        <v>0</v>
      </c>
      <c r="S1739" s="54"/>
      <c r="T1739" s="36"/>
      <c r="XDA1739"/>
      <c r="XDB1739"/>
      <c r="XDC1739"/>
      <c r="XDD1739"/>
      <c r="XDE1739"/>
      <c r="XDF1739"/>
      <c r="XDG1739"/>
      <c r="XDH1739"/>
      <c r="XDI1739"/>
      <c r="XDJ1739"/>
      <c r="XDK1739"/>
      <c r="XDL1739"/>
      <c r="XDM1739"/>
      <c r="XDN1739"/>
      <c r="XDO1739"/>
      <c r="XDP1739"/>
      <c r="XDQ1739"/>
      <c r="XDR1739"/>
      <c r="XDS1739"/>
      <c r="XDT1739"/>
      <c r="XDU1739"/>
      <c r="XDV1739"/>
      <c r="XDW1739"/>
      <c r="XDX1739"/>
      <c r="XDY1739"/>
      <c r="XDZ1739"/>
      <c r="XEA1739"/>
      <c r="XEB1739"/>
      <c r="XEC1739"/>
      <c r="XED1739"/>
      <c r="XEE1739"/>
      <c r="XEF1739"/>
      <c r="XEG1739"/>
      <c r="XEH1739"/>
      <c r="XEI1739"/>
      <c r="XEJ1739"/>
      <c r="XEK1739"/>
      <c r="XEL1739"/>
      <c r="XEM1739"/>
      <c r="XEN1739"/>
      <c r="XEO1739"/>
      <c r="XEP1739"/>
      <c r="XEQ1739"/>
      <c r="XER1739"/>
      <c r="XES1739"/>
      <c r="XET1739"/>
      <c r="XEU1739"/>
      <c r="XEV1739"/>
      <c r="XEW1739"/>
      <c r="XEX1739"/>
      <c r="XEY1739"/>
      <c r="XEZ1739"/>
      <c r="XFA1739"/>
      <c r="XFB1739"/>
      <c r="XFC1739"/>
    </row>
    <row r="1740" spans="1:20 16329:16383" s="38" customFormat="1" ht="29.1" customHeight="1" outlineLevel="6" x14ac:dyDescent="0.25">
      <c r="A1740" s="49" t="s">
        <v>2949</v>
      </c>
      <c r="B1740" s="50"/>
      <c r="C1740" s="50"/>
      <c r="D1740" s="3" t="s">
        <v>2910</v>
      </c>
      <c r="E1740" s="3"/>
      <c r="F1740" s="51"/>
      <c r="G1740" s="50" t="s">
        <v>102</v>
      </c>
      <c r="H1740" s="52">
        <f>1</f>
        <v>1</v>
      </c>
      <c r="I1740" s="36"/>
      <c r="J1740" s="52">
        <v>1</v>
      </c>
      <c r="K1740" s="53">
        <f>0</f>
        <v>0</v>
      </c>
      <c r="L1740" s="53">
        <f>0</f>
        <v>0</v>
      </c>
      <c r="M1740" s="53">
        <f>0</f>
        <v>0</v>
      </c>
      <c r="N1740" s="54">
        <f>SUM(K1740:M1740)</f>
        <v>0</v>
      </c>
      <c r="O1740" s="54">
        <f>ROUND((H1740*K1740),2)</f>
        <v>0</v>
      </c>
      <c r="P1740" s="54">
        <f>ROUND((H1740*L1740),2)</f>
        <v>0</v>
      </c>
      <c r="Q1740" s="54">
        <f>ROUND((H1740*M1740),2)</f>
        <v>0</v>
      </c>
      <c r="R1740" s="54">
        <f>ROUND((H1740*N1740),2)</f>
        <v>0</v>
      </c>
      <c r="S1740" s="54"/>
      <c r="T1740" s="36"/>
      <c r="XDA1740"/>
      <c r="XDB1740"/>
      <c r="XDC1740"/>
      <c r="XDD1740"/>
      <c r="XDE1740"/>
      <c r="XDF1740"/>
      <c r="XDG1740"/>
      <c r="XDH1740"/>
      <c r="XDI1740"/>
      <c r="XDJ1740"/>
      <c r="XDK1740"/>
      <c r="XDL1740"/>
      <c r="XDM1740"/>
      <c r="XDN1740"/>
      <c r="XDO1740"/>
      <c r="XDP1740"/>
      <c r="XDQ1740"/>
      <c r="XDR1740"/>
      <c r="XDS1740"/>
      <c r="XDT1740"/>
      <c r="XDU1740"/>
      <c r="XDV1740"/>
      <c r="XDW1740"/>
      <c r="XDX1740"/>
      <c r="XDY1740"/>
      <c r="XDZ1740"/>
      <c r="XEA1740"/>
      <c r="XEB1740"/>
      <c r="XEC1740"/>
      <c r="XED1740"/>
      <c r="XEE1740"/>
      <c r="XEF1740"/>
      <c r="XEG1740"/>
      <c r="XEH1740"/>
      <c r="XEI1740"/>
      <c r="XEJ1740"/>
      <c r="XEK1740"/>
      <c r="XEL1740"/>
      <c r="XEM1740"/>
      <c r="XEN1740"/>
      <c r="XEO1740"/>
      <c r="XEP1740"/>
      <c r="XEQ1740"/>
      <c r="XER1740"/>
      <c r="XES1740"/>
      <c r="XET1740"/>
      <c r="XEU1740"/>
      <c r="XEV1740"/>
      <c r="XEW1740"/>
      <c r="XEX1740"/>
      <c r="XEY1740"/>
      <c r="XEZ1740"/>
      <c r="XFA1740"/>
      <c r="XFB1740"/>
      <c r="XFC1740"/>
    </row>
    <row r="1741" spans="1:20 16329:16383" s="38" customFormat="1" ht="29.1" customHeight="1" outlineLevel="5" x14ac:dyDescent="0.25">
      <c r="A1741" s="65" t="s">
        <v>2950</v>
      </c>
      <c r="B1741" s="66" t="s">
        <v>2951</v>
      </c>
      <c r="C1741" s="66"/>
      <c r="D1741" s="98" t="s">
        <v>1899</v>
      </c>
      <c r="E1741" s="98"/>
      <c r="F1741" s="67"/>
      <c r="G1741" s="66"/>
      <c r="H1741" s="68"/>
      <c r="I1741" s="36"/>
      <c r="J1741" s="68"/>
      <c r="K1741" s="69"/>
      <c r="L1741" s="69"/>
      <c r="M1741" s="69"/>
      <c r="N1741" s="69"/>
      <c r="O1741" s="69">
        <f>SUM(O1742:O1745)</f>
        <v>0</v>
      </c>
      <c r="P1741" s="69">
        <f>SUM(P1742:P1745)</f>
        <v>0</v>
      </c>
      <c r="Q1741" s="69">
        <f>SUM(Q1742:Q1745)</f>
        <v>0</v>
      </c>
      <c r="R1741" s="69">
        <f>SUM(R1742:R1745)</f>
        <v>0</v>
      </c>
      <c r="S1741" s="69"/>
      <c r="T1741" s="36"/>
      <c r="XDA1741"/>
      <c r="XDB1741"/>
      <c r="XDC1741"/>
      <c r="XDD1741"/>
      <c r="XDE1741"/>
      <c r="XDF1741"/>
      <c r="XDG1741"/>
      <c r="XDH1741"/>
      <c r="XDI1741"/>
      <c r="XDJ1741"/>
      <c r="XDK1741"/>
      <c r="XDL1741"/>
      <c r="XDM1741"/>
      <c r="XDN1741"/>
      <c r="XDO1741"/>
      <c r="XDP1741"/>
      <c r="XDQ1741"/>
      <c r="XDR1741"/>
      <c r="XDS1741"/>
      <c r="XDT1741"/>
      <c r="XDU1741"/>
      <c r="XDV1741"/>
      <c r="XDW1741"/>
      <c r="XDX1741"/>
      <c r="XDY1741"/>
      <c r="XDZ1741"/>
      <c r="XEA1741"/>
      <c r="XEB1741"/>
      <c r="XEC1741"/>
      <c r="XED1741"/>
      <c r="XEE1741"/>
      <c r="XEF1741"/>
      <c r="XEG1741"/>
      <c r="XEH1741"/>
      <c r="XEI1741"/>
      <c r="XEJ1741"/>
      <c r="XEK1741"/>
      <c r="XEL1741"/>
      <c r="XEM1741"/>
      <c r="XEN1741"/>
      <c r="XEO1741"/>
      <c r="XEP1741"/>
      <c r="XEQ1741"/>
      <c r="XER1741"/>
      <c r="XES1741"/>
      <c r="XET1741"/>
      <c r="XEU1741"/>
      <c r="XEV1741"/>
      <c r="XEW1741"/>
      <c r="XEX1741"/>
      <c r="XEY1741"/>
      <c r="XEZ1741"/>
      <c r="XFA1741"/>
      <c r="XFB1741"/>
      <c r="XFC1741"/>
    </row>
    <row r="1742" spans="1:20 16329:16383" s="38" customFormat="1" ht="29.1" customHeight="1" outlineLevel="6" x14ac:dyDescent="0.25">
      <c r="A1742" s="49" t="s">
        <v>2952</v>
      </c>
      <c r="B1742" s="50"/>
      <c r="C1742" s="50"/>
      <c r="D1742" s="3" t="s">
        <v>1884</v>
      </c>
      <c r="E1742" s="3"/>
      <c r="F1742" s="51"/>
      <c r="G1742" s="50" t="s">
        <v>102</v>
      </c>
      <c r="H1742" s="52">
        <f>1</f>
        <v>1</v>
      </c>
      <c r="I1742" s="36"/>
      <c r="J1742" s="52">
        <v>1</v>
      </c>
      <c r="K1742" s="53">
        <f>0</f>
        <v>0</v>
      </c>
      <c r="L1742" s="53">
        <f>0</f>
        <v>0</v>
      </c>
      <c r="M1742" s="53">
        <f>0</f>
        <v>0</v>
      </c>
      <c r="N1742" s="54">
        <f>SUM(K1742:M1742)</f>
        <v>0</v>
      </c>
      <c r="O1742" s="54">
        <f>ROUND((H1742*K1742),2)</f>
        <v>0</v>
      </c>
      <c r="P1742" s="54">
        <f>ROUND((H1742*L1742),2)</f>
        <v>0</v>
      </c>
      <c r="Q1742" s="54">
        <f>ROUND((H1742*M1742),2)</f>
        <v>0</v>
      </c>
      <c r="R1742" s="54">
        <f>ROUND((H1742*N1742),2)</f>
        <v>0</v>
      </c>
      <c r="S1742" s="54"/>
      <c r="T1742" s="36"/>
      <c r="XDA1742"/>
      <c r="XDB1742"/>
      <c r="XDC1742"/>
      <c r="XDD1742"/>
      <c r="XDE1742"/>
      <c r="XDF1742"/>
      <c r="XDG1742"/>
      <c r="XDH1742"/>
      <c r="XDI1742"/>
      <c r="XDJ1742"/>
      <c r="XDK1742"/>
      <c r="XDL1742"/>
      <c r="XDM1742"/>
      <c r="XDN1742"/>
      <c r="XDO1742"/>
      <c r="XDP1742"/>
      <c r="XDQ1742"/>
      <c r="XDR1742"/>
      <c r="XDS1742"/>
      <c r="XDT1742"/>
      <c r="XDU1742"/>
      <c r="XDV1742"/>
      <c r="XDW1742"/>
      <c r="XDX1742"/>
      <c r="XDY1742"/>
      <c r="XDZ1742"/>
      <c r="XEA1742"/>
      <c r="XEB1742"/>
      <c r="XEC1742"/>
      <c r="XED1742"/>
      <c r="XEE1742"/>
      <c r="XEF1742"/>
      <c r="XEG1742"/>
      <c r="XEH1742"/>
      <c r="XEI1742"/>
      <c r="XEJ1742"/>
      <c r="XEK1742"/>
      <c r="XEL1742"/>
      <c r="XEM1742"/>
      <c r="XEN1742"/>
      <c r="XEO1742"/>
      <c r="XEP1742"/>
      <c r="XEQ1742"/>
      <c r="XER1742"/>
      <c r="XES1742"/>
      <c r="XET1742"/>
      <c r="XEU1742"/>
      <c r="XEV1742"/>
      <c r="XEW1742"/>
      <c r="XEX1742"/>
      <c r="XEY1742"/>
      <c r="XEZ1742"/>
      <c r="XFA1742"/>
      <c r="XFB1742"/>
      <c r="XFC1742"/>
    </row>
    <row r="1743" spans="1:20 16329:16383" s="38" customFormat="1" ht="29.1" customHeight="1" outlineLevel="6" x14ac:dyDescent="0.25">
      <c r="A1743" s="49" t="s">
        <v>2953</v>
      </c>
      <c r="B1743" s="50"/>
      <c r="C1743" s="50"/>
      <c r="D1743" s="3" t="s">
        <v>1955</v>
      </c>
      <c r="E1743" s="3"/>
      <c r="F1743" s="51"/>
      <c r="G1743" s="50" t="s">
        <v>102</v>
      </c>
      <c r="H1743" s="52">
        <f>1</f>
        <v>1</v>
      </c>
      <c r="I1743" s="36"/>
      <c r="J1743" s="52">
        <v>1</v>
      </c>
      <c r="K1743" s="53">
        <f>0</f>
        <v>0</v>
      </c>
      <c r="L1743" s="53">
        <f>0</f>
        <v>0</v>
      </c>
      <c r="M1743" s="53">
        <f>0</f>
        <v>0</v>
      </c>
      <c r="N1743" s="54">
        <f>SUM(K1743:M1743)</f>
        <v>0</v>
      </c>
      <c r="O1743" s="54">
        <f>ROUND((H1743*K1743),2)</f>
        <v>0</v>
      </c>
      <c r="P1743" s="54">
        <f>ROUND((H1743*L1743),2)</f>
        <v>0</v>
      </c>
      <c r="Q1743" s="54">
        <f>ROUND((H1743*M1743),2)</f>
        <v>0</v>
      </c>
      <c r="R1743" s="54">
        <f>ROUND((H1743*N1743),2)</f>
        <v>0</v>
      </c>
      <c r="S1743" s="54"/>
      <c r="T1743" s="36"/>
      <c r="XDA1743"/>
      <c r="XDB1743"/>
      <c r="XDC1743"/>
      <c r="XDD1743"/>
      <c r="XDE1743"/>
      <c r="XDF1743"/>
      <c r="XDG1743"/>
      <c r="XDH1743"/>
      <c r="XDI1743"/>
      <c r="XDJ1743"/>
      <c r="XDK1743"/>
      <c r="XDL1743"/>
      <c r="XDM1743"/>
      <c r="XDN1743"/>
      <c r="XDO1743"/>
      <c r="XDP1743"/>
      <c r="XDQ1743"/>
      <c r="XDR1743"/>
      <c r="XDS1743"/>
      <c r="XDT1743"/>
      <c r="XDU1743"/>
      <c r="XDV1743"/>
      <c r="XDW1743"/>
      <c r="XDX1743"/>
      <c r="XDY1743"/>
      <c r="XDZ1743"/>
      <c r="XEA1743"/>
      <c r="XEB1743"/>
      <c r="XEC1743"/>
      <c r="XED1743"/>
      <c r="XEE1743"/>
      <c r="XEF1743"/>
      <c r="XEG1743"/>
      <c r="XEH1743"/>
      <c r="XEI1743"/>
      <c r="XEJ1743"/>
      <c r="XEK1743"/>
      <c r="XEL1743"/>
      <c r="XEM1743"/>
      <c r="XEN1743"/>
      <c r="XEO1743"/>
      <c r="XEP1743"/>
      <c r="XEQ1743"/>
      <c r="XER1743"/>
      <c r="XES1743"/>
      <c r="XET1743"/>
      <c r="XEU1743"/>
      <c r="XEV1743"/>
      <c r="XEW1743"/>
      <c r="XEX1743"/>
      <c r="XEY1743"/>
      <c r="XEZ1743"/>
      <c r="XFA1743"/>
      <c r="XFB1743"/>
      <c r="XFC1743"/>
    </row>
    <row r="1744" spans="1:20 16329:16383" s="38" customFormat="1" ht="29.1" customHeight="1" outlineLevel="6" x14ac:dyDescent="0.25">
      <c r="A1744" s="49" t="s">
        <v>2954</v>
      </c>
      <c r="B1744" s="50"/>
      <c r="C1744" s="50"/>
      <c r="D1744" s="3" t="s">
        <v>2955</v>
      </c>
      <c r="E1744" s="3"/>
      <c r="F1744" s="51"/>
      <c r="G1744" s="50" t="s">
        <v>102</v>
      </c>
      <c r="H1744" s="52">
        <f>1</f>
        <v>1</v>
      </c>
      <c r="I1744" s="36"/>
      <c r="J1744" s="52">
        <v>1</v>
      </c>
      <c r="K1744" s="53">
        <f>0</f>
        <v>0</v>
      </c>
      <c r="L1744" s="53">
        <f>0</f>
        <v>0</v>
      </c>
      <c r="M1744" s="53">
        <f>0</f>
        <v>0</v>
      </c>
      <c r="N1744" s="54">
        <f>SUM(K1744:M1744)</f>
        <v>0</v>
      </c>
      <c r="O1744" s="54">
        <f>ROUND((H1744*K1744),2)</f>
        <v>0</v>
      </c>
      <c r="P1744" s="54">
        <f>ROUND((H1744*L1744),2)</f>
        <v>0</v>
      </c>
      <c r="Q1744" s="54">
        <f>ROUND((H1744*M1744),2)</f>
        <v>0</v>
      </c>
      <c r="R1744" s="54">
        <f>ROUND((H1744*N1744),2)</f>
        <v>0</v>
      </c>
      <c r="S1744" s="54"/>
      <c r="T1744" s="36"/>
      <c r="XDA1744"/>
      <c r="XDB1744"/>
      <c r="XDC1744"/>
      <c r="XDD1744"/>
      <c r="XDE1744"/>
      <c r="XDF1744"/>
      <c r="XDG1744"/>
      <c r="XDH1744"/>
      <c r="XDI1744"/>
      <c r="XDJ1744"/>
      <c r="XDK1744"/>
      <c r="XDL1744"/>
      <c r="XDM1744"/>
      <c r="XDN1744"/>
      <c r="XDO1744"/>
      <c r="XDP1744"/>
      <c r="XDQ1744"/>
      <c r="XDR1744"/>
      <c r="XDS1744"/>
      <c r="XDT1744"/>
      <c r="XDU1744"/>
      <c r="XDV1744"/>
      <c r="XDW1744"/>
      <c r="XDX1744"/>
      <c r="XDY1744"/>
      <c r="XDZ1744"/>
      <c r="XEA1744"/>
      <c r="XEB1744"/>
      <c r="XEC1744"/>
      <c r="XED1744"/>
      <c r="XEE1744"/>
      <c r="XEF1744"/>
      <c r="XEG1744"/>
      <c r="XEH1744"/>
      <c r="XEI1744"/>
      <c r="XEJ1744"/>
      <c r="XEK1744"/>
      <c r="XEL1744"/>
      <c r="XEM1744"/>
      <c r="XEN1744"/>
      <c r="XEO1744"/>
      <c r="XEP1744"/>
      <c r="XEQ1744"/>
      <c r="XER1744"/>
      <c r="XES1744"/>
      <c r="XET1744"/>
      <c r="XEU1744"/>
      <c r="XEV1744"/>
      <c r="XEW1744"/>
      <c r="XEX1744"/>
      <c r="XEY1744"/>
      <c r="XEZ1744"/>
      <c r="XFA1744"/>
      <c r="XFB1744"/>
      <c r="XFC1744"/>
    </row>
    <row r="1745" spans="1:20 16329:16383" s="38" customFormat="1" ht="29.1" customHeight="1" outlineLevel="6" x14ac:dyDescent="0.25">
      <c r="A1745" s="49" t="s">
        <v>2956</v>
      </c>
      <c r="B1745" s="50"/>
      <c r="C1745" s="50"/>
      <c r="D1745" s="3" t="s">
        <v>2621</v>
      </c>
      <c r="E1745" s="3"/>
      <c r="F1745" s="51"/>
      <c r="G1745" s="50" t="s">
        <v>102</v>
      </c>
      <c r="H1745" s="52">
        <f>1</f>
        <v>1</v>
      </c>
      <c r="I1745" s="36"/>
      <c r="J1745" s="52">
        <v>1</v>
      </c>
      <c r="K1745" s="53">
        <f>0</f>
        <v>0</v>
      </c>
      <c r="L1745" s="53">
        <f>0</f>
        <v>0</v>
      </c>
      <c r="M1745" s="53">
        <f>0</f>
        <v>0</v>
      </c>
      <c r="N1745" s="54">
        <f>SUM(K1745:M1745)</f>
        <v>0</v>
      </c>
      <c r="O1745" s="54">
        <f>ROUND((H1745*K1745),2)</f>
        <v>0</v>
      </c>
      <c r="P1745" s="54">
        <f>ROUND((H1745*L1745),2)</f>
        <v>0</v>
      </c>
      <c r="Q1745" s="54">
        <f>ROUND((H1745*M1745),2)</f>
        <v>0</v>
      </c>
      <c r="R1745" s="54">
        <f>ROUND((H1745*N1745),2)</f>
        <v>0</v>
      </c>
      <c r="S1745" s="54"/>
      <c r="T1745" s="36"/>
      <c r="XDA1745"/>
      <c r="XDB1745"/>
      <c r="XDC1745"/>
      <c r="XDD1745"/>
      <c r="XDE1745"/>
      <c r="XDF1745"/>
      <c r="XDG1745"/>
      <c r="XDH1745"/>
      <c r="XDI1745"/>
      <c r="XDJ1745"/>
      <c r="XDK1745"/>
      <c r="XDL1745"/>
      <c r="XDM1745"/>
      <c r="XDN1745"/>
      <c r="XDO1745"/>
      <c r="XDP1745"/>
      <c r="XDQ1745"/>
      <c r="XDR1745"/>
      <c r="XDS1745"/>
      <c r="XDT1745"/>
      <c r="XDU1745"/>
      <c r="XDV1745"/>
      <c r="XDW1745"/>
      <c r="XDX1745"/>
      <c r="XDY1745"/>
      <c r="XDZ1745"/>
      <c r="XEA1745"/>
      <c r="XEB1745"/>
      <c r="XEC1745"/>
      <c r="XED1745"/>
      <c r="XEE1745"/>
      <c r="XEF1745"/>
      <c r="XEG1745"/>
      <c r="XEH1745"/>
      <c r="XEI1745"/>
      <c r="XEJ1745"/>
      <c r="XEK1745"/>
      <c r="XEL1745"/>
      <c r="XEM1745"/>
      <c r="XEN1745"/>
      <c r="XEO1745"/>
      <c r="XEP1745"/>
      <c r="XEQ1745"/>
      <c r="XER1745"/>
      <c r="XES1745"/>
      <c r="XET1745"/>
      <c r="XEU1745"/>
      <c r="XEV1745"/>
      <c r="XEW1745"/>
      <c r="XEX1745"/>
      <c r="XEY1745"/>
      <c r="XEZ1745"/>
      <c r="XFA1745"/>
      <c r="XFB1745"/>
      <c r="XFC1745"/>
    </row>
    <row r="1746" spans="1:20 16329:16383" s="38" customFormat="1" ht="29.1" customHeight="1" outlineLevel="3" x14ac:dyDescent="0.25">
      <c r="A1746" s="55" t="s">
        <v>2957</v>
      </c>
      <c r="B1746" s="56" t="s">
        <v>2958</v>
      </c>
      <c r="C1746" s="56"/>
      <c r="D1746" s="2" t="s">
        <v>2959</v>
      </c>
      <c r="E1746" s="2"/>
      <c r="F1746" s="57"/>
      <c r="G1746" s="56"/>
      <c r="H1746" s="58"/>
      <c r="I1746" s="36"/>
      <c r="J1746" s="58"/>
      <c r="K1746" s="59"/>
      <c r="L1746" s="59"/>
      <c r="M1746" s="59"/>
      <c r="N1746" s="59"/>
      <c r="O1746" s="59">
        <f>O1747+O1778+O1810+O1827+O1842</f>
        <v>0</v>
      </c>
      <c r="P1746" s="59">
        <f>P1747+P1778+P1810+P1827+P1842</f>
        <v>0</v>
      </c>
      <c r="Q1746" s="59">
        <f>Q1747+Q1778+Q1810+Q1827+Q1842</f>
        <v>0</v>
      </c>
      <c r="R1746" s="59">
        <f>R1747+R1778+R1810+R1827+R1842</f>
        <v>0</v>
      </c>
      <c r="S1746" s="59"/>
      <c r="T1746" s="36"/>
      <c r="XDA1746"/>
      <c r="XDB1746"/>
      <c r="XDC1746"/>
      <c r="XDD1746"/>
      <c r="XDE1746"/>
      <c r="XDF1746"/>
      <c r="XDG1746"/>
      <c r="XDH1746"/>
      <c r="XDI1746"/>
      <c r="XDJ1746"/>
      <c r="XDK1746"/>
      <c r="XDL1746"/>
      <c r="XDM1746"/>
      <c r="XDN1746"/>
      <c r="XDO1746"/>
      <c r="XDP1746"/>
      <c r="XDQ1746"/>
      <c r="XDR1746"/>
      <c r="XDS1746"/>
      <c r="XDT1746"/>
      <c r="XDU1746"/>
      <c r="XDV1746"/>
      <c r="XDW1746"/>
      <c r="XDX1746"/>
      <c r="XDY1746"/>
      <c r="XDZ1746"/>
      <c r="XEA1746"/>
      <c r="XEB1746"/>
      <c r="XEC1746"/>
      <c r="XED1746"/>
      <c r="XEE1746"/>
      <c r="XEF1746"/>
      <c r="XEG1746"/>
      <c r="XEH1746"/>
      <c r="XEI1746"/>
      <c r="XEJ1746"/>
      <c r="XEK1746"/>
      <c r="XEL1746"/>
      <c r="XEM1746"/>
      <c r="XEN1746"/>
      <c r="XEO1746"/>
      <c r="XEP1746"/>
      <c r="XEQ1746"/>
      <c r="XER1746"/>
      <c r="XES1746"/>
      <c r="XET1746"/>
      <c r="XEU1746"/>
      <c r="XEV1746"/>
      <c r="XEW1746"/>
      <c r="XEX1746"/>
      <c r="XEY1746"/>
      <c r="XEZ1746"/>
      <c r="XFA1746"/>
      <c r="XFB1746"/>
      <c r="XFC1746"/>
    </row>
    <row r="1747" spans="1:20 16329:16383" s="38" customFormat="1" ht="29.1" customHeight="1" outlineLevel="4" x14ac:dyDescent="0.25">
      <c r="A1747" s="60" t="s">
        <v>2960</v>
      </c>
      <c r="B1747" s="61" t="s">
        <v>2961</v>
      </c>
      <c r="C1747" s="61" t="s">
        <v>2382</v>
      </c>
      <c r="D1747" s="1" t="s">
        <v>2548</v>
      </c>
      <c r="E1747" s="1"/>
      <c r="F1747" s="62"/>
      <c r="G1747" s="61" t="s">
        <v>102</v>
      </c>
      <c r="H1747" s="63"/>
      <c r="I1747" s="36"/>
      <c r="J1747" s="63"/>
      <c r="K1747" s="64"/>
      <c r="L1747" s="64"/>
      <c r="M1747" s="64"/>
      <c r="N1747" s="64"/>
      <c r="O1747" s="64">
        <f>O1748+O1757+O1768+O1772</f>
        <v>0</v>
      </c>
      <c r="P1747" s="64">
        <f>P1748+P1757+P1768+P1772</f>
        <v>0</v>
      </c>
      <c r="Q1747" s="64">
        <f>Q1748+Q1757+Q1768+Q1772</f>
        <v>0</v>
      </c>
      <c r="R1747" s="64">
        <f>R1748+R1757+R1768+R1772</f>
        <v>0</v>
      </c>
      <c r="S1747" s="64"/>
      <c r="T1747" s="36"/>
      <c r="XDA1747"/>
      <c r="XDB1747"/>
      <c r="XDC1747"/>
      <c r="XDD1747"/>
      <c r="XDE1747"/>
      <c r="XDF1747"/>
      <c r="XDG1747"/>
      <c r="XDH1747"/>
      <c r="XDI1747"/>
      <c r="XDJ1747"/>
      <c r="XDK1747"/>
      <c r="XDL1747"/>
      <c r="XDM1747"/>
      <c r="XDN1747"/>
      <c r="XDO1747"/>
      <c r="XDP1747"/>
      <c r="XDQ1747"/>
      <c r="XDR1747"/>
      <c r="XDS1747"/>
      <c r="XDT1747"/>
      <c r="XDU1747"/>
      <c r="XDV1747"/>
      <c r="XDW1747"/>
      <c r="XDX1747"/>
      <c r="XDY1747"/>
      <c r="XDZ1747"/>
      <c r="XEA1747"/>
      <c r="XEB1747"/>
      <c r="XEC1747"/>
      <c r="XED1747"/>
      <c r="XEE1747"/>
      <c r="XEF1747"/>
      <c r="XEG1747"/>
      <c r="XEH1747"/>
      <c r="XEI1747"/>
      <c r="XEJ1747"/>
      <c r="XEK1747"/>
      <c r="XEL1747"/>
      <c r="XEM1747"/>
      <c r="XEN1747"/>
      <c r="XEO1747"/>
      <c r="XEP1747"/>
      <c r="XEQ1747"/>
      <c r="XER1747"/>
      <c r="XES1747"/>
      <c r="XET1747"/>
      <c r="XEU1747"/>
      <c r="XEV1747"/>
      <c r="XEW1747"/>
      <c r="XEX1747"/>
      <c r="XEY1747"/>
      <c r="XEZ1747"/>
      <c r="XFA1747"/>
      <c r="XFB1747"/>
      <c r="XFC1747"/>
    </row>
    <row r="1748" spans="1:20 16329:16383" s="38" customFormat="1" ht="29.1" customHeight="1" outlineLevel="5" x14ac:dyDescent="0.25">
      <c r="A1748" s="65" t="s">
        <v>2962</v>
      </c>
      <c r="B1748" s="66" t="s">
        <v>2963</v>
      </c>
      <c r="C1748" s="66"/>
      <c r="D1748" s="98" t="s">
        <v>1873</v>
      </c>
      <c r="E1748" s="98"/>
      <c r="F1748" s="67"/>
      <c r="G1748" s="66"/>
      <c r="H1748" s="68"/>
      <c r="I1748" s="36"/>
      <c r="J1748" s="68"/>
      <c r="K1748" s="69"/>
      <c r="L1748" s="69"/>
      <c r="M1748" s="69"/>
      <c r="N1748" s="69"/>
      <c r="O1748" s="69">
        <f>SUM(O1749:O1756)</f>
        <v>0</v>
      </c>
      <c r="P1748" s="69">
        <f>SUM(P1749:P1756)</f>
        <v>0</v>
      </c>
      <c r="Q1748" s="69">
        <f>SUM(Q1749:Q1756)</f>
        <v>0</v>
      </c>
      <c r="R1748" s="69">
        <f>SUM(R1749:R1756)</f>
        <v>0</v>
      </c>
      <c r="S1748" s="69"/>
      <c r="T1748" s="36"/>
      <c r="XDA1748"/>
      <c r="XDB1748"/>
      <c r="XDC1748"/>
      <c r="XDD1748"/>
      <c r="XDE1748"/>
      <c r="XDF1748"/>
      <c r="XDG1748"/>
      <c r="XDH1748"/>
      <c r="XDI1748"/>
      <c r="XDJ1748"/>
      <c r="XDK1748"/>
      <c r="XDL1748"/>
      <c r="XDM1748"/>
      <c r="XDN1748"/>
      <c r="XDO1748"/>
      <c r="XDP1748"/>
      <c r="XDQ1748"/>
      <c r="XDR1748"/>
      <c r="XDS1748"/>
      <c r="XDT1748"/>
      <c r="XDU1748"/>
      <c r="XDV1748"/>
      <c r="XDW1748"/>
      <c r="XDX1748"/>
      <c r="XDY1748"/>
      <c r="XDZ1748"/>
      <c r="XEA1748"/>
      <c r="XEB1748"/>
      <c r="XEC1748"/>
      <c r="XED1748"/>
      <c r="XEE1748"/>
      <c r="XEF1748"/>
      <c r="XEG1748"/>
      <c r="XEH1748"/>
      <c r="XEI1748"/>
      <c r="XEJ1748"/>
      <c r="XEK1748"/>
      <c r="XEL1748"/>
      <c r="XEM1748"/>
      <c r="XEN1748"/>
      <c r="XEO1748"/>
      <c r="XEP1748"/>
      <c r="XEQ1748"/>
      <c r="XER1748"/>
      <c r="XES1748"/>
      <c r="XET1748"/>
      <c r="XEU1748"/>
      <c r="XEV1748"/>
      <c r="XEW1748"/>
      <c r="XEX1748"/>
      <c r="XEY1748"/>
      <c r="XEZ1748"/>
      <c r="XFA1748"/>
      <c r="XFB1748"/>
      <c r="XFC1748"/>
    </row>
    <row r="1749" spans="1:20 16329:16383" s="38" customFormat="1" ht="29.1" customHeight="1" outlineLevel="6" x14ac:dyDescent="0.25">
      <c r="A1749" s="49" t="s">
        <v>2964</v>
      </c>
      <c r="B1749" s="50"/>
      <c r="C1749" s="50"/>
      <c r="D1749" s="3" t="s">
        <v>2387</v>
      </c>
      <c r="E1749" s="3"/>
      <c r="F1749" s="51"/>
      <c r="G1749" s="50" t="s">
        <v>102</v>
      </c>
      <c r="H1749" s="52">
        <f>1</f>
        <v>1</v>
      </c>
      <c r="I1749" s="36"/>
      <c r="J1749" s="52">
        <v>1</v>
      </c>
      <c r="K1749" s="53">
        <f>0</f>
        <v>0</v>
      </c>
      <c r="L1749" s="53">
        <f>0</f>
        <v>0</v>
      </c>
      <c r="M1749" s="53">
        <f>0</f>
        <v>0</v>
      </c>
      <c r="N1749" s="54">
        <f t="shared" ref="N1749:N1756" si="339">SUM(K1749:M1749)</f>
        <v>0</v>
      </c>
      <c r="O1749" s="54">
        <f t="shared" ref="O1749:O1756" si="340">ROUND((H1749*K1749),2)</f>
        <v>0</v>
      </c>
      <c r="P1749" s="54">
        <f t="shared" ref="P1749:P1756" si="341">ROUND((H1749*L1749),2)</f>
        <v>0</v>
      </c>
      <c r="Q1749" s="54">
        <f t="shared" ref="Q1749:Q1756" si="342">ROUND((H1749*M1749),2)</f>
        <v>0</v>
      </c>
      <c r="R1749" s="54">
        <f t="shared" ref="R1749:R1756" si="343">ROUND((H1749*N1749),2)</f>
        <v>0</v>
      </c>
      <c r="S1749" s="54"/>
      <c r="T1749" s="36"/>
      <c r="XDA1749"/>
      <c r="XDB1749"/>
      <c r="XDC1749"/>
      <c r="XDD1749"/>
      <c r="XDE1749"/>
      <c r="XDF1749"/>
      <c r="XDG1749"/>
      <c r="XDH1749"/>
      <c r="XDI1749"/>
      <c r="XDJ1749"/>
      <c r="XDK1749"/>
      <c r="XDL1749"/>
      <c r="XDM1749"/>
      <c r="XDN1749"/>
      <c r="XDO1749"/>
      <c r="XDP1749"/>
      <c r="XDQ1749"/>
      <c r="XDR1749"/>
      <c r="XDS1749"/>
      <c r="XDT1749"/>
      <c r="XDU1749"/>
      <c r="XDV1749"/>
      <c r="XDW1749"/>
      <c r="XDX1749"/>
      <c r="XDY1749"/>
      <c r="XDZ1749"/>
      <c r="XEA1749"/>
      <c r="XEB1749"/>
      <c r="XEC1749"/>
      <c r="XED1749"/>
      <c r="XEE1749"/>
      <c r="XEF1749"/>
      <c r="XEG1749"/>
      <c r="XEH1749"/>
      <c r="XEI1749"/>
      <c r="XEJ1749"/>
      <c r="XEK1749"/>
      <c r="XEL1749"/>
      <c r="XEM1749"/>
      <c r="XEN1749"/>
      <c r="XEO1749"/>
      <c r="XEP1749"/>
      <c r="XEQ1749"/>
      <c r="XER1749"/>
      <c r="XES1749"/>
      <c r="XET1749"/>
      <c r="XEU1749"/>
      <c r="XEV1749"/>
      <c r="XEW1749"/>
      <c r="XEX1749"/>
      <c r="XEY1749"/>
      <c r="XEZ1749"/>
      <c r="XFA1749"/>
      <c r="XFB1749"/>
      <c r="XFC1749"/>
    </row>
    <row r="1750" spans="1:20 16329:16383" s="38" customFormat="1" ht="29.1" customHeight="1" outlineLevel="6" x14ac:dyDescent="0.25">
      <c r="A1750" s="49" t="s">
        <v>2965</v>
      </c>
      <c r="B1750" s="50"/>
      <c r="C1750" s="50"/>
      <c r="D1750" s="3" t="s">
        <v>1875</v>
      </c>
      <c r="E1750" s="3"/>
      <c r="F1750" s="51"/>
      <c r="G1750" s="50" t="s">
        <v>102</v>
      </c>
      <c r="H1750" s="52">
        <f>1</f>
        <v>1</v>
      </c>
      <c r="I1750" s="36"/>
      <c r="J1750" s="52">
        <v>1</v>
      </c>
      <c r="K1750" s="53">
        <f>0</f>
        <v>0</v>
      </c>
      <c r="L1750" s="53">
        <f>0</f>
        <v>0</v>
      </c>
      <c r="M1750" s="53">
        <f>0</f>
        <v>0</v>
      </c>
      <c r="N1750" s="54">
        <f t="shared" si="339"/>
        <v>0</v>
      </c>
      <c r="O1750" s="54">
        <f t="shared" si="340"/>
        <v>0</v>
      </c>
      <c r="P1750" s="54">
        <f t="shared" si="341"/>
        <v>0</v>
      </c>
      <c r="Q1750" s="54">
        <f t="shared" si="342"/>
        <v>0</v>
      </c>
      <c r="R1750" s="54">
        <f t="shared" si="343"/>
        <v>0</v>
      </c>
      <c r="S1750" s="54"/>
      <c r="T1750" s="36"/>
      <c r="XDA1750"/>
      <c r="XDB1750"/>
      <c r="XDC1750"/>
      <c r="XDD1750"/>
      <c r="XDE1750"/>
      <c r="XDF1750"/>
      <c r="XDG1750"/>
      <c r="XDH1750"/>
      <c r="XDI1750"/>
      <c r="XDJ1750"/>
      <c r="XDK1750"/>
      <c r="XDL1750"/>
      <c r="XDM1750"/>
      <c r="XDN1750"/>
      <c r="XDO1750"/>
      <c r="XDP1750"/>
      <c r="XDQ1750"/>
      <c r="XDR1750"/>
      <c r="XDS1750"/>
      <c r="XDT1750"/>
      <c r="XDU1750"/>
      <c r="XDV1750"/>
      <c r="XDW1750"/>
      <c r="XDX1750"/>
      <c r="XDY1750"/>
      <c r="XDZ1750"/>
      <c r="XEA1750"/>
      <c r="XEB1750"/>
      <c r="XEC1750"/>
      <c r="XED1750"/>
      <c r="XEE1750"/>
      <c r="XEF1750"/>
      <c r="XEG1750"/>
      <c r="XEH1750"/>
      <c r="XEI1750"/>
      <c r="XEJ1750"/>
      <c r="XEK1750"/>
      <c r="XEL1750"/>
      <c r="XEM1750"/>
      <c r="XEN1750"/>
      <c r="XEO1750"/>
      <c r="XEP1750"/>
      <c r="XEQ1750"/>
      <c r="XER1750"/>
      <c r="XES1750"/>
      <c r="XET1750"/>
      <c r="XEU1750"/>
      <c r="XEV1750"/>
      <c r="XEW1750"/>
      <c r="XEX1750"/>
      <c r="XEY1750"/>
      <c r="XEZ1750"/>
      <c r="XFA1750"/>
      <c r="XFB1750"/>
      <c r="XFC1750"/>
    </row>
    <row r="1751" spans="1:20 16329:16383" s="38" customFormat="1" ht="29.1" customHeight="1" outlineLevel="6" x14ac:dyDescent="0.25">
      <c r="A1751" s="49" t="s">
        <v>2966</v>
      </c>
      <c r="B1751" s="50"/>
      <c r="C1751" s="50"/>
      <c r="D1751" s="3" t="s">
        <v>2390</v>
      </c>
      <c r="E1751" s="3"/>
      <c r="F1751" s="51"/>
      <c r="G1751" s="50" t="s">
        <v>102</v>
      </c>
      <c r="H1751" s="52">
        <f>1</f>
        <v>1</v>
      </c>
      <c r="I1751" s="36"/>
      <c r="J1751" s="52">
        <v>1</v>
      </c>
      <c r="K1751" s="53">
        <f>0</f>
        <v>0</v>
      </c>
      <c r="L1751" s="53">
        <f>0</f>
        <v>0</v>
      </c>
      <c r="M1751" s="53">
        <f>0</f>
        <v>0</v>
      </c>
      <c r="N1751" s="54">
        <f t="shared" si="339"/>
        <v>0</v>
      </c>
      <c r="O1751" s="54">
        <f t="shared" si="340"/>
        <v>0</v>
      </c>
      <c r="P1751" s="54">
        <f t="shared" si="341"/>
        <v>0</v>
      </c>
      <c r="Q1751" s="54">
        <f t="shared" si="342"/>
        <v>0</v>
      </c>
      <c r="R1751" s="54">
        <f t="shared" si="343"/>
        <v>0</v>
      </c>
      <c r="S1751" s="54"/>
      <c r="T1751" s="36"/>
      <c r="XDA1751"/>
      <c r="XDB1751"/>
      <c r="XDC1751"/>
      <c r="XDD1751"/>
      <c r="XDE1751"/>
      <c r="XDF1751"/>
      <c r="XDG1751"/>
      <c r="XDH1751"/>
      <c r="XDI1751"/>
      <c r="XDJ1751"/>
      <c r="XDK1751"/>
      <c r="XDL1751"/>
      <c r="XDM1751"/>
      <c r="XDN1751"/>
      <c r="XDO1751"/>
      <c r="XDP1751"/>
      <c r="XDQ1751"/>
      <c r="XDR1751"/>
      <c r="XDS1751"/>
      <c r="XDT1751"/>
      <c r="XDU1751"/>
      <c r="XDV1751"/>
      <c r="XDW1751"/>
      <c r="XDX1751"/>
      <c r="XDY1751"/>
      <c r="XDZ1751"/>
      <c r="XEA1751"/>
      <c r="XEB1751"/>
      <c r="XEC1751"/>
      <c r="XED1751"/>
      <c r="XEE1751"/>
      <c r="XEF1751"/>
      <c r="XEG1751"/>
      <c r="XEH1751"/>
      <c r="XEI1751"/>
      <c r="XEJ1751"/>
      <c r="XEK1751"/>
      <c r="XEL1751"/>
      <c r="XEM1751"/>
      <c r="XEN1751"/>
      <c r="XEO1751"/>
      <c r="XEP1751"/>
      <c r="XEQ1751"/>
      <c r="XER1751"/>
      <c r="XES1751"/>
      <c r="XET1751"/>
      <c r="XEU1751"/>
      <c r="XEV1751"/>
      <c r="XEW1751"/>
      <c r="XEX1751"/>
      <c r="XEY1751"/>
      <c r="XEZ1751"/>
      <c r="XFA1751"/>
      <c r="XFB1751"/>
      <c r="XFC1751"/>
    </row>
    <row r="1752" spans="1:20 16329:16383" s="38" customFormat="1" ht="29.1" customHeight="1" outlineLevel="6" x14ac:dyDescent="0.25">
      <c r="A1752" s="49" t="s">
        <v>2967</v>
      </c>
      <c r="B1752" s="50"/>
      <c r="C1752" s="50"/>
      <c r="D1752" s="3" t="s">
        <v>2392</v>
      </c>
      <c r="E1752" s="3"/>
      <c r="F1752" s="51"/>
      <c r="G1752" s="50" t="s">
        <v>102</v>
      </c>
      <c r="H1752" s="52">
        <f>1</f>
        <v>1</v>
      </c>
      <c r="I1752" s="36"/>
      <c r="J1752" s="52">
        <v>1</v>
      </c>
      <c r="K1752" s="53">
        <f>0</f>
        <v>0</v>
      </c>
      <c r="L1752" s="53">
        <f>0</f>
        <v>0</v>
      </c>
      <c r="M1752" s="53">
        <f>0</f>
        <v>0</v>
      </c>
      <c r="N1752" s="54">
        <f t="shared" si="339"/>
        <v>0</v>
      </c>
      <c r="O1752" s="54">
        <f t="shared" si="340"/>
        <v>0</v>
      </c>
      <c r="P1752" s="54">
        <f t="shared" si="341"/>
        <v>0</v>
      </c>
      <c r="Q1752" s="54">
        <f t="shared" si="342"/>
        <v>0</v>
      </c>
      <c r="R1752" s="54">
        <f t="shared" si="343"/>
        <v>0</v>
      </c>
      <c r="S1752" s="54"/>
      <c r="T1752" s="36"/>
      <c r="XDA1752"/>
      <c r="XDB1752"/>
      <c r="XDC1752"/>
      <c r="XDD1752"/>
      <c r="XDE1752"/>
      <c r="XDF1752"/>
      <c r="XDG1752"/>
      <c r="XDH1752"/>
      <c r="XDI1752"/>
      <c r="XDJ1752"/>
      <c r="XDK1752"/>
      <c r="XDL1752"/>
      <c r="XDM1752"/>
      <c r="XDN1752"/>
      <c r="XDO1752"/>
      <c r="XDP1752"/>
      <c r="XDQ1752"/>
      <c r="XDR1752"/>
      <c r="XDS1752"/>
      <c r="XDT1752"/>
      <c r="XDU1752"/>
      <c r="XDV1752"/>
      <c r="XDW1752"/>
      <c r="XDX1752"/>
      <c r="XDY1752"/>
      <c r="XDZ1752"/>
      <c r="XEA1752"/>
      <c r="XEB1752"/>
      <c r="XEC1752"/>
      <c r="XED1752"/>
      <c r="XEE1752"/>
      <c r="XEF1752"/>
      <c r="XEG1752"/>
      <c r="XEH1752"/>
      <c r="XEI1752"/>
      <c r="XEJ1752"/>
      <c r="XEK1752"/>
      <c r="XEL1752"/>
      <c r="XEM1752"/>
      <c r="XEN1752"/>
      <c r="XEO1752"/>
      <c r="XEP1752"/>
      <c r="XEQ1752"/>
      <c r="XER1752"/>
      <c r="XES1752"/>
      <c r="XET1752"/>
      <c r="XEU1752"/>
      <c r="XEV1752"/>
      <c r="XEW1752"/>
      <c r="XEX1752"/>
      <c r="XEY1752"/>
      <c r="XEZ1752"/>
      <c r="XFA1752"/>
      <c r="XFB1752"/>
      <c r="XFC1752"/>
    </row>
    <row r="1753" spans="1:20 16329:16383" s="38" customFormat="1" ht="29.1" customHeight="1" outlineLevel="6" x14ac:dyDescent="0.25">
      <c r="A1753" s="49" t="s">
        <v>2968</v>
      </c>
      <c r="B1753" s="50"/>
      <c r="C1753" s="50"/>
      <c r="D1753" s="3" t="s">
        <v>2394</v>
      </c>
      <c r="E1753" s="3"/>
      <c r="F1753" s="51"/>
      <c r="G1753" s="50" t="s">
        <v>102</v>
      </c>
      <c r="H1753" s="52">
        <f>1</f>
        <v>1</v>
      </c>
      <c r="I1753" s="36"/>
      <c r="J1753" s="52">
        <v>1</v>
      </c>
      <c r="K1753" s="53">
        <f>0</f>
        <v>0</v>
      </c>
      <c r="L1753" s="53">
        <f>0</f>
        <v>0</v>
      </c>
      <c r="M1753" s="53">
        <f>0</f>
        <v>0</v>
      </c>
      <c r="N1753" s="54">
        <f t="shared" si="339"/>
        <v>0</v>
      </c>
      <c r="O1753" s="54">
        <f t="shared" si="340"/>
        <v>0</v>
      </c>
      <c r="P1753" s="54">
        <f t="shared" si="341"/>
        <v>0</v>
      </c>
      <c r="Q1753" s="54">
        <f t="shared" si="342"/>
        <v>0</v>
      </c>
      <c r="R1753" s="54">
        <f t="shared" si="343"/>
        <v>0</v>
      </c>
      <c r="S1753" s="54"/>
      <c r="T1753" s="36"/>
      <c r="XDA1753"/>
      <c r="XDB1753"/>
      <c r="XDC1753"/>
      <c r="XDD1753"/>
      <c r="XDE1753"/>
      <c r="XDF1753"/>
      <c r="XDG1753"/>
      <c r="XDH1753"/>
      <c r="XDI1753"/>
      <c r="XDJ1753"/>
      <c r="XDK1753"/>
      <c r="XDL1753"/>
      <c r="XDM1753"/>
      <c r="XDN1753"/>
      <c r="XDO1753"/>
      <c r="XDP1753"/>
      <c r="XDQ1753"/>
      <c r="XDR1753"/>
      <c r="XDS1753"/>
      <c r="XDT1753"/>
      <c r="XDU1753"/>
      <c r="XDV1753"/>
      <c r="XDW1753"/>
      <c r="XDX1753"/>
      <c r="XDY1753"/>
      <c r="XDZ1753"/>
      <c r="XEA1753"/>
      <c r="XEB1753"/>
      <c r="XEC1753"/>
      <c r="XED1753"/>
      <c r="XEE1753"/>
      <c r="XEF1753"/>
      <c r="XEG1753"/>
      <c r="XEH1753"/>
      <c r="XEI1753"/>
      <c r="XEJ1753"/>
      <c r="XEK1753"/>
      <c r="XEL1753"/>
      <c r="XEM1753"/>
      <c r="XEN1753"/>
      <c r="XEO1753"/>
      <c r="XEP1753"/>
      <c r="XEQ1753"/>
      <c r="XER1753"/>
      <c r="XES1753"/>
      <c r="XET1753"/>
      <c r="XEU1753"/>
      <c r="XEV1753"/>
      <c r="XEW1753"/>
      <c r="XEX1753"/>
      <c r="XEY1753"/>
      <c r="XEZ1753"/>
      <c r="XFA1753"/>
      <c r="XFB1753"/>
      <c r="XFC1753"/>
    </row>
    <row r="1754" spans="1:20 16329:16383" s="38" customFormat="1" ht="29.1" customHeight="1" outlineLevel="6" x14ac:dyDescent="0.25">
      <c r="A1754" s="49" t="s">
        <v>2969</v>
      </c>
      <c r="B1754" s="50"/>
      <c r="C1754" s="50"/>
      <c r="D1754" s="3" t="s">
        <v>2557</v>
      </c>
      <c r="E1754" s="3"/>
      <c r="F1754" s="51"/>
      <c r="G1754" s="50" t="s">
        <v>102</v>
      </c>
      <c r="H1754" s="52">
        <f>1</f>
        <v>1</v>
      </c>
      <c r="I1754" s="36"/>
      <c r="J1754" s="52">
        <v>1</v>
      </c>
      <c r="K1754" s="53">
        <f>0</f>
        <v>0</v>
      </c>
      <c r="L1754" s="53">
        <f>0</f>
        <v>0</v>
      </c>
      <c r="M1754" s="53">
        <f>0</f>
        <v>0</v>
      </c>
      <c r="N1754" s="54">
        <f t="shared" si="339"/>
        <v>0</v>
      </c>
      <c r="O1754" s="54">
        <f t="shared" si="340"/>
        <v>0</v>
      </c>
      <c r="P1754" s="54">
        <f t="shared" si="341"/>
        <v>0</v>
      </c>
      <c r="Q1754" s="54">
        <f t="shared" si="342"/>
        <v>0</v>
      </c>
      <c r="R1754" s="54">
        <f t="shared" si="343"/>
        <v>0</v>
      </c>
      <c r="S1754" s="54"/>
      <c r="T1754" s="36"/>
      <c r="XDA1754"/>
      <c r="XDB1754"/>
      <c r="XDC1754"/>
      <c r="XDD1754"/>
      <c r="XDE1754"/>
      <c r="XDF1754"/>
      <c r="XDG1754"/>
      <c r="XDH1754"/>
      <c r="XDI1754"/>
      <c r="XDJ1754"/>
      <c r="XDK1754"/>
      <c r="XDL1754"/>
      <c r="XDM1754"/>
      <c r="XDN1754"/>
      <c r="XDO1754"/>
      <c r="XDP1754"/>
      <c r="XDQ1754"/>
      <c r="XDR1754"/>
      <c r="XDS1754"/>
      <c r="XDT1754"/>
      <c r="XDU1754"/>
      <c r="XDV1754"/>
      <c r="XDW1754"/>
      <c r="XDX1754"/>
      <c r="XDY1754"/>
      <c r="XDZ1754"/>
      <c r="XEA1754"/>
      <c r="XEB1754"/>
      <c r="XEC1754"/>
      <c r="XED1754"/>
      <c r="XEE1754"/>
      <c r="XEF1754"/>
      <c r="XEG1754"/>
      <c r="XEH1754"/>
      <c r="XEI1754"/>
      <c r="XEJ1754"/>
      <c r="XEK1754"/>
      <c r="XEL1754"/>
      <c r="XEM1754"/>
      <c r="XEN1754"/>
      <c r="XEO1754"/>
      <c r="XEP1754"/>
      <c r="XEQ1754"/>
      <c r="XER1754"/>
      <c r="XES1754"/>
      <c r="XET1754"/>
      <c r="XEU1754"/>
      <c r="XEV1754"/>
      <c r="XEW1754"/>
      <c r="XEX1754"/>
      <c r="XEY1754"/>
      <c r="XEZ1754"/>
      <c r="XFA1754"/>
      <c r="XFB1754"/>
      <c r="XFC1754"/>
    </row>
    <row r="1755" spans="1:20 16329:16383" s="38" customFormat="1" ht="29.1" customHeight="1" outlineLevel="6" x14ac:dyDescent="0.25">
      <c r="A1755" s="49" t="s">
        <v>2970</v>
      </c>
      <c r="B1755" s="50"/>
      <c r="C1755" s="50"/>
      <c r="D1755" s="3" t="s">
        <v>2206</v>
      </c>
      <c r="E1755" s="3"/>
      <c r="F1755" s="51"/>
      <c r="G1755" s="50" t="s">
        <v>194</v>
      </c>
      <c r="H1755" s="52">
        <f>1</f>
        <v>1</v>
      </c>
      <c r="I1755" s="36"/>
      <c r="J1755" s="52">
        <v>1</v>
      </c>
      <c r="K1755" s="53">
        <f>0</f>
        <v>0</v>
      </c>
      <c r="L1755" s="53">
        <f>0</f>
        <v>0</v>
      </c>
      <c r="M1755" s="53">
        <f>0</f>
        <v>0</v>
      </c>
      <c r="N1755" s="54">
        <f t="shared" si="339"/>
        <v>0</v>
      </c>
      <c r="O1755" s="54">
        <f t="shared" si="340"/>
        <v>0</v>
      </c>
      <c r="P1755" s="54">
        <f t="shared" si="341"/>
        <v>0</v>
      </c>
      <c r="Q1755" s="54">
        <f t="shared" si="342"/>
        <v>0</v>
      </c>
      <c r="R1755" s="54">
        <f t="shared" si="343"/>
        <v>0</v>
      </c>
      <c r="S1755" s="54"/>
      <c r="T1755" s="36"/>
      <c r="XDA1755"/>
      <c r="XDB1755"/>
      <c r="XDC1755"/>
      <c r="XDD1755"/>
      <c r="XDE1755"/>
      <c r="XDF1755"/>
      <c r="XDG1755"/>
      <c r="XDH1755"/>
      <c r="XDI1755"/>
      <c r="XDJ1755"/>
      <c r="XDK1755"/>
      <c r="XDL1755"/>
      <c r="XDM1755"/>
      <c r="XDN1755"/>
      <c r="XDO1755"/>
      <c r="XDP1755"/>
      <c r="XDQ1755"/>
      <c r="XDR1755"/>
      <c r="XDS1755"/>
      <c r="XDT1755"/>
      <c r="XDU1755"/>
      <c r="XDV1755"/>
      <c r="XDW1755"/>
      <c r="XDX1755"/>
      <c r="XDY1755"/>
      <c r="XDZ1755"/>
      <c r="XEA1755"/>
      <c r="XEB1755"/>
      <c r="XEC1755"/>
      <c r="XED1755"/>
      <c r="XEE1755"/>
      <c r="XEF1755"/>
      <c r="XEG1755"/>
      <c r="XEH1755"/>
      <c r="XEI1755"/>
      <c r="XEJ1755"/>
      <c r="XEK1755"/>
      <c r="XEL1755"/>
      <c r="XEM1755"/>
      <c r="XEN1755"/>
      <c r="XEO1755"/>
      <c r="XEP1755"/>
      <c r="XEQ1755"/>
      <c r="XER1755"/>
      <c r="XES1755"/>
      <c r="XET1755"/>
      <c r="XEU1755"/>
      <c r="XEV1755"/>
      <c r="XEW1755"/>
      <c r="XEX1755"/>
      <c r="XEY1755"/>
      <c r="XEZ1755"/>
      <c r="XFA1755"/>
      <c r="XFB1755"/>
      <c r="XFC1755"/>
    </row>
    <row r="1756" spans="1:20 16329:16383" s="38" customFormat="1" ht="29.1" customHeight="1" outlineLevel="6" x14ac:dyDescent="0.25">
      <c r="A1756" s="49" t="s">
        <v>2971</v>
      </c>
      <c r="B1756" s="50"/>
      <c r="C1756" s="50"/>
      <c r="D1756" s="3" t="s">
        <v>2278</v>
      </c>
      <c r="E1756" s="3"/>
      <c r="F1756" s="51"/>
      <c r="G1756" s="50" t="s">
        <v>194</v>
      </c>
      <c r="H1756" s="52">
        <f>1</f>
        <v>1</v>
      </c>
      <c r="I1756" s="36"/>
      <c r="J1756" s="52">
        <v>1</v>
      </c>
      <c r="K1756" s="53">
        <f>0</f>
        <v>0</v>
      </c>
      <c r="L1756" s="53">
        <f>0</f>
        <v>0</v>
      </c>
      <c r="M1756" s="53">
        <f>0</f>
        <v>0</v>
      </c>
      <c r="N1756" s="54">
        <f t="shared" si="339"/>
        <v>0</v>
      </c>
      <c r="O1756" s="54">
        <f t="shared" si="340"/>
        <v>0</v>
      </c>
      <c r="P1756" s="54">
        <f t="shared" si="341"/>
        <v>0</v>
      </c>
      <c r="Q1756" s="54">
        <f t="shared" si="342"/>
        <v>0</v>
      </c>
      <c r="R1756" s="54">
        <f t="shared" si="343"/>
        <v>0</v>
      </c>
      <c r="S1756" s="54"/>
      <c r="T1756" s="36"/>
      <c r="XDA1756"/>
      <c r="XDB1756"/>
      <c r="XDC1756"/>
      <c r="XDD1756"/>
      <c r="XDE1756"/>
      <c r="XDF1756"/>
      <c r="XDG1756"/>
      <c r="XDH1756"/>
      <c r="XDI1756"/>
      <c r="XDJ1756"/>
      <c r="XDK1756"/>
      <c r="XDL1756"/>
      <c r="XDM1756"/>
      <c r="XDN1756"/>
      <c r="XDO1756"/>
      <c r="XDP1756"/>
      <c r="XDQ1756"/>
      <c r="XDR1756"/>
      <c r="XDS1756"/>
      <c r="XDT1756"/>
      <c r="XDU1756"/>
      <c r="XDV1756"/>
      <c r="XDW1756"/>
      <c r="XDX1756"/>
      <c r="XDY1756"/>
      <c r="XDZ1756"/>
      <c r="XEA1756"/>
      <c r="XEB1756"/>
      <c r="XEC1756"/>
      <c r="XED1756"/>
      <c r="XEE1756"/>
      <c r="XEF1756"/>
      <c r="XEG1756"/>
      <c r="XEH1756"/>
      <c r="XEI1756"/>
      <c r="XEJ1756"/>
      <c r="XEK1756"/>
      <c r="XEL1756"/>
      <c r="XEM1756"/>
      <c r="XEN1756"/>
      <c r="XEO1756"/>
      <c r="XEP1756"/>
      <c r="XEQ1756"/>
      <c r="XER1756"/>
      <c r="XES1756"/>
      <c r="XET1756"/>
      <c r="XEU1756"/>
      <c r="XEV1756"/>
      <c r="XEW1756"/>
      <c r="XEX1756"/>
      <c r="XEY1756"/>
      <c r="XEZ1756"/>
      <c r="XFA1756"/>
      <c r="XFB1756"/>
      <c r="XFC1756"/>
    </row>
    <row r="1757" spans="1:20 16329:16383" s="38" customFormat="1" ht="29.1" customHeight="1" outlineLevel="5" x14ac:dyDescent="0.25">
      <c r="A1757" s="65" t="s">
        <v>2972</v>
      </c>
      <c r="B1757" s="66" t="s">
        <v>2973</v>
      </c>
      <c r="C1757" s="66"/>
      <c r="D1757" s="98" t="s">
        <v>344</v>
      </c>
      <c r="E1757" s="98"/>
      <c r="F1757" s="67"/>
      <c r="G1757" s="66"/>
      <c r="H1757" s="68"/>
      <c r="I1757" s="36"/>
      <c r="J1757" s="68"/>
      <c r="K1757" s="69"/>
      <c r="L1757" s="69"/>
      <c r="M1757" s="69"/>
      <c r="N1757" s="69"/>
      <c r="O1757" s="69">
        <f>SUM(O1758:O1767)</f>
        <v>0</v>
      </c>
      <c r="P1757" s="69">
        <f>SUM(P1758:P1767)</f>
        <v>0</v>
      </c>
      <c r="Q1757" s="69">
        <f>SUM(Q1758:Q1767)</f>
        <v>0</v>
      </c>
      <c r="R1757" s="69">
        <f>SUM(R1758:R1767)</f>
        <v>0</v>
      </c>
      <c r="S1757" s="69"/>
      <c r="T1757" s="36"/>
      <c r="XDA1757"/>
      <c r="XDB1757"/>
      <c r="XDC1757"/>
      <c r="XDD1757"/>
      <c r="XDE1757"/>
      <c r="XDF1757"/>
      <c r="XDG1757"/>
      <c r="XDH1757"/>
      <c r="XDI1757"/>
      <c r="XDJ1757"/>
      <c r="XDK1757"/>
      <c r="XDL1757"/>
      <c r="XDM1757"/>
      <c r="XDN1757"/>
      <c r="XDO1757"/>
      <c r="XDP1757"/>
      <c r="XDQ1757"/>
      <c r="XDR1757"/>
      <c r="XDS1757"/>
      <c r="XDT1757"/>
      <c r="XDU1757"/>
      <c r="XDV1757"/>
      <c r="XDW1757"/>
      <c r="XDX1757"/>
      <c r="XDY1757"/>
      <c r="XDZ1757"/>
      <c r="XEA1757"/>
      <c r="XEB1757"/>
      <c r="XEC1757"/>
      <c r="XED1757"/>
      <c r="XEE1757"/>
      <c r="XEF1757"/>
      <c r="XEG1757"/>
      <c r="XEH1757"/>
      <c r="XEI1757"/>
      <c r="XEJ1757"/>
      <c r="XEK1757"/>
      <c r="XEL1757"/>
      <c r="XEM1757"/>
      <c r="XEN1757"/>
      <c r="XEO1757"/>
      <c r="XEP1757"/>
      <c r="XEQ1757"/>
      <c r="XER1757"/>
      <c r="XES1757"/>
      <c r="XET1757"/>
      <c r="XEU1757"/>
      <c r="XEV1757"/>
      <c r="XEW1757"/>
      <c r="XEX1757"/>
      <c r="XEY1757"/>
      <c r="XEZ1757"/>
      <c r="XFA1757"/>
      <c r="XFB1757"/>
      <c r="XFC1757"/>
    </row>
    <row r="1758" spans="1:20 16329:16383" s="38" customFormat="1" ht="29.1" customHeight="1" outlineLevel="6" x14ac:dyDescent="0.25">
      <c r="A1758" s="49" t="s">
        <v>2974</v>
      </c>
      <c r="B1758" s="50"/>
      <c r="C1758" s="50"/>
      <c r="D1758" s="3" t="s">
        <v>1886</v>
      </c>
      <c r="E1758" s="3"/>
      <c r="F1758" s="51"/>
      <c r="G1758" s="50" t="s">
        <v>102</v>
      </c>
      <c r="H1758" s="52">
        <f>1</f>
        <v>1</v>
      </c>
      <c r="I1758" s="36"/>
      <c r="J1758" s="52">
        <v>1</v>
      </c>
      <c r="K1758" s="53">
        <f>0</f>
        <v>0</v>
      </c>
      <c r="L1758" s="53">
        <f>0</f>
        <v>0</v>
      </c>
      <c r="M1758" s="53">
        <f>0</f>
        <v>0</v>
      </c>
      <c r="N1758" s="54">
        <f t="shared" ref="N1758:N1767" si="344">SUM(K1758:M1758)</f>
        <v>0</v>
      </c>
      <c r="O1758" s="54">
        <f t="shared" ref="O1758:O1767" si="345">ROUND((H1758*K1758),2)</f>
        <v>0</v>
      </c>
      <c r="P1758" s="54">
        <f t="shared" ref="P1758:P1767" si="346">ROUND((H1758*L1758),2)</f>
        <v>0</v>
      </c>
      <c r="Q1758" s="54">
        <f t="shared" ref="Q1758:Q1767" si="347">ROUND((H1758*M1758),2)</f>
        <v>0</v>
      </c>
      <c r="R1758" s="54">
        <f t="shared" ref="R1758:R1767" si="348">ROUND((H1758*N1758),2)</f>
        <v>0</v>
      </c>
      <c r="S1758" s="54"/>
      <c r="T1758" s="36"/>
      <c r="XDA1758"/>
      <c r="XDB1758"/>
      <c r="XDC1758"/>
      <c r="XDD1758"/>
      <c r="XDE1758"/>
      <c r="XDF1758"/>
      <c r="XDG1758"/>
      <c r="XDH1758"/>
      <c r="XDI1758"/>
      <c r="XDJ1758"/>
      <c r="XDK1758"/>
      <c r="XDL1758"/>
      <c r="XDM1758"/>
      <c r="XDN1758"/>
      <c r="XDO1758"/>
      <c r="XDP1758"/>
      <c r="XDQ1758"/>
      <c r="XDR1758"/>
      <c r="XDS1758"/>
      <c r="XDT1758"/>
      <c r="XDU1758"/>
      <c r="XDV1758"/>
      <c r="XDW1758"/>
      <c r="XDX1758"/>
      <c r="XDY1758"/>
      <c r="XDZ1758"/>
      <c r="XEA1758"/>
      <c r="XEB1758"/>
      <c r="XEC1758"/>
      <c r="XED1758"/>
      <c r="XEE1758"/>
      <c r="XEF1758"/>
      <c r="XEG1758"/>
      <c r="XEH1758"/>
      <c r="XEI1758"/>
      <c r="XEJ1758"/>
      <c r="XEK1758"/>
      <c r="XEL1758"/>
      <c r="XEM1758"/>
      <c r="XEN1758"/>
      <c r="XEO1758"/>
      <c r="XEP1758"/>
      <c r="XEQ1758"/>
      <c r="XER1758"/>
      <c r="XES1758"/>
      <c r="XET1758"/>
      <c r="XEU1758"/>
      <c r="XEV1758"/>
      <c r="XEW1758"/>
      <c r="XEX1758"/>
      <c r="XEY1758"/>
      <c r="XEZ1758"/>
      <c r="XFA1758"/>
      <c r="XFB1758"/>
      <c r="XFC1758"/>
    </row>
    <row r="1759" spans="1:20 16329:16383" s="38" customFormat="1" ht="29.1" customHeight="1" outlineLevel="6" x14ac:dyDescent="0.25">
      <c r="A1759" s="49" t="s">
        <v>2975</v>
      </c>
      <c r="B1759" s="50"/>
      <c r="C1759" s="50"/>
      <c r="D1759" s="3" t="s">
        <v>1890</v>
      </c>
      <c r="E1759" s="3"/>
      <c r="F1759" s="51"/>
      <c r="G1759" s="50" t="s">
        <v>102</v>
      </c>
      <c r="H1759" s="52">
        <f>1</f>
        <v>1</v>
      </c>
      <c r="I1759" s="36"/>
      <c r="J1759" s="52">
        <v>1</v>
      </c>
      <c r="K1759" s="53">
        <f>0</f>
        <v>0</v>
      </c>
      <c r="L1759" s="53">
        <f>0</f>
        <v>0</v>
      </c>
      <c r="M1759" s="53">
        <f>0</f>
        <v>0</v>
      </c>
      <c r="N1759" s="54">
        <f t="shared" si="344"/>
        <v>0</v>
      </c>
      <c r="O1759" s="54">
        <f t="shared" si="345"/>
        <v>0</v>
      </c>
      <c r="P1759" s="54">
        <f t="shared" si="346"/>
        <v>0</v>
      </c>
      <c r="Q1759" s="54">
        <f t="shared" si="347"/>
        <v>0</v>
      </c>
      <c r="R1759" s="54">
        <f t="shared" si="348"/>
        <v>0</v>
      </c>
      <c r="S1759" s="54"/>
      <c r="T1759" s="36"/>
      <c r="XDA1759"/>
      <c r="XDB1759"/>
      <c r="XDC1759"/>
      <c r="XDD1759"/>
      <c r="XDE1759"/>
      <c r="XDF1759"/>
      <c r="XDG1759"/>
      <c r="XDH1759"/>
      <c r="XDI1759"/>
      <c r="XDJ1759"/>
      <c r="XDK1759"/>
      <c r="XDL1759"/>
      <c r="XDM1759"/>
      <c r="XDN1759"/>
      <c r="XDO1759"/>
      <c r="XDP1759"/>
      <c r="XDQ1759"/>
      <c r="XDR1759"/>
      <c r="XDS1759"/>
      <c r="XDT1759"/>
      <c r="XDU1759"/>
      <c r="XDV1759"/>
      <c r="XDW1759"/>
      <c r="XDX1759"/>
      <c r="XDY1759"/>
      <c r="XDZ1759"/>
      <c r="XEA1759"/>
      <c r="XEB1759"/>
      <c r="XEC1759"/>
      <c r="XED1759"/>
      <c r="XEE1759"/>
      <c r="XEF1759"/>
      <c r="XEG1759"/>
      <c r="XEH1759"/>
      <c r="XEI1759"/>
      <c r="XEJ1759"/>
      <c r="XEK1759"/>
      <c r="XEL1759"/>
      <c r="XEM1759"/>
      <c r="XEN1759"/>
      <c r="XEO1759"/>
      <c r="XEP1759"/>
      <c r="XEQ1759"/>
      <c r="XER1759"/>
      <c r="XES1759"/>
      <c r="XET1759"/>
      <c r="XEU1759"/>
      <c r="XEV1759"/>
      <c r="XEW1759"/>
      <c r="XEX1759"/>
      <c r="XEY1759"/>
      <c r="XEZ1759"/>
      <c r="XFA1759"/>
      <c r="XFB1759"/>
      <c r="XFC1759"/>
    </row>
    <row r="1760" spans="1:20 16329:16383" s="38" customFormat="1" ht="29.1" customHeight="1" outlineLevel="6" x14ac:dyDescent="0.25">
      <c r="A1760" s="49" t="s">
        <v>2976</v>
      </c>
      <c r="B1760" s="50"/>
      <c r="C1760" s="50"/>
      <c r="D1760" s="3" t="s">
        <v>1888</v>
      </c>
      <c r="E1760" s="3"/>
      <c r="F1760" s="51"/>
      <c r="G1760" s="50" t="s">
        <v>102</v>
      </c>
      <c r="H1760" s="52">
        <f>1</f>
        <v>1</v>
      </c>
      <c r="I1760" s="36"/>
      <c r="J1760" s="52">
        <v>1</v>
      </c>
      <c r="K1760" s="53">
        <f>0</f>
        <v>0</v>
      </c>
      <c r="L1760" s="53">
        <f>0</f>
        <v>0</v>
      </c>
      <c r="M1760" s="53">
        <f>0</f>
        <v>0</v>
      </c>
      <c r="N1760" s="54">
        <f t="shared" si="344"/>
        <v>0</v>
      </c>
      <c r="O1760" s="54">
        <f t="shared" si="345"/>
        <v>0</v>
      </c>
      <c r="P1760" s="54">
        <f t="shared" si="346"/>
        <v>0</v>
      </c>
      <c r="Q1760" s="54">
        <f t="shared" si="347"/>
        <v>0</v>
      </c>
      <c r="R1760" s="54">
        <f t="shared" si="348"/>
        <v>0</v>
      </c>
      <c r="S1760" s="54"/>
      <c r="T1760" s="36"/>
      <c r="XDA1760"/>
      <c r="XDB1760"/>
      <c r="XDC1760"/>
      <c r="XDD1760"/>
      <c r="XDE1760"/>
      <c r="XDF1760"/>
      <c r="XDG1760"/>
      <c r="XDH1760"/>
      <c r="XDI1760"/>
      <c r="XDJ1760"/>
      <c r="XDK1760"/>
      <c r="XDL1760"/>
      <c r="XDM1760"/>
      <c r="XDN1760"/>
      <c r="XDO1760"/>
      <c r="XDP1760"/>
      <c r="XDQ1760"/>
      <c r="XDR1760"/>
      <c r="XDS1760"/>
      <c r="XDT1760"/>
      <c r="XDU1760"/>
      <c r="XDV1760"/>
      <c r="XDW1760"/>
      <c r="XDX1760"/>
      <c r="XDY1760"/>
      <c r="XDZ1760"/>
      <c r="XEA1760"/>
      <c r="XEB1760"/>
      <c r="XEC1760"/>
      <c r="XED1760"/>
      <c r="XEE1760"/>
      <c r="XEF1760"/>
      <c r="XEG1760"/>
      <c r="XEH1760"/>
      <c r="XEI1760"/>
      <c r="XEJ1760"/>
      <c r="XEK1760"/>
      <c r="XEL1760"/>
      <c r="XEM1760"/>
      <c r="XEN1760"/>
      <c r="XEO1760"/>
      <c r="XEP1760"/>
      <c r="XEQ1760"/>
      <c r="XER1760"/>
      <c r="XES1760"/>
      <c r="XET1760"/>
      <c r="XEU1760"/>
      <c r="XEV1760"/>
      <c r="XEW1760"/>
      <c r="XEX1760"/>
      <c r="XEY1760"/>
      <c r="XEZ1760"/>
      <c r="XFA1760"/>
      <c r="XFB1760"/>
      <c r="XFC1760"/>
    </row>
    <row r="1761" spans="1:20 16329:16383" s="38" customFormat="1" ht="29.1" customHeight="1" outlineLevel="6" x14ac:dyDescent="0.25">
      <c r="A1761" s="49" t="s">
        <v>2977</v>
      </c>
      <c r="B1761" s="50"/>
      <c r="C1761" s="50"/>
      <c r="D1761" s="3" t="s">
        <v>2403</v>
      </c>
      <c r="E1761" s="3"/>
      <c r="F1761" s="51"/>
      <c r="G1761" s="50" t="s">
        <v>102</v>
      </c>
      <c r="H1761" s="52">
        <f>1</f>
        <v>1</v>
      </c>
      <c r="I1761" s="36"/>
      <c r="J1761" s="52">
        <v>1</v>
      </c>
      <c r="K1761" s="53">
        <f>0</f>
        <v>0</v>
      </c>
      <c r="L1761" s="53">
        <f>0</f>
        <v>0</v>
      </c>
      <c r="M1761" s="53">
        <f>0</f>
        <v>0</v>
      </c>
      <c r="N1761" s="54">
        <f t="shared" si="344"/>
        <v>0</v>
      </c>
      <c r="O1761" s="54">
        <f t="shared" si="345"/>
        <v>0</v>
      </c>
      <c r="P1761" s="54">
        <f t="shared" si="346"/>
        <v>0</v>
      </c>
      <c r="Q1761" s="54">
        <f t="shared" si="347"/>
        <v>0</v>
      </c>
      <c r="R1761" s="54">
        <f t="shared" si="348"/>
        <v>0</v>
      </c>
      <c r="S1761" s="54"/>
      <c r="T1761" s="36"/>
      <c r="XDA1761"/>
      <c r="XDB1761"/>
      <c r="XDC1761"/>
      <c r="XDD1761"/>
      <c r="XDE1761"/>
      <c r="XDF1761"/>
      <c r="XDG1761"/>
      <c r="XDH1761"/>
      <c r="XDI1761"/>
      <c r="XDJ1761"/>
      <c r="XDK1761"/>
      <c r="XDL1761"/>
      <c r="XDM1761"/>
      <c r="XDN1761"/>
      <c r="XDO1761"/>
      <c r="XDP1761"/>
      <c r="XDQ1761"/>
      <c r="XDR1761"/>
      <c r="XDS1761"/>
      <c r="XDT1761"/>
      <c r="XDU1761"/>
      <c r="XDV1761"/>
      <c r="XDW1761"/>
      <c r="XDX1761"/>
      <c r="XDY1761"/>
      <c r="XDZ1761"/>
      <c r="XEA1761"/>
      <c r="XEB1761"/>
      <c r="XEC1761"/>
      <c r="XED1761"/>
      <c r="XEE1761"/>
      <c r="XEF1761"/>
      <c r="XEG1761"/>
      <c r="XEH1761"/>
      <c r="XEI1761"/>
      <c r="XEJ1761"/>
      <c r="XEK1761"/>
      <c r="XEL1761"/>
      <c r="XEM1761"/>
      <c r="XEN1761"/>
      <c r="XEO1761"/>
      <c r="XEP1761"/>
      <c r="XEQ1761"/>
      <c r="XER1761"/>
      <c r="XES1761"/>
      <c r="XET1761"/>
      <c r="XEU1761"/>
      <c r="XEV1761"/>
      <c r="XEW1761"/>
      <c r="XEX1761"/>
      <c r="XEY1761"/>
      <c r="XEZ1761"/>
      <c r="XFA1761"/>
      <c r="XFB1761"/>
      <c r="XFC1761"/>
    </row>
    <row r="1762" spans="1:20 16329:16383" s="38" customFormat="1" ht="29.1" customHeight="1" outlineLevel="6" x14ac:dyDescent="0.25">
      <c r="A1762" s="49" t="s">
        <v>2978</v>
      </c>
      <c r="B1762" s="50"/>
      <c r="C1762" s="50"/>
      <c r="D1762" s="3" t="s">
        <v>2567</v>
      </c>
      <c r="E1762" s="3"/>
      <c r="F1762" s="51"/>
      <c r="G1762" s="50" t="s">
        <v>102</v>
      </c>
      <c r="H1762" s="52">
        <f>1</f>
        <v>1</v>
      </c>
      <c r="I1762" s="36"/>
      <c r="J1762" s="52">
        <v>1</v>
      </c>
      <c r="K1762" s="53">
        <f>0</f>
        <v>0</v>
      </c>
      <c r="L1762" s="53">
        <f>0</f>
        <v>0</v>
      </c>
      <c r="M1762" s="53">
        <f>0</f>
        <v>0</v>
      </c>
      <c r="N1762" s="54">
        <f t="shared" si="344"/>
        <v>0</v>
      </c>
      <c r="O1762" s="54">
        <f t="shared" si="345"/>
        <v>0</v>
      </c>
      <c r="P1762" s="54">
        <f t="shared" si="346"/>
        <v>0</v>
      </c>
      <c r="Q1762" s="54">
        <f t="shared" si="347"/>
        <v>0</v>
      </c>
      <c r="R1762" s="54">
        <f t="shared" si="348"/>
        <v>0</v>
      </c>
      <c r="S1762" s="54"/>
      <c r="T1762" s="36"/>
      <c r="XDA1762"/>
      <c r="XDB1762"/>
      <c r="XDC1762"/>
      <c r="XDD1762"/>
      <c r="XDE1762"/>
      <c r="XDF1762"/>
      <c r="XDG1762"/>
      <c r="XDH1762"/>
      <c r="XDI1762"/>
      <c r="XDJ1762"/>
      <c r="XDK1762"/>
      <c r="XDL1762"/>
      <c r="XDM1762"/>
      <c r="XDN1762"/>
      <c r="XDO1762"/>
      <c r="XDP1762"/>
      <c r="XDQ1762"/>
      <c r="XDR1762"/>
      <c r="XDS1762"/>
      <c r="XDT1762"/>
      <c r="XDU1762"/>
      <c r="XDV1762"/>
      <c r="XDW1762"/>
      <c r="XDX1762"/>
      <c r="XDY1762"/>
      <c r="XDZ1762"/>
      <c r="XEA1762"/>
      <c r="XEB1762"/>
      <c r="XEC1762"/>
      <c r="XED1762"/>
      <c r="XEE1762"/>
      <c r="XEF1762"/>
      <c r="XEG1762"/>
      <c r="XEH1762"/>
      <c r="XEI1762"/>
      <c r="XEJ1762"/>
      <c r="XEK1762"/>
      <c r="XEL1762"/>
      <c r="XEM1762"/>
      <c r="XEN1762"/>
      <c r="XEO1762"/>
      <c r="XEP1762"/>
      <c r="XEQ1762"/>
      <c r="XER1762"/>
      <c r="XES1762"/>
      <c r="XET1762"/>
      <c r="XEU1762"/>
      <c r="XEV1762"/>
      <c r="XEW1762"/>
      <c r="XEX1762"/>
      <c r="XEY1762"/>
      <c r="XEZ1762"/>
      <c r="XFA1762"/>
      <c r="XFB1762"/>
      <c r="XFC1762"/>
    </row>
    <row r="1763" spans="1:20 16329:16383" s="38" customFormat="1" ht="29.1" customHeight="1" outlineLevel="6" x14ac:dyDescent="0.25">
      <c r="A1763" s="49" t="s">
        <v>2979</v>
      </c>
      <c r="B1763" s="50"/>
      <c r="C1763" s="50"/>
      <c r="D1763" s="3" t="s">
        <v>2407</v>
      </c>
      <c r="E1763" s="3"/>
      <c r="F1763" s="51" t="s">
        <v>1960</v>
      </c>
      <c r="G1763" s="50" t="s">
        <v>134</v>
      </c>
      <c r="H1763" s="52">
        <f>1</f>
        <v>1</v>
      </c>
      <c r="I1763" s="36"/>
      <c r="J1763" s="52">
        <v>1</v>
      </c>
      <c r="K1763" s="53">
        <f>0</f>
        <v>0</v>
      </c>
      <c r="L1763" s="53">
        <f>0</f>
        <v>0</v>
      </c>
      <c r="M1763" s="53">
        <f>0</f>
        <v>0</v>
      </c>
      <c r="N1763" s="54">
        <f t="shared" si="344"/>
        <v>0</v>
      </c>
      <c r="O1763" s="54">
        <f t="shared" si="345"/>
        <v>0</v>
      </c>
      <c r="P1763" s="54">
        <f t="shared" si="346"/>
        <v>0</v>
      </c>
      <c r="Q1763" s="54">
        <f t="shared" si="347"/>
        <v>0</v>
      </c>
      <c r="R1763" s="54">
        <f t="shared" si="348"/>
        <v>0</v>
      </c>
      <c r="S1763" s="54"/>
      <c r="T1763" s="36"/>
      <c r="XDA1763"/>
      <c r="XDB1763"/>
      <c r="XDC1763"/>
      <c r="XDD1763"/>
      <c r="XDE1763"/>
      <c r="XDF1763"/>
      <c r="XDG1763"/>
      <c r="XDH1763"/>
      <c r="XDI1763"/>
      <c r="XDJ1763"/>
      <c r="XDK1763"/>
      <c r="XDL1763"/>
      <c r="XDM1763"/>
      <c r="XDN1763"/>
      <c r="XDO1763"/>
      <c r="XDP1763"/>
      <c r="XDQ1763"/>
      <c r="XDR1763"/>
      <c r="XDS1763"/>
      <c r="XDT1763"/>
      <c r="XDU1763"/>
      <c r="XDV1763"/>
      <c r="XDW1763"/>
      <c r="XDX1763"/>
      <c r="XDY1763"/>
      <c r="XDZ1763"/>
      <c r="XEA1763"/>
      <c r="XEB1763"/>
      <c r="XEC1763"/>
      <c r="XED1763"/>
      <c r="XEE1763"/>
      <c r="XEF1763"/>
      <c r="XEG1763"/>
      <c r="XEH1763"/>
      <c r="XEI1763"/>
      <c r="XEJ1763"/>
      <c r="XEK1763"/>
      <c r="XEL1763"/>
      <c r="XEM1763"/>
      <c r="XEN1763"/>
      <c r="XEO1763"/>
      <c r="XEP1763"/>
      <c r="XEQ1763"/>
      <c r="XER1763"/>
      <c r="XES1763"/>
      <c r="XET1763"/>
      <c r="XEU1763"/>
      <c r="XEV1763"/>
      <c r="XEW1763"/>
      <c r="XEX1763"/>
      <c r="XEY1763"/>
      <c r="XEZ1763"/>
      <c r="XFA1763"/>
      <c r="XFB1763"/>
      <c r="XFC1763"/>
    </row>
    <row r="1764" spans="1:20 16329:16383" s="38" customFormat="1" ht="29.1" customHeight="1" outlineLevel="6" x14ac:dyDescent="0.25">
      <c r="A1764" s="49" t="s">
        <v>2980</v>
      </c>
      <c r="B1764" s="50"/>
      <c r="C1764" s="50"/>
      <c r="D1764" s="3" t="s">
        <v>2570</v>
      </c>
      <c r="E1764" s="3"/>
      <c r="F1764" s="51"/>
      <c r="G1764" s="50" t="s">
        <v>102</v>
      </c>
      <c r="H1764" s="52">
        <f>1</f>
        <v>1</v>
      </c>
      <c r="I1764" s="36"/>
      <c r="J1764" s="52">
        <v>1</v>
      </c>
      <c r="K1764" s="53">
        <f>0</f>
        <v>0</v>
      </c>
      <c r="L1764" s="53">
        <f>0</f>
        <v>0</v>
      </c>
      <c r="M1764" s="53">
        <f>0</f>
        <v>0</v>
      </c>
      <c r="N1764" s="54">
        <f t="shared" si="344"/>
        <v>0</v>
      </c>
      <c r="O1764" s="54">
        <f t="shared" si="345"/>
        <v>0</v>
      </c>
      <c r="P1764" s="54">
        <f t="shared" si="346"/>
        <v>0</v>
      </c>
      <c r="Q1764" s="54">
        <f t="shared" si="347"/>
        <v>0</v>
      </c>
      <c r="R1764" s="54">
        <f t="shared" si="348"/>
        <v>0</v>
      </c>
      <c r="S1764" s="54"/>
      <c r="T1764" s="36"/>
      <c r="XDA1764"/>
      <c r="XDB1764"/>
      <c r="XDC1764"/>
      <c r="XDD1764"/>
      <c r="XDE1764"/>
      <c r="XDF1764"/>
      <c r="XDG1764"/>
      <c r="XDH1764"/>
      <c r="XDI1764"/>
      <c r="XDJ1764"/>
      <c r="XDK1764"/>
      <c r="XDL1764"/>
      <c r="XDM1764"/>
      <c r="XDN1764"/>
      <c r="XDO1764"/>
      <c r="XDP1764"/>
      <c r="XDQ1764"/>
      <c r="XDR1764"/>
      <c r="XDS1764"/>
      <c r="XDT1764"/>
      <c r="XDU1764"/>
      <c r="XDV1764"/>
      <c r="XDW1764"/>
      <c r="XDX1764"/>
      <c r="XDY1764"/>
      <c r="XDZ1764"/>
      <c r="XEA1764"/>
      <c r="XEB1764"/>
      <c r="XEC1764"/>
      <c r="XED1764"/>
      <c r="XEE1764"/>
      <c r="XEF1764"/>
      <c r="XEG1764"/>
      <c r="XEH1764"/>
      <c r="XEI1764"/>
      <c r="XEJ1764"/>
      <c r="XEK1764"/>
      <c r="XEL1764"/>
      <c r="XEM1764"/>
      <c r="XEN1764"/>
      <c r="XEO1764"/>
      <c r="XEP1764"/>
      <c r="XEQ1764"/>
      <c r="XER1764"/>
      <c r="XES1764"/>
      <c r="XET1764"/>
      <c r="XEU1764"/>
      <c r="XEV1764"/>
      <c r="XEW1764"/>
      <c r="XEX1764"/>
      <c r="XEY1764"/>
      <c r="XEZ1764"/>
      <c r="XFA1764"/>
      <c r="XFB1764"/>
      <c r="XFC1764"/>
    </row>
    <row r="1765" spans="1:20 16329:16383" s="38" customFormat="1" ht="29.1" customHeight="1" outlineLevel="6" x14ac:dyDescent="0.25">
      <c r="A1765" s="49" t="s">
        <v>2981</v>
      </c>
      <c r="B1765" s="50"/>
      <c r="C1765" s="50"/>
      <c r="D1765" s="3" t="s">
        <v>2572</v>
      </c>
      <c r="E1765" s="3"/>
      <c r="F1765" s="51" t="s">
        <v>1960</v>
      </c>
      <c r="G1765" s="50" t="s">
        <v>134</v>
      </c>
      <c r="H1765" s="52">
        <f>1</f>
        <v>1</v>
      </c>
      <c r="I1765" s="36"/>
      <c r="J1765" s="52">
        <v>1</v>
      </c>
      <c r="K1765" s="53">
        <f>0</f>
        <v>0</v>
      </c>
      <c r="L1765" s="53">
        <f>0</f>
        <v>0</v>
      </c>
      <c r="M1765" s="53">
        <f>0</f>
        <v>0</v>
      </c>
      <c r="N1765" s="54">
        <f t="shared" si="344"/>
        <v>0</v>
      </c>
      <c r="O1765" s="54">
        <f t="shared" si="345"/>
        <v>0</v>
      </c>
      <c r="P1765" s="54">
        <f t="shared" si="346"/>
        <v>0</v>
      </c>
      <c r="Q1765" s="54">
        <f t="shared" si="347"/>
        <v>0</v>
      </c>
      <c r="R1765" s="54">
        <f t="shared" si="348"/>
        <v>0</v>
      </c>
      <c r="S1765" s="54"/>
      <c r="T1765" s="36"/>
      <c r="XDA1765"/>
      <c r="XDB1765"/>
      <c r="XDC1765"/>
      <c r="XDD1765"/>
      <c r="XDE1765"/>
      <c r="XDF1765"/>
      <c r="XDG1765"/>
      <c r="XDH1765"/>
      <c r="XDI1765"/>
      <c r="XDJ1765"/>
      <c r="XDK1765"/>
      <c r="XDL1765"/>
      <c r="XDM1765"/>
      <c r="XDN1765"/>
      <c r="XDO1765"/>
      <c r="XDP1765"/>
      <c r="XDQ1765"/>
      <c r="XDR1765"/>
      <c r="XDS1765"/>
      <c r="XDT1765"/>
      <c r="XDU1765"/>
      <c r="XDV1765"/>
      <c r="XDW1765"/>
      <c r="XDX1765"/>
      <c r="XDY1765"/>
      <c r="XDZ1765"/>
      <c r="XEA1765"/>
      <c r="XEB1765"/>
      <c r="XEC1765"/>
      <c r="XED1765"/>
      <c r="XEE1765"/>
      <c r="XEF1765"/>
      <c r="XEG1765"/>
      <c r="XEH1765"/>
      <c r="XEI1765"/>
      <c r="XEJ1765"/>
      <c r="XEK1765"/>
      <c r="XEL1765"/>
      <c r="XEM1765"/>
      <c r="XEN1765"/>
      <c r="XEO1765"/>
      <c r="XEP1765"/>
      <c r="XEQ1765"/>
      <c r="XER1765"/>
      <c r="XES1765"/>
      <c r="XET1765"/>
      <c r="XEU1765"/>
      <c r="XEV1765"/>
      <c r="XEW1765"/>
      <c r="XEX1765"/>
      <c r="XEY1765"/>
      <c r="XEZ1765"/>
      <c r="XFA1765"/>
      <c r="XFB1765"/>
      <c r="XFC1765"/>
    </row>
    <row r="1766" spans="1:20 16329:16383" s="38" customFormat="1" ht="29.1" customHeight="1" outlineLevel="6" x14ac:dyDescent="0.25">
      <c r="A1766" s="49" t="s">
        <v>2982</v>
      </c>
      <c r="B1766" s="50"/>
      <c r="C1766" s="50"/>
      <c r="D1766" s="3" t="s">
        <v>2574</v>
      </c>
      <c r="E1766" s="3"/>
      <c r="F1766" s="51" t="s">
        <v>1960</v>
      </c>
      <c r="G1766" s="50" t="s">
        <v>134</v>
      </c>
      <c r="H1766" s="52">
        <f>1</f>
        <v>1</v>
      </c>
      <c r="I1766" s="36"/>
      <c r="J1766" s="52">
        <v>1</v>
      </c>
      <c r="K1766" s="53">
        <f>0</f>
        <v>0</v>
      </c>
      <c r="L1766" s="53">
        <f>0</f>
        <v>0</v>
      </c>
      <c r="M1766" s="53">
        <f>0</f>
        <v>0</v>
      </c>
      <c r="N1766" s="54">
        <f t="shared" si="344"/>
        <v>0</v>
      </c>
      <c r="O1766" s="54">
        <f t="shared" si="345"/>
        <v>0</v>
      </c>
      <c r="P1766" s="54">
        <f t="shared" si="346"/>
        <v>0</v>
      </c>
      <c r="Q1766" s="54">
        <f t="shared" si="347"/>
        <v>0</v>
      </c>
      <c r="R1766" s="54">
        <f t="shared" si="348"/>
        <v>0</v>
      </c>
      <c r="S1766" s="54"/>
      <c r="T1766" s="36"/>
      <c r="XDA1766"/>
      <c r="XDB1766"/>
      <c r="XDC1766"/>
      <c r="XDD1766"/>
      <c r="XDE1766"/>
      <c r="XDF1766"/>
      <c r="XDG1766"/>
      <c r="XDH1766"/>
      <c r="XDI1766"/>
      <c r="XDJ1766"/>
      <c r="XDK1766"/>
      <c r="XDL1766"/>
      <c r="XDM1766"/>
      <c r="XDN1766"/>
      <c r="XDO1766"/>
      <c r="XDP1766"/>
      <c r="XDQ1766"/>
      <c r="XDR1766"/>
      <c r="XDS1766"/>
      <c r="XDT1766"/>
      <c r="XDU1766"/>
      <c r="XDV1766"/>
      <c r="XDW1766"/>
      <c r="XDX1766"/>
      <c r="XDY1766"/>
      <c r="XDZ1766"/>
      <c r="XEA1766"/>
      <c r="XEB1766"/>
      <c r="XEC1766"/>
      <c r="XED1766"/>
      <c r="XEE1766"/>
      <c r="XEF1766"/>
      <c r="XEG1766"/>
      <c r="XEH1766"/>
      <c r="XEI1766"/>
      <c r="XEJ1766"/>
      <c r="XEK1766"/>
      <c r="XEL1766"/>
      <c r="XEM1766"/>
      <c r="XEN1766"/>
      <c r="XEO1766"/>
      <c r="XEP1766"/>
      <c r="XEQ1766"/>
      <c r="XER1766"/>
      <c r="XES1766"/>
      <c r="XET1766"/>
      <c r="XEU1766"/>
      <c r="XEV1766"/>
      <c r="XEW1766"/>
      <c r="XEX1766"/>
      <c r="XEY1766"/>
      <c r="XEZ1766"/>
      <c r="XFA1766"/>
      <c r="XFB1766"/>
      <c r="XFC1766"/>
    </row>
    <row r="1767" spans="1:20 16329:16383" s="38" customFormat="1" ht="29.1" customHeight="1" outlineLevel="6" x14ac:dyDescent="0.25">
      <c r="A1767" s="49" t="s">
        <v>2983</v>
      </c>
      <c r="B1767" s="50"/>
      <c r="C1767" s="50"/>
      <c r="D1767" s="3" t="s">
        <v>2576</v>
      </c>
      <c r="E1767" s="3"/>
      <c r="F1767" s="51" t="s">
        <v>1960</v>
      </c>
      <c r="G1767" s="50" t="s">
        <v>134</v>
      </c>
      <c r="H1767" s="52">
        <f>1</f>
        <v>1</v>
      </c>
      <c r="I1767" s="36"/>
      <c r="J1767" s="52">
        <v>1</v>
      </c>
      <c r="K1767" s="53">
        <f>0</f>
        <v>0</v>
      </c>
      <c r="L1767" s="53">
        <f>0</f>
        <v>0</v>
      </c>
      <c r="M1767" s="53">
        <f>0</f>
        <v>0</v>
      </c>
      <c r="N1767" s="54">
        <f t="shared" si="344"/>
        <v>0</v>
      </c>
      <c r="O1767" s="54">
        <f t="shared" si="345"/>
        <v>0</v>
      </c>
      <c r="P1767" s="54">
        <f t="shared" si="346"/>
        <v>0</v>
      </c>
      <c r="Q1767" s="54">
        <f t="shared" si="347"/>
        <v>0</v>
      </c>
      <c r="R1767" s="54">
        <f t="shared" si="348"/>
        <v>0</v>
      </c>
      <c r="S1767" s="54"/>
      <c r="T1767" s="36"/>
      <c r="XDA1767"/>
      <c r="XDB1767"/>
      <c r="XDC1767"/>
      <c r="XDD1767"/>
      <c r="XDE1767"/>
      <c r="XDF1767"/>
      <c r="XDG1767"/>
      <c r="XDH1767"/>
      <c r="XDI1767"/>
      <c r="XDJ1767"/>
      <c r="XDK1767"/>
      <c r="XDL1767"/>
      <c r="XDM1767"/>
      <c r="XDN1767"/>
      <c r="XDO1767"/>
      <c r="XDP1767"/>
      <c r="XDQ1767"/>
      <c r="XDR1767"/>
      <c r="XDS1767"/>
      <c r="XDT1767"/>
      <c r="XDU1767"/>
      <c r="XDV1767"/>
      <c r="XDW1767"/>
      <c r="XDX1767"/>
      <c r="XDY1767"/>
      <c r="XDZ1767"/>
      <c r="XEA1767"/>
      <c r="XEB1767"/>
      <c r="XEC1767"/>
      <c r="XED1767"/>
      <c r="XEE1767"/>
      <c r="XEF1767"/>
      <c r="XEG1767"/>
      <c r="XEH1767"/>
      <c r="XEI1767"/>
      <c r="XEJ1767"/>
      <c r="XEK1767"/>
      <c r="XEL1767"/>
      <c r="XEM1767"/>
      <c r="XEN1767"/>
      <c r="XEO1767"/>
      <c r="XEP1767"/>
      <c r="XEQ1767"/>
      <c r="XER1767"/>
      <c r="XES1767"/>
      <c r="XET1767"/>
      <c r="XEU1767"/>
      <c r="XEV1767"/>
      <c r="XEW1767"/>
      <c r="XEX1767"/>
      <c r="XEY1767"/>
      <c r="XEZ1767"/>
      <c r="XFA1767"/>
      <c r="XFB1767"/>
      <c r="XFC1767"/>
    </row>
    <row r="1768" spans="1:20 16329:16383" s="38" customFormat="1" ht="29.1" customHeight="1" outlineLevel="5" x14ac:dyDescent="0.25">
      <c r="A1768" s="65" t="s">
        <v>2984</v>
      </c>
      <c r="B1768" s="66" t="s">
        <v>2985</v>
      </c>
      <c r="C1768" s="66"/>
      <c r="D1768" s="98" t="s">
        <v>1899</v>
      </c>
      <c r="E1768" s="98"/>
      <c r="F1768" s="67"/>
      <c r="G1768" s="66"/>
      <c r="H1768" s="68"/>
      <c r="I1768" s="36"/>
      <c r="J1768" s="68"/>
      <c r="K1768" s="69"/>
      <c r="L1768" s="69"/>
      <c r="M1768" s="69"/>
      <c r="N1768" s="69"/>
      <c r="O1768" s="69">
        <f>SUM(O1769:O1771)</f>
        <v>0</v>
      </c>
      <c r="P1768" s="69">
        <f>SUM(P1769:P1771)</f>
        <v>0</v>
      </c>
      <c r="Q1768" s="69">
        <f>SUM(Q1769:Q1771)</f>
        <v>0</v>
      </c>
      <c r="R1768" s="69">
        <f>SUM(R1769:R1771)</f>
        <v>0</v>
      </c>
      <c r="S1768" s="69"/>
      <c r="T1768" s="36"/>
      <c r="XDA1768"/>
      <c r="XDB1768"/>
      <c r="XDC1768"/>
      <c r="XDD1768"/>
      <c r="XDE1768"/>
      <c r="XDF1768"/>
      <c r="XDG1768"/>
      <c r="XDH1768"/>
      <c r="XDI1768"/>
      <c r="XDJ1768"/>
      <c r="XDK1768"/>
      <c r="XDL1768"/>
      <c r="XDM1768"/>
      <c r="XDN1768"/>
      <c r="XDO1768"/>
      <c r="XDP1768"/>
      <c r="XDQ1768"/>
      <c r="XDR1768"/>
      <c r="XDS1768"/>
      <c r="XDT1768"/>
      <c r="XDU1768"/>
      <c r="XDV1768"/>
      <c r="XDW1768"/>
      <c r="XDX1768"/>
      <c r="XDY1768"/>
      <c r="XDZ1768"/>
      <c r="XEA1768"/>
      <c r="XEB1768"/>
      <c r="XEC1768"/>
      <c r="XED1768"/>
      <c r="XEE1768"/>
      <c r="XEF1768"/>
      <c r="XEG1768"/>
      <c r="XEH1768"/>
      <c r="XEI1768"/>
      <c r="XEJ1768"/>
      <c r="XEK1768"/>
      <c r="XEL1768"/>
      <c r="XEM1768"/>
      <c r="XEN1768"/>
      <c r="XEO1768"/>
      <c r="XEP1768"/>
      <c r="XEQ1768"/>
      <c r="XER1768"/>
      <c r="XES1768"/>
      <c r="XET1768"/>
      <c r="XEU1768"/>
      <c r="XEV1768"/>
      <c r="XEW1768"/>
      <c r="XEX1768"/>
      <c r="XEY1768"/>
      <c r="XEZ1768"/>
      <c r="XFA1768"/>
      <c r="XFB1768"/>
      <c r="XFC1768"/>
    </row>
    <row r="1769" spans="1:20 16329:16383" s="38" customFormat="1" ht="29.1" customHeight="1" outlineLevel="6" x14ac:dyDescent="0.25">
      <c r="A1769" s="49" t="s">
        <v>2986</v>
      </c>
      <c r="B1769" s="50"/>
      <c r="C1769" s="50"/>
      <c r="D1769" s="3" t="s">
        <v>1884</v>
      </c>
      <c r="E1769" s="3"/>
      <c r="F1769" s="51"/>
      <c r="G1769" s="50" t="s">
        <v>102</v>
      </c>
      <c r="H1769" s="52">
        <f>1</f>
        <v>1</v>
      </c>
      <c r="I1769" s="36"/>
      <c r="J1769" s="52">
        <v>1</v>
      </c>
      <c r="K1769" s="53">
        <f>0</f>
        <v>0</v>
      </c>
      <c r="L1769" s="53">
        <f>0</f>
        <v>0</v>
      </c>
      <c r="M1769" s="53">
        <f>0</f>
        <v>0</v>
      </c>
      <c r="N1769" s="54">
        <f>SUM(K1769:M1769)</f>
        <v>0</v>
      </c>
      <c r="O1769" s="54">
        <f>ROUND((H1769*K1769),2)</f>
        <v>0</v>
      </c>
      <c r="P1769" s="54">
        <f>ROUND((H1769*L1769),2)</f>
        <v>0</v>
      </c>
      <c r="Q1769" s="54">
        <f>ROUND((H1769*M1769),2)</f>
        <v>0</v>
      </c>
      <c r="R1769" s="54">
        <f>ROUND((H1769*N1769),2)</f>
        <v>0</v>
      </c>
      <c r="S1769" s="54"/>
      <c r="T1769" s="36"/>
      <c r="XDA1769"/>
      <c r="XDB1769"/>
      <c r="XDC1769"/>
      <c r="XDD1769"/>
      <c r="XDE1769"/>
      <c r="XDF1769"/>
      <c r="XDG1769"/>
      <c r="XDH1769"/>
      <c r="XDI1769"/>
      <c r="XDJ1769"/>
      <c r="XDK1769"/>
      <c r="XDL1769"/>
      <c r="XDM1769"/>
      <c r="XDN1769"/>
      <c r="XDO1769"/>
      <c r="XDP1769"/>
      <c r="XDQ1769"/>
      <c r="XDR1769"/>
      <c r="XDS1769"/>
      <c r="XDT1769"/>
      <c r="XDU1769"/>
      <c r="XDV1769"/>
      <c r="XDW1769"/>
      <c r="XDX1769"/>
      <c r="XDY1769"/>
      <c r="XDZ1769"/>
      <c r="XEA1769"/>
      <c r="XEB1769"/>
      <c r="XEC1769"/>
      <c r="XED1769"/>
      <c r="XEE1769"/>
      <c r="XEF1769"/>
      <c r="XEG1769"/>
      <c r="XEH1769"/>
      <c r="XEI1769"/>
      <c r="XEJ1769"/>
      <c r="XEK1769"/>
      <c r="XEL1769"/>
      <c r="XEM1769"/>
      <c r="XEN1769"/>
      <c r="XEO1769"/>
      <c r="XEP1769"/>
      <c r="XEQ1769"/>
      <c r="XER1769"/>
      <c r="XES1769"/>
      <c r="XET1769"/>
      <c r="XEU1769"/>
      <c r="XEV1769"/>
      <c r="XEW1769"/>
      <c r="XEX1769"/>
      <c r="XEY1769"/>
      <c r="XEZ1769"/>
      <c r="XFA1769"/>
      <c r="XFB1769"/>
      <c r="XFC1769"/>
    </row>
    <row r="1770" spans="1:20 16329:16383" s="38" customFormat="1" ht="29.1" customHeight="1" outlineLevel="6" x14ac:dyDescent="0.25">
      <c r="A1770" s="49" t="s">
        <v>2987</v>
      </c>
      <c r="B1770" s="50"/>
      <c r="C1770" s="50"/>
      <c r="D1770" s="3" t="s">
        <v>2241</v>
      </c>
      <c r="E1770" s="3"/>
      <c r="F1770" s="51"/>
      <c r="G1770" s="50" t="s">
        <v>102</v>
      </c>
      <c r="H1770" s="52">
        <f>1</f>
        <v>1</v>
      </c>
      <c r="I1770" s="36"/>
      <c r="J1770" s="52">
        <v>1</v>
      </c>
      <c r="K1770" s="53">
        <f>0</f>
        <v>0</v>
      </c>
      <c r="L1770" s="53">
        <f>0</f>
        <v>0</v>
      </c>
      <c r="M1770" s="53">
        <f>0</f>
        <v>0</v>
      </c>
      <c r="N1770" s="54">
        <f>SUM(K1770:M1770)</f>
        <v>0</v>
      </c>
      <c r="O1770" s="54">
        <f>ROUND((H1770*K1770),2)</f>
        <v>0</v>
      </c>
      <c r="P1770" s="54">
        <f>ROUND((H1770*L1770),2)</f>
        <v>0</v>
      </c>
      <c r="Q1770" s="54">
        <f>ROUND((H1770*M1770),2)</f>
        <v>0</v>
      </c>
      <c r="R1770" s="54">
        <f>ROUND((H1770*N1770),2)</f>
        <v>0</v>
      </c>
      <c r="S1770" s="54"/>
      <c r="T1770" s="36"/>
      <c r="XDA1770"/>
      <c r="XDB1770"/>
      <c r="XDC1770"/>
      <c r="XDD1770"/>
      <c r="XDE1770"/>
      <c r="XDF1770"/>
      <c r="XDG1770"/>
      <c r="XDH1770"/>
      <c r="XDI1770"/>
      <c r="XDJ1770"/>
      <c r="XDK1770"/>
      <c r="XDL1770"/>
      <c r="XDM1770"/>
      <c r="XDN1770"/>
      <c r="XDO1770"/>
      <c r="XDP1770"/>
      <c r="XDQ1770"/>
      <c r="XDR1770"/>
      <c r="XDS1770"/>
      <c r="XDT1770"/>
      <c r="XDU1770"/>
      <c r="XDV1770"/>
      <c r="XDW1770"/>
      <c r="XDX1770"/>
      <c r="XDY1770"/>
      <c r="XDZ1770"/>
      <c r="XEA1770"/>
      <c r="XEB1770"/>
      <c r="XEC1770"/>
      <c r="XED1770"/>
      <c r="XEE1770"/>
      <c r="XEF1770"/>
      <c r="XEG1770"/>
      <c r="XEH1770"/>
      <c r="XEI1770"/>
      <c r="XEJ1770"/>
      <c r="XEK1770"/>
      <c r="XEL1770"/>
      <c r="XEM1770"/>
      <c r="XEN1770"/>
      <c r="XEO1770"/>
      <c r="XEP1770"/>
      <c r="XEQ1770"/>
      <c r="XER1770"/>
      <c r="XES1770"/>
      <c r="XET1770"/>
      <c r="XEU1770"/>
      <c r="XEV1770"/>
      <c r="XEW1770"/>
      <c r="XEX1770"/>
      <c r="XEY1770"/>
      <c r="XEZ1770"/>
      <c r="XFA1770"/>
      <c r="XFB1770"/>
      <c r="XFC1770"/>
    </row>
    <row r="1771" spans="1:20 16329:16383" s="38" customFormat="1" ht="29.1" customHeight="1" outlineLevel="6" x14ac:dyDescent="0.25">
      <c r="A1771" s="49" t="s">
        <v>2988</v>
      </c>
      <c r="B1771" s="50"/>
      <c r="C1771" s="50"/>
      <c r="D1771" s="3" t="s">
        <v>2989</v>
      </c>
      <c r="E1771" s="3"/>
      <c r="F1771" s="51"/>
      <c r="G1771" s="50" t="s">
        <v>102</v>
      </c>
      <c r="H1771" s="52">
        <f>1</f>
        <v>1</v>
      </c>
      <c r="I1771" s="36"/>
      <c r="J1771" s="52">
        <v>1</v>
      </c>
      <c r="K1771" s="53">
        <f>0</f>
        <v>0</v>
      </c>
      <c r="L1771" s="53">
        <f>0</f>
        <v>0</v>
      </c>
      <c r="M1771" s="53">
        <f>0</f>
        <v>0</v>
      </c>
      <c r="N1771" s="54">
        <f>SUM(K1771:M1771)</f>
        <v>0</v>
      </c>
      <c r="O1771" s="54">
        <f>ROUND((H1771*K1771),2)</f>
        <v>0</v>
      </c>
      <c r="P1771" s="54">
        <f>ROUND((H1771*L1771),2)</f>
        <v>0</v>
      </c>
      <c r="Q1771" s="54">
        <f>ROUND((H1771*M1771),2)</f>
        <v>0</v>
      </c>
      <c r="R1771" s="54">
        <f>ROUND((H1771*N1771),2)</f>
        <v>0</v>
      </c>
      <c r="S1771" s="54"/>
      <c r="T1771" s="36"/>
      <c r="XDA1771"/>
      <c r="XDB1771"/>
      <c r="XDC1771"/>
      <c r="XDD1771"/>
      <c r="XDE1771"/>
      <c r="XDF1771"/>
      <c r="XDG1771"/>
      <c r="XDH1771"/>
      <c r="XDI1771"/>
      <c r="XDJ1771"/>
      <c r="XDK1771"/>
      <c r="XDL1771"/>
      <c r="XDM1771"/>
      <c r="XDN1771"/>
      <c r="XDO1771"/>
      <c r="XDP1771"/>
      <c r="XDQ1771"/>
      <c r="XDR1771"/>
      <c r="XDS1771"/>
      <c r="XDT1771"/>
      <c r="XDU1771"/>
      <c r="XDV1771"/>
      <c r="XDW1771"/>
      <c r="XDX1771"/>
      <c r="XDY1771"/>
      <c r="XDZ1771"/>
      <c r="XEA1771"/>
      <c r="XEB1771"/>
      <c r="XEC1771"/>
      <c r="XED1771"/>
      <c r="XEE1771"/>
      <c r="XEF1771"/>
      <c r="XEG1771"/>
      <c r="XEH1771"/>
      <c r="XEI1771"/>
      <c r="XEJ1771"/>
      <c r="XEK1771"/>
      <c r="XEL1771"/>
      <c r="XEM1771"/>
      <c r="XEN1771"/>
      <c r="XEO1771"/>
      <c r="XEP1771"/>
      <c r="XEQ1771"/>
      <c r="XER1771"/>
      <c r="XES1771"/>
      <c r="XET1771"/>
      <c r="XEU1771"/>
      <c r="XEV1771"/>
      <c r="XEW1771"/>
      <c r="XEX1771"/>
      <c r="XEY1771"/>
      <c r="XEZ1771"/>
      <c r="XFA1771"/>
      <c r="XFB1771"/>
      <c r="XFC1771"/>
    </row>
    <row r="1772" spans="1:20 16329:16383" s="38" customFormat="1" ht="29.1" customHeight="1" outlineLevel="5" x14ac:dyDescent="0.25">
      <c r="A1772" s="65" t="s">
        <v>2990</v>
      </c>
      <c r="B1772" s="66" t="s">
        <v>2991</v>
      </c>
      <c r="C1772" s="66"/>
      <c r="D1772" s="98" t="s">
        <v>1498</v>
      </c>
      <c r="E1772" s="98"/>
      <c r="F1772" s="67"/>
      <c r="G1772" s="66"/>
      <c r="H1772" s="68"/>
      <c r="I1772" s="36"/>
      <c r="J1772" s="68"/>
      <c r="K1772" s="69"/>
      <c r="L1772" s="69"/>
      <c r="M1772" s="69"/>
      <c r="N1772" s="69"/>
      <c r="O1772" s="69">
        <f>SUM(O1773:O1777)</f>
        <v>0</v>
      </c>
      <c r="P1772" s="69">
        <f>SUM(P1773:P1777)</f>
        <v>0</v>
      </c>
      <c r="Q1772" s="69">
        <f>SUM(Q1773:Q1777)</f>
        <v>0</v>
      </c>
      <c r="R1772" s="69">
        <f>SUM(R1773:R1777)</f>
        <v>0</v>
      </c>
      <c r="S1772" s="69"/>
      <c r="T1772" s="36"/>
      <c r="XDA1772"/>
      <c r="XDB1772"/>
      <c r="XDC1772"/>
      <c r="XDD1772"/>
      <c r="XDE1772"/>
      <c r="XDF1772"/>
      <c r="XDG1772"/>
      <c r="XDH1772"/>
      <c r="XDI1772"/>
      <c r="XDJ1772"/>
      <c r="XDK1772"/>
      <c r="XDL1772"/>
      <c r="XDM1772"/>
      <c r="XDN1772"/>
      <c r="XDO1772"/>
      <c r="XDP1772"/>
      <c r="XDQ1772"/>
      <c r="XDR1772"/>
      <c r="XDS1772"/>
      <c r="XDT1772"/>
      <c r="XDU1772"/>
      <c r="XDV1772"/>
      <c r="XDW1772"/>
      <c r="XDX1772"/>
      <c r="XDY1772"/>
      <c r="XDZ1772"/>
      <c r="XEA1772"/>
      <c r="XEB1772"/>
      <c r="XEC1772"/>
      <c r="XED1772"/>
      <c r="XEE1772"/>
      <c r="XEF1772"/>
      <c r="XEG1772"/>
      <c r="XEH1772"/>
      <c r="XEI1772"/>
      <c r="XEJ1772"/>
      <c r="XEK1772"/>
      <c r="XEL1772"/>
      <c r="XEM1772"/>
      <c r="XEN1772"/>
      <c r="XEO1772"/>
      <c r="XEP1772"/>
      <c r="XEQ1772"/>
      <c r="XER1772"/>
      <c r="XES1772"/>
      <c r="XET1772"/>
      <c r="XEU1772"/>
      <c r="XEV1772"/>
      <c r="XEW1772"/>
      <c r="XEX1772"/>
      <c r="XEY1772"/>
      <c r="XEZ1772"/>
      <c r="XFA1772"/>
      <c r="XFB1772"/>
      <c r="XFC1772"/>
    </row>
    <row r="1773" spans="1:20 16329:16383" s="38" customFormat="1" ht="29.1" customHeight="1" outlineLevel="6" x14ac:dyDescent="0.25">
      <c r="A1773" s="49" t="s">
        <v>2992</v>
      </c>
      <c r="B1773" s="50"/>
      <c r="C1773" s="50"/>
      <c r="D1773" s="3" t="s">
        <v>2251</v>
      </c>
      <c r="E1773" s="3"/>
      <c r="F1773" s="51" t="s">
        <v>2252</v>
      </c>
      <c r="G1773" s="50" t="s">
        <v>29</v>
      </c>
      <c r="H1773" s="52">
        <f>1</f>
        <v>1</v>
      </c>
      <c r="I1773" s="36"/>
      <c r="J1773" s="52">
        <v>1</v>
      </c>
      <c r="K1773" s="53">
        <f>0</f>
        <v>0</v>
      </c>
      <c r="L1773" s="53">
        <f>0</f>
        <v>0</v>
      </c>
      <c r="M1773" s="53">
        <f>0</f>
        <v>0</v>
      </c>
      <c r="N1773" s="54">
        <f>SUM(K1773:M1773)</f>
        <v>0</v>
      </c>
      <c r="O1773" s="54">
        <f>ROUND((H1773*K1773),2)</f>
        <v>0</v>
      </c>
      <c r="P1773" s="54">
        <f>ROUND((H1773*L1773),2)</f>
        <v>0</v>
      </c>
      <c r="Q1773" s="54">
        <f>ROUND((H1773*M1773),2)</f>
        <v>0</v>
      </c>
      <c r="R1773" s="54">
        <f>ROUND((H1773*N1773),2)</f>
        <v>0</v>
      </c>
      <c r="S1773" s="54"/>
      <c r="T1773" s="36"/>
      <c r="XDA1773"/>
      <c r="XDB1773"/>
      <c r="XDC1773"/>
      <c r="XDD1773"/>
      <c r="XDE1773"/>
      <c r="XDF1773"/>
      <c r="XDG1773"/>
      <c r="XDH1773"/>
      <c r="XDI1773"/>
      <c r="XDJ1773"/>
      <c r="XDK1773"/>
      <c r="XDL1773"/>
      <c r="XDM1773"/>
      <c r="XDN1773"/>
      <c r="XDO1773"/>
      <c r="XDP1773"/>
      <c r="XDQ1773"/>
      <c r="XDR1773"/>
      <c r="XDS1773"/>
      <c r="XDT1773"/>
      <c r="XDU1773"/>
      <c r="XDV1773"/>
      <c r="XDW1773"/>
      <c r="XDX1773"/>
      <c r="XDY1773"/>
      <c r="XDZ1773"/>
      <c r="XEA1773"/>
      <c r="XEB1773"/>
      <c r="XEC1773"/>
      <c r="XED1773"/>
      <c r="XEE1773"/>
      <c r="XEF1773"/>
      <c r="XEG1773"/>
      <c r="XEH1773"/>
      <c r="XEI1773"/>
      <c r="XEJ1773"/>
      <c r="XEK1773"/>
      <c r="XEL1773"/>
      <c r="XEM1773"/>
      <c r="XEN1773"/>
      <c r="XEO1773"/>
      <c r="XEP1773"/>
      <c r="XEQ1773"/>
      <c r="XER1773"/>
      <c r="XES1773"/>
      <c r="XET1773"/>
      <c r="XEU1773"/>
      <c r="XEV1773"/>
      <c r="XEW1773"/>
      <c r="XEX1773"/>
      <c r="XEY1773"/>
      <c r="XEZ1773"/>
      <c r="XFA1773"/>
      <c r="XFB1773"/>
      <c r="XFC1773"/>
    </row>
    <row r="1774" spans="1:20 16329:16383" s="38" customFormat="1" ht="29.1" customHeight="1" outlineLevel="6" x14ac:dyDescent="0.25">
      <c r="A1774" s="49" t="s">
        <v>2993</v>
      </c>
      <c r="B1774" s="50"/>
      <c r="C1774" s="50"/>
      <c r="D1774" s="3" t="s">
        <v>2260</v>
      </c>
      <c r="E1774" s="3"/>
      <c r="F1774" s="51" t="s">
        <v>2252</v>
      </c>
      <c r="G1774" s="50" t="s">
        <v>29</v>
      </c>
      <c r="H1774" s="52">
        <f>1</f>
        <v>1</v>
      </c>
      <c r="I1774" s="36"/>
      <c r="J1774" s="52">
        <v>1</v>
      </c>
      <c r="K1774" s="53">
        <f>0</f>
        <v>0</v>
      </c>
      <c r="L1774" s="53">
        <f>0</f>
        <v>0</v>
      </c>
      <c r="M1774" s="53">
        <f>0</f>
        <v>0</v>
      </c>
      <c r="N1774" s="54">
        <f>SUM(K1774:M1774)</f>
        <v>0</v>
      </c>
      <c r="O1774" s="54">
        <f>ROUND((H1774*K1774),2)</f>
        <v>0</v>
      </c>
      <c r="P1774" s="54">
        <f>ROUND((H1774*L1774),2)</f>
        <v>0</v>
      </c>
      <c r="Q1774" s="54">
        <f>ROUND((H1774*M1774),2)</f>
        <v>0</v>
      </c>
      <c r="R1774" s="54">
        <f>ROUND((H1774*N1774),2)</f>
        <v>0</v>
      </c>
      <c r="S1774" s="54"/>
      <c r="T1774" s="36"/>
      <c r="XDA1774"/>
      <c r="XDB1774"/>
      <c r="XDC1774"/>
      <c r="XDD1774"/>
      <c r="XDE1774"/>
      <c r="XDF1774"/>
      <c r="XDG1774"/>
      <c r="XDH1774"/>
      <c r="XDI1774"/>
      <c r="XDJ1774"/>
      <c r="XDK1774"/>
      <c r="XDL1774"/>
      <c r="XDM1774"/>
      <c r="XDN1774"/>
      <c r="XDO1774"/>
      <c r="XDP1774"/>
      <c r="XDQ1774"/>
      <c r="XDR1774"/>
      <c r="XDS1774"/>
      <c r="XDT1774"/>
      <c r="XDU1774"/>
      <c r="XDV1774"/>
      <c r="XDW1774"/>
      <c r="XDX1774"/>
      <c r="XDY1774"/>
      <c r="XDZ1774"/>
      <c r="XEA1774"/>
      <c r="XEB1774"/>
      <c r="XEC1774"/>
      <c r="XED1774"/>
      <c r="XEE1774"/>
      <c r="XEF1774"/>
      <c r="XEG1774"/>
      <c r="XEH1774"/>
      <c r="XEI1774"/>
      <c r="XEJ1774"/>
      <c r="XEK1774"/>
      <c r="XEL1774"/>
      <c r="XEM1774"/>
      <c r="XEN1774"/>
      <c r="XEO1774"/>
      <c r="XEP1774"/>
      <c r="XEQ1774"/>
      <c r="XER1774"/>
      <c r="XES1774"/>
      <c r="XET1774"/>
      <c r="XEU1774"/>
      <c r="XEV1774"/>
      <c r="XEW1774"/>
      <c r="XEX1774"/>
      <c r="XEY1774"/>
      <c r="XEZ1774"/>
      <c r="XFA1774"/>
      <c r="XFB1774"/>
      <c r="XFC1774"/>
    </row>
    <row r="1775" spans="1:20 16329:16383" s="38" customFormat="1" ht="29.1" customHeight="1" outlineLevel="6" x14ac:dyDescent="0.25">
      <c r="A1775" s="49" t="s">
        <v>2994</v>
      </c>
      <c r="B1775" s="50"/>
      <c r="C1775" s="50"/>
      <c r="D1775" s="3" t="s">
        <v>2258</v>
      </c>
      <c r="E1775" s="3"/>
      <c r="F1775" s="51" t="s">
        <v>2252</v>
      </c>
      <c r="G1775" s="50" t="s">
        <v>29</v>
      </c>
      <c r="H1775" s="52">
        <f>1</f>
        <v>1</v>
      </c>
      <c r="I1775" s="36"/>
      <c r="J1775" s="52">
        <v>1</v>
      </c>
      <c r="K1775" s="53">
        <f>0</f>
        <v>0</v>
      </c>
      <c r="L1775" s="53">
        <f>0</f>
        <v>0</v>
      </c>
      <c r="M1775" s="53">
        <f>0</f>
        <v>0</v>
      </c>
      <c r="N1775" s="54">
        <f>SUM(K1775:M1775)</f>
        <v>0</v>
      </c>
      <c r="O1775" s="54">
        <f>ROUND((H1775*K1775),2)</f>
        <v>0</v>
      </c>
      <c r="P1775" s="54">
        <f>ROUND((H1775*L1775),2)</f>
        <v>0</v>
      </c>
      <c r="Q1775" s="54">
        <f>ROUND((H1775*M1775),2)</f>
        <v>0</v>
      </c>
      <c r="R1775" s="54">
        <f>ROUND((H1775*N1775),2)</f>
        <v>0</v>
      </c>
      <c r="S1775" s="54"/>
      <c r="T1775" s="36"/>
      <c r="XDA1775"/>
      <c r="XDB1775"/>
      <c r="XDC1775"/>
      <c r="XDD1775"/>
      <c r="XDE1775"/>
      <c r="XDF1775"/>
      <c r="XDG1775"/>
      <c r="XDH1775"/>
      <c r="XDI1775"/>
      <c r="XDJ1775"/>
      <c r="XDK1775"/>
      <c r="XDL1775"/>
      <c r="XDM1775"/>
      <c r="XDN1775"/>
      <c r="XDO1775"/>
      <c r="XDP1775"/>
      <c r="XDQ1775"/>
      <c r="XDR1775"/>
      <c r="XDS1775"/>
      <c r="XDT1775"/>
      <c r="XDU1775"/>
      <c r="XDV1775"/>
      <c r="XDW1775"/>
      <c r="XDX1775"/>
      <c r="XDY1775"/>
      <c r="XDZ1775"/>
      <c r="XEA1775"/>
      <c r="XEB1775"/>
      <c r="XEC1775"/>
      <c r="XED1775"/>
      <c r="XEE1775"/>
      <c r="XEF1775"/>
      <c r="XEG1775"/>
      <c r="XEH1775"/>
      <c r="XEI1775"/>
      <c r="XEJ1775"/>
      <c r="XEK1775"/>
      <c r="XEL1775"/>
      <c r="XEM1775"/>
      <c r="XEN1775"/>
      <c r="XEO1775"/>
      <c r="XEP1775"/>
      <c r="XEQ1775"/>
      <c r="XER1775"/>
      <c r="XES1775"/>
      <c r="XET1775"/>
      <c r="XEU1775"/>
      <c r="XEV1775"/>
      <c r="XEW1775"/>
      <c r="XEX1775"/>
      <c r="XEY1775"/>
      <c r="XEZ1775"/>
      <c r="XFA1775"/>
      <c r="XFB1775"/>
      <c r="XFC1775"/>
    </row>
    <row r="1776" spans="1:20 16329:16383" s="38" customFormat="1" ht="29.1" customHeight="1" outlineLevel="6" x14ac:dyDescent="0.25">
      <c r="A1776" s="49" t="s">
        <v>2995</v>
      </c>
      <c r="B1776" s="50"/>
      <c r="C1776" s="50"/>
      <c r="D1776" s="3" t="s">
        <v>2324</v>
      </c>
      <c r="E1776" s="3"/>
      <c r="F1776" s="51" t="s">
        <v>2252</v>
      </c>
      <c r="G1776" s="50" t="s">
        <v>29</v>
      </c>
      <c r="H1776" s="52">
        <f>1</f>
        <v>1</v>
      </c>
      <c r="I1776" s="36"/>
      <c r="J1776" s="52">
        <v>1</v>
      </c>
      <c r="K1776" s="53">
        <f>0</f>
        <v>0</v>
      </c>
      <c r="L1776" s="53">
        <f>0</f>
        <v>0</v>
      </c>
      <c r="M1776" s="53">
        <f>0</f>
        <v>0</v>
      </c>
      <c r="N1776" s="54">
        <f>SUM(K1776:M1776)</f>
        <v>0</v>
      </c>
      <c r="O1776" s="54">
        <f>ROUND((H1776*K1776),2)</f>
        <v>0</v>
      </c>
      <c r="P1776" s="54">
        <f>ROUND((H1776*L1776),2)</f>
        <v>0</v>
      </c>
      <c r="Q1776" s="54">
        <f>ROUND((H1776*M1776),2)</f>
        <v>0</v>
      </c>
      <c r="R1776" s="54">
        <f>ROUND((H1776*N1776),2)</f>
        <v>0</v>
      </c>
      <c r="S1776" s="54"/>
      <c r="T1776" s="36"/>
      <c r="XDA1776"/>
      <c r="XDB1776"/>
      <c r="XDC1776"/>
      <c r="XDD1776"/>
      <c r="XDE1776"/>
      <c r="XDF1776"/>
      <c r="XDG1776"/>
      <c r="XDH1776"/>
      <c r="XDI1776"/>
      <c r="XDJ1776"/>
      <c r="XDK1776"/>
      <c r="XDL1776"/>
      <c r="XDM1776"/>
      <c r="XDN1776"/>
      <c r="XDO1776"/>
      <c r="XDP1776"/>
      <c r="XDQ1776"/>
      <c r="XDR1776"/>
      <c r="XDS1776"/>
      <c r="XDT1776"/>
      <c r="XDU1776"/>
      <c r="XDV1776"/>
      <c r="XDW1776"/>
      <c r="XDX1776"/>
      <c r="XDY1776"/>
      <c r="XDZ1776"/>
      <c r="XEA1776"/>
      <c r="XEB1776"/>
      <c r="XEC1776"/>
      <c r="XED1776"/>
      <c r="XEE1776"/>
      <c r="XEF1776"/>
      <c r="XEG1776"/>
      <c r="XEH1776"/>
      <c r="XEI1776"/>
      <c r="XEJ1776"/>
      <c r="XEK1776"/>
      <c r="XEL1776"/>
      <c r="XEM1776"/>
      <c r="XEN1776"/>
      <c r="XEO1776"/>
      <c r="XEP1776"/>
      <c r="XEQ1776"/>
      <c r="XER1776"/>
      <c r="XES1776"/>
      <c r="XET1776"/>
      <c r="XEU1776"/>
      <c r="XEV1776"/>
      <c r="XEW1776"/>
      <c r="XEX1776"/>
      <c r="XEY1776"/>
      <c r="XEZ1776"/>
      <c r="XFA1776"/>
      <c r="XFB1776"/>
      <c r="XFC1776"/>
    </row>
    <row r="1777" spans="1:20 16329:16383" s="38" customFormat="1" ht="29.1" customHeight="1" outlineLevel="6" x14ac:dyDescent="0.25">
      <c r="A1777" s="49" t="s">
        <v>2996</v>
      </c>
      <c r="B1777" s="50"/>
      <c r="C1777" s="50"/>
      <c r="D1777" s="3" t="s">
        <v>2326</v>
      </c>
      <c r="E1777" s="3"/>
      <c r="F1777" s="51" t="s">
        <v>2252</v>
      </c>
      <c r="G1777" s="50" t="s">
        <v>29</v>
      </c>
      <c r="H1777" s="52">
        <f>1</f>
        <v>1</v>
      </c>
      <c r="I1777" s="36"/>
      <c r="J1777" s="52">
        <v>1</v>
      </c>
      <c r="K1777" s="53">
        <f>0</f>
        <v>0</v>
      </c>
      <c r="L1777" s="53">
        <f>0</f>
        <v>0</v>
      </c>
      <c r="M1777" s="53">
        <f>0</f>
        <v>0</v>
      </c>
      <c r="N1777" s="54">
        <f>SUM(K1777:M1777)</f>
        <v>0</v>
      </c>
      <c r="O1777" s="54">
        <f>ROUND((H1777*K1777),2)</f>
        <v>0</v>
      </c>
      <c r="P1777" s="54">
        <f>ROUND((H1777*L1777),2)</f>
        <v>0</v>
      </c>
      <c r="Q1777" s="54">
        <f>ROUND((H1777*M1777),2)</f>
        <v>0</v>
      </c>
      <c r="R1777" s="54">
        <f>ROUND((H1777*N1777),2)</f>
        <v>0</v>
      </c>
      <c r="S1777" s="54"/>
      <c r="T1777" s="36"/>
      <c r="XDA1777"/>
      <c r="XDB1777"/>
      <c r="XDC1777"/>
      <c r="XDD1777"/>
      <c r="XDE1777"/>
      <c r="XDF1777"/>
      <c r="XDG1777"/>
      <c r="XDH1777"/>
      <c r="XDI1777"/>
      <c r="XDJ1777"/>
      <c r="XDK1777"/>
      <c r="XDL1777"/>
      <c r="XDM1777"/>
      <c r="XDN1777"/>
      <c r="XDO1777"/>
      <c r="XDP1777"/>
      <c r="XDQ1777"/>
      <c r="XDR1777"/>
      <c r="XDS1777"/>
      <c r="XDT1777"/>
      <c r="XDU1777"/>
      <c r="XDV1777"/>
      <c r="XDW1777"/>
      <c r="XDX1777"/>
      <c r="XDY1777"/>
      <c r="XDZ1777"/>
      <c r="XEA1777"/>
      <c r="XEB1777"/>
      <c r="XEC1777"/>
      <c r="XED1777"/>
      <c r="XEE1777"/>
      <c r="XEF1777"/>
      <c r="XEG1777"/>
      <c r="XEH1777"/>
      <c r="XEI1777"/>
      <c r="XEJ1777"/>
      <c r="XEK1777"/>
      <c r="XEL1777"/>
      <c r="XEM1777"/>
      <c r="XEN1777"/>
      <c r="XEO1777"/>
      <c r="XEP1777"/>
      <c r="XEQ1777"/>
      <c r="XER1777"/>
      <c r="XES1777"/>
      <c r="XET1777"/>
      <c r="XEU1777"/>
      <c r="XEV1777"/>
      <c r="XEW1777"/>
      <c r="XEX1777"/>
      <c r="XEY1777"/>
      <c r="XEZ1777"/>
      <c r="XFA1777"/>
      <c r="XFB1777"/>
      <c r="XFC1777"/>
    </row>
    <row r="1778" spans="1:20 16329:16383" s="38" customFormat="1" ht="29.1" customHeight="1" outlineLevel="4" x14ac:dyDescent="0.25">
      <c r="A1778" s="60" t="s">
        <v>2997</v>
      </c>
      <c r="B1778" s="61" t="s">
        <v>2998</v>
      </c>
      <c r="C1778" s="61" t="s">
        <v>2382</v>
      </c>
      <c r="D1778" s="1" t="s">
        <v>2592</v>
      </c>
      <c r="E1778" s="1"/>
      <c r="F1778" s="62"/>
      <c r="G1778" s="61" t="s">
        <v>102</v>
      </c>
      <c r="H1778" s="63"/>
      <c r="I1778" s="36"/>
      <c r="J1778" s="63"/>
      <c r="K1778" s="64"/>
      <c r="L1778" s="64"/>
      <c r="M1778" s="64"/>
      <c r="N1778" s="64"/>
      <c r="O1778" s="64">
        <f>O1779+O1788+O1795+O1804</f>
        <v>0</v>
      </c>
      <c r="P1778" s="64">
        <f>P1779+P1788+P1795+P1804</f>
        <v>0</v>
      </c>
      <c r="Q1778" s="64">
        <f>Q1779+Q1788+Q1795+Q1804</f>
        <v>0</v>
      </c>
      <c r="R1778" s="64">
        <f>R1779+R1788+R1795+R1804</f>
        <v>0</v>
      </c>
      <c r="S1778" s="64"/>
      <c r="T1778" s="36"/>
      <c r="XDA1778"/>
      <c r="XDB1778"/>
      <c r="XDC1778"/>
      <c r="XDD1778"/>
      <c r="XDE1778"/>
      <c r="XDF1778"/>
      <c r="XDG1778"/>
      <c r="XDH1778"/>
      <c r="XDI1778"/>
      <c r="XDJ1778"/>
      <c r="XDK1778"/>
      <c r="XDL1778"/>
      <c r="XDM1778"/>
      <c r="XDN1778"/>
      <c r="XDO1778"/>
      <c r="XDP1778"/>
      <c r="XDQ1778"/>
      <c r="XDR1778"/>
      <c r="XDS1778"/>
      <c r="XDT1778"/>
      <c r="XDU1778"/>
      <c r="XDV1778"/>
      <c r="XDW1778"/>
      <c r="XDX1778"/>
      <c r="XDY1778"/>
      <c r="XDZ1778"/>
      <c r="XEA1778"/>
      <c r="XEB1778"/>
      <c r="XEC1778"/>
      <c r="XED1778"/>
      <c r="XEE1778"/>
      <c r="XEF1778"/>
      <c r="XEG1778"/>
      <c r="XEH1778"/>
      <c r="XEI1778"/>
      <c r="XEJ1778"/>
      <c r="XEK1778"/>
      <c r="XEL1778"/>
      <c r="XEM1778"/>
      <c r="XEN1778"/>
      <c r="XEO1778"/>
      <c r="XEP1778"/>
      <c r="XEQ1778"/>
      <c r="XER1778"/>
      <c r="XES1778"/>
      <c r="XET1778"/>
      <c r="XEU1778"/>
      <c r="XEV1778"/>
      <c r="XEW1778"/>
      <c r="XEX1778"/>
      <c r="XEY1778"/>
      <c r="XEZ1778"/>
      <c r="XFA1778"/>
      <c r="XFB1778"/>
      <c r="XFC1778"/>
    </row>
    <row r="1779" spans="1:20 16329:16383" s="38" customFormat="1" ht="29.1" customHeight="1" outlineLevel="5" x14ac:dyDescent="0.25">
      <c r="A1779" s="65" t="s">
        <v>2999</v>
      </c>
      <c r="B1779" s="66" t="s">
        <v>3000</v>
      </c>
      <c r="C1779" s="66"/>
      <c r="D1779" s="98" t="s">
        <v>1873</v>
      </c>
      <c r="E1779" s="98"/>
      <c r="F1779" s="67"/>
      <c r="G1779" s="66"/>
      <c r="H1779" s="68"/>
      <c r="I1779" s="36"/>
      <c r="J1779" s="68"/>
      <c r="K1779" s="69"/>
      <c r="L1779" s="69"/>
      <c r="M1779" s="69"/>
      <c r="N1779" s="69"/>
      <c r="O1779" s="69">
        <f>SUM(O1780:O1787)</f>
        <v>0</v>
      </c>
      <c r="P1779" s="69">
        <f>SUM(P1780:P1787)</f>
        <v>0</v>
      </c>
      <c r="Q1779" s="69">
        <f>SUM(Q1780:Q1787)</f>
        <v>0</v>
      </c>
      <c r="R1779" s="69">
        <f>SUM(R1780:R1787)</f>
        <v>0</v>
      </c>
      <c r="S1779" s="69"/>
      <c r="T1779" s="36"/>
      <c r="XDA1779"/>
      <c r="XDB1779"/>
      <c r="XDC1779"/>
      <c r="XDD1779"/>
      <c r="XDE1779"/>
      <c r="XDF1779"/>
      <c r="XDG1779"/>
      <c r="XDH1779"/>
      <c r="XDI1779"/>
      <c r="XDJ1779"/>
      <c r="XDK1779"/>
      <c r="XDL1779"/>
      <c r="XDM1779"/>
      <c r="XDN1779"/>
      <c r="XDO1779"/>
      <c r="XDP1779"/>
      <c r="XDQ1779"/>
      <c r="XDR1779"/>
      <c r="XDS1779"/>
      <c r="XDT1779"/>
      <c r="XDU1779"/>
      <c r="XDV1779"/>
      <c r="XDW1779"/>
      <c r="XDX1779"/>
      <c r="XDY1779"/>
      <c r="XDZ1779"/>
      <c r="XEA1779"/>
      <c r="XEB1779"/>
      <c r="XEC1779"/>
      <c r="XED1779"/>
      <c r="XEE1779"/>
      <c r="XEF1779"/>
      <c r="XEG1779"/>
      <c r="XEH1779"/>
      <c r="XEI1779"/>
      <c r="XEJ1779"/>
      <c r="XEK1779"/>
      <c r="XEL1779"/>
      <c r="XEM1779"/>
      <c r="XEN1779"/>
      <c r="XEO1779"/>
      <c r="XEP1779"/>
      <c r="XEQ1779"/>
      <c r="XER1779"/>
      <c r="XES1779"/>
      <c r="XET1779"/>
      <c r="XEU1779"/>
      <c r="XEV1779"/>
      <c r="XEW1779"/>
      <c r="XEX1779"/>
      <c r="XEY1779"/>
      <c r="XEZ1779"/>
      <c r="XFA1779"/>
      <c r="XFB1779"/>
      <c r="XFC1779"/>
    </row>
    <row r="1780" spans="1:20 16329:16383" s="38" customFormat="1" ht="29.1" customHeight="1" outlineLevel="6" x14ac:dyDescent="0.25">
      <c r="A1780" s="49" t="s">
        <v>3001</v>
      </c>
      <c r="B1780" s="50"/>
      <c r="C1780" s="50"/>
      <c r="D1780" s="3" t="s">
        <v>2387</v>
      </c>
      <c r="E1780" s="3"/>
      <c r="F1780" s="51"/>
      <c r="G1780" s="50" t="s">
        <v>102</v>
      </c>
      <c r="H1780" s="52">
        <f>1</f>
        <v>1</v>
      </c>
      <c r="I1780" s="36"/>
      <c r="J1780" s="52">
        <v>1</v>
      </c>
      <c r="K1780" s="53">
        <f>0</f>
        <v>0</v>
      </c>
      <c r="L1780" s="53">
        <f>0</f>
        <v>0</v>
      </c>
      <c r="M1780" s="53">
        <f>0</f>
        <v>0</v>
      </c>
      <c r="N1780" s="54">
        <f t="shared" ref="N1780:N1787" si="349">SUM(K1780:M1780)</f>
        <v>0</v>
      </c>
      <c r="O1780" s="54">
        <f t="shared" ref="O1780:O1787" si="350">ROUND((H1780*K1780),2)</f>
        <v>0</v>
      </c>
      <c r="P1780" s="54">
        <f t="shared" ref="P1780:P1787" si="351">ROUND((H1780*L1780),2)</f>
        <v>0</v>
      </c>
      <c r="Q1780" s="54">
        <f t="shared" ref="Q1780:Q1787" si="352">ROUND((H1780*M1780),2)</f>
        <v>0</v>
      </c>
      <c r="R1780" s="54">
        <f t="shared" ref="R1780:R1787" si="353">ROUND((H1780*N1780),2)</f>
        <v>0</v>
      </c>
      <c r="S1780" s="54"/>
      <c r="T1780" s="36"/>
      <c r="XDA1780"/>
      <c r="XDB1780"/>
      <c r="XDC1780"/>
      <c r="XDD1780"/>
      <c r="XDE1780"/>
      <c r="XDF1780"/>
      <c r="XDG1780"/>
      <c r="XDH1780"/>
      <c r="XDI1780"/>
      <c r="XDJ1780"/>
      <c r="XDK1780"/>
      <c r="XDL1780"/>
      <c r="XDM1780"/>
      <c r="XDN1780"/>
      <c r="XDO1780"/>
      <c r="XDP1780"/>
      <c r="XDQ1780"/>
      <c r="XDR1780"/>
      <c r="XDS1780"/>
      <c r="XDT1780"/>
      <c r="XDU1780"/>
      <c r="XDV1780"/>
      <c r="XDW1780"/>
      <c r="XDX1780"/>
      <c r="XDY1780"/>
      <c r="XDZ1780"/>
      <c r="XEA1780"/>
      <c r="XEB1780"/>
      <c r="XEC1780"/>
      <c r="XED1780"/>
      <c r="XEE1780"/>
      <c r="XEF1780"/>
      <c r="XEG1780"/>
      <c r="XEH1780"/>
      <c r="XEI1780"/>
      <c r="XEJ1780"/>
      <c r="XEK1780"/>
      <c r="XEL1780"/>
      <c r="XEM1780"/>
      <c r="XEN1780"/>
      <c r="XEO1780"/>
      <c r="XEP1780"/>
      <c r="XEQ1780"/>
      <c r="XER1780"/>
      <c r="XES1780"/>
      <c r="XET1780"/>
      <c r="XEU1780"/>
      <c r="XEV1780"/>
      <c r="XEW1780"/>
      <c r="XEX1780"/>
      <c r="XEY1780"/>
      <c r="XEZ1780"/>
      <c r="XFA1780"/>
      <c r="XFB1780"/>
      <c r="XFC1780"/>
    </row>
    <row r="1781" spans="1:20 16329:16383" s="38" customFormat="1" ht="29.1" customHeight="1" outlineLevel="6" x14ac:dyDescent="0.25">
      <c r="A1781" s="49" t="s">
        <v>3002</v>
      </c>
      <c r="B1781" s="50"/>
      <c r="C1781" s="50"/>
      <c r="D1781" s="3" t="s">
        <v>1875</v>
      </c>
      <c r="E1781" s="3"/>
      <c r="F1781" s="51"/>
      <c r="G1781" s="50" t="s">
        <v>102</v>
      </c>
      <c r="H1781" s="52">
        <f>1</f>
        <v>1</v>
      </c>
      <c r="I1781" s="36"/>
      <c r="J1781" s="52">
        <v>1</v>
      </c>
      <c r="K1781" s="53">
        <f>0</f>
        <v>0</v>
      </c>
      <c r="L1781" s="53">
        <f>0</f>
        <v>0</v>
      </c>
      <c r="M1781" s="53">
        <f>0</f>
        <v>0</v>
      </c>
      <c r="N1781" s="54">
        <f t="shared" si="349"/>
        <v>0</v>
      </c>
      <c r="O1781" s="54">
        <f t="shared" si="350"/>
        <v>0</v>
      </c>
      <c r="P1781" s="54">
        <f t="shared" si="351"/>
        <v>0</v>
      </c>
      <c r="Q1781" s="54">
        <f t="shared" si="352"/>
        <v>0</v>
      </c>
      <c r="R1781" s="54">
        <f t="shared" si="353"/>
        <v>0</v>
      </c>
      <c r="S1781" s="54"/>
      <c r="T1781" s="36"/>
      <c r="XDA1781"/>
      <c r="XDB1781"/>
      <c r="XDC1781"/>
      <c r="XDD1781"/>
      <c r="XDE1781"/>
      <c r="XDF1781"/>
      <c r="XDG1781"/>
      <c r="XDH1781"/>
      <c r="XDI1781"/>
      <c r="XDJ1781"/>
      <c r="XDK1781"/>
      <c r="XDL1781"/>
      <c r="XDM1781"/>
      <c r="XDN1781"/>
      <c r="XDO1781"/>
      <c r="XDP1781"/>
      <c r="XDQ1781"/>
      <c r="XDR1781"/>
      <c r="XDS1781"/>
      <c r="XDT1781"/>
      <c r="XDU1781"/>
      <c r="XDV1781"/>
      <c r="XDW1781"/>
      <c r="XDX1781"/>
      <c r="XDY1781"/>
      <c r="XDZ1781"/>
      <c r="XEA1781"/>
      <c r="XEB1781"/>
      <c r="XEC1781"/>
      <c r="XED1781"/>
      <c r="XEE1781"/>
      <c r="XEF1781"/>
      <c r="XEG1781"/>
      <c r="XEH1781"/>
      <c r="XEI1781"/>
      <c r="XEJ1781"/>
      <c r="XEK1781"/>
      <c r="XEL1781"/>
      <c r="XEM1781"/>
      <c r="XEN1781"/>
      <c r="XEO1781"/>
      <c r="XEP1781"/>
      <c r="XEQ1781"/>
      <c r="XER1781"/>
      <c r="XES1781"/>
      <c r="XET1781"/>
      <c r="XEU1781"/>
      <c r="XEV1781"/>
      <c r="XEW1781"/>
      <c r="XEX1781"/>
      <c r="XEY1781"/>
      <c r="XEZ1781"/>
      <c r="XFA1781"/>
      <c r="XFB1781"/>
      <c r="XFC1781"/>
    </row>
    <row r="1782" spans="1:20 16329:16383" s="38" customFormat="1" ht="29.1" customHeight="1" outlineLevel="6" x14ac:dyDescent="0.25">
      <c r="A1782" s="49" t="s">
        <v>3003</v>
      </c>
      <c r="B1782" s="50"/>
      <c r="C1782" s="50"/>
      <c r="D1782" s="3" t="s">
        <v>2390</v>
      </c>
      <c r="E1782" s="3"/>
      <c r="F1782" s="51"/>
      <c r="G1782" s="50" t="s">
        <v>102</v>
      </c>
      <c r="H1782" s="52">
        <f>1</f>
        <v>1</v>
      </c>
      <c r="I1782" s="36"/>
      <c r="J1782" s="52">
        <v>1</v>
      </c>
      <c r="K1782" s="53">
        <f>0</f>
        <v>0</v>
      </c>
      <c r="L1782" s="53">
        <f>0</f>
        <v>0</v>
      </c>
      <c r="M1782" s="53">
        <f>0</f>
        <v>0</v>
      </c>
      <c r="N1782" s="54">
        <f t="shared" si="349"/>
        <v>0</v>
      </c>
      <c r="O1782" s="54">
        <f t="shared" si="350"/>
        <v>0</v>
      </c>
      <c r="P1782" s="54">
        <f t="shared" si="351"/>
        <v>0</v>
      </c>
      <c r="Q1782" s="54">
        <f t="shared" si="352"/>
        <v>0</v>
      </c>
      <c r="R1782" s="54">
        <f t="shared" si="353"/>
        <v>0</v>
      </c>
      <c r="S1782" s="54"/>
      <c r="T1782" s="36"/>
      <c r="XDA1782"/>
      <c r="XDB1782"/>
      <c r="XDC1782"/>
      <c r="XDD1782"/>
      <c r="XDE1782"/>
      <c r="XDF1782"/>
      <c r="XDG1782"/>
      <c r="XDH1782"/>
      <c r="XDI1782"/>
      <c r="XDJ1782"/>
      <c r="XDK1782"/>
      <c r="XDL1782"/>
      <c r="XDM1782"/>
      <c r="XDN1782"/>
      <c r="XDO1782"/>
      <c r="XDP1782"/>
      <c r="XDQ1782"/>
      <c r="XDR1782"/>
      <c r="XDS1782"/>
      <c r="XDT1782"/>
      <c r="XDU1782"/>
      <c r="XDV1782"/>
      <c r="XDW1782"/>
      <c r="XDX1782"/>
      <c r="XDY1782"/>
      <c r="XDZ1782"/>
      <c r="XEA1782"/>
      <c r="XEB1782"/>
      <c r="XEC1782"/>
      <c r="XED1782"/>
      <c r="XEE1782"/>
      <c r="XEF1782"/>
      <c r="XEG1782"/>
      <c r="XEH1782"/>
      <c r="XEI1782"/>
      <c r="XEJ1782"/>
      <c r="XEK1782"/>
      <c r="XEL1782"/>
      <c r="XEM1782"/>
      <c r="XEN1782"/>
      <c r="XEO1782"/>
      <c r="XEP1782"/>
      <c r="XEQ1782"/>
      <c r="XER1782"/>
      <c r="XES1782"/>
      <c r="XET1782"/>
      <c r="XEU1782"/>
      <c r="XEV1782"/>
      <c r="XEW1782"/>
      <c r="XEX1782"/>
      <c r="XEY1782"/>
      <c r="XEZ1782"/>
      <c r="XFA1782"/>
      <c r="XFB1782"/>
      <c r="XFC1782"/>
    </row>
    <row r="1783" spans="1:20 16329:16383" s="38" customFormat="1" ht="29.1" customHeight="1" outlineLevel="6" x14ac:dyDescent="0.25">
      <c r="A1783" s="49" t="s">
        <v>3004</v>
      </c>
      <c r="B1783" s="50"/>
      <c r="C1783" s="50"/>
      <c r="D1783" s="3" t="s">
        <v>2392</v>
      </c>
      <c r="E1783" s="3"/>
      <c r="F1783" s="51"/>
      <c r="G1783" s="50" t="s">
        <v>102</v>
      </c>
      <c r="H1783" s="52">
        <f>1</f>
        <v>1</v>
      </c>
      <c r="I1783" s="36"/>
      <c r="J1783" s="52">
        <v>1</v>
      </c>
      <c r="K1783" s="53">
        <f>0</f>
        <v>0</v>
      </c>
      <c r="L1783" s="53">
        <f>0</f>
        <v>0</v>
      </c>
      <c r="M1783" s="53">
        <f>0</f>
        <v>0</v>
      </c>
      <c r="N1783" s="54">
        <f t="shared" si="349"/>
        <v>0</v>
      </c>
      <c r="O1783" s="54">
        <f t="shared" si="350"/>
        <v>0</v>
      </c>
      <c r="P1783" s="54">
        <f t="shared" si="351"/>
        <v>0</v>
      </c>
      <c r="Q1783" s="54">
        <f t="shared" si="352"/>
        <v>0</v>
      </c>
      <c r="R1783" s="54">
        <f t="shared" si="353"/>
        <v>0</v>
      </c>
      <c r="S1783" s="54"/>
      <c r="T1783" s="36"/>
      <c r="XDA1783"/>
      <c r="XDB1783"/>
      <c r="XDC1783"/>
      <c r="XDD1783"/>
      <c r="XDE1783"/>
      <c r="XDF1783"/>
      <c r="XDG1783"/>
      <c r="XDH1783"/>
      <c r="XDI1783"/>
      <c r="XDJ1783"/>
      <c r="XDK1783"/>
      <c r="XDL1783"/>
      <c r="XDM1783"/>
      <c r="XDN1783"/>
      <c r="XDO1783"/>
      <c r="XDP1783"/>
      <c r="XDQ1783"/>
      <c r="XDR1783"/>
      <c r="XDS1783"/>
      <c r="XDT1783"/>
      <c r="XDU1783"/>
      <c r="XDV1783"/>
      <c r="XDW1783"/>
      <c r="XDX1783"/>
      <c r="XDY1783"/>
      <c r="XDZ1783"/>
      <c r="XEA1783"/>
      <c r="XEB1783"/>
      <c r="XEC1783"/>
      <c r="XED1783"/>
      <c r="XEE1783"/>
      <c r="XEF1783"/>
      <c r="XEG1783"/>
      <c r="XEH1783"/>
      <c r="XEI1783"/>
      <c r="XEJ1783"/>
      <c r="XEK1783"/>
      <c r="XEL1783"/>
      <c r="XEM1783"/>
      <c r="XEN1783"/>
      <c r="XEO1783"/>
      <c r="XEP1783"/>
      <c r="XEQ1783"/>
      <c r="XER1783"/>
      <c r="XES1783"/>
      <c r="XET1783"/>
      <c r="XEU1783"/>
      <c r="XEV1783"/>
      <c r="XEW1783"/>
      <c r="XEX1783"/>
      <c r="XEY1783"/>
      <c r="XEZ1783"/>
      <c r="XFA1783"/>
      <c r="XFB1783"/>
      <c r="XFC1783"/>
    </row>
    <row r="1784" spans="1:20 16329:16383" s="38" customFormat="1" ht="29.1" customHeight="1" outlineLevel="6" x14ac:dyDescent="0.25">
      <c r="A1784" s="49" t="s">
        <v>3005</v>
      </c>
      <c r="B1784" s="50"/>
      <c r="C1784" s="50"/>
      <c r="D1784" s="3" t="s">
        <v>2394</v>
      </c>
      <c r="E1784" s="3"/>
      <c r="F1784" s="51"/>
      <c r="G1784" s="50" t="s">
        <v>102</v>
      </c>
      <c r="H1784" s="52">
        <f>1</f>
        <v>1</v>
      </c>
      <c r="I1784" s="36"/>
      <c r="J1784" s="52">
        <v>1</v>
      </c>
      <c r="K1784" s="53">
        <f>0</f>
        <v>0</v>
      </c>
      <c r="L1784" s="53">
        <f>0</f>
        <v>0</v>
      </c>
      <c r="M1784" s="53">
        <f>0</f>
        <v>0</v>
      </c>
      <c r="N1784" s="54">
        <f t="shared" si="349"/>
        <v>0</v>
      </c>
      <c r="O1784" s="54">
        <f t="shared" si="350"/>
        <v>0</v>
      </c>
      <c r="P1784" s="54">
        <f t="shared" si="351"/>
        <v>0</v>
      </c>
      <c r="Q1784" s="54">
        <f t="shared" si="352"/>
        <v>0</v>
      </c>
      <c r="R1784" s="54">
        <f t="shared" si="353"/>
        <v>0</v>
      </c>
      <c r="S1784" s="54"/>
      <c r="T1784" s="36"/>
      <c r="XDA1784"/>
      <c r="XDB1784"/>
      <c r="XDC1784"/>
      <c r="XDD1784"/>
      <c r="XDE1784"/>
      <c r="XDF1784"/>
      <c r="XDG1784"/>
      <c r="XDH1784"/>
      <c r="XDI1784"/>
      <c r="XDJ1784"/>
      <c r="XDK1784"/>
      <c r="XDL1784"/>
      <c r="XDM1784"/>
      <c r="XDN1784"/>
      <c r="XDO1784"/>
      <c r="XDP1784"/>
      <c r="XDQ1784"/>
      <c r="XDR1784"/>
      <c r="XDS1784"/>
      <c r="XDT1784"/>
      <c r="XDU1784"/>
      <c r="XDV1784"/>
      <c r="XDW1784"/>
      <c r="XDX1784"/>
      <c r="XDY1784"/>
      <c r="XDZ1784"/>
      <c r="XEA1784"/>
      <c r="XEB1784"/>
      <c r="XEC1784"/>
      <c r="XED1784"/>
      <c r="XEE1784"/>
      <c r="XEF1784"/>
      <c r="XEG1784"/>
      <c r="XEH1784"/>
      <c r="XEI1784"/>
      <c r="XEJ1784"/>
      <c r="XEK1784"/>
      <c r="XEL1784"/>
      <c r="XEM1784"/>
      <c r="XEN1784"/>
      <c r="XEO1784"/>
      <c r="XEP1784"/>
      <c r="XEQ1784"/>
      <c r="XER1784"/>
      <c r="XES1784"/>
      <c r="XET1784"/>
      <c r="XEU1784"/>
      <c r="XEV1784"/>
      <c r="XEW1784"/>
      <c r="XEX1784"/>
      <c r="XEY1784"/>
      <c r="XEZ1784"/>
      <c r="XFA1784"/>
      <c r="XFB1784"/>
      <c r="XFC1784"/>
    </row>
    <row r="1785" spans="1:20 16329:16383" s="38" customFormat="1" ht="29.1" customHeight="1" outlineLevel="6" x14ac:dyDescent="0.25">
      <c r="A1785" s="49" t="s">
        <v>3006</v>
      </c>
      <c r="B1785" s="50"/>
      <c r="C1785" s="50"/>
      <c r="D1785" s="3" t="s">
        <v>3007</v>
      </c>
      <c r="E1785" s="3"/>
      <c r="F1785" s="51"/>
      <c r="G1785" s="50" t="s">
        <v>102</v>
      </c>
      <c r="H1785" s="52">
        <f>1</f>
        <v>1</v>
      </c>
      <c r="I1785" s="36"/>
      <c r="J1785" s="52">
        <v>1</v>
      </c>
      <c r="K1785" s="53">
        <f>0</f>
        <v>0</v>
      </c>
      <c r="L1785" s="53">
        <f>0</f>
        <v>0</v>
      </c>
      <c r="M1785" s="53">
        <f>0</f>
        <v>0</v>
      </c>
      <c r="N1785" s="54">
        <f t="shared" si="349"/>
        <v>0</v>
      </c>
      <c r="O1785" s="54">
        <f t="shared" si="350"/>
        <v>0</v>
      </c>
      <c r="P1785" s="54">
        <f t="shared" si="351"/>
        <v>0</v>
      </c>
      <c r="Q1785" s="54">
        <f t="shared" si="352"/>
        <v>0</v>
      </c>
      <c r="R1785" s="54">
        <f t="shared" si="353"/>
        <v>0</v>
      </c>
      <c r="S1785" s="54"/>
      <c r="T1785" s="36"/>
      <c r="XDA1785"/>
      <c r="XDB1785"/>
      <c r="XDC1785"/>
      <c r="XDD1785"/>
      <c r="XDE1785"/>
      <c r="XDF1785"/>
      <c r="XDG1785"/>
      <c r="XDH1785"/>
      <c r="XDI1785"/>
      <c r="XDJ1785"/>
      <c r="XDK1785"/>
      <c r="XDL1785"/>
      <c r="XDM1785"/>
      <c r="XDN1785"/>
      <c r="XDO1785"/>
      <c r="XDP1785"/>
      <c r="XDQ1785"/>
      <c r="XDR1785"/>
      <c r="XDS1785"/>
      <c r="XDT1785"/>
      <c r="XDU1785"/>
      <c r="XDV1785"/>
      <c r="XDW1785"/>
      <c r="XDX1785"/>
      <c r="XDY1785"/>
      <c r="XDZ1785"/>
      <c r="XEA1785"/>
      <c r="XEB1785"/>
      <c r="XEC1785"/>
      <c r="XED1785"/>
      <c r="XEE1785"/>
      <c r="XEF1785"/>
      <c r="XEG1785"/>
      <c r="XEH1785"/>
      <c r="XEI1785"/>
      <c r="XEJ1785"/>
      <c r="XEK1785"/>
      <c r="XEL1785"/>
      <c r="XEM1785"/>
      <c r="XEN1785"/>
      <c r="XEO1785"/>
      <c r="XEP1785"/>
      <c r="XEQ1785"/>
      <c r="XER1785"/>
      <c r="XES1785"/>
      <c r="XET1785"/>
      <c r="XEU1785"/>
      <c r="XEV1785"/>
      <c r="XEW1785"/>
      <c r="XEX1785"/>
      <c r="XEY1785"/>
      <c r="XEZ1785"/>
      <c r="XFA1785"/>
      <c r="XFB1785"/>
      <c r="XFC1785"/>
    </row>
    <row r="1786" spans="1:20 16329:16383" s="38" customFormat="1" ht="29.1" customHeight="1" outlineLevel="6" x14ac:dyDescent="0.25">
      <c r="A1786" s="49" t="s">
        <v>3008</v>
      </c>
      <c r="B1786" s="50"/>
      <c r="C1786" s="50"/>
      <c r="D1786" s="3" t="s">
        <v>2206</v>
      </c>
      <c r="E1786" s="3"/>
      <c r="F1786" s="51"/>
      <c r="G1786" s="50" t="s">
        <v>194</v>
      </c>
      <c r="H1786" s="52">
        <f>1</f>
        <v>1</v>
      </c>
      <c r="I1786" s="36"/>
      <c r="J1786" s="52">
        <v>1</v>
      </c>
      <c r="K1786" s="53">
        <f>0</f>
        <v>0</v>
      </c>
      <c r="L1786" s="53">
        <f>0</f>
        <v>0</v>
      </c>
      <c r="M1786" s="53">
        <f>0</f>
        <v>0</v>
      </c>
      <c r="N1786" s="54">
        <f t="shared" si="349"/>
        <v>0</v>
      </c>
      <c r="O1786" s="54">
        <f t="shared" si="350"/>
        <v>0</v>
      </c>
      <c r="P1786" s="54">
        <f t="shared" si="351"/>
        <v>0</v>
      </c>
      <c r="Q1786" s="54">
        <f t="shared" si="352"/>
        <v>0</v>
      </c>
      <c r="R1786" s="54">
        <f t="shared" si="353"/>
        <v>0</v>
      </c>
      <c r="S1786" s="54"/>
      <c r="T1786" s="36"/>
      <c r="XDA1786"/>
      <c r="XDB1786"/>
      <c r="XDC1786"/>
      <c r="XDD1786"/>
      <c r="XDE1786"/>
      <c r="XDF1786"/>
      <c r="XDG1786"/>
      <c r="XDH1786"/>
      <c r="XDI1786"/>
      <c r="XDJ1786"/>
      <c r="XDK1786"/>
      <c r="XDL1786"/>
      <c r="XDM1786"/>
      <c r="XDN1786"/>
      <c r="XDO1786"/>
      <c r="XDP1786"/>
      <c r="XDQ1786"/>
      <c r="XDR1786"/>
      <c r="XDS1786"/>
      <c r="XDT1786"/>
      <c r="XDU1786"/>
      <c r="XDV1786"/>
      <c r="XDW1786"/>
      <c r="XDX1786"/>
      <c r="XDY1786"/>
      <c r="XDZ1786"/>
      <c r="XEA1786"/>
      <c r="XEB1786"/>
      <c r="XEC1786"/>
      <c r="XED1786"/>
      <c r="XEE1786"/>
      <c r="XEF1786"/>
      <c r="XEG1786"/>
      <c r="XEH1786"/>
      <c r="XEI1786"/>
      <c r="XEJ1786"/>
      <c r="XEK1786"/>
      <c r="XEL1786"/>
      <c r="XEM1786"/>
      <c r="XEN1786"/>
      <c r="XEO1786"/>
      <c r="XEP1786"/>
      <c r="XEQ1786"/>
      <c r="XER1786"/>
      <c r="XES1786"/>
      <c r="XET1786"/>
      <c r="XEU1786"/>
      <c r="XEV1786"/>
      <c r="XEW1786"/>
      <c r="XEX1786"/>
      <c r="XEY1786"/>
      <c r="XEZ1786"/>
      <c r="XFA1786"/>
      <c r="XFB1786"/>
      <c r="XFC1786"/>
    </row>
    <row r="1787" spans="1:20 16329:16383" s="38" customFormat="1" ht="29.1" customHeight="1" outlineLevel="6" x14ac:dyDescent="0.25">
      <c r="A1787" s="49" t="s">
        <v>3009</v>
      </c>
      <c r="B1787" s="50"/>
      <c r="C1787" s="50"/>
      <c r="D1787" s="3" t="s">
        <v>2278</v>
      </c>
      <c r="E1787" s="3"/>
      <c r="F1787" s="51"/>
      <c r="G1787" s="50" t="s">
        <v>194</v>
      </c>
      <c r="H1787" s="52">
        <f>1</f>
        <v>1</v>
      </c>
      <c r="I1787" s="36"/>
      <c r="J1787" s="52">
        <v>1</v>
      </c>
      <c r="K1787" s="53">
        <f>0</f>
        <v>0</v>
      </c>
      <c r="L1787" s="53">
        <f>0</f>
        <v>0</v>
      </c>
      <c r="M1787" s="53">
        <f>0</f>
        <v>0</v>
      </c>
      <c r="N1787" s="54">
        <f t="shared" si="349"/>
        <v>0</v>
      </c>
      <c r="O1787" s="54">
        <f t="shared" si="350"/>
        <v>0</v>
      </c>
      <c r="P1787" s="54">
        <f t="shared" si="351"/>
        <v>0</v>
      </c>
      <c r="Q1787" s="54">
        <f t="shared" si="352"/>
        <v>0</v>
      </c>
      <c r="R1787" s="54">
        <f t="shared" si="353"/>
        <v>0</v>
      </c>
      <c r="S1787" s="54"/>
      <c r="T1787" s="36"/>
      <c r="XDA1787"/>
      <c r="XDB1787"/>
      <c r="XDC1787"/>
      <c r="XDD1787"/>
      <c r="XDE1787"/>
      <c r="XDF1787"/>
      <c r="XDG1787"/>
      <c r="XDH1787"/>
      <c r="XDI1787"/>
      <c r="XDJ1787"/>
      <c r="XDK1787"/>
      <c r="XDL1787"/>
      <c r="XDM1787"/>
      <c r="XDN1787"/>
      <c r="XDO1787"/>
      <c r="XDP1787"/>
      <c r="XDQ1787"/>
      <c r="XDR1787"/>
      <c r="XDS1787"/>
      <c r="XDT1787"/>
      <c r="XDU1787"/>
      <c r="XDV1787"/>
      <c r="XDW1787"/>
      <c r="XDX1787"/>
      <c r="XDY1787"/>
      <c r="XDZ1787"/>
      <c r="XEA1787"/>
      <c r="XEB1787"/>
      <c r="XEC1787"/>
      <c r="XED1787"/>
      <c r="XEE1787"/>
      <c r="XEF1787"/>
      <c r="XEG1787"/>
      <c r="XEH1787"/>
      <c r="XEI1787"/>
      <c r="XEJ1787"/>
      <c r="XEK1787"/>
      <c r="XEL1787"/>
      <c r="XEM1787"/>
      <c r="XEN1787"/>
      <c r="XEO1787"/>
      <c r="XEP1787"/>
      <c r="XEQ1787"/>
      <c r="XER1787"/>
      <c r="XES1787"/>
      <c r="XET1787"/>
      <c r="XEU1787"/>
      <c r="XEV1787"/>
      <c r="XEW1787"/>
      <c r="XEX1787"/>
      <c r="XEY1787"/>
      <c r="XEZ1787"/>
      <c r="XFA1787"/>
      <c r="XFB1787"/>
      <c r="XFC1787"/>
    </row>
    <row r="1788" spans="1:20 16329:16383" s="38" customFormat="1" ht="29.1" customHeight="1" outlineLevel="5" x14ac:dyDescent="0.25">
      <c r="A1788" s="65" t="s">
        <v>3010</v>
      </c>
      <c r="B1788" s="66" t="s">
        <v>3011</v>
      </c>
      <c r="C1788" s="66"/>
      <c r="D1788" s="98" t="s">
        <v>344</v>
      </c>
      <c r="E1788" s="98"/>
      <c r="F1788" s="67"/>
      <c r="G1788" s="66"/>
      <c r="H1788" s="68"/>
      <c r="I1788" s="36"/>
      <c r="J1788" s="68"/>
      <c r="K1788" s="69"/>
      <c r="L1788" s="69"/>
      <c r="M1788" s="69"/>
      <c r="N1788" s="69"/>
      <c r="O1788" s="69">
        <f>SUM(O1789:O1794)</f>
        <v>0</v>
      </c>
      <c r="P1788" s="69">
        <f>SUM(P1789:P1794)</f>
        <v>0</v>
      </c>
      <c r="Q1788" s="69">
        <f>SUM(Q1789:Q1794)</f>
        <v>0</v>
      </c>
      <c r="R1788" s="69">
        <f>SUM(R1789:R1794)</f>
        <v>0</v>
      </c>
      <c r="S1788" s="69"/>
      <c r="T1788" s="36"/>
      <c r="XDA1788"/>
      <c r="XDB1788"/>
      <c r="XDC1788"/>
      <c r="XDD1788"/>
      <c r="XDE1788"/>
      <c r="XDF1788"/>
      <c r="XDG1788"/>
      <c r="XDH1788"/>
      <c r="XDI1788"/>
      <c r="XDJ1788"/>
      <c r="XDK1788"/>
      <c r="XDL1788"/>
      <c r="XDM1788"/>
      <c r="XDN1788"/>
      <c r="XDO1788"/>
      <c r="XDP1788"/>
      <c r="XDQ1788"/>
      <c r="XDR1788"/>
      <c r="XDS1788"/>
      <c r="XDT1788"/>
      <c r="XDU1788"/>
      <c r="XDV1788"/>
      <c r="XDW1788"/>
      <c r="XDX1788"/>
      <c r="XDY1788"/>
      <c r="XDZ1788"/>
      <c r="XEA1788"/>
      <c r="XEB1788"/>
      <c r="XEC1788"/>
      <c r="XED1788"/>
      <c r="XEE1788"/>
      <c r="XEF1788"/>
      <c r="XEG1788"/>
      <c r="XEH1788"/>
      <c r="XEI1788"/>
      <c r="XEJ1788"/>
      <c r="XEK1788"/>
      <c r="XEL1788"/>
      <c r="XEM1788"/>
      <c r="XEN1788"/>
      <c r="XEO1788"/>
      <c r="XEP1788"/>
      <c r="XEQ1788"/>
      <c r="XER1788"/>
      <c r="XES1788"/>
      <c r="XET1788"/>
      <c r="XEU1788"/>
      <c r="XEV1788"/>
      <c r="XEW1788"/>
      <c r="XEX1788"/>
      <c r="XEY1788"/>
      <c r="XEZ1788"/>
      <c r="XFA1788"/>
      <c r="XFB1788"/>
      <c r="XFC1788"/>
    </row>
    <row r="1789" spans="1:20 16329:16383" s="38" customFormat="1" ht="29.1" customHeight="1" outlineLevel="6" x14ac:dyDescent="0.25">
      <c r="A1789" s="49" t="s">
        <v>3012</v>
      </c>
      <c r="B1789" s="50"/>
      <c r="C1789" s="50"/>
      <c r="D1789" s="3" t="s">
        <v>1886</v>
      </c>
      <c r="E1789" s="3"/>
      <c r="F1789" s="51"/>
      <c r="G1789" s="50" t="s">
        <v>102</v>
      </c>
      <c r="H1789" s="52">
        <f>1</f>
        <v>1</v>
      </c>
      <c r="I1789" s="36"/>
      <c r="J1789" s="52">
        <v>1</v>
      </c>
      <c r="K1789" s="53">
        <f>0</f>
        <v>0</v>
      </c>
      <c r="L1789" s="53">
        <f>0</f>
        <v>0</v>
      </c>
      <c r="M1789" s="53">
        <f>0</f>
        <v>0</v>
      </c>
      <c r="N1789" s="54">
        <f t="shared" ref="N1789:N1794" si="354">SUM(K1789:M1789)</f>
        <v>0</v>
      </c>
      <c r="O1789" s="54">
        <f t="shared" ref="O1789:O1794" si="355">ROUND((H1789*K1789),2)</f>
        <v>0</v>
      </c>
      <c r="P1789" s="54">
        <f t="shared" ref="P1789:P1794" si="356">ROUND((H1789*L1789),2)</f>
        <v>0</v>
      </c>
      <c r="Q1789" s="54">
        <f t="shared" ref="Q1789:Q1794" si="357">ROUND((H1789*M1789),2)</f>
        <v>0</v>
      </c>
      <c r="R1789" s="54">
        <f t="shared" ref="R1789:R1794" si="358">ROUND((H1789*N1789),2)</f>
        <v>0</v>
      </c>
      <c r="S1789" s="54"/>
      <c r="T1789" s="36"/>
      <c r="XDA1789"/>
      <c r="XDB1789"/>
      <c r="XDC1789"/>
      <c r="XDD1789"/>
      <c r="XDE1789"/>
      <c r="XDF1789"/>
      <c r="XDG1789"/>
      <c r="XDH1789"/>
      <c r="XDI1789"/>
      <c r="XDJ1789"/>
      <c r="XDK1789"/>
      <c r="XDL1789"/>
      <c r="XDM1789"/>
      <c r="XDN1789"/>
      <c r="XDO1789"/>
      <c r="XDP1789"/>
      <c r="XDQ1789"/>
      <c r="XDR1789"/>
      <c r="XDS1789"/>
      <c r="XDT1789"/>
      <c r="XDU1789"/>
      <c r="XDV1789"/>
      <c r="XDW1789"/>
      <c r="XDX1789"/>
      <c r="XDY1789"/>
      <c r="XDZ1789"/>
      <c r="XEA1789"/>
      <c r="XEB1789"/>
      <c r="XEC1789"/>
      <c r="XED1789"/>
      <c r="XEE1789"/>
      <c r="XEF1789"/>
      <c r="XEG1789"/>
      <c r="XEH1789"/>
      <c r="XEI1789"/>
      <c r="XEJ1789"/>
      <c r="XEK1789"/>
      <c r="XEL1789"/>
      <c r="XEM1789"/>
      <c r="XEN1789"/>
      <c r="XEO1789"/>
      <c r="XEP1789"/>
      <c r="XEQ1789"/>
      <c r="XER1789"/>
      <c r="XES1789"/>
      <c r="XET1789"/>
      <c r="XEU1789"/>
      <c r="XEV1789"/>
      <c r="XEW1789"/>
      <c r="XEX1789"/>
      <c r="XEY1789"/>
      <c r="XEZ1789"/>
      <c r="XFA1789"/>
      <c r="XFB1789"/>
      <c r="XFC1789"/>
    </row>
    <row r="1790" spans="1:20 16329:16383" s="38" customFormat="1" ht="29.1" customHeight="1" outlineLevel="6" x14ac:dyDescent="0.25">
      <c r="A1790" s="49" t="s">
        <v>3013</v>
      </c>
      <c r="B1790" s="50"/>
      <c r="C1790" s="50"/>
      <c r="D1790" s="3" t="s">
        <v>1955</v>
      </c>
      <c r="E1790" s="3"/>
      <c r="F1790" s="51"/>
      <c r="G1790" s="50" t="s">
        <v>102</v>
      </c>
      <c r="H1790" s="52">
        <f>1</f>
        <v>1</v>
      </c>
      <c r="I1790" s="36"/>
      <c r="J1790" s="52">
        <v>1</v>
      </c>
      <c r="K1790" s="53">
        <f>0</f>
        <v>0</v>
      </c>
      <c r="L1790" s="53">
        <f>0</f>
        <v>0</v>
      </c>
      <c r="M1790" s="53">
        <f>0</f>
        <v>0</v>
      </c>
      <c r="N1790" s="54">
        <f t="shared" si="354"/>
        <v>0</v>
      </c>
      <c r="O1790" s="54">
        <f t="shared" si="355"/>
        <v>0</v>
      </c>
      <c r="P1790" s="54">
        <f t="shared" si="356"/>
        <v>0</v>
      </c>
      <c r="Q1790" s="54">
        <f t="shared" si="357"/>
        <v>0</v>
      </c>
      <c r="R1790" s="54">
        <f t="shared" si="358"/>
        <v>0</v>
      </c>
      <c r="S1790" s="54"/>
      <c r="T1790" s="36"/>
      <c r="XDA1790"/>
      <c r="XDB1790"/>
      <c r="XDC1790"/>
      <c r="XDD1790"/>
      <c r="XDE1790"/>
      <c r="XDF1790"/>
      <c r="XDG1790"/>
      <c r="XDH1790"/>
      <c r="XDI1790"/>
      <c r="XDJ1790"/>
      <c r="XDK1790"/>
      <c r="XDL1790"/>
      <c r="XDM1790"/>
      <c r="XDN1790"/>
      <c r="XDO1790"/>
      <c r="XDP1790"/>
      <c r="XDQ1790"/>
      <c r="XDR1790"/>
      <c r="XDS1790"/>
      <c r="XDT1790"/>
      <c r="XDU1790"/>
      <c r="XDV1790"/>
      <c r="XDW1790"/>
      <c r="XDX1790"/>
      <c r="XDY1790"/>
      <c r="XDZ1790"/>
      <c r="XEA1790"/>
      <c r="XEB1790"/>
      <c r="XEC1790"/>
      <c r="XED1790"/>
      <c r="XEE1790"/>
      <c r="XEF1790"/>
      <c r="XEG1790"/>
      <c r="XEH1790"/>
      <c r="XEI1790"/>
      <c r="XEJ1790"/>
      <c r="XEK1790"/>
      <c r="XEL1790"/>
      <c r="XEM1790"/>
      <c r="XEN1790"/>
      <c r="XEO1790"/>
      <c r="XEP1790"/>
      <c r="XEQ1790"/>
      <c r="XER1790"/>
      <c r="XES1790"/>
      <c r="XET1790"/>
      <c r="XEU1790"/>
      <c r="XEV1790"/>
      <c r="XEW1790"/>
      <c r="XEX1790"/>
      <c r="XEY1790"/>
      <c r="XEZ1790"/>
      <c r="XFA1790"/>
      <c r="XFB1790"/>
      <c r="XFC1790"/>
    </row>
    <row r="1791" spans="1:20 16329:16383" s="38" customFormat="1" ht="29.1" customHeight="1" outlineLevel="6" x14ac:dyDescent="0.25">
      <c r="A1791" s="49" t="s">
        <v>3014</v>
      </c>
      <c r="B1791" s="50"/>
      <c r="C1791" s="50"/>
      <c r="D1791" s="3" t="s">
        <v>1888</v>
      </c>
      <c r="E1791" s="3"/>
      <c r="F1791" s="51"/>
      <c r="G1791" s="50" t="s">
        <v>102</v>
      </c>
      <c r="H1791" s="52">
        <f>1</f>
        <v>1</v>
      </c>
      <c r="I1791" s="36"/>
      <c r="J1791" s="52">
        <v>1</v>
      </c>
      <c r="K1791" s="53">
        <f>0</f>
        <v>0</v>
      </c>
      <c r="L1791" s="53">
        <f>0</f>
        <v>0</v>
      </c>
      <c r="M1791" s="53">
        <f>0</f>
        <v>0</v>
      </c>
      <c r="N1791" s="54">
        <f t="shared" si="354"/>
        <v>0</v>
      </c>
      <c r="O1791" s="54">
        <f t="shared" si="355"/>
        <v>0</v>
      </c>
      <c r="P1791" s="54">
        <f t="shared" si="356"/>
        <v>0</v>
      </c>
      <c r="Q1791" s="54">
        <f t="shared" si="357"/>
        <v>0</v>
      </c>
      <c r="R1791" s="54">
        <f t="shared" si="358"/>
        <v>0</v>
      </c>
      <c r="S1791" s="54"/>
      <c r="T1791" s="36"/>
      <c r="XDA1791"/>
      <c r="XDB1791"/>
      <c r="XDC1791"/>
      <c r="XDD1791"/>
      <c r="XDE1791"/>
      <c r="XDF1791"/>
      <c r="XDG1791"/>
      <c r="XDH1791"/>
      <c r="XDI1791"/>
      <c r="XDJ1791"/>
      <c r="XDK1791"/>
      <c r="XDL1791"/>
      <c r="XDM1791"/>
      <c r="XDN1791"/>
      <c r="XDO1791"/>
      <c r="XDP1791"/>
      <c r="XDQ1791"/>
      <c r="XDR1791"/>
      <c r="XDS1791"/>
      <c r="XDT1791"/>
      <c r="XDU1791"/>
      <c r="XDV1791"/>
      <c r="XDW1791"/>
      <c r="XDX1791"/>
      <c r="XDY1791"/>
      <c r="XDZ1791"/>
      <c r="XEA1791"/>
      <c r="XEB1791"/>
      <c r="XEC1791"/>
      <c r="XED1791"/>
      <c r="XEE1791"/>
      <c r="XEF1791"/>
      <c r="XEG1791"/>
      <c r="XEH1791"/>
      <c r="XEI1791"/>
      <c r="XEJ1791"/>
      <c r="XEK1791"/>
      <c r="XEL1791"/>
      <c r="XEM1791"/>
      <c r="XEN1791"/>
      <c r="XEO1791"/>
      <c r="XEP1791"/>
      <c r="XEQ1791"/>
      <c r="XER1791"/>
      <c r="XES1791"/>
      <c r="XET1791"/>
      <c r="XEU1791"/>
      <c r="XEV1791"/>
      <c r="XEW1791"/>
      <c r="XEX1791"/>
      <c r="XEY1791"/>
      <c r="XEZ1791"/>
      <c r="XFA1791"/>
      <c r="XFB1791"/>
      <c r="XFC1791"/>
    </row>
    <row r="1792" spans="1:20 16329:16383" s="38" customFormat="1" ht="29.1" customHeight="1" outlineLevel="6" x14ac:dyDescent="0.25">
      <c r="A1792" s="49" t="s">
        <v>3015</v>
      </c>
      <c r="B1792" s="50"/>
      <c r="C1792" s="50"/>
      <c r="D1792" s="3" t="s">
        <v>2609</v>
      </c>
      <c r="E1792" s="3"/>
      <c r="F1792" s="51"/>
      <c r="G1792" s="50" t="s">
        <v>102</v>
      </c>
      <c r="H1792" s="52">
        <f>1</f>
        <v>1</v>
      </c>
      <c r="I1792" s="36"/>
      <c r="J1792" s="52">
        <v>1</v>
      </c>
      <c r="K1792" s="53">
        <f>0</f>
        <v>0</v>
      </c>
      <c r="L1792" s="53">
        <f>0</f>
        <v>0</v>
      </c>
      <c r="M1792" s="53">
        <f>0</f>
        <v>0</v>
      </c>
      <c r="N1792" s="54">
        <f t="shared" si="354"/>
        <v>0</v>
      </c>
      <c r="O1792" s="54">
        <f t="shared" si="355"/>
        <v>0</v>
      </c>
      <c r="P1792" s="54">
        <f t="shared" si="356"/>
        <v>0</v>
      </c>
      <c r="Q1792" s="54">
        <f t="shared" si="357"/>
        <v>0</v>
      </c>
      <c r="R1792" s="54">
        <f t="shared" si="358"/>
        <v>0</v>
      </c>
      <c r="S1792" s="54"/>
      <c r="T1792" s="36"/>
      <c r="XDA1792"/>
      <c r="XDB1792"/>
      <c r="XDC1792"/>
      <c r="XDD1792"/>
      <c r="XDE1792"/>
      <c r="XDF1792"/>
      <c r="XDG1792"/>
      <c r="XDH1792"/>
      <c r="XDI1792"/>
      <c r="XDJ1792"/>
      <c r="XDK1792"/>
      <c r="XDL1792"/>
      <c r="XDM1792"/>
      <c r="XDN1792"/>
      <c r="XDO1792"/>
      <c r="XDP1792"/>
      <c r="XDQ1792"/>
      <c r="XDR1792"/>
      <c r="XDS1792"/>
      <c r="XDT1792"/>
      <c r="XDU1792"/>
      <c r="XDV1792"/>
      <c r="XDW1792"/>
      <c r="XDX1792"/>
      <c r="XDY1792"/>
      <c r="XDZ1792"/>
      <c r="XEA1792"/>
      <c r="XEB1792"/>
      <c r="XEC1792"/>
      <c r="XED1792"/>
      <c r="XEE1792"/>
      <c r="XEF1792"/>
      <c r="XEG1792"/>
      <c r="XEH1792"/>
      <c r="XEI1792"/>
      <c r="XEJ1792"/>
      <c r="XEK1792"/>
      <c r="XEL1792"/>
      <c r="XEM1792"/>
      <c r="XEN1792"/>
      <c r="XEO1792"/>
      <c r="XEP1792"/>
      <c r="XEQ1792"/>
      <c r="XER1792"/>
      <c r="XES1792"/>
      <c r="XET1792"/>
      <c r="XEU1792"/>
      <c r="XEV1792"/>
      <c r="XEW1792"/>
      <c r="XEX1792"/>
      <c r="XEY1792"/>
      <c r="XEZ1792"/>
      <c r="XFA1792"/>
      <c r="XFB1792"/>
      <c r="XFC1792"/>
    </row>
    <row r="1793" spans="1:20 16329:16383" s="38" customFormat="1" ht="29.1" customHeight="1" outlineLevel="6" x14ac:dyDescent="0.25">
      <c r="A1793" s="49" t="s">
        <v>3016</v>
      </c>
      <c r="B1793" s="50"/>
      <c r="C1793" s="50"/>
      <c r="D1793" s="3" t="s">
        <v>2299</v>
      </c>
      <c r="E1793" s="3"/>
      <c r="F1793" s="51" t="s">
        <v>2300</v>
      </c>
      <c r="G1793" s="50" t="s">
        <v>29</v>
      </c>
      <c r="H1793" s="52">
        <f>1</f>
        <v>1</v>
      </c>
      <c r="I1793" s="36"/>
      <c r="J1793" s="52">
        <v>1</v>
      </c>
      <c r="K1793" s="53">
        <f>0</f>
        <v>0</v>
      </c>
      <c r="L1793" s="53">
        <f>0</f>
        <v>0</v>
      </c>
      <c r="M1793" s="53">
        <f>0</f>
        <v>0</v>
      </c>
      <c r="N1793" s="54">
        <f t="shared" si="354"/>
        <v>0</v>
      </c>
      <c r="O1793" s="54">
        <f t="shared" si="355"/>
        <v>0</v>
      </c>
      <c r="P1793" s="54">
        <f t="shared" si="356"/>
        <v>0</v>
      </c>
      <c r="Q1793" s="54">
        <f t="shared" si="357"/>
        <v>0</v>
      </c>
      <c r="R1793" s="54">
        <f t="shared" si="358"/>
        <v>0</v>
      </c>
      <c r="S1793" s="54"/>
      <c r="T1793" s="36"/>
      <c r="XDA1793"/>
      <c r="XDB1793"/>
      <c r="XDC1793"/>
      <c r="XDD1793"/>
      <c r="XDE1793"/>
      <c r="XDF1793"/>
      <c r="XDG1793"/>
      <c r="XDH1793"/>
      <c r="XDI1793"/>
      <c r="XDJ1793"/>
      <c r="XDK1793"/>
      <c r="XDL1793"/>
      <c r="XDM1793"/>
      <c r="XDN1793"/>
      <c r="XDO1793"/>
      <c r="XDP1793"/>
      <c r="XDQ1793"/>
      <c r="XDR1793"/>
      <c r="XDS1793"/>
      <c r="XDT1793"/>
      <c r="XDU1793"/>
      <c r="XDV1793"/>
      <c r="XDW1793"/>
      <c r="XDX1793"/>
      <c r="XDY1793"/>
      <c r="XDZ1793"/>
      <c r="XEA1793"/>
      <c r="XEB1793"/>
      <c r="XEC1793"/>
      <c r="XED1793"/>
      <c r="XEE1793"/>
      <c r="XEF1793"/>
      <c r="XEG1793"/>
      <c r="XEH1793"/>
      <c r="XEI1793"/>
      <c r="XEJ1793"/>
      <c r="XEK1793"/>
      <c r="XEL1793"/>
      <c r="XEM1793"/>
      <c r="XEN1793"/>
      <c r="XEO1793"/>
      <c r="XEP1793"/>
      <c r="XEQ1793"/>
      <c r="XER1793"/>
      <c r="XES1793"/>
      <c r="XET1793"/>
      <c r="XEU1793"/>
      <c r="XEV1793"/>
      <c r="XEW1793"/>
      <c r="XEX1793"/>
      <c r="XEY1793"/>
      <c r="XEZ1793"/>
      <c r="XFA1793"/>
      <c r="XFB1793"/>
      <c r="XFC1793"/>
    </row>
    <row r="1794" spans="1:20 16329:16383" s="38" customFormat="1" ht="29.1" customHeight="1" outlineLevel="6" x14ac:dyDescent="0.25">
      <c r="A1794" s="49" t="s">
        <v>3017</v>
      </c>
      <c r="B1794" s="50"/>
      <c r="C1794" s="50"/>
      <c r="D1794" s="3" t="s">
        <v>2407</v>
      </c>
      <c r="E1794" s="3"/>
      <c r="F1794" s="51" t="s">
        <v>1960</v>
      </c>
      <c r="G1794" s="50" t="s">
        <v>134</v>
      </c>
      <c r="H1794" s="52">
        <f>1</f>
        <v>1</v>
      </c>
      <c r="I1794" s="36"/>
      <c r="J1794" s="52">
        <v>1</v>
      </c>
      <c r="K1794" s="53">
        <f>0</f>
        <v>0</v>
      </c>
      <c r="L1794" s="53">
        <f>0</f>
        <v>0</v>
      </c>
      <c r="M1794" s="53">
        <f>0</f>
        <v>0</v>
      </c>
      <c r="N1794" s="54">
        <f t="shared" si="354"/>
        <v>0</v>
      </c>
      <c r="O1794" s="54">
        <f t="shared" si="355"/>
        <v>0</v>
      </c>
      <c r="P1794" s="54">
        <f t="shared" si="356"/>
        <v>0</v>
      </c>
      <c r="Q1794" s="54">
        <f t="shared" si="357"/>
        <v>0</v>
      </c>
      <c r="R1794" s="54">
        <f t="shared" si="358"/>
        <v>0</v>
      </c>
      <c r="S1794" s="54"/>
      <c r="T1794" s="36"/>
      <c r="XDA1794"/>
      <c r="XDB1794"/>
      <c r="XDC1794"/>
      <c r="XDD1794"/>
      <c r="XDE1794"/>
      <c r="XDF1794"/>
      <c r="XDG1794"/>
      <c r="XDH1794"/>
      <c r="XDI1794"/>
      <c r="XDJ1794"/>
      <c r="XDK1794"/>
      <c r="XDL1794"/>
      <c r="XDM1794"/>
      <c r="XDN1794"/>
      <c r="XDO1794"/>
      <c r="XDP1794"/>
      <c r="XDQ1794"/>
      <c r="XDR1794"/>
      <c r="XDS1794"/>
      <c r="XDT1794"/>
      <c r="XDU1794"/>
      <c r="XDV1794"/>
      <c r="XDW1794"/>
      <c r="XDX1794"/>
      <c r="XDY1794"/>
      <c r="XDZ1794"/>
      <c r="XEA1794"/>
      <c r="XEB1794"/>
      <c r="XEC1794"/>
      <c r="XED1794"/>
      <c r="XEE1794"/>
      <c r="XEF1794"/>
      <c r="XEG1794"/>
      <c r="XEH1794"/>
      <c r="XEI1794"/>
      <c r="XEJ1794"/>
      <c r="XEK1794"/>
      <c r="XEL1794"/>
      <c r="XEM1794"/>
      <c r="XEN1794"/>
      <c r="XEO1794"/>
      <c r="XEP1794"/>
      <c r="XEQ1794"/>
      <c r="XER1794"/>
      <c r="XES1794"/>
      <c r="XET1794"/>
      <c r="XEU1794"/>
      <c r="XEV1794"/>
      <c r="XEW1794"/>
      <c r="XEX1794"/>
      <c r="XEY1794"/>
      <c r="XEZ1794"/>
      <c r="XFA1794"/>
      <c r="XFB1794"/>
      <c r="XFC1794"/>
    </row>
    <row r="1795" spans="1:20 16329:16383" s="38" customFormat="1" ht="29.1" customHeight="1" outlineLevel="5" x14ac:dyDescent="0.25">
      <c r="A1795" s="65" t="s">
        <v>3018</v>
      </c>
      <c r="B1795" s="66" t="s">
        <v>3019</v>
      </c>
      <c r="C1795" s="66"/>
      <c r="D1795" s="98" t="s">
        <v>1899</v>
      </c>
      <c r="E1795" s="98"/>
      <c r="F1795" s="67"/>
      <c r="G1795" s="66"/>
      <c r="H1795" s="68"/>
      <c r="I1795" s="36"/>
      <c r="J1795" s="68"/>
      <c r="K1795" s="69"/>
      <c r="L1795" s="69"/>
      <c r="M1795" s="69"/>
      <c r="N1795" s="69"/>
      <c r="O1795" s="69">
        <f>SUM(O1796:O1803)</f>
        <v>0</v>
      </c>
      <c r="P1795" s="69">
        <f>SUM(P1796:P1803)</f>
        <v>0</v>
      </c>
      <c r="Q1795" s="69">
        <f>SUM(Q1796:Q1803)</f>
        <v>0</v>
      </c>
      <c r="R1795" s="69">
        <f>SUM(R1796:R1803)</f>
        <v>0</v>
      </c>
      <c r="S1795" s="69"/>
      <c r="T1795" s="36"/>
      <c r="XDA1795"/>
      <c r="XDB1795"/>
      <c r="XDC1795"/>
      <c r="XDD1795"/>
      <c r="XDE1795"/>
      <c r="XDF1795"/>
      <c r="XDG1795"/>
      <c r="XDH1795"/>
      <c r="XDI1795"/>
      <c r="XDJ1795"/>
      <c r="XDK1795"/>
      <c r="XDL1795"/>
      <c r="XDM1795"/>
      <c r="XDN1795"/>
      <c r="XDO1795"/>
      <c r="XDP1795"/>
      <c r="XDQ1795"/>
      <c r="XDR1795"/>
      <c r="XDS1795"/>
      <c r="XDT1795"/>
      <c r="XDU1795"/>
      <c r="XDV1795"/>
      <c r="XDW1795"/>
      <c r="XDX1795"/>
      <c r="XDY1795"/>
      <c r="XDZ1795"/>
      <c r="XEA1795"/>
      <c r="XEB1795"/>
      <c r="XEC1795"/>
      <c r="XED1795"/>
      <c r="XEE1795"/>
      <c r="XEF1795"/>
      <c r="XEG1795"/>
      <c r="XEH1795"/>
      <c r="XEI1795"/>
      <c r="XEJ1795"/>
      <c r="XEK1795"/>
      <c r="XEL1795"/>
      <c r="XEM1795"/>
      <c r="XEN1795"/>
      <c r="XEO1795"/>
      <c r="XEP1795"/>
      <c r="XEQ1795"/>
      <c r="XER1795"/>
      <c r="XES1795"/>
      <c r="XET1795"/>
      <c r="XEU1795"/>
      <c r="XEV1795"/>
      <c r="XEW1795"/>
      <c r="XEX1795"/>
      <c r="XEY1795"/>
      <c r="XEZ1795"/>
      <c r="XFA1795"/>
      <c r="XFB1795"/>
      <c r="XFC1795"/>
    </row>
    <row r="1796" spans="1:20 16329:16383" s="38" customFormat="1" ht="29.1" customHeight="1" outlineLevel="6" x14ac:dyDescent="0.25">
      <c r="A1796" s="49" t="s">
        <v>3020</v>
      </c>
      <c r="B1796" s="50"/>
      <c r="C1796" s="50"/>
      <c r="D1796" s="3" t="s">
        <v>1953</v>
      </c>
      <c r="E1796" s="3"/>
      <c r="F1796" s="51"/>
      <c r="G1796" s="50" t="s">
        <v>102</v>
      </c>
      <c r="H1796" s="52">
        <f>1</f>
        <v>1</v>
      </c>
      <c r="I1796" s="36"/>
      <c r="J1796" s="52">
        <v>1</v>
      </c>
      <c r="K1796" s="53">
        <f>0</f>
        <v>0</v>
      </c>
      <c r="L1796" s="53">
        <f>0</f>
        <v>0</v>
      </c>
      <c r="M1796" s="53">
        <f>0</f>
        <v>0</v>
      </c>
      <c r="N1796" s="54">
        <f t="shared" ref="N1796:N1803" si="359">SUM(K1796:M1796)</f>
        <v>0</v>
      </c>
      <c r="O1796" s="54">
        <f t="shared" ref="O1796:O1803" si="360">ROUND((H1796*K1796),2)</f>
        <v>0</v>
      </c>
      <c r="P1796" s="54">
        <f t="shared" ref="P1796:P1803" si="361">ROUND((H1796*L1796),2)</f>
        <v>0</v>
      </c>
      <c r="Q1796" s="54">
        <f t="shared" ref="Q1796:Q1803" si="362">ROUND((H1796*M1796),2)</f>
        <v>0</v>
      </c>
      <c r="R1796" s="54">
        <f t="shared" ref="R1796:R1803" si="363">ROUND((H1796*N1796),2)</f>
        <v>0</v>
      </c>
      <c r="S1796" s="54"/>
      <c r="T1796" s="36"/>
      <c r="XDA1796"/>
      <c r="XDB1796"/>
      <c r="XDC1796"/>
      <c r="XDD1796"/>
      <c r="XDE1796"/>
      <c r="XDF1796"/>
      <c r="XDG1796"/>
      <c r="XDH1796"/>
      <c r="XDI1796"/>
      <c r="XDJ1796"/>
      <c r="XDK1796"/>
      <c r="XDL1796"/>
      <c r="XDM1796"/>
      <c r="XDN1796"/>
      <c r="XDO1796"/>
      <c r="XDP1796"/>
      <c r="XDQ1796"/>
      <c r="XDR1796"/>
      <c r="XDS1796"/>
      <c r="XDT1796"/>
      <c r="XDU1796"/>
      <c r="XDV1796"/>
      <c r="XDW1796"/>
      <c r="XDX1796"/>
      <c r="XDY1796"/>
      <c r="XDZ1796"/>
      <c r="XEA1796"/>
      <c r="XEB1796"/>
      <c r="XEC1796"/>
      <c r="XED1796"/>
      <c r="XEE1796"/>
      <c r="XEF1796"/>
      <c r="XEG1796"/>
      <c r="XEH1796"/>
      <c r="XEI1796"/>
      <c r="XEJ1796"/>
      <c r="XEK1796"/>
      <c r="XEL1796"/>
      <c r="XEM1796"/>
      <c r="XEN1796"/>
      <c r="XEO1796"/>
      <c r="XEP1796"/>
      <c r="XEQ1796"/>
      <c r="XER1796"/>
      <c r="XES1796"/>
      <c r="XET1796"/>
      <c r="XEU1796"/>
      <c r="XEV1796"/>
      <c r="XEW1796"/>
      <c r="XEX1796"/>
      <c r="XEY1796"/>
      <c r="XEZ1796"/>
      <c r="XFA1796"/>
      <c r="XFB1796"/>
      <c r="XFC1796"/>
    </row>
    <row r="1797" spans="1:20 16329:16383" s="38" customFormat="1" ht="29.1" customHeight="1" outlineLevel="6" x14ac:dyDescent="0.25">
      <c r="A1797" s="49" t="s">
        <v>3021</v>
      </c>
      <c r="B1797" s="50"/>
      <c r="C1797" s="50"/>
      <c r="D1797" s="3" t="s">
        <v>1955</v>
      </c>
      <c r="E1797" s="3"/>
      <c r="F1797" s="51"/>
      <c r="G1797" s="50" t="s">
        <v>102</v>
      </c>
      <c r="H1797" s="52">
        <f>1</f>
        <v>1</v>
      </c>
      <c r="I1797" s="36"/>
      <c r="J1797" s="52">
        <v>1</v>
      </c>
      <c r="K1797" s="53">
        <f>0</f>
        <v>0</v>
      </c>
      <c r="L1797" s="53">
        <f>0</f>
        <v>0</v>
      </c>
      <c r="M1797" s="53">
        <f>0</f>
        <v>0</v>
      </c>
      <c r="N1797" s="54">
        <f t="shared" si="359"/>
        <v>0</v>
      </c>
      <c r="O1797" s="54">
        <f t="shared" si="360"/>
        <v>0</v>
      </c>
      <c r="P1797" s="54">
        <f t="shared" si="361"/>
        <v>0</v>
      </c>
      <c r="Q1797" s="54">
        <f t="shared" si="362"/>
        <v>0</v>
      </c>
      <c r="R1797" s="54">
        <f t="shared" si="363"/>
        <v>0</v>
      </c>
      <c r="S1797" s="54"/>
      <c r="T1797" s="36"/>
      <c r="XDA1797"/>
      <c r="XDB1797"/>
      <c r="XDC1797"/>
      <c r="XDD1797"/>
      <c r="XDE1797"/>
      <c r="XDF1797"/>
      <c r="XDG1797"/>
      <c r="XDH1797"/>
      <c r="XDI1797"/>
      <c r="XDJ1797"/>
      <c r="XDK1797"/>
      <c r="XDL1797"/>
      <c r="XDM1797"/>
      <c r="XDN1797"/>
      <c r="XDO1797"/>
      <c r="XDP1797"/>
      <c r="XDQ1797"/>
      <c r="XDR1797"/>
      <c r="XDS1797"/>
      <c r="XDT1797"/>
      <c r="XDU1797"/>
      <c r="XDV1797"/>
      <c r="XDW1797"/>
      <c r="XDX1797"/>
      <c r="XDY1797"/>
      <c r="XDZ1797"/>
      <c r="XEA1797"/>
      <c r="XEB1797"/>
      <c r="XEC1797"/>
      <c r="XED1797"/>
      <c r="XEE1797"/>
      <c r="XEF1797"/>
      <c r="XEG1797"/>
      <c r="XEH1797"/>
      <c r="XEI1797"/>
      <c r="XEJ1797"/>
      <c r="XEK1797"/>
      <c r="XEL1797"/>
      <c r="XEM1797"/>
      <c r="XEN1797"/>
      <c r="XEO1797"/>
      <c r="XEP1797"/>
      <c r="XEQ1797"/>
      <c r="XER1797"/>
      <c r="XES1797"/>
      <c r="XET1797"/>
      <c r="XEU1797"/>
      <c r="XEV1797"/>
      <c r="XEW1797"/>
      <c r="XEX1797"/>
      <c r="XEY1797"/>
      <c r="XEZ1797"/>
      <c r="XFA1797"/>
      <c r="XFB1797"/>
      <c r="XFC1797"/>
    </row>
    <row r="1798" spans="1:20 16329:16383" s="38" customFormat="1" ht="29.1" customHeight="1" outlineLevel="6" x14ac:dyDescent="0.25">
      <c r="A1798" s="49" t="s">
        <v>3022</v>
      </c>
      <c r="B1798" s="50"/>
      <c r="C1798" s="50"/>
      <c r="D1798" s="3" t="s">
        <v>2238</v>
      </c>
      <c r="E1798" s="3"/>
      <c r="F1798" s="51"/>
      <c r="G1798" s="50" t="s">
        <v>102</v>
      </c>
      <c r="H1798" s="52">
        <f>1</f>
        <v>1</v>
      </c>
      <c r="I1798" s="36"/>
      <c r="J1798" s="52">
        <v>1</v>
      </c>
      <c r="K1798" s="53">
        <f>0</f>
        <v>0</v>
      </c>
      <c r="L1798" s="53">
        <f>0</f>
        <v>0</v>
      </c>
      <c r="M1798" s="53">
        <f>0</f>
        <v>0</v>
      </c>
      <c r="N1798" s="54">
        <f t="shared" si="359"/>
        <v>0</v>
      </c>
      <c r="O1798" s="54">
        <f t="shared" si="360"/>
        <v>0</v>
      </c>
      <c r="P1798" s="54">
        <f t="shared" si="361"/>
        <v>0</v>
      </c>
      <c r="Q1798" s="54">
        <f t="shared" si="362"/>
        <v>0</v>
      </c>
      <c r="R1798" s="54">
        <f t="shared" si="363"/>
        <v>0</v>
      </c>
      <c r="S1798" s="54"/>
      <c r="T1798" s="36"/>
      <c r="XDA1798"/>
      <c r="XDB1798"/>
      <c r="XDC1798"/>
      <c r="XDD1798"/>
      <c r="XDE1798"/>
      <c r="XDF1798"/>
      <c r="XDG1798"/>
      <c r="XDH1798"/>
      <c r="XDI1798"/>
      <c r="XDJ1798"/>
      <c r="XDK1798"/>
      <c r="XDL1798"/>
      <c r="XDM1798"/>
      <c r="XDN1798"/>
      <c r="XDO1798"/>
      <c r="XDP1798"/>
      <c r="XDQ1798"/>
      <c r="XDR1798"/>
      <c r="XDS1798"/>
      <c r="XDT1798"/>
      <c r="XDU1798"/>
      <c r="XDV1798"/>
      <c r="XDW1798"/>
      <c r="XDX1798"/>
      <c r="XDY1798"/>
      <c r="XDZ1798"/>
      <c r="XEA1798"/>
      <c r="XEB1798"/>
      <c r="XEC1798"/>
      <c r="XED1798"/>
      <c r="XEE1798"/>
      <c r="XEF1798"/>
      <c r="XEG1798"/>
      <c r="XEH1798"/>
      <c r="XEI1798"/>
      <c r="XEJ1798"/>
      <c r="XEK1798"/>
      <c r="XEL1798"/>
      <c r="XEM1798"/>
      <c r="XEN1798"/>
      <c r="XEO1798"/>
      <c r="XEP1798"/>
      <c r="XEQ1798"/>
      <c r="XER1798"/>
      <c r="XES1798"/>
      <c r="XET1798"/>
      <c r="XEU1798"/>
      <c r="XEV1798"/>
      <c r="XEW1798"/>
      <c r="XEX1798"/>
      <c r="XEY1798"/>
      <c r="XEZ1798"/>
      <c r="XFA1798"/>
      <c r="XFB1798"/>
      <c r="XFC1798"/>
    </row>
    <row r="1799" spans="1:20 16329:16383" s="38" customFormat="1" ht="29.1" customHeight="1" outlineLevel="6" x14ac:dyDescent="0.25">
      <c r="A1799" s="49" t="s">
        <v>3023</v>
      </c>
      <c r="B1799" s="50"/>
      <c r="C1799" s="50"/>
      <c r="D1799" s="3" t="s">
        <v>1884</v>
      </c>
      <c r="E1799" s="3"/>
      <c r="F1799" s="51"/>
      <c r="G1799" s="50" t="s">
        <v>102</v>
      </c>
      <c r="H1799" s="52">
        <f>1</f>
        <v>1</v>
      </c>
      <c r="I1799" s="36"/>
      <c r="J1799" s="52">
        <v>1</v>
      </c>
      <c r="K1799" s="53">
        <f>0</f>
        <v>0</v>
      </c>
      <c r="L1799" s="53">
        <f>0</f>
        <v>0</v>
      </c>
      <c r="M1799" s="53">
        <f>0</f>
        <v>0</v>
      </c>
      <c r="N1799" s="54">
        <f t="shared" si="359"/>
        <v>0</v>
      </c>
      <c r="O1799" s="54">
        <f t="shared" si="360"/>
        <v>0</v>
      </c>
      <c r="P1799" s="54">
        <f t="shared" si="361"/>
        <v>0</v>
      </c>
      <c r="Q1799" s="54">
        <f t="shared" si="362"/>
        <v>0</v>
      </c>
      <c r="R1799" s="54">
        <f t="shared" si="363"/>
        <v>0</v>
      </c>
      <c r="S1799" s="54"/>
      <c r="T1799" s="36"/>
      <c r="XDA1799"/>
      <c r="XDB1799"/>
      <c r="XDC1799"/>
      <c r="XDD1799"/>
      <c r="XDE1799"/>
      <c r="XDF1799"/>
      <c r="XDG1799"/>
      <c r="XDH1799"/>
      <c r="XDI1799"/>
      <c r="XDJ1799"/>
      <c r="XDK1799"/>
      <c r="XDL1799"/>
      <c r="XDM1799"/>
      <c r="XDN1799"/>
      <c r="XDO1799"/>
      <c r="XDP1799"/>
      <c r="XDQ1799"/>
      <c r="XDR1799"/>
      <c r="XDS1799"/>
      <c r="XDT1799"/>
      <c r="XDU1799"/>
      <c r="XDV1799"/>
      <c r="XDW1799"/>
      <c r="XDX1799"/>
      <c r="XDY1799"/>
      <c r="XDZ1799"/>
      <c r="XEA1799"/>
      <c r="XEB1799"/>
      <c r="XEC1799"/>
      <c r="XED1799"/>
      <c r="XEE1799"/>
      <c r="XEF1799"/>
      <c r="XEG1799"/>
      <c r="XEH1799"/>
      <c r="XEI1799"/>
      <c r="XEJ1799"/>
      <c r="XEK1799"/>
      <c r="XEL1799"/>
      <c r="XEM1799"/>
      <c r="XEN1799"/>
      <c r="XEO1799"/>
      <c r="XEP1799"/>
      <c r="XEQ1799"/>
      <c r="XER1799"/>
      <c r="XES1799"/>
      <c r="XET1799"/>
      <c r="XEU1799"/>
      <c r="XEV1799"/>
      <c r="XEW1799"/>
      <c r="XEX1799"/>
      <c r="XEY1799"/>
      <c r="XEZ1799"/>
      <c r="XFA1799"/>
      <c r="XFB1799"/>
      <c r="XFC1799"/>
    </row>
    <row r="1800" spans="1:20 16329:16383" s="38" customFormat="1" ht="29.1" customHeight="1" outlineLevel="6" x14ac:dyDescent="0.25">
      <c r="A1800" s="49" t="s">
        <v>3024</v>
      </c>
      <c r="B1800" s="50"/>
      <c r="C1800" s="50"/>
      <c r="D1800" s="3" t="s">
        <v>2241</v>
      </c>
      <c r="E1800" s="3"/>
      <c r="F1800" s="51"/>
      <c r="G1800" s="50" t="s">
        <v>102</v>
      </c>
      <c r="H1800" s="52">
        <f>1</f>
        <v>1</v>
      </c>
      <c r="I1800" s="36"/>
      <c r="J1800" s="52">
        <v>1</v>
      </c>
      <c r="K1800" s="53">
        <f>0</f>
        <v>0</v>
      </c>
      <c r="L1800" s="53">
        <f>0</f>
        <v>0</v>
      </c>
      <c r="M1800" s="53">
        <f>0</f>
        <v>0</v>
      </c>
      <c r="N1800" s="54">
        <f t="shared" si="359"/>
        <v>0</v>
      </c>
      <c r="O1800" s="54">
        <f t="shared" si="360"/>
        <v>0</v>
      </c>
      <c r="P1800" s="54">
        <f t="shared" si="361"/>
        <v>0</v>
      </c>
      <c r="Q1800" s="54">
        <f t="shared" si="362"/>
        <v>0</v>
      </c>
      <c r="R1800" s="54">
        <f t="shared" si="363"/>
        <v>0</v>
      </c>
      <c r="S1800" s="54"/>
      <c r="T1800" s="36"/>
      <c r="XDA1800"/>
      <c r="XDB1800"/>
      <c r="XDC1800"/>
      <c r="XDD1800"/>
      <c r="XDE1800"/>
      <c r="XDF1800"/>
      <c r="XDG1800"/>
      <c r="XDH1800"/>
      <c r="XDI1800"/>
      <c r="XDJ1800"/>
      <c r="XDK1800"/>
      <c r="XDL1800"/>
      <c r="XDM1800"/>
      <c r="XDN1800"/>
      <c r="XDO1800"/>
      <c r="XDP1800"/>
      <c r="XDQ1800"/>
      <c r="XDR1800"/>
      <c r="XDS1800"/>
      <c r="XDT1800"/>
      <c r="XDU1800"/>
      <c r="XDV1800"/>
      <c r="XDW1800"/>
      <c r="XDX1800"/>
      <c r="XDY1800"/>
      <c r="XDZ1800"/>
      <c r="XEA1800"/>
      <c r="XEB1800"/>
      <c r="XEC1800"/>
      <c r="XED1800"/>
      <c r="XEE1800"/>
      <c r="XEF1800"/>
      <c r="XEG1800"/>
      <c r="XEH1800"/>
      <c r="XEI1800"/>
      <c r="XEJ1800"/>
      <c r="XEK1800"/>
      <c r="XEL1800"/>
      <c r="XEM1800"/>
      <c r="XEN1800"/>
      <c r="XEO1800"/>
      <c r="XEP1800"/>
      <c r="XEQ1800"/>
      <c r="XER1800"/>
      <c r="XES1800"/>
      <c r="XET1800"/>
      <c r="XEU1800"/>
      <c r="XEV1800"/>
      <c r="XEW1800"/>
      <c r="XEX1800"/>
      <c r="XEY1800"/>
      <c r="XEZ1800"/>
      <c r="XFA1800"/>
      <c r="XFB1800"/>
      <c r="XFC1800"/>
    </row>
    <row r="1801" spans="1:20 16329:16383" s="38" customFormat="1" ht="29.1" customHeight="1" outlineLevel="6" x14ac:dyDescent="0.25">
      <c r="A1801" s="49" t="s">
        <v>3025</v>
      </c>
      <c r="B1801" s="50"/>
      <c r="C1801" s="50"/>
      <c r="D1801" s="3" t="s">
        <v>1886</v>
      </c>
      <c r="E1801" s="3"/>
      <c r="F1801" s="51"/>
      <c r="G1801" s="50" t="s">
        <v>102</v>
      </c>
      <c r="H1801" s="52">
        <f>1</f>
        <v>1</v>
      </c>
      <c r="I1801" s="36"/>
      <c r="J1801" s="52">
        <v>1</v>
      </c>
      <c r="K1801" s="53">
        <f>0</f>
        <v>0</v>
      </c>
      <c r="L1801" s="53">
        <f>0</f>
        <v>0</v>
      </c>
      <c r="M1801" s="53">
        <f>0</f>
        <v>0</v>
      </c>
      <c r="N1801" s="54">
        <f t="shared" si="359"/>
        <v>0</v>
      </c>
      <c r="O1801" s="54">
        <f t="shared" si="360"/>
        <v>0</v>
      </c>
      <c r="P1801" s="54">
        <f t="shared" si="361"/>
        <v>0</v>
      </c>
      <c r="Q1801" s="54">
        <f t="shared" si="362"/>
        <v>0</v>
      </c>
      <c r="R1801" s="54">
        <f t="shared" si="363"/>
        <v>0</v>
      </c>
      <c r="S1801" s="54"/>
      <c r="T1801" s="36"/>
      <c r="XDA1801"/>
      <c r="XDB1801"/>
      <c r="XDC1801"/>
      <c r="XDD1801"/>
      <c r="XDE1801"/>
      <c r="XDF1801"/>
      <c r="XDG1801"/>
      <c r="XDH1801"/>
      <c r="XDI1801"/>
      <c r="XDJ1801"/>
      <c r="XDK1801"/>
      <c r="XDL1801"/>
      <c r="XDM1801"/>
      <c r="XDN1801"/>
      <c r="XDO1801"/>
      <c r="XDP1801"/>
      <c r="XDQ1801"/>
      <c r="XDR1801"/>
      <c r="XDS1801"/>
      <c r="XDT1801"/>
      <c r="XDU1801"/>
      <c r="XDV1801"/>
      <c r="XDW1801"/>
      <c r="XDX1801"/>
      <c r="XDY1801"/>
      <c r="XDZ1801"/>
      <c r="XEA1801"/>
      <c r="XEB1801"/>
      <c r="XEC1801"/>
      <c r="XED1801"/>
      <c r="XEE1801"/>
      <c r="XEF1801"/>
      <c r="XEG1801"/>
      <c r="XEH1801"/>
      <c r="XEI1801"/>
      <c r="XEJ1801"/>
      <c r="XEK1801"/>
      <c r="XEL1801"/>
      <c r="XEM1801"/>
      <c r="XEN1801"/>
      <c r="XEO1801"/>
      <c r="XEP1801"/>
      <c r="XEQ1801"/>
      <c r="XER1801"/>
      <c r="XES1801"/>
      <c r="XET1801"/>
      <c r="XEU1801"/>
      <c r="XEV1801"/>
      <c r="XEW1801"/>
      <c r="XEX1801"/>
      <c r="XEY1801"/>
      <c r="XEZ1801"/>
      <c r="XFA1801"/>
      <c r="XFB1801"/>
      <c r="XFC1801"/>
    </row>
    <row r="1802" spans="1:20 16329:16383" s="38" customFormat="1" ht="29.1" customHeight="1" outlineLevel="6" x14ac:dyDescent="0.25">
      <c r="A1802" s="49" t="s">
        <v>3026</v>
      </c>
      <c r="B1802" s="50"/>
      <c r="C1802" s="50"/>
      <c r="D1802" s="3" t="s">
        <v>2621</v>
      </c>
      <c r="E1802" s="3"/>
      <c r="F1802" s="51"/>
      <c r="G1802" s="50" t="s">
        <v>102</v>
      </c>
      <c r="H1802" s="52">
        <f>1</f>
        <v>1</v>
      </c>
      <c r="I1802" s="36"/>
      <c r="J1802" s="52">
        <v>1</v>
      </c>
      <c r="K1802" s="53">
        <f>0</f>
        <v>0</v>
      </c>
      <c r="L1802" s="53">
        <f>0</f>
        <v>0</v>
      </c>
      <c r="M1802" s="53">
        <f>0</f>
        <v>0</v>
      </c>
      <c r="N1802" s="54">
        <f t="shared" si="359"/>
        <v>0</v>
      </c>
      <c r="O1802" s="54">
        <f t="shared" si="360"/>
        <v>0</v>
      </c>
      <c r="P1802" s="54">
        <f t="shared" si="361"/>
        <v>0</v>
      </c>
      <c r="Q1802" s="54">
        <f t="shared" si="362"/>
        <v>0</v>
      </c>
      <c r="R1802" s="54">
        <f t="shared" si="363"/>
        <v>0</v>
      </c>
      <c r="S1802" s="54"/>
      <c r="T1802" s="36"/>
      <c r="XDA1802"/>
      <c r="XDB1802"/>
      <c r="XDC1802"/>
      <c r="XDD1802"/>
      <c r="XDE1802"/>
      <c r="XDF1802"/>
      <c r="XDG1802"/>
      <c r="XDH1802"/>
      <c r="XDI1802"/>
      <c r="XDJ1802"/>
      <c r="XDK1802"/>
      <c r="XDL1802"/>
      <c r="XDM1802"/>
      <c r="XDN1802"/>
      <c r="XDO1802"/>
      <c r="XDP1802"/>
      <c r="XDQ1802"/>
      <c r="XDR1802"/>
      <c r="XDS1802"/>
      <c r="XDT1802"/>
      <c r="XDU1802"/>
      <c r="XDV1802"/>
      <c r="XDW1802"/>
      <c r="XDX1802"/>
      <c r="XDY1802"/>
      <c r="XDZ1802"/>
      <c r="XEA1802"/>
      <c r="XEB1802"/>
      <c r="XEC1802"/>
      <c r="XED1802"/>
      <c r="XEE1802"/>
      <c r="XEF1802"/>
      <c r="XEG1802"/>
      <c r="XEH1802"/>
      <c r="XEI1802"/>
      <c r="XEJ1802"/>
      <c r="XEK1802"/>
      <c r="XEL1802"/>
      <c r="XEM1802"/>
      <c r="XEN1802"/>
      <c r="XEO1802"/>
      <c r="XEP1802"/>
      <c r="XEQ1802"/>
      <c r="XER1802"/>
      <c r="XES1802"/>
      <c r="XET1802"/>
      <c r="XEU1802"/>
      <c r="XEV1802"/>
      <c r="XEW1802"/>
      <c r="XEX1802"/>
      <c r="XEY1802"/>
      <c r="XEZ1802"/>
      <c r="XFA1802"/>
      <c r="XFB1802"/>
      <c r="XFC1802"/>
    </row>
    <row r="1803" spans="1:20 16329:16383" s="38" customFormat="1" ht="29.1" customHeight="1" outlineLevel="6" x14ac:dyDescent="0.25">
      <c r="A1803" s="49" t="s">
        <v>3027</v>
      </c>
      <c r="B1803" s="50"/>
      <c r="C1803" s="50"/>
      <c r="D1803" s="3" t="s">
        <v>2623</v>
      </c>
      <c r="E1803" s="3"/>
      <c r="F1803" s="51" t="s">
        <v>1960</v>
      </c>
      <c r="G1803" s="50" t="s">
        <v>134</v>
      </c>
      <c r="H1803" s="52">
        <f>1</f>
        <v>1</v>
      </c>
      <c r="I1803" s="36"/>
      <c r="J1803" s="52">
        <v>1</v>
      </c>
      <c r="K1803" s="53">
        <f>0</f>
        <v>0</v>
      </c>
      <c r="L1803" s="53">
        <f>0</f>
        <v>0</v>
      </c>
      <c r="M1803" s="53">
        <f>0</f>
        <v>0</v>
      </c>
      <c r="N1803" s="54">
        <f t="shared" si="359"/>
        <v>0</v>
      </c>
      <c r="O1803" s="54">
        <f t="shared" si="360"/>
        <v>0</v>
      </c>
      <c r="P1803" s="54">
        <f t="shared" si="361"/>
        <v>0</v>
      </c>
      <c r="Q1803" s="54">
        <f t="shared" si="362"/>
        <v>0</v>
      </c>
      <c r="R1803" s="54">
        <f t="shared" si="363"/>
        <v>0</v>
      </c>
      <c r="S1803" s="54"/>
      <c r="T1803" s="36"/>
      <c r="XDA1803"/>
      <c r="XDB1803"/>
      <c r="XDC1803"/>
      <c r="XDD1803"/>
      <c r="XDE1803"/>
      <c r="XDF1803"/>
      <c r="XDG1803"/>
      <c r="XDH1803"/>
      <c r="XDI1803"/>
      <c r="XDJ1803"/>
      <c r="XDK1803"/>
      <c r="XDL1803"/>
      <c r="XDM1803"/>
      <c r="XDN1803"/>
      <c r="XDO1803"/>
      <c r="XDP1803"/>
      <c r="XDQ1803"/>
      <c r="XDR1803"/>
      <c r="XDS1803"/>
      <c r="XDT1803"/>
      <c r="XDU1803"/>
      <c r="XDV1803"/>
      <c r="XDW1803"/>
      <c r="XDX1803"/>
      <c r="XDY1803"/>
      <c r="XDZ1803"/>
      <c r="XEA1803"/>
      <c r="XEB1803"/>
      <c r="XEC1803"/>
      <c r="XED1803"/>
      <c r="XEE1803"/>
      <c r="XEF1803"/>
      <c r="XEG1803"/>
      <c r="XEH1803"/>
      <c r="XEI1803"/>
      <c r="XEJ1803"/>
      <c r="XEK1803"/>
      <c r="XEL1803"/>
      <c r="XEM1803"/>
      <c r="XEN1803"/>
      <c r="XEO1803"/>
      <c r="XEP1803"/>
      <c r="XEQ1803"/>
      <c r="XER1803"/>
      <c r="XES1803"/>
      <c r="XET1803"/>
      <c r="XEU1803"/>
      <c r="XEV1803"/>
      <c r="XEW1803"/>
      <c r="XEX1803"/>
      <c r="XEY1803"/>
      <c r="XEZ1803"/>
      <c r="XFA1803"/>
      <c r="XFB1803"/>
      <c r="XFC1803"/>
    </row>
    <row r="1804" spans="1:20 16329:16383" s="38" customFormat="1" ht="29.1" customHeight="1" outlineLevel="5" x14ac:dyDescent="0.25">
      <c r="A1804" s="65" t="s">
        <v>3028</v>
      </c>
      <c r="B1804" s="66" t="s">
        <v>3029</v>
      </c>
      <c r="C1804" s="66"/>
      <c r="D1804" s="98" t="s">
        <v>1498</v>
      </c>
      <c r="E1804" s="98"/>
      <c r="F1804" s="67"/>
      <c r="G1804" s="66"/>
      <c r="H1804" s="68"/>
      <c r="I1804" s="36"/>
      <c r="J1804" s="68"/>
      <c r="K1804" s="69"/>
      <c r="L1804" s="69"/>
      <c r="M1804" s="69"/>
      <c r="N1804" s="69"/>
      <c r="O1804" s="69">
        <f>SUM(O1805:O1809)</f>
        <v>0</v>
      </c>
      <c r="P1804" s="69">
        <f>SUM(P1805:P1809)</f>
        <v>0</v>
      </c>
      <c r="Q1804" s="69">
        <f>SUM(Q1805:Q1809)</f>
        <v>0</v>
      </c>
      <c r="R1804" s="69">
        <f>SUM(R1805:R1809)</f>
        <v>0</v>
      </c>
      <c r="S1804" s="69"/>
      <c r="T1804" s="36"/>
      <c r="XDA1804"/>
      <c r="XDB1804"/>
      <c r="XDC1804"/>
      <c r="XDD1804"/>
      <c r="XDE1804"/>
      <c r="XDF1804"/>
      <c r="XDG1804"/>
      <c r="XDH1804"/>
      <c r="XDI1804"/>
      <c r="XDJ1804"/>
      <c r="XDK1804"/>
      <c r="XDL1804"/>
      <c r="XDM1804"/>
      <c r="XDN1804"/>
      <c r="XDO1804"/>
      <c r="XDP1804"/>
      <c r="XDQ1804"/>
      <c r="XDR1804"/>
      <c r="XDS1804"/>
      <c r="XDT1804"/>
      <c r="XDU1804"/>
      <c r="XDV1804"/>
      <c r="XDW1804"/>
      <c r="XDX1804"/>
      <c r="XDY1804"/>
      <c r="XDZ1804"/>
      <c r="XEA1804"/>
      <c r="XEB1804"/>
      <c r="XEC1804"/>
      <c r="XED1804"/>
      <c r="XEE1804"/>
      <c r="XEF1804"/>
      <c r="XEG1804"/>
      <c r="XEH1804"/>
      <c r="XEI1804"/>
      <c r="XEJ1804"/>
      <c r="XEK1804"/>
      <c r="XEL1804"/>
      <c r="XEM1804"/>
      <c r="XEN1804"/>
      <c r="XEO1804"/>
      <c r="XEP1804"/>
      <c r="XEQ1804"/>
      <c r="XER1804"/>
      <c r="XES1804"/>
      <c r="XET1804"/>
      <c r="XEU1804"/>
      <c r="XEV1804"/>
      <c r="XEW1804"/>
      <c r="XEX1804"/>
      <c r="XEY1804"/>
      <c r="XEZ1804"/>
      <c r="XFA1804"/>
      <c r="XFB1804"/>
      <c r="XFC1804"/>
    </row>
    <row r="1805" spans="1:20 16329:16383" s="38" customFormat="1" ht="29.1" customHeight="1" outlineLevel="6" x14ac:dyDescent="0.25">
      <c r="A1805" s="49" t="s">
        <v>3030</v>
      </c>
      <c r="B1805" s="50"/>
      <c r="C1805" s="50"/>
      <c r="D1805" s="3" t="s">
        <v>2251</v>
      </c>
      <c r="E1805" s="3"/>
      <c r="F1805" s="51" t="s">
        <v>2252</v>
      </c>
      <c r="G1805" s="50" t="s">
        <v>29</v>
      </c>
      <c r="H1805" s="52">
        <f>1</f>
        <v>1</v>
      </c>
      <c r="I1805" s="36"/>
      <c r="J1805" s="52">
        <v>1</v>
      </c>
      <c r="K1805" s="53">
        <f>0</f>
        <v>0</v>
      </c>
      <c r="L1805" s="53">
        <f>0</f>
        <v>0</v>
      </c>
      <c r="M1805" s="53">
        <f>0</f>
        <v>0</v>
      </c>
      <c r="N1805" s="54">
        <f>SUM(K1805:M1805)</f>
        <v>0</v>
      </c>
      <c r="O1805" s="54">
        <f>ROUND((H1805*K1805),2)</f>
        <v>0</v>
      </c>
      <c r="P1805" s="54">
        <f>ROUND((H1805*L1805),2)</f>
        <v>0</v>
      </c>
      <c r="Q1805" s="54">
        <f>ROUND((H1805*M1805),2)</f>
        <v>0</v>
      </c>
      <c r="R1805" s="54">
        <f>ROUND((H1805*N1805),2)</f>
        <v>0</v>
      </c>
      <c r="S1805" s="54"/>
      <c r="T1805" s="36"/>
      <c r="XDA1805"/>
      <c r="XDB1805"/>
      <c r="XDC1805"/>
      <c r="XDD1805"/>
      <c r="XDE1805"/>
      <c r="XDF1805"/>
      <c r="XDG1805"/>
      <c r="XDH1805"/>
      <c r="XDI1805"/>
      <c r="XDJ1805"/>
      <c r="XDK1805"/>
      <c r="XDL1805"/>
      <c r="XDM1805"/>
      <c r="XDN1805"/>
      <c r="XDO1805"/>
      <c r="XDP1805"/>
      <c r="XDQ1805"/>
      <c r="XDR1805"/>
      <c r="XDS1805"/>
      <c r="XDT1805"/>
      <c r="XDU1805"/>
      <c r="XDV1805"/>
      <c r="XDW1805"/>
      <c r="XDX1805"/>
      <c r="XDY1805"/>
      <c r="XDZ1805"/>
      <c r="XEA1805"/>
      <c r="XEB1805"/>
      <c r="XEC1805"/>
      <c r="XED1805"/>
      <c r="XEE1805"/>
      <c r="XEF1805"/>
      <c r="XEG1805"/>
      <c r="XEH1805"/>
      <c r="XEI1805"/>
      <c r="XEJ1805"/>
      <c r="XEK1805"/>
      <c r="XEL1805"/>
      <c r="XEM1805"/>
      <c r="XEN1805"/>
      <c r="XEO1805"/>
      <c r="XEP1805"/>
      <c r="XEQ1805"/>
      <c r="XER1805"/>
      <c r="XES1805"/>
      <c r="XET1805"/>
      <c r="XEU1805"/>
      <c r="XEV1805"/>
      <c r="XEW1805"/>
      <c r="XEX1805"/>
      <c r="XEY1805"/>
      <c r="XEZ1805"/>
      <c r="XFA1805"/>
      <c r="XFB1805"/>
      <c r="XFC1805"/>
    </row>
    <row r="1806" spans="1:20 16329:16383" s="38" customFormat="1" ht="29.1" customHeight="1" outlineLevel="6" x14ac:dyDescent="0.25">
      <c r="A1806" s="49" t="s">
        <v>3031</v>
      </c>
      <c r="B1806" s="50"/>
      <c r="C1806" s="50"/>
      <c r="D1806" s="3" t="s">
        <v>2260</v>
      </c>
      <c r="E1806" s="3"/>
      <c r="F1806" s="51" t="s">
        <v>2252</v>
      </c>
      <c r="G1806" s="50" t="s">
        <v>29</v>
      </c>
      <c r="H1806" s="52">
        <f>1</f>
        <v>1</v>
      </c>
      <c r="I1806" s="36"/>
      <c r="J1806" s="52">
        <v>1</v>
      </c>
      <c r="K1806" s="53">
        <f>0</f>
        <v>0</v>
      </c>
      <c r="L1806" s="53">
        <f>0</f>
        <v>0</v>
      </c>
      <c r="M1806" s="53">
        <f>0</f>
        <v>0</v>
      </c>
      <c r="N1806" s="54">
        <f>SUM(K1806:M1806)</f>
        <v>0</v>
      </c>
      <c r="O1806" s="54">
        <f>ROUND((H1806*K1806),2)</f>
        <v>0</v>
      </c>
      <c r="P1806" s="54">
        <f>ROUND((H1806*L1806),2)</f>
        <v>0</v>
      </c>
      <c r="Q1806" s="54">
        <f>ROUND((H1806*M1806),2)</f>
        <v>0</v>
      </c>
      <c r="R1806" s="54">
        <f>ROUND((H1806*N1806),2)</f>
        <v>0</v>
      </c>
      <c r="S1806" s="54"/>
      <c r="T1806" s="36"/>
      <c r="XDA1806"/>
      <c r="XDB1806"/>
      <c r="XDC1806"/>
      <c r="XDD1806"/>
      <c r="XDE1806"/>
      <c r="XDF1806"/>
      <c r="XDG1806"/>
      <c r="XDH1806"/>
      <c r="XDI1806"/>
      <c r="XDJ1806"/>
      <c r="XDK1806"/>
      <c r="XDL1806"/>
      <c r="XDM1806"/>
      <c r="XDN1806"/>
      <c r="XDO1806"/>
      <c r="XDP1806"/>
      <c r="XDQ1806"/>
      <c r="XDR1806"/>
      <c r="XDS1806"/>
      <c r="XDT1806"/>
      <c r="XDU1806"/>
      <c r="XDV1806"/>
      <c r="XDW1806"/>
      <c r="XDX1806"/>
      <c r="XDY1806"/>
      <c r="XDZ1806"/>
      <c r="XEA1806"/>
      <c r="XEB1806"/>
      <c r="XEC1806"/>
      <c r="XED1806"/>
      <c r="XEE1806"/>
      <c r="XEF1806"/>
      <c r="XEG1806"/>
      <c r="XEH1806"/>
      <c r="XEI1806"/>
      <c r="XEJ1806"/>
      <c r="XEK1806"/>
      <c r="XEL1806"/>
      <c r="XEM1806"/>
      <c r="XEN1806"/>
      <c r="XEO1806"/>
      <c r="XEP1806"/>
      <c r="XEQ1806"/>
      <c r="XER1806"/>
      <c r="XES1806"/>
      <c r="XET1806"/>
      <c r="XEU1806"/>
      <c r="XEV1806"/>
      <c r="XEW1806"/>
      <c r="XEX1806"/>
      <c r="XEY1806"/>
      <c r="XEZ1806"/>
      <c r="XFA1806"/>
      <c r="XFB1806"/>
      <c r="XFC1806"/>
    </row>
    <row r="1807" spans="1:20 16329:16383" s="38" customFormat="1" ht="29.1" customHeight="1" outlineLevel="6" x14ac:dyDescent="0.25">
      <c r="A1807" s="49" t="s">
        <v>3032</v>
      </c>
      <c r="B1807" s="50"/>
      <c r="C1807" s="50"/>
      <c r="D1807" s="3" t="s">
        <v>2258</v>
      </c>
      <c r="E1807" s="3"/>
      <c r="F1807" s="51" t="s">
        <v>2252</v>
      </c>
      <c r="G1807" s="50" t="s">
        <v>29</v>
      </c>
      <c r="H1807" s="52">
        <f>1</f>
        <v>1</v>
      </c>
      <c r="I1807" s="36"/>
      <c r="J1807" s="52">
        <v>1</v>
      </c>
      <c r="K1807" s="53">
        <f>0</f>
        <v>0</v>
      </c>
      <c r="L1807" s="53">
        <f>0</f>
        <v>0</v>
      </c>
      <c r="M1807" s="53">
        <f>0</f>
        <v>0</v>
      </c>
      <c r="N1807" s="54">
        <f>SUM(K1807:M1807)</f>
        <v>0</v>
      </c>
      <c r="O1807" s="54">
        <f>ROUND((H1807*K1807),2)</f>
        <v>0</v>
      </c>
      <c r="P1807" s="54">
        <f>ROUND((H1807*L1807),2)</f>
        <v>0</v>
      </c>
      <c r="Q1807" s="54">
        <f>ROUND((H1807*M1807),2)</f>
        <v>0</v>
      </c>
      <c r="R1807" s="54">
        <f>ROUND((H1807*N1807),2)</f>
        <v>0</v>
      </c>
      <c r="S1807" s="54"/>
      <c r="T1807" s="36"/>
      <c r="XDA1807"/>
      <c r="XDB1807"/>
      <c r="XDC1807"/>
      <c r="XDD1807"/>
      <c r="XDE1807"/>
      <c r="XDF1807"/>
      <c r="XDG1807"/>
      <c r="XDH1807"/>
      <c r="XDI1807"/>
      <c r="XDJ1807"/>
      <c r="XDK1807"/>
      <c r="XDL1807"/>
      <c r="XDM1807"/>
      <c r="XDN1807"/>
      <c r="XDO1807"/>
      <c r="XDP1807"/>
      <c r="XDQ1807"/>
      <c r="XDR1807"/>
      <c r="XDS1807"/>
      <c r="XDT1807"/>
      <c r="XDU1807"/>
      <c r="XDV1807"/>
      <c r="XDW1807"/>
      <c r="XDX1807"/>
      <c r="XDY1807"/>
      <c r="XDZ1807"/>
      <c r="XEA1807"/>
      <c r="XEB1807"/>
      <c r="XEC1807"/>
      <c r="XED1807"/>
      <c r="XEE1807"/>
      <c r="XEF1807"/>
      <c r="XEG1807"/>
      <c r="XEH1807"/>
      <c r="XEI1807"/>
      <c r="XEJ1807"/>
      <c r="XEK1807"/>
      <c r="XEL1807"/>
      <c r="XEM1807"/>
      <c r="XEN1807"/>
      <c r="XEO1807"/>
      <c r="XEP1807"/>
      <c r="XEQ1807"/>
      <c r="XER1807"/>
      <c r="XES1807"/>
      <c r="XET1807"/>
      <c r="XEU1807"/>
      <c r="XEV1807"/>
      <c r="XEW1807"/>
      <c r="XEX1807"/>
      <c r="XEY1807"/>
      <c r="XEZ1807"/>
      <c r="XFA1807"/>
      <c r="XFB1807"/>
      <c r="XFC1807"/>
    </row>
    <row r="1808" spans="1:20 16329:16383" s="38" customFormat="1" ht="29.1" customHeight="1" outlineLevel="6" x14ac:dyDescent="0.25">
      <c r="A1808" s="49" t="s">
        <v>3033</v>
      </c>
      <c r="B1808" s="50"/>
      <c r="C1808" s="50"/>
      <c r="D1808" s="3" t="s">
        <v>2324</v>
      </c>
      <c r="E1808" s="3"/>
      <c r="F1808" s="51" t="s">
        <v>2252</v>
      </c>
      <c r="G1808" s="50" t="s">
        <v>29</v>
      </c>
      <c r="H1808" s="52">
        <f>1</f>
        <v>1</v>
      </c>
      <c r="I1808" s="36"/>
      <c r="J1808" s="52">
        <v>1</v>
      </c>
      <c r="K1808" s="53">
        <f>0</f>
        <v>0</v>
      </c>
      <c r="L1808" s="53">
        <f>0</f>
        <v>0</v>
      </c>
      <c r="M1808" s="53">
        <f>0</f>
        <v>0</v>
      </c>
      <c r="N1808" s="54">
        <f>SUM(K1808:M1808)</f>
        <v>0</v>
      </c>
      <c r="O1808" s="54">
        <f>ROUND((H1808*K1808),2)</f>
        <v>0</v>
      </c>
      <c r="P1808" s="54">
        <f>ROUND((H1808*L1808),2)</f>
        <v>0</v>
      </c>
      <c r="Q1808" s="54">
        <f>ROUND((H1808*M1808),2)</f>
        <v>0</v>
      </c>
      <c r="R1808" s="54">
        <f>ROUND((H1808*N1808),2)</f>
        <v>0</v>
      </c>
      <c r="S1808" s="54"/>
      <c r="T1808" s="36"/>
      <c r="XDA1808"/>
      <c r="XDB1808"/>
      <c r="XDC1808"/>
      <c r="XDD1808"/>
      <c r="XDE1808"/>
      <c r="XDF1808"/>
      <c r="XDG1808"/>
      <c r="XDH1808"/>
      <c r="XDI1808"/>
      <c r="XDJ1808"/>
      <c r="XDK1808"/>
      <c r="XDL1808"/>
      <c r="XDM1808"/>
      <c r="XDN1808"/>
      <c r="XDO1808"/>
      <c r="XDP1808"/>
      <c r="XDQ1808"/>
      <c r="XDR1808"/>
      <c r="XDS1808"/>
      <c r="XDT1808"/>
      <c r="XDU1808"/>
      <c r="XDV1808"/>
      <c r="XDW1808"/>
      <c r="XDX1808"/>
      <c r="XDY1808"/>
      <c r="XDZ1808"/>
      <c r="XEA1808"/>
      <c r="XEB1808"/>
      <c r="XEC1808"/>
      <c r="XED1808"/>
      <c r="XEE1808"/>
      <c r="XEF1808"/>
      <c r="XEG1808"/>
      <c r="XEH1808"/>
      <c r="XEI1808"/>
      <c r="XEJ1808"/>
      <c r="XEK1808"/>
      <c r="XEL1808"/>
      <c r="XEM1808"/>
      <c r="XEN1808"/>
      <c r="XEO1808"/>
      <c r="XEP1808"/>
      <c r="XEQ1808"/>
      <c r="XER1808"/>
      <c r="XES1808"/>
      <c r="XET1808"/>
      <c r="XEU1808"/>
      <c r="XEV1808"/>
      <c r="XEW1808"/>
      <c r="XEX1808"/>
      <c r="XEY1808"/>
      <c r="XEZ1808"/>
      <c r="XFA1808"/>
      <c r="XFB1808"/>
      <c r="XFC1808"/>
    </row>
    <row r="1809" spans="1:20 16329:16383" s="38" customFormat="1" ht="29.1" customHeight="1" outlineLevel="6" x14ac:dyDescent="0.25">
      <c r="A1809" s="49" t="s">
        <v>3034</v>
      </c>
      <c r="B1809" s="50"/>
      <c r="C1809" s="50"/>
      <c r="D1809" s="3" t="s">
        <v>2326</v>
      </c>
      <c r="E1809" s="3"/>
      <c r="F1809" s="51" t="s">
        <v>2252</v>
      </c>
      <c r="G1809" s="50" t="s">
        <v>29</v>
      </c>
      <c r="H1809" s="52">
        <f>1</f>
        <v>1</v>
      </c>
      <c r="I1809" s="36"/>
      <c r="J1809" s="52">
        <v>1</v>
      </c>
      <c r="K1809" s="53">
        <f>0</f>
        <v>0</v>
      </c>
      <c r="L1809" s="53">
        <f>0</f>
        <v>0</v>
      </c>
      <c r="M1809" s="53">
        <f>0</f>
        <v>0</v>
      </c>
      <c r="N1809" s="54">
        <f>SUM(K1809:M1809)</f>
        <v>0</v>
      </c>
      <c r="O1809" s="54">
        <f>ROUND((H1809*K1809),2)</f>
        <v>0</v>
      </c>
      <c r="P1809" s="54">
        <f>ROUND((H1809*L1809),2)</f>
        <v>0</v>
      </c>
      <c r="Q1809" s="54">
        <f>ROUND((H1809*M1809),2)</f>
        <v>0</v>
      </c>
      <c r="R1809" s="54">
        <f>ROUND((H1809*N1809),2)</f>
        <v>0</v>
      </c>
      <c r="S1809" s="54"/>
      <c r="T1809" s="36"/>
      <c r="XDA1809"/>
      <c r="XDB1809"/>
      <c r="XDC1809"/>
      <c r="XDD1809"/>
      <c r="XDE1809"/>
      <c r="XDF1809"/>
      <c r="XDG1809"/>
      <c r="XDH1809"/>
      <c r="XDI1809"/>
      <c r="XDJ1809"/>
      <c r="XDK1809"/>
      <c r="XDL1809"/>
      <c r="XDM1809"/>
      <c r="XDN1809"/>
      <c r="XDO1809"/>
      <c r="XDP1809"/>
      <c r="XDQ1809"/>
      <c r="XDR1809"/>
      <c r="XDS1809"/>
      <c r="XDT1809"/>
      <c r="XDU1809"/>
      <c r="XDV1809"/>
      <c r="XDW1809"/>
      <c r="XDX1809"/>
      <c r="XDY1809"/>
      <c r="XDZ1809"/>
      <c r="XEA1809"/>
      <c r="XEB1809"/>
      <c r="XEC1809"/>
      <c r="XED1809"/>
      <c r="XEE1809"/>
      <c r="XEF1809"/>
      <c r="XEG1809"/>
      <c r="XEH1809"/>
      <c r="XEI1809"/>
      <c r="XEJ1809"/>
      <c r="XEK1809"/>
      <c r="XEL1809"/>
      <c r="XEM1809"/>
      <c r="XEN1809"/>
      <c r="XEO1809"/>
      <c r="XEP1809"/>
      <c r="XEQ1809"/>
      <c r="XER1809"/>
      <c r="XES1809"/>
      <c r="XET1809"/>
      <c r="XEU1809"/>
      <c r="XEV1809"/>
      <c r="XEW1809"/>
      <c r="XEX1809"/>
      <c r="XEY1809"/>
      <c r="XEZ1809"/>
      <c r="XFA1809"/>
      <c r="XFB1809"/>
      <c r="XFC1809"/>
    </row>
    <row r="1810" spans="1:20 16329:16383" s="38" customFormat="1" ht="29.1" customHeight="1" outlineLevel="4" x14ac:dyDescent="0.25">
      <c r="A1810" s="60" t="s">
        <v>3035</v>
      </c>
      <c r="B1810" s="61" t="s">
        <v>3036</v>
      </c>
      <c r="C1810" s="61" t="s">
        <v>2157</v>
      </c>
      <c r="D1810" s="1" t="s">
        <v>2158</v>
      </c>
      <c r="E1810" s="1"/>
      <c r="F1810" s="62"/>
      <c r="G1810" s="61" t="s">
        <v>102</v>
      </c>
      <c r="H1810" s="63"/>
      <c r="I1810" s="36"/>
      <c r="J1810" s="63"/>
      <c r="K1810" s="64"/>
      <c r="L1810" s="64"/>
      <c r="M1810" s="64"/>
      <c r="N1810" s="64"/>
      <c r="O1810" s="64">
        <f>O1811+O1816+O1821+O1825</f>
        <v>0</v>
      </c>
      <c r="P1810" s="64">
        <f>P1811+P1816+P1821+P1825</f>
        <v>0</v>
      </c>
      <c r="Q1810" s="64">
        <f>Q1811+Q1816+Q1821+Q1825</f>
        <v>0</v>
      </c>
      <c r="R1810" s="64">
        <f>R1811+R1816+R1821+R1825</f>
        <v>0</v>
      </c>
      <c r="S1810" s="64"/>
      <c r="T1810" s="36"/>
      <c r="XDA1810"/>
      <c r="XDB1810"/>
      <c r="XDC1810"/>
      <c r="XDD1810"/>
      <c r="XDE1810"/>
      <c r="XDF1810"/>
      <c r="XDG1810"/>
      <c r="XDH1810"/>
      <c r="XDI1810"/>
      <c r="XDJ1810"/>
      <c r="XDK1810"/>
      <c r="XDL1810"/>
      <c r="XDM1810"/>
      <c r="XDN1810"/>
      <c r="XDO1810"/>
      <c r="XDP1810"/>
      <c r="XDQ1810"/>
      <c r="XDR1810"/>
      <c r="XDS1810"/>
      <c r="XDT1810"/>
      <c r="XDU1810"/>
      <c r="XDV1810"/>
      <c r="XDW1810"/>
      <c r="XDX1810"/>
      <c r="XDY1810"/>
      <c r="XDZ1810"/>
      <c r="XEA1810"/>
      <c r="XEB1810"/>
      <c r="XEC1810"/>
      <c r="XED1810"/>
      <c r="XEE1810"/>
      <c r="XEF1810"/>
      <c r="XEG1810"/>
      <c r="XEH1810"/>
      <c r="XEI1810"/>
      <c r="XEJ1810"/>
      <c r="XEK1810"/>
      <c r="XEL1810"/>
      <c r="XEM1810"/>
      <c r="XEN1810"/>
      <c r="XEO1810"/>
      <c r="XEP1810"/>
      <c r="XEQ1810"/>
      <c r="XER1810"/>
      <c r="XES1810"/>
      <c r="XET1810"/>
      <c r="XEU1810"/>
      <c r="XEV1810"/>
      <c r="XEW1810"/>
      <c r="XEX1810"/>
      <c r="XEY1810"/>
      <c r="XEZ1810"/>
      <c r="XFA1810"/>
      <c r="XFB1810"/>
      <c r="XFC1810"/>
    </row>
    <row r="1811" spans="1:20 16329:16383" s="38" customFormat="1" ht="29.1" customHeight="1" outlineLevel="5" x14ac:dyDescent="0.25">
      <c r="A1811" s="65" t="s">
        <v>3037</v>
      </c>
      <c r="B1811" s="66" t="s">
        <v>3038</v>
      </c>
      <c r="C1811" s="66"/>
      <c r="D1811" s="98" t="s">
        <v>1873</v>
      </c>
      <c r="E1811" s="98"/>
      <c r="F1811" s="67"/>
      <c r="G1811" s="66"/>
      <c r="H1811" s="68"/>
      <c r="I1811" s="36"/>
      <c r="J1811" s="68"/>
      <c r="K1811" s="69"/>
      <c r="L1811" s="69"/>
      <c r="M1811" s="69"/>
      <c r="N1811" s="69"/>
      <c r="O1811" s="69">
        <f>SUM(O1812:O1815)</f>
        <v>0</v>
      </c>
      <c r="P1811" s="69">
        <f>SUM(P1812:P1815)</f>
        <v>0</v>
      </c>
      <c r="Q1811" s="69">
        <f>SUM(Q1812:Q1815)</f>
        <v>0</v>
      </c>
      <c r="R1811" s="69">
        <f>SUM(R1812:R1815)</f>
        <v>0</v>
      </c>
      <c r="S1811" s="69"/>
      <c r="T1811" s="36"/>
      <c r="XDA1811"/>
      <c r="XDB1811"/>
      <c r="XDC1811"/>
      <c r="XDD1811"/>
      <c r="XDE1811"/>
      <c r="XDF1811"/>
      <c r="XDG1811"/>
      <c r="XDH1811"/>
      <c r="XDI1811"/>
      <c r="XDJ1811"/>
      <c r="XDK1811"/>
      <c r="XDL1811"/>
      <c r="XDM1811"/>
      <c r="XDN1811"/>
      <c r="XDO1811"/>
      <c r="XDP1811"/>
      <c r="XDQ1811"/>
      <c r="XDR1811"/>
      <c r="XDS1811"/>
      <c r="XDT1811"/>
      <c r="XDU1811"/>
      <c r="XDV1811"/>
      <c r="XDW1811"/>
      <c r="XDX1811"/>
      <c r="XDY1811"/>
      <c r="XDZ1811"/>
      <c r="XEA1811"/>
      <c r="XEB1811"/>
      <c r="XEC1811"/>
      <c r="XED1811"/>
      <c r="XEE1811"/>
      <c r="XEF1811"/>
      <c r="XEG1811"/>
      <c r="XEH1811"/>
      <c r="XEI1811"/>
      <c r="XEJ1811"/>
      <c r="XEK1811"/>
      <c r="XEL1811"/>
      <c r="XEM1811"/>
      <c r="XEN1811"/>
      <c r="XEO1811"/>
      <c r="XEP1811"/>
      <c r="XEQ1811"/>
      <c r="XER1811"/>
      <c r="XES1811"/>
      <c r="XET1811"/>
      <c r="XEU1811"/>
      <c r="XEV1811"/>
      <c r="XEW1811"/>
      <c r="XEX1811"/>
      <c r="XEY1811"/>
      <c r="XEZ1811"/>
      <c r="XFA1811"/>
      <c r="XFB1811"/>
      <c r="XFC1811"/>
    </row>
    <row r="1812" spans="1:20 16329:16383" s="38" customFormat="1" ht="29.1" customHeight="1" outlineLevel="6" x14ac:dyDescent="0.25">
      <c r="A1812" s="49" t="s">
        <v>3039</v>
      </c>
      <c r="B1812" s="50"/>
      <c r="C1812" s="50"/>
      <c r="D1812" s="3" t="s">
        <v>1968</v>
      </c>
      <c r="E1812" s="3"/>
      <c r="F1812" s="51"/>
      <c r="G1812" s="50" t="s">
        <v>102</v>
      </c>
      <c r="H1812" s="52">
        <f>1</f>
        <v>1</v>
      </c>
      <c r="I1812" s="36"/>
      <c r="J1812" s="52">
        <v>1</v>
      </c>
      <c r="K1812" s="53">
        <f>0</f>
        <v>0</v>
      </c>
      <c r="L1812" s="53">
        <f>0</f>
        <v>0</v>
      </c>
      <c r="M1812" s="53">
        <f>0</f>
        <v>0</v>
      </c>
      <c r="N1812" s="54">
        <f>SUM(K1812:M1812)</f>
        <v>0</v>
      </c>
      <c r="O1812" s="54">
        <f>ROUND((H1812*K1812),2)</f>
        <v>0</v>
      </c>
      <c r="P1812" s="54">
        <f>ROUND((H1812*L1812),2)</f>
        <v>0</v>
      </c>
      <c r="Q1812" s="54">
        <f>ROUND((H1812*M1812),2)</f>
        <v>0</v>
      </c>
      <c r="R1812" s="54">
        <f>ROUND((H1812*N1812),2)</f>
        <v>0</v>
      </c>
      <c r="S1812" s="54"/>
      <c r="T1812" s="36"/>
      <c r="XDA1812"/>
      <c r="XDB1812"/>
      <c r="XDC1812"/>
      <c r="XDD1812"/>
      <c r="XDE1812"/>
      <c r="XDF1812"/>
      <c r="XDG1812"/>
      <c r="XDH1812"/>
      <c r="XDI1812"/>
      <c r="XDJ1812"/>
      <c r="XDK1812"/>
      <c r="XDL1812"/>
      <c r="XDM1812"/>
      <c r="XDN1812"/>
      <c r="XDO1812"/>
      <c r="XDP1812"/>
      <c r="XDQ1812"/>
      <c r="XDR1812"/>
      <c r="XDS1812"/>
      <c r="XDT1812"/>
      <c r="XDU1812"/>
      <c r="XDV1812"/>
      <c r="XDW1812"/>
      <c r="XDX1812"/>
      <c r="XDY1812"/>
      <c r="XDZ1812"/>
      <c r="XEA1812"/>
      <c r="XEB1812"/>
      <c r="XEC1812"/>
      <c r="XED1812"/>
      <c r="XEE1812"/>
      <c r="XEF1812"/>
      <c r="XEG1812"/>
      <c r="XEH1812"/>
      <c r="XEI1812"/>
      <c r="XEJ1812"/>
      <c r="XEK1812"/>
      <c r="XEL1812"/>
      <c r="XEM1812"/>
      <c r="XEN1812"/>
      <c r="XEO1812"/>
      <c r="XEP1812"/>
      <c r="XEQ1812"/>
      <c r="XER1812"/>
      <c r="XES1812"/>
      <c r="XET1812"/>
      <c r="XEU1812"/>
      <c r="XEV1812"/>
      <c r="XEW1812"/>
      <c r="XEX1812"/>
      <c r="XEY1812"/>
      <c r="XEZ1812"/>
      <c r="XFA1812"/>
      <c r="XFB1812"/>
      <c r="XFC1812"/>
    </row>
    <row r="1813" spans="1:20 16329:16383" s="38" customFormat="1" ht="29.1" customHeight="1" outlineLevel="6" x14ac:dyDescent="0.25">
      <c r="A1813" s="49" t="s">
        <v>3040</v>
      </c>
      <c r="B1813" s="50"/>
      <c r="C1813" s="50"/>
      <c r="D1813" s="3" t="s">
        <v>1970</v>
      </c>
      <c r="E1813" s="3"/>
      <c r="F1813" s="51"/>
      <c r="G1813" s="50" t="s">
        <v>102</v>
      </c>
      <c r="H1813" s="52">
        <f>1</f>
        <v>1</v>
      </c>
      <c r="I1813" s="36"/>
      <c r="J1813" s="52">
        <v>1</v>
      </c>
      <c r="K1813" s="53">
        <f>0</f>
        <v>0</v>
      </c>
      <c r="L1813" s="53">
        <f>0</f>
        <v>0</v>
      </c>
      <c r="M1813" s="53">
        <f>0</f>
        <v>0</v>
      </c>
      <c r="N1813" s="54">
        <f>SUM(K1813:M1813)</f>
        <v>0</v>
      </c>
      <c r="O1813" s="54">
        <f>ROUND((H1813*K1813),2)</f>
        <v>0</v>
      </c>
      <c r="P1813" s="54">
        <f>ROUND((H1813*L1813),2)</f>
        <v>0</v>
      </c>
      <c r="Q1813" s="54">
        <f>ROUND((H1813*M1813),2)</f>
        <v>0</v>
      </c>
      <c r="R1813" s="54">
        <f>ROUND((H1813*N1813),2)</f>
        <v>0</v>
      </c>
      <c r="S1813" s="54"/>
      <c r="T1813" s="36"/>
      <c r="XDA1813"/>
      <c r="XDB1813"/>
      <c r="XDC1813"/>
      <c r="XDD1813"/>
      <c r="XDE1813"/>
      <c r="XDF1813"/>
      <c r="XDG1813"/>
      <c r="XDH1813"/>
      <c r="XDI1813"/>
      <c r="XDJ1813"/>
      <c r="XDK1813"/>
      <c r="XDL1813"/>
      <c r="XDM1813"/>
      <c r="XDN1813"/>
      <c r="XDO1813"/>
      <c r="XDP1813"/>
      <c r="XDQ1813"/>
      <c r="XDR1813"/>
      <c r="XDS1813"/>
      <c r="XDT1813"/>
      <c r="XDU1813"/>
      <c r="XDV1813"/>
      <c r="XDW1813"/>
      <c r="XDX1813"/>
      <c r="XDY1813"/>
      <c r="XDZ1813"/>
      <c r="XEA1813"/>
      <c r="XEB1813"/>
      <c r="XEC1813"/>
      <c r="XED1813"/>
      <c r="XEE1813"/>
      <c r="XEF1813"/>
      <c r="XEG1813"/>
      <c r="XEH1813"/>
      <c r="XEI1813"/>
      <c r="XEJ1813"/>
      <c r="XEK1813"/>
      <c r="XEL1813"/>
      <c r="XEM1813"/>
      <c r="XEN1813"/>
      <c r="XEO1813"/>
      <c r="XEP1813"/>
      <c r="XEQ1813"/>
      <c r="XER1813"/>
      <c r="XES1813"/>
      <c r="XET1813"/>
      <c r="XEU1813"/>
      <c r="XEV1813"/>
      <c r="XEW1813"/>
      <c r="XEX1813"/>
      <c r="XEY1813"/>
      <c r="XEZ1813"/>
      <c r="XFA1813"/>
      <c r="XFB1813"/>
      <c r="XFC1813"/>
    </row>
    <row r="1814" spans="1:20 16329:16383" s="38" customFormat="1" ht="29.1" customHeight="1" outlineLevel="6" x14ac:dyDescent="0.25">
      <c r="A1814" s="49" t="s">
        <v>3041</v>
      </c>
      <c r="B1814" s="50"/>
      <c r="C1814" s="50"/>
      <c r="D1814" s="3" t="s">
        <v>1972</v>
      </c>
      <c r="E1814" s="3"/>
      <c r="F1814" s="51"/>
      <c r="G1814" s="50" t="s">
        <v>102</v>
      </c>
      <c r="H1814" s="52">
        <f>1</f>
        <v>1</v>
      </c>
      <c r="I1814" s="36"/>
      <c r="J1814" s="52">
        <v>1</v>
      </c>
      <c r="K1814" s="53">
        <f>0</f>
        <v>0</v>
      </c>
      <c r="L1814" s="53">
        <f>0</f>
        <v>0</v>
      </c>
      <c r="M1814" s="53">
        <f>0</f>
        <v>0</v>
      </c>
      <c r="N1814" s="54">
        <f>SUM(K1814:M1814)</f>
        <v>0</v>
      </c>
      <c r="O1814" s="54">
        <f>ROUND((H1814*K1814),2)</f>
        <v>0</v>
      </c>
      <c r="P1814" s="54">
        <f>ROUND((H1814*L1814),2)</f>
        <v>0</v>
      </c>
      <c r="Q1814" s="54">
        <f>ROUND((H1814*M1814),2)</f>
        <v>0</v>
      </c>
      <c r="R1814" s="54">
        <f>ROUND((H1814*N1814),2)</f>
        <v>0</v>
      </c>
      <c r="S1814" s="54"/>
      <c r="T1814" s="36"/>
      <c r="XDA1814"/>
      <c r="XDB1814"/>
      <c r="XDC1814"/>
      <c r="XDD1814"/>
      <c r="XDE1814"/>
      <c r="XDF1814"/>
      <c r="XDG1814"/>
      <c r="XDH1814"/>
      <c r="XDI1814"/>
      <c r="XDJ1814"/>
      <c r="XDK1814"/>
      <c r="XDL1814"/>
      <c r="XDM1814"/>
      <c r="XDN1814"/>
      <c r="XDO1814"/>
      <c r="XDP1814"/>
      <c r="XDQ1814"/>
      <c r="XDR1814"/>
      <c r="XDS1814"/>
      <c r="XDT1814"/>
      <c r="XDU1814"/>
      <c r="XDV1814"/>
      <c r="XDW1814"/>
      <c r="XDX1814"/>
      <c r="XDY1814"/>
      <c r="XDZ1814"/>
      <c r="XEA1814"/>
      <c r="XEB1814"/>
      <c r="XEC1814"/>
      <c r="XED1814"/>
      <c r="XEE1814"/>
      <c r="XEF1814"/>
      <c r="XEG1814"/>
      <c r="XEH1814"/>
      <c r="XEI1814"/>
      <c r="XEJ1814"/>
      <c r="XEK1814"/>
      <c r="XEL1814"/>
      <c r="XEM1814"/>
      <c r="XEN1814"/>
      <c r="XEO1814"/>
      <c r="XEP1814"/>
      <c r="XEQ1814"/>
      <c r="XER1814"/>
      <c r="XES1814"/>
      <c r="XET1814"/>
      <c r="XEU1814"/>
      <c r="XEV1814"/>
      <c r="XEW1814"/>
      <c r="XEX1814"/>
      <c r="XEY1814"/>
      <c r="XEZ1814"/>
      <c r="XFA1814"/>
      <c r="XFB1814"/>
      <c r="XFC1814"/>
    </row>
    <row r="1815" spans="1:20 16329:16383" s="38" customFormat="1" ht="29.1" customHeight="1" outlineLevel="6" x14ac:dyDescent="0.25">
      <c r="A1815" s="49" t="s">
        <v>3042</v>
      </c>
      <c r="B1815" s="50"/>
      <c r="C1815" s="50"/>
      <c r="D1815" s="3" t="s">
        <v>1937</v>
      </c>
      <c r="E1815" s="3"/>
      <c r="F1815" s="51"/>
      <c r="G1815" s="50" t="s">
        <v>194</v>
      </c>
      <c r="H1815" s="52">
        <f>1</f>
        <v>1</v>
      </c>
      <c r="I1815" s="36"/>
      <c r="J1815" s="52">
        <v>1</v>
      </c>
      <c r="K1815" s="53">
        <f>0</f>
        <v>0</v>
      </c>
      <c r="L1815" s="53">
        <f>0</f>
        <v>0</v>
      </c>
      <c r="M1815" s="53">
        <f>0</f>
        <v>0</v>
      </c>
      <c r="N1815" s="54">
        <f>SUM(K1815:M1815)</f>
        <v>0</v>
      </c>
      <c r="O1815" s="54">
        <f>ROUND((H1815*K1815),2)</f>
        <v>0</v>
      </c>
      <c r="P1815" s="54">
        <f>ROUND((H1815*L1815),2)</f>
        <v>0</v>
      </c>
      <c r="Q1815" s="54">
        <f>ROUND((H1815*M1815),2)</f>
        <v>0</v>
      </c>
      <c r="R1815" s="54">
        <f>ROUND((H1815*N1815),2)</f>
        <v>0</v>
      </c>
      <c r="S1815" s="54"/>
      <c r="T1815" s="36"/>
      <c r="XDA1815"/>
      <c r="XDB1815"/>
      <c r="XDC1815"/>
      <c r="XDD1815"/>
      <c r="XDE1815"/>
      <c r="XDF1815"/>
      <c r="XDG1815"/>
      <c r="XDH1815"/>
      <c r="XDI1815"/>
      <c r="XDJ1815"/>
      <c r="XDK1815"/>
      <c r="XDL1815"/>
      <c r="XDM1815"/>
      <c r="XDN1815"/>
      <c r="XDO1815"/>
      <c r="XDP1815"/>
      <c r="XDQ1815"/>
      <c r="XDR1815"/>
      <c r="XDS1815"/>
      <c r="XDT1815"/>
      <c r="XDU1815"/>
      <c r="XDV1815"/>
      <c r="XDW1815"/>
      <c r="XDX1815"/>
      <c r="XDY1815"/>
      <c r="XDZ1815"/>
      <c r="XEA1815"/>
      <c r="XEB1815"/>
      <c r="XEC1815"/>
      <c r="XED1815"/>
      <c r="XEE1815"/>
      <c r="XEF1815"/>
      <c r="XEG1815"/>
      <c r="XEH1815"/>
      <c r="XEI1815"/>
      <c r="XEJ1815"/>
      <c r="XEK1815"/>
      <c r="XEL1815"/>
      <c r="XEM1815"/>
      <c r="XEN1815"/>
      <c r="XEO1815"/>
      <c r="XEP1815"/>
      <c r="XEQ1815"/>
      <c r="XER1815"/>
      <c r="XES1815"/>
      <c r="XET1815"/>
      <c r="XEU1815"/>
      <c r="XEV1815"/>
      <c r="XEW1815"/>
      <c r="XEX1815"/>
      <c r="XEY1815"/>
      <c r="XEZ1815"/>
      <c r="XFA1815"/>
      <c r="XFB1815"/>
      <c r="XFC1815"/>
    </row>
    <row r="1816" spans="1:20 16329:16383" s="38" customFormat="1" ht="29.1" customHeight="1" outlineLevel="5" x14ac:dyDescent="0.25">
      <c r="A1816" s="65" t="s">
        <v>3043</v>
      </c>
      <c r="B1816" s="66" t="s">
        <v>3044</v>
      </c>
      <c r="C1816" s="66"/>
      <c r="D1816" s="98" t="s">
        <v>344</v>
      </c>
      <c r="E1816" s="98"/>
      <c r="F1816" s="67"/>
      <c r="G1816" s="66"/>
      <c r="H1816" s="68"/>
      <c r="I1816" s="36"/>
      <c r="J1816" s="68"/>
      <c r="K1816" s="69"/>
      <c r="L1816" s="69"/>
      <c r="M1816" s="69"/>
      <c r="N1816" s="69"/>
      <c r="O1816" s="69">
        <f>SUM(O1817:O1820)</f>
        <v>0</v>
      </c>
      <c r="P1816" s="69">
        <f>SUM(P1817:P1820)</f>
        <v>0</v>
      </c>
      <c r="Q1816" s="69">
        <f>SUM(Q1817:Q1820)</f>
        <v>0</v>
      </c>
      <c r="R1816" s="69">
        <f>SUM(R1817:R1820)</f>
        <v>0</v>
      </c>
      <c r="S1816" s="69"/>
      <c r="T1816" s="36"/>
      <c r="XDA1816"/>
      <c r="XDB1816"/>
      <c r="XDC1816"/>
      <c r="XDD1816"/>
      <c r="XDE1816"/>
      <c r="XDF1816"/>
      <c r="XDG1816"/>
      <c r="XDH1816"/>
      <c r="XDI1816"/>
      <c r="XDJ1816"/>
      <c r="XDK1816"/>
      <c r="XDL1816"/>
      <c r="XDM1816"/>
      <c r="XDN1816"/>
      <c r="XDO1816"/>
      <c r="XDP1816"/>
      <c r="XDQ1816"/>
      <c r="XDR1816"/>
      <c r="XDS1816"/>
      <c r="XDT1816"/>
      <c r="XDU1816"/>
      <c r="XDV1816"/>
      <c r="XDW1816"/>
      <c r="XDX1816"/>
      <c r="XDY1816"/>
      <c r="XDZ1816"/>
      <c r="XEA1816"/>
      <c r="XEB1816"/>
      <c r="XEC1816"/>
      <c r="XED1816"/>
      <c r="XEE1816"/>
      <c r="XEF1816"/>
      <c r="XEG1816"/>
      <c r="XEH1816"/>
      <c r="XEI1816"/>
      <c r="XEJ1816"/>
      <c r="XEK1816"/>
      <c r="XEL1816"/>
      <c r="XEM1816"/>
      <c r="XEN1816"/>
      <c r="XEO1816"/>
      <c r="XEP1816"/>
      <c r="XEQ1816"/>
      <c r="XER1816"/>
      <c r="XES1816"/>
      <c r="XET1816"/>
      <c r="XEU1816"/>
      <c r="XEV1816"/>
      <c r="XEW1816"/>
      <c r="XEX1816"/>
      <c r="XEY1816"/>
      <c r="XEZ1816"/>
      <c r="XFA1816"/>
      <c r="XFB1816"/>
      <c r="XFC1816"/>
    </row>
    <row r="1817" spans="1:20 16329:16383" s="38" customFormat="1" ht="29.1" customHeight="1" outlineLevel="6" x14ac:dyDescent="0.25">
      <c r="A1817" s="49" t="s">
        <v>3045</v>
      </c>
      <c r="B1817" s="50"/>
      <c r="C1817" s="50"/>
      <c r="D1817" s="3" t="s">
        <v>1884</v>
      </c>
      <c r="E1817" s="3"/>
      <c r="F1817" s="51"/>
      <c r="G1817" s="50" t="s">
        <v>102</v>
      </c>
      <c r="H1817" s="52">
        <f>1</f>
        <v>1</v>
      </c>
      <c r="I1817" s="36"/>
      <c r="J1817" s="52">
        <v>1</v>
      </c>
      <c r="K1817" s="53">
        <f>0</f>
        <v>0</v>
      </c>
      <c r="L1817" s="53">
        <f>0</f>
        <v>0</v>
      </c>
      <c r="M1817" s="53">
        <f>0</f>
        <v>0</v>
      </c>
      <c r="N1817" s="54">
        <f>SUM(K1817:M1817)</f>
        <v>0</v>
      </c>
      <c r="O1817" s="54">
        <f>ROUND((H1817*K1817),2)</f>
        <v>0</v>
      </c>
      <c r="P1817" s="54">
        <f>ROUND((H1817*L1817),2)</f>
        <v>0</v>
      </c>
      <c r="Q1817" s="54">
        <f>ROUND((H1817*M1817),2)</f>
        <v>0</v>
      </c>
      <c r="R1817" s="54">
        <f>ROUND((H1817*N1817),2)</f>
        <v>0</v>
      </c>
      <c r="S1817" s="54"/>
      <c r="T1817" s="36"/>
      <c r="XDA1817"/>
      <c r="XDB1817"/>
      <c r="XDC1817"/>
      <c r="XDD1817"/>
      <c r="XDE1817"/>
      <c r="XDF1817"/>
      <c r="XDG1817"/>
      <c r="XDH1817"/>
      <c r="XDI1817"/>
      <c r="XDJ1817"/>
      <c r="XDK1817"/>
      <c r="XDL1817"/>
      <c r="XDM1817"/>
      <c r="XDN1817"/>
      <c r="XDO1817"/>
      <c r="XDP1817"/>
      <c r="XDQ1817"/>
      <c r="XDR1817"/>
      <c r="XDS1817"/>
      <c r="XDT1817"/>
      <c r="XDU1817"/>
      <c r="XDV1817"/>
      <c r="XDW1817"/>
      <c r="XDX1817"/>
      <c r="XDY1817"/>
      <c r="XDZ1817"/>
      <c r="XEA1817"/>
      <c r="XEB1817"/>
      <c r="XEC1817"/>
      <c r="XED1817"/>
      <c r="XEE1817"/>
      <c r="XEF1817"/>
      <c r="XEG1817"/>
      <c r="XEH1817"/>
      <c r="XEI1817"/>
      <c r="XEJ1817"/>
      <c r="XEK1817"/>
      <c r="XEL1817"/>
      <c r="XEM1817"/>
      <c r="XEN1817"/>
      <c r="XEO1817"/>
      <c r="XEP1817"/>
      <c r="XEQ1817"/>
      <c r="XER1817"/>
      <c r="XES1817"/>
      <c r="XET1817"/>
      <c r="XEU1817"/>
      <c r="XEV1817"/>
      <c r="XEW1817"/>
      <c r="XEX1817"/>
      <c r="XEY1817"/>
      <c r="XEZ1817"/>
      <c r="XFA1817"/>
      <c r="XFB1817"/>
      <c r="XFC1817"/>
    </row>
    <row r="1818" spans="1:20 16329:16383" s="38" customFormat="1" ht="29.1" customHeight="1" outlineLevel="6" x14ac:dyDescent="0.25">
      <c r="A1818" s="49" t="s">
        <v>3046</v>
      </c>
      <c r="B1818" s="50"/>
      <c r="C1818" s="50"/>
      <c r="D1818" s="3" t="s">
        <v>1955</v>
      </c>
      <c r="E1818" s="3"/>
      <c r="F1818" s="51"/>
      <c r="G1818" s="50" t="s">
        <v>102</v>
      </c>
      <c r="H1818" s="52">
        <f>1</f>
        <v>1</v>
      </c>
      <c r="I1818" s="36"/>
      <c r="J1818" s="52">
        <v>1</v>
      </c>
      <c r="K1818" s="53">
        <f>0</f>
        <v>0</v>
      </c>
      <c r="L1818" s="53">
        <f>0</f>
        <v>0</v>
      </c>
      <c r="M1818" s="53">
        <f>0</f>
        <v>0</v>
      </c>
      <c r="N1818" s="54">
        <f>SUM(K1818:M1818)</f>
        <v>0</v>
      </c>
      <c r="O1818" s="54">
        <f>ROUND((H1818*K1818),2)</f>
        <v>0</v>
      </c>
      <c r="P1818" s="54">
        <f>ROUND((H1818*L1818),2)</f>
        <v>0</v>
      </c>
      <c r="Q1818" s="54">
        <f>ROUND((H1818*M1818),2)</f>
        <v>0</v>
      </c>
      <c r="R1818" s="54">
        <f>ROUND((H1818*N1818),2)</f>
        <v>0</v>
      </c>
      <c r="S1818" s="54"/>
      <c r="T1818" s="36"/>
      <c r="XDA1818"/>
      <c r="XDB1818"/>
      <c r="XDC1818"/>
      <c r="XDD1818"/>
      <c r="XDE1818"/>
      <c r="XDF1818"/>
      <c r="XDG1818"/>
      <c r="XDH1818"/>
      <c r="XDI1818"/>
      <c r="XDJ1818"/>
      <c r="XDK1818"/>
      <c r="XDL1818"/>
      <c r="XDM1818"/>
      <c r="XDN1818"/>
      <c r="XDO1818"/>
      <c r="XDP1818"/>
      <c r="XDQ1818"/>
      <c r="XDR1818"/>
      <c r="XDS1818"/>
      <c r="XDT1818"/>
      <c r="XDU1818"/>
      <c r="XDV1818"/>
      <c r="XDW1818"/>
      <c r="XDX1818"/>
      <c r="XDY1818"/>
      <c r="XDZ1818"/>
      <c r="XEA1818"/>
      <c r="XEB1818"/>
      <c r="XEC1818"/>
      <c r="XED1818"/>
      <c r="XEE1818"/>
      <c r="XEF1818"/>
      <c r="XEG1818"/>
      <c r="XEH1818"/>
      <c r="XEI1818"/>
      <c r="XEJ1818"/>
      <c r="XEK1818"/>
      <c r="XEL1818"/>
      <c r="XEM1818"/>
      <c r="XEN1818"/>
      <c r="XEO1818"/>
      <c r="XEP1818"/>
      <c r="XEQ1818"/>
      <c r="XER1818"/>
      <c r="XES1818"/>
      <c r="XET1818"/>
      <c r="XEU1818"/>
      <c r="XEV1818"/>
      <c r="XEW1818"/>
      <c r="XEX1818"/>
      <c r="XEY1818"/>
      <c r="XEZ1818"/>
      <c r="XFA1818"/>
      <c r="XFB1818"/>
      <c r="XFC1818"/>
    </row>
    <row r="1819" spans="1:20 16329:16383" s="38" customFormat="1" ht="29.1" customHeight="1" outlineLevel="6" x14ac:dyDescent="0.25">
      <c r="A1819" s="49" t="s">
        <v>3047</v>
      </c>
      <c r="B1819" s="50"/>
      <c r="C1819" s="50"/>
      <c r="D1819" s="3" t="s">
        <v>1957</v>
      </c>
      <c r="E1819" s="3"/>
      <c r="F1819" s="51"/>
      <c r="G1819" s="50" t="s">
        <v>102</v>
      </c>
      <c r="H1819" s="52">
        <f>1</f>
        <v>1</v>
      </c>
      <c r="I1819" s="36"/>
      <c r="J1819" s="52">
        <v>1</v>
      </c>
      <c r="K1819" s="53">
        <f>0</f>
        <v>0</v>
      </c>
      <c r="L1819" s="53">
        <f>0</f>
        <v>0</v>
      </c>
      <c r="M1819" s="53">
        <f>0</f>
        <v>0</v>
      </c>
      <c r="N1819" s="54">
        <f>SUM(K1819:M1819)</f>
        <v>0</v>
      </c>
      <c r="O1819" s="54">
        <f>ROUND((H1819*K1819),2)</f>
        <v>0</v>
      </c>
      <c r="P1819" s="54">
        <f>ROUND((H1819*L1819),2)</f>
        <v>0</v>
      </c>
      <c r="Q1819" s="54">
        <f>ROUND((H1819*M1819),2)</f>
        <v>0</v>
      </c>
      <c r="R1819" s="54">
        <f>ROUND((H1819*N1819),2)</f>
        <v>0</v>
      </c>
      <c r="S1819" s="54"/>
      <c r="T1819" s="36"/>
      <c r="XDA1819"/>
      <c r="XDB1819"/>
      <c r="XDC1819"/>
      <c r="XDD1819"/>
      <c r="XDE1819"/>
      <c r="XDF1819"/>
      <c r="XDG1819"/>
      <c r="XDH1819"/>
      <c r="XDI1819"/>
      <c r="XDJ1819"/>
      <c r="XDK1819"/>
      <c r="XDL1819"/>
      <c r="XDM1819"/>
      <c r="XDN1819"/>
      <c r="XDO1819"/>
      <c r="XDP1819"/>
      <c r="XDQ1819"/>
      <c r="XDR1819"/>
      <c r="XDS1819"/>
      <c r="XDT1819"/>
      <c r="XDU1819"/>
      <c r="XDV1819"/>
      <c r="XDW1819"/>
      <c r="XDX1819"/>
      <c r="XDY1819"/>
      <c r="XDZ1819"/>
      <c r="XEA1819"/>
      <c r="XEB1819"/>
      <c r="XEC1819"/>
      <c r="XED1819"/>
      <c r="XEE1819"/>
      <c r="XEF1819"/>
      <c r="XEG1819"/>
      <c r="XEH1819"/>
      <c r="XEI1819"/>
      <c r="XEJ1819"/>
      <c r="XEK1819"/>
      <c r="XEL1819"/>
      <c r="XEM1819"/>
      <c r="XEN1819"/>
      <c r="XEO1819"/>
      <c r="XEP1819"/>
      <c r="XEQ1819"/>
      <c r="XER1819"/>
      <c r="XES1819"/>
      <c r="XET1819"/>
      <c r="XEU1819"/>
      <c r="XEV1819"/>
      <c r="XEW1819"/>
      <c r="XEX1819"/>
      <c r="XEY1819"/>
      <c r="XEZ1819"/>
      <c r="XFA1819"/>
      <c r="XFB1819"/>
      <c r="XFC1819"/>
    </row>
    <row r="1820" spans="1:20 16329:16383" s="38" customFormat="1" ht="29.1" customHeight="1" outlineLevel="6" x14ac:dyDescent="0.25">
      <c r="A1820" s="49" t="s">
        <v>3048</v>
      </c>
      <c r="B1820" s="50"/>
      <c r="C1820" s="50"/>
      <c r="D1820" s="3" t="s">
        <v>2910</v>
      </c>
      <c r="E1820" s="3"/>
      <c r="F1820" s="51"/>
      <c r="G1820" s="50" t="s">
        <v>102</v>
      </c>
      <c r="H1820" s="52">
        <f>1</f>
        <v>1</v>
      </c>
      <c r="I1820" s="36"/>
      <c r="J1820" s="52">
        <v>1</v>
      </c>
      <c r="K1820" s="53">
        <f>0</f>
        <v>0</v>
      </c>
      <c r="L1820" s="53">
        <f>0</f>
        <v>0</v>
      </c>
      <c r="M1820" s="53">
        <f>0</f>
        <v>0</v>
      </c>
      <c r="N1820" s="54">
        <f>SUM(K1820:M1820)</f>
        <v>0</v>
      </c>
      <c r="O1820" s="54">
        <f>ROUND((H1820*K1820),2)</f>
        <v>0</v>
      </c>
      <c r="P1820" s="54">
        <f>ROUND((H1820*L1820),2)</f>
        <v>0</v>
      </c>
      <c r="Q1820" s="54">
        <f>ROUND((H1820*M1820),2)</f>
        <v>0</v>
      </c>
      <c r="R1820" s="54">
        <f>ROUND((H1820*N1820),2)</f>
        <v>0</v>
      </c>
      <c r="S1820" s="54"/>
      <c r="T1820" s="36"/>
      <c r="XDA1820"/>
      <c r="XDB1820"/>
      <c r="XDC1820"/>
      <c r="XDD1820"/>
      <c r="XDE1820"/>
      <c r="XDF1820"/>
      <c r="XDG1820"/>
      <c r="XDH1820"/>
      <c r="XDI1820"/>
      <c r="XDJ1820"/>
      <c r="XDK1820"/>
      <c r="XDL1820"/>
      <c r="XDM1820"/>
      <c r="XDN1820"/>
      <c r="XDO1820"/>
      <c r="XDP1820"/>
      <c r="XDQ1820"/>
      <c r="XDR1820"/>
      <c r="XDS1820"/>
      <c r="XDT1820"/>
      <c r="XDU1820"/>
      <c r="XDV1820"/>
      <c r="XDW1820"/>
      <c r="XDX1820"/>
      <c r="XDY1820"/>
      <c r="XDZ1820"/>
      <c r="XEA1820"/>
      <c r="XEB1820"/>
      <c r="XEC1820"/>
      <c r="XED1820"/>
      <c r="XEE1820"/>
      <c r="XEF1820"/>
      <c r="XEG1820"/>
      <c r="XEH1820"/>
      <c r="XEI1820"/>
      <c r="XEJ1820"/>
      <c r="XEK1820"/>
      <c r="XEL1820"/>
      <c r="XEM1820"/>
      <c r="XEN1820"/>
      <c r="XEO1820"/>
      <c r="XEP1820"/>
      <c r="XEQ1820"/>
      <c r="XER1820"/>
      <c r="XES1820"/>
      <c r="XET1820"/>
      <c r="XEU1820"/>
      <c r="XEV1820"/>
      <c r="XEW1820"/>
      <c r="XEX1820"/>
      <c r="XEY1820"/>
      <c r="XEZ1820"/>
      <c r="XFA1820"/>
      <c r="XFB1820"/>
      <c r="XFC1820"/>
    </row>
    <row r="1821" spans="1:20 16329:16383" s="38" customFormat="1" ht="29.1" customHeight="1" outlineLevel="5" x14ac:dyDescent="0.25">
      <c r="A1821" s="65" t="s">
        <v>3049</v>
      </c>
      <c r="B1821" s="66" t="s">
        <v>3050</v>
      </c>
      <c r="C1821" s="66"/>
      <c r="D1821" s="98" t="s">
        <v>1899</v>
      </c>
      <c r="E1821" s="98"/>
      <c r="F1821" s="67"/>
      <c r="G1821" s="66"/>
      <c r="H1821" s="68"/>
      <c r="I1821" s="36"/>
      <c r="J1821" s="68"/>
      <c r="K1821" s="69"/>
      <c r="L1821" s="69"/>
      <c r="M1821" s="69"/>
      <c r="N1821" s="69"/>
      <c r="O1821" s="69">
        <f>SUM(O1822:O1824)</f>
        <v>0</v>
      </c>
      <c r="P1821" s="69">
        <f>SUM(P1822:P1824)</f>
        <v>0</v>
      </c>
      <c r="Q1821" s="69">
        <f>SUM(Q1822:Q1824)</f>
        <v>0</v>
      </c>
      <c r="R1821" s="69">
        <f>SUM(R1822:R1824)</f>
        <v>0</v>
      </c>
      <c r="S1821" s="69"/>
      <c r="T1821" s="36"/>
      <c r="XDA1821"/>
      <c r="XDB1821"/>
      <c r="XDC1821"/>
      <c r="XDD1821"/>
      <c r="XDE1821"/>
      <c r="XDF1821"/>
      <c r="XDG1821"/>
      <c r="XDH1821"/>
      <c r="XDI1821"/>
      <c r="XDJ1821"/>
      <c r="XDK1821"/>
      <c r="XDL1821"/>
      <c r="XDM1821"/>
      <c r="XDN1821"/>
      <c r="XDO1821"/>
      <c r="XDP1821"/>
      <c r="XDQ1821"/>
      <c r="XDR1821"/>
      <c r="XDS1821"/>
      <c r="XDT1821"/>
      <c r="XDU1821"/>
      <c r="XDV1821"/>
      <c r="XDW1821"/>
      <c r="XDX1821"/>
      <c r="XDY1821"/>
      <c r="XDZ1821"/>
      <c r="XEA1821"/>
      <c r="XEB1821"/>
      <c r="XEC1821"/>
      <c r="XED1821"/>
      <c r="XEE1821"/>
      <c r="XEF1821"/>
      <c r="XEG1821"/>
      <c r="XEH1821"/>
      <c r="XEI1821"/>
      <c r="XEJ1821"/>
      <c r="XEK1821"/>
      <c r="XEL1821"/>
      <c r="XEM1821"/>
      <c r="XEN1821"/>
      <c r="XEO1821"/>
      <c r="XEP1821"/>
      <c r="XEQ1821"/>
      <c r="XER1821"/>
      <c r="XES1821"/>
      <c r="XET1821"/>
      <c r="XEU1821"/>
      <c r="XEV1821"/>
      <c r="XEW1821"/>
      <c r="XEX1821"/>
      <c r="XEY1821"/>
      <c r="XEZ1821"/>
      <c r="XFA1821"/>
      <c r="XFB1821"/>
      <c r="XFC1821"/>
    </row>
    <row r="1822" spans="1:20 16329:16383" s="38" customFormat="1" ht="29.1" customHeight="1" outlineLevel="6" x14ac:dyDescent="0.25">
      <c r="A1822" s="49" t="s">
        <v>3051</v>
      </c>
      <c r="B1822" s="50"/>
      <c r="C1822" s="50"/>
      <c r="D1822" s="3" t="s">
        <v>1884</v>
      </c>
      <c r="E1822" s="3"/>
      <c r="F1822" s="51"/>
      <c r="G1822" s="50" t="s">
        <v>102</v>
      </c>
      <c r="H1822" s="52">
        <f>1</f>
        <v>1</v>
      </c>
      <c r="I1822" s="36"/>
      <c r="J1822" s="52">
        <v>1</v>
      </c>
      <c r="K1822" s="53">
        <f>0</f>
        <v>0</v>
      </c>
      <c r="L1822" s="53">
        <f>0</f>
        <v>0</v>
      </c>
      <c r="M1822" s="53">
        <f>0</f>
        <v>0</v>
      </c>
      <c r="N1822" s="54">
        <f>SUM(K1822:M1822)</f>
        <v>0</v>
      </c>
      <c r="O1822" s="54">
        <f>ROUND((H1822*K1822),2)</f>
        <v>0</v>
      </c>
      <c r="P1822" s="54">
        <f>ROUND((H1822*L1822),2)</f>
        <v>0</v>
      </c>
      <c r="Q1822" s="54">
        <f>ROUND((H1822*M1822),2)</f>
        <v>0</v>
      </c>
      <c r="R1822" s="54">
        <f>ROUND((H1822*N1822),2)</f>
        <v>0</v>
      </c>
      <c r="S1822" s="54"/>
      <c r="T1822" s="36"/>
      <c r="XDA1822"/>
      <c r="XDB1822"/>
      <c r="XDC1822"/>
      <c r="XDD1822"/>
      <c r="XDE1822"/>
      <c r="XDF1822"/>
      <c r="XDG1822"/>
      <c r="XDH1822"/>
      <c r="XDI1822"/>
      <c r="XDJ1822"/>
      <c r="XDK1822"/>
      <c r="XDL1822"/>
      <c r="XDM1822"/>
      <c r="XDN1822"/>
      <c r="XDO1822"/>
      <c r="XDP1822"/>
      <c r="XDQ1822"/>
      <c r="XDR1822"/>
      <c r="XDS1822"/>
      <c r="XDT1822"/>
      <c r="XDU1822"/>
      <c r="XDV1822"/>
      <c r="XDW1822"/>
      <c r="XDX1822"/>
      <c r="XDY1822"/>
      <c r="XDZ1822"/>
      <c r="XEA1822"/>
      <c r="XEB1822"/>
      <c r="XEC1822"/>
      <c r="XED1822"/>
      <c r="XEE1822"/>
      <c r="XEF1822"/>
      <c r="XEG1822"/>
      <c r="XEH1822"/>
      <c r="XEI1822"/>
      <c r="XEJ1822"/>
      <c r="XEK1822"/>
      <c r="XEL1822"/>
      <c r="XEM1822"/>
      <c r="XEN1822"/>
      <c r="XEO1822"/>
      <c r="XEP1822"/>
      <c r="XEQ1822"/>
      <c r="XER1822"/>
      <c r="XES1822"/>
      <c r="XET1822"/>
      <c r="XEU1822"/>
      <c r="XEV1822"/>
      <c r="XEW1822"/>
      <c r="XEX1822"/>
      <c r="XEY1822"/>
      <c r="XEZ1822"/>
      <c r="XFA1822"/>
      <c r="XFB1822"/>
      <c r="XFC1822"/>
    </row>
    <row r="1823" spans="1:20 16329:16383" s="38" customFormat="1" ht="29.1" customHeight="1" outlineLevel="6" x14ac:dyDescent="0.25">
      <c r="A1823" s="49" t="s">
        <v>3052</v>
      </c>
      <c r="B1823" s="50"/>
      <c r="C1823" s="50"/>
      <c r="D1823" s="3" t="s">
        <v>1955</v>
      </c>
      <c r="E1823" s="3"/>
      <c r="F1823" s="51"/>
      <c r="G1823" s="50" t="s">
        <v>102</v>
      </c>
      <c r="H1823" s="52">
        <f>1</f>
        <v>1</v>
      </c>
      <c r="I1823" s="36"/>
      <c r="J1823" s="52">
        <v>1</v>
      </c>
      <c r="K1823" s="53">
        <f>0</f>
        <v>0</v>
      </c>
      <c r="L1823" s="53">
        <f>0</f>
        <v>0</v>
      </c>
      <c r="M1823" s="53">
        <f>0</f>
        <v>0</v>
      </c>
      <c r="N1823" s="54">
        <f>SUM(K1823:M1823)</f>
        <v>0</v>
      </c>
      <c r="O1823" s="54">
        <f>ROUND((H1823*K1823),2)</f>
        <v>0</v>
      </c>
      <c r="P1823" s="54">
        <f>ROUND((H1823*L1823),2)</f>
        <v>0</v>
      </c>
      <c r="Q1823" s="54">
        <f>ROUND((H1823*M1823),2)</f>
        <v>0</v>
      </c>
      <c r="R1823" s="54">
        <f>ROUND((H1823*N1823),2)</f>
        <v>0</v>
      </c>
      <c r="S1823" s="54"/>
      <c r="T1823" s="36"/>
      <c r="XDA1823"/>
      <c r="XDB1823"/>
      <c r="XDC1823"/>
      <c r="XDD1823"/>
      <c r="XDE1823"/>
      <c r="XDF1823"/>
      <c r="XDG1823"/>
      <c r="XDH1823"/>
      <c r="XDI1823"/>
      <c r="XDJ1823"/>
      <c r="XDK1823"/>
      <c r="XDL1823"/>
      <c r="XDM1823"/>
      <c r="XDN1823"/>
      <c r="XDO1823"/>
      <c r="XDP1823"/>
      <c r="XDQ1823"/>
      <c r="XDR1823"/>
      <c r="XDS1823"/>
      <c r="XDT1823"/>
      <c r="XDU1823"/>
      <c r="XDV1823"/>
      <c r="XDW1823"/>
      <c r="XDX1823"/>
      <c r="XDY1823"/>
      <c r="XDZ1823"/>
      <c r="XEA1823"/>
      <c r="XEB1823"/>
      <c r="XEC1823"/>
      <c r="XED1823"/>
      <c r="XEE1823"/>
      <c r="XEF1823"/>
      <c r="XEG1823"/>
      <c r="XEH1823"/>
      <c r="XEI1823"/>
      <c r="XEJ1823"/>
      <c r="XEK1823"/>
      <c r="XEL1823"/>
      <c r="XEM1823"/>
      <c r="XEN1823"/>
      <c r="XEO1823"/>
      <c r="XEP1823"/>
      <c r="XEQ1823"/>
      <c r="XER1823"/>
      <c r="XES1823"/>
      <c r="XET1823"/>
      <c r="XEU1823"/>
      <c r="XEV1823"/>
      <c r="XEW1823"/>
      <c r="XEX1823"/>
      <c r="XEY1823"/>
      <c r="XEZ1823"/>
      <c r="XFA1823"/>
      <c r="XFB1823"/>
      <c r="XFC1823"/>
    </row>
    <row r="1824" spans="1:20 16329:16383" s="38" customFormat="1" ht="29.1" customHeight="1" outlineLevel="6" x14ac:dyDescent="0.25">
      <c r="A1824" s="49" t="s">
        <v>3053</v>
      </c>
      <c r="B1824" s="50"/>
      <c r="C1824" s="50"/>
      <c r="D1824" s="3" t="s">
        <v>2621</v>
      </c>
      <c r="E1824" s="3"/>
      <c r="F1824" s="51"/>
      <c r="G1824" s="50" t="s">
        <v>102</v>
      </c>
      <c r="H1824" s="52">
        <f>1</f>
        <v>1</v>
      </c>
      <c r="I1824" s="36"/>
      <c r="J1824" s="52">
        <v>1</v>
      </c>
      <c r="K1824" s="53">
        <f>0</f>
        <v>0</v>
      </c>
      <c r="L1824" s="53">
        <f>0</f>
        <v>0</v>
      </c>
      <c r="M1824" s="53">
        <f>0</f>
        <v>0</v>
      </c>
      <c r="N1824" s="54">
        <f>SUM(K1824:M1824)</f>
        <v>0</v>
      </c>
      <c r="O1824" s="54">
        <f>ROUND((H1824*K1824),2)</f>
        <v>0</v>
      </c>
      <c r="P1824" s="54">
        <f>ROUND((H1824*L1824),2)</f>
        <v>0</v>
      </c>
      <c r="Q1824" s="54">
        <f>ROUND((H1824*M1824),2)</f>
        <v>0</v>
      </c>
      <c r="R1824" s="54">
        <f>ROUND((H1824*N1824),2)</f>
        <v>0</v>
      </c>
      <c r="S1824" s="54"/>
      <c r="T1824" s="36"/>
      <c r="XDA1824"/>
      <c r="XDB1824"/>
      <c r="XDC1824"/>
      <c r="XDD1824"/>
      <c r="XDE1824"/>
      <c r="XDF1824"/>
      <c r="XDG1824"/>
      <c r="XDH1824"/>
      <c r="XDI1824"/>
      <c r="XDJ1824"/>
      <c r="XDK1824"/>
      <c r="XDL1824"/>
      <c r="XDM1824"/>
      <c r="XDN1824"/>
      <c r="XDO1824"/>
      <c r="XDP1824"/>
      <c r="XDQ1824"/>
      <c r="XDR1824"/>
      <c r="XDS1824"/>
      <c r="XDT1824"/>
      <c r="XDU1824"/>
      <c r="XDV1824"/>
      <c r="XDW1824"/>
      <c r="XDX1824"/>
      <c r="XDY1824"/>
      <c r="XDZ1824"/>
      <c r="XEA1824"/>
      <c r="XEB1824"/>
      <c r="XEC1824"/>
      <c r="XED1824"/>
      <c r="XEE1824"/>
      <c r="XEF1824"/>
      <c r="XEG1824"/>
      <c r="XEH1824"/>
      <c r="XEI1824"/>
      <c r="XEJ1824"/>
      <c r="XEK1824"/>
      <c r="XEL1824"/>
      <c r="XEM1824"/>
      <c r="XEN1824"/>
      <c r="XEO1824"/>
      <c r="XEP1824"/>
      <c r="XEQ1824"/>
      <c r="XER1824"/>
      <c r="XES1824"/>
      <c r="XET1824"/>
      <c r="XEU1824"/>
      <c r="XEV1824"/>
      <c r="XEW1824"/>
      <c r="XEX1824"/>
      <c r="XEY1824"/>
      <c r="XEZ1824"/>
      <c r="XFA1824"/>
      <c r="XFB1824"/>
      <c r="XFC1824"/>
    </row>
    <row r="1825" spans="1:20 16329:16383" s="38" customFormat="1" ht="29.1" customHeight="1" outlineLevel="5" x14ac:dyDescent="0.25">
      <c r="A1825" s="65" t="s">
        <v>3054</v>
      </c>
      <c r="B1825" s="66" t="s">
        <v>3055</v>
      </c>
      <c r="C1825" s="66"/>
      <c r="D1825" s="98" t="s">
        <v>1498</v>
      </c>
      <c r="E1825" s="98"/>
      <c r="F1825" s="67"/>
      <c r="G1825" s="66"/>
      <c r="H1825" s="68"/>
      <c r="I1825" s="36"/>
      <c r="J1825" s="68"/>
      <c r="K1825" s="69"/>
      <c r="L1825" s="69"/>
      <c r="M1825" s="69"/>
      <c r="N1825" s="69"/>
      <c r="O1825" s="69">
        <f>O1826</f>
        <v>0</v>
      </c>
      <c r="P1825" s="69">
        <f>P1826</f>
        <v>0</v>
      </c>
      <c r="Q1825" s="69">
        <f>Q1826</f>
        <v>0</v>
      </c>
      <c r="R1825" s="69">
        <f>R1826</f>
        <v>0</v>
      </c>
      <c r="S1825" s="69"/>
      <c r="T1825" s="36"/>
      <c r="XDA1825"/>
      <c r="XDB1825"/>
      <c r="XDC1825"/>
      <c r="XDD1825"/>
      <c r="XDE1825"/>
      <c r="XDF1825"/>
      <c r="XDG1825"/>
      <c r="XDH1825"/>
      <c r="XDI1825"/>
      <c r="XDJ1825"/>
      <c r="XDK1825"/>
      <c r="XDL1825"/>
      <c r="XDM1825"/>
      <c r="XDN1825"/>
      <c r="XDO1825"/>
      <c r="XDP1825"/>
      <c r="XDQ1825"/>
      <c r="XDR1825"/>
      <c r="XDS1825"/>
      <c r="XDT1825"/>
      <c r="XDU1825"/>
      <c r="XDV1825"/>
      <c r="XDW1825"/>
      <c r="XDX1825"/>
      <c r="XDY1825"/>
      <c r="XDZ1825"/>
      <c r="XEA1825"/>
      <c r="XEB1825"/>
      <c r="XEC1825"/>
      <c r="XED1825"/>
      <c r="XEE1825"/>
      <c r="XEF1825"/>
      <c r="XEG1825"/>
      <c r="XEH1825"/>
      <c r="XEI1825"/>
      <c r="XEJ1825"/>
      <c r="XEK1825"/>
      <c r="XEL1825"/>
      <c r="XEM1825"/>
      <c r="XEN1825"/>
      <c r="XEO1825"/>
      <c r="XEP1825"/>
      <c r="XEQ1825"/>
      <c r="XER1825"/>
      <c r="XES1825"/>
      <c r="XET1825"/>
      <c r="XEU1825"/>
      <c r="XEV1825"/>
      <c r="XEW1825"/>
      <c r="XEX1825"/>
      <c r="XEY1825"/>
      <c r="XEZ1825"/>
      <c r="XFA1825"/>
      <c r="XFB1825"/>
      <c r="XFC1825"/>
    </row>
    <row r="1826" spans="1:20 16329:16383" s="38" customFormat="1" ht="29.1" customHeight="1" outlineLevel="6" x14ac:dyDescent="0.25">
      <c r="A1826" s="49" t="s">
        <v>3056</v>
      </c>
      <c r="B1826" s="50"/>
      <c r="C1826" s="50"/>
      <c r="D1826" s="3" t="s">
        <v>1987</v>
      </c>
      <c r="E1826" s="3"/>
      <c r="F1826" s="51"/>
      <c r="G1826" s="50" t="s">
        <v>194</v>
      </c>
      <c r="H1826" s="52">
        <f>1</f>
        <v>1</v>
      </c>
      <c r="I1826" s="36"/>
      <c r="J1826" s="52">
        <v>1</v>
      </c>
      <c r="K1826" s="53">
        <f>0</f>
        <v>0</v>
      </c>
      <c r="L1826" s="53">
        <f>0</f>
        <v>0</v>
      </c>
      <c r="M1826" s="53">
        <f>0</f>
        <v>0</v>
      </c>
      <c r="N1826" s="54">
        <f>SUM(K1826:M1826)</f>
        <v>0</v>
      </c>
      <c r="O1826" s="54">
        <f>ROUND((H1826*K1826),2)</f>
        <v>0</v>
      </c>
      <c r="P1826" s="54">
        <f>ROUND((H1826*L1826),2)</f>
        <v>0</v>
      </c>
      <c r="Q1826" s="54">
        <f>ROUND((H1826*M1826),2)</f>
        <v>0</v>
      </c>
      <c r="R1826" s="54">
        <f>ROUND((H1826*N1826),2)</f>
        <v>0</v>
      </c>
      <c r="S1826" s="54"/>
      <c r="T1826" s="36"/>
      <c r="XDA1826"/>
      <c r="XDB1826"/>
      <c r="XDC1826"/>
      <c r="XDD1826"/>
      <c r="XDE1826"/>
      <c r="XDF1826"/>
      <c r="XDG1826"/>
      <c r="XDH1826"/>
      <c r="XDI1826"/>
      <c r="XDJ1826"/>
      <c r="XDK1826"/>
      <c r="XDL1826"/>
      <c r="XDM1826"/>
      <c r="XDN1826"/>
      <c r="XDO1826"/>
      <c r="XDP1826"/>
      <c r="XDQ1826"/>
      <c r="XDR1826"/>
      <c r="XDS1826"/>
      <c r="XDT1826"/>
      <c r="XDU1826"/>
      <c r="XDV1826"/>
      <c r="XDW1826"/>
      <c r="XDX1826"/>
      <c r="XDY1826"/>
      <c r="XDZ1826"/>
      <c r="XEA1826"/>
      <c r="XEB1826"/>
      <c r="XEC1826"/>
      <c r="XED1826"/>
      <c r="XEE1826"/>
      <c r="XEF1826"/>
      <c r="XEG1826"/>
      <c r="XEH1826"/>
      <c r="XEI1826"/>
      <c r="XEJ1826"/>
      <c r="XEK1826"/>
      <c r="XEL1826"/>
      <c r="XEM1826"/>
      <c r="XEN1826"/>
      <c r="XEO1826"/>
      <c r="XEP1826"/>
      <c r="XEQ1826"/>
      <c r="XER1826"/>
      <c r="XES1826"/>
      <c r="XET1826"/>
      <c r="XEU1826"/>
      <c r="XEV1826"/>
      <c r="XEW1826"/>
      <c r="XEX1826"/>
      <c r="XEY1826"/>
      <c r="XEZ1826"/>
      <c r="XFA1826"/>
      <c r="XFB1826"/>
      <c r="XFC1826"/>
    </row>
    <row r="1827" spans="1:20 16329:16383" s="38" customFormat="1" ht="29.1" customHeight="1" outlineLevel="4" x14ac:dyDescent="0.25">
      <c r="A1827" s="60" t="s">
        <v>3057</v>
      </c>
      <c r="B1827" s="61" t="s">
        <v>3058</v>
      </c>
      <c r="C1827" s="61" t="s">
        <v>2382</v>
      </c>
      <c r="D1827" s="1" t="s">
        <v>2937</v>
      </c>
      <c r="E1827" s="1"/>
      <c r="F1827" s="62"/>
      <c r="G1827" s="61" t="s">
        <v>102</v>
      </c>
      <c r="H1827" s="63"/>
      <c r="I1827" s="36"/>
      <c r="J1827" s="63"/>
      <c r="K1827" s="64"/>
      <c r="L1827" s="64"/>
      <c r="M1827" s="64"/>
      <c r="N1827" s="64"/>
      <c r="O1827" s="64">
        <f>O1828+O1833+O1837</f>
        <v>0</v>
      </c>
      <c r="P1827" s="64">
        <f>P1828+P1833+P1837</f>
        <v>0</v>
      </c>
      <c r="Q1827" s="64">
        <f>Q1828+Q1833+Q1837</f>
        <v>0</v>
      </c>
      <c r="R1827" s="64">
        <f>R1828+R1833+R1837</f>
        <v>0</v>
      </c>
      <c r="S1827" s="64"/>
      <c r="T1827" s="36"/>
      <c r="XDA1827"/>
      <c r="XDB1827"/>
      <c r="XDC1827"/>
      <c r="XDD1827"/>
      <c r="XDE1827"/>
      <c r="XDF1827"/>
      <c r="XDG1827"/>
      <c r="XDH1827"/>
      <c r="XDI1827"/>
      <c r="XDJ1827"/>
      <c r="XDK1827"/>
      <c r="XDL1827"/>
      <c r="XDM1827"/>
      <c r="XDN1827"/>
      <c r="XDO1827"/>
      <c r="XDP1827"/>
      <c r="XDQ1827"/>
      <c r="XDR1827"/>
      <c r="XDS1827"/>
      <c r="XDT1827"/>
      <c r="XDU1827"/>
      <c r="XDV1827"/>
      <c r="XDW1827"/>
      <c r="XDX1827"/>
      <c r="XDY1827"/>
      <c r="XDZ1827"/>
      <c r="XEA1827"/>
      <c r="XEB1827"/>
      <c r="XEC1827"/>
      <c r="XED1827"/>
      <c r="XEE1827"/>
      <c r="XEF1827"/>
      <c r="XEG1827"/>
      <c r="XEH1827"/>
      <c r="XEI1827"/>
      <c r="XEJ1827"/>
      <c r="XEK1827"/>
      <c r="XEL1827"/>
      <c r="XEM1827"/>
      <c r="XEN1827"/>
      <c r="XEO1827"/>
      <c r="XEP1827"/>
      <c r="XEQ1827"/>
      <c r="XER1827"/>
      <c r="XES1827"/>
      <c r="XET1827"/>
      <c r="XEU1827"/>
      <c r="XEV1827"/>
      <c r="XEW1827"/>
      <c r="XEX1827"/>
      <c r="XEY1827"/>
      <c r="XEZ1827"/>
      <c r="XFA1827"/>
      <c r="XFB1827"/>
      <c r="XFC1827"/>
    </row>
    <row r="1828" spans="1:20 16329:16383" s="38" customFormat="1" ht="29.1" customHeight="1" outlineLevel="5" x14ac:dyDescent="0.25">
      <c r="A1828" s="65" t="s">
        <v>3059</v>
      </c>
      <c r="B1828" s="66" t="s">
        <v>3060</v>
      </c>
      <c r="C1828" s="66"/>
      <c r="D1828" s="98" t="s">
        <v>1873</v>
      </c>
      <c r="E1828" s="98"/>
      <c r="F1828" s="67"/>
      <c r="G1828" s="66"/>
      <c r="H1828" s="68"/>
      <c r="I1828" s="36"/>
      <c r="J1828" s="68"/>
      <c r="K1828" s="69"/>
      <c r="L1828" s="69"/>
      <c r="M1828" s="69"/>
      <c r="N1828" s="69"/>
      <c r="O1828" s="69">
        <f>SUM(O1829:O1832)</f>
        <v>0</v>
      </c>
      <c r="P1828" s="69">
        <f>SUM(P1829:P1832)</f>
        <v>0</v>
      </c>
      <c r="Q1828" s="69">
        <f>SUM(Q1829:Q1832)</f>
        <v>0</v>
      </c>
      <c r="R1828" s="69">
        <f>SUM(R1829:R1832)</f>
        <v>0</v>
      </c>
      <c r="S1828" s="69"/>
      <c r="T1828" s="36"/>
      <c r="XDA1828"/>
      <c r="XDB1828"/>
      <c r="XDC1828"/>
      <c r="XDD1828"/>
      <c r="XDE1828"/>
      <c r="XDF1828"/>
      <c r="XDG1828"/>
      <c r="XDH1828"/>
      <c r="XDI1828"/>
      <c r="XDJ1828"/>
      <c r="XDK1828"/>
      <c r="XDL1828"/>
      <c r="XDM1828"/>
      <c r="XDN1828"/>
      <c r="XDO1828"/>
      <c r="XDP1828"/>
      <c r="XDQ1828"/>
      <c r="XDR1828"/>
      <c r="XDS1828"/>
      <c r="XDT1828"/>
      <c r="XDU1828"/>
      <c r="XDV1828"/>
      <c r="XDW1828"/>
      <c r="XDX1828"/>
      <c r="XDY1828"/>
      <c r="XDZ1828"/>
      <c r="XEA1828"/>
      <c r="XEB1828"/>
      <c r="XEC1828"/>
      <c r="XED1828"/>
      <c r="XEE1828"/>
      <c r="XEF1828"/>
      <c r="XEG1828"/>
      <c r="XEH1828"/>
      <c r="XEI1828"/>
      <c r="XEJ1828"/>
      <c r="XEK1828"/>
      <c r="XEL1828"/>
      <c r="XEM1828"/>
      <c r="XEN1828"/>
      <c r="XEO1828"/>
      <c r="XEP1828"/>
      <c r="XEQ1828"/>
      <c r="XER1828"/>
      <c r="XES1828"/>
      <c r="XET1828"/>
      <c r="XEU1828"/>
      <c r="XEV1828"/>
      <c r="XEW1828"/>
      <c r="XEX1828"/>
      <c r="XEY1828"/>
      <c r="XEZ1828"/>
      <c r="XFA1828"/>
      <c r="XFB1828"/>
      <c r="XFC1828"/>
    </row>
    <row r="1829" spans="1:20 16329:16383" s="38" customFormat="1" ht="29.1" customHeight="1" outlineLevel="6" x14ac:dyDescent="0.25">
      <c r="A1829" s="49" t="s">
        <v>3061</v>
      </c>
      <c r="B1829" s="50"/>
      <c r="C1829" s="50"/>
      <c r="D1829" s="3" t="s">
        <v>1968</v>
      </c>
      <c r="E1829" s="3"/>
      <c r="F1829" s="51"/>
      <c r="G1829" s="50" t="s">
        <v>102</v>
      </c>
      <c r="H1829" s="52">
        <f>1</f>
        <v>1</v>
      </c>
      <c r="I1829" s="36"/>
      <c r="J1829" s="52">
        <v>1</v>
      </c>
      <c r="K1829" s="53">
        <f>0</f>
        <v>0</v>
      </c>
      <c r="L1829" s="53">
        <f>0</f>
        <v>0</v>
      </c>
      <c r="M1829" s="53">
        <f>0</f>
        <v>0</v>
      </c>
      <c r="N1829" s="54">
        <f>SUM(K1829:M1829)</f>
        <v>0</v>
      </c>
      <c r="O1829" s="54">
        <f>ROUND((H1829*K1829),2)</f>
        <v>0</v>
      </c>
      <c r="P1829" s="54">
        <f>ROUND((H1829*L1829),2)</f>
        <v>0</v>
      </c>
      <c r="Q1829" s="54">
        <f>ROUND((H1829*M1829),2)</f>
        <v>0</v>
      </c>
      <c r="R1829" s="54">
        <f>ROUND((H1829*N1829),2)</f>
        <v>0</v>
      </c>
      <c r="S1829" s="54"/>
      <c r="T1829" s="36"/>
      <c r="XDA1829"/>
      <c r="XDB1829"/>
      <c r="XDC1829"/>
      <c r="XDD1829"/>
      <c r="XDE1829"/>
      <c r="XDF1829"/>
      <c r="XDG1829"/>
      <c r="XDH1829"/>
      <c r="XDI1829"/>
      <c r="XDJ1829"/>
      <c r="XDK1829"/>
      <c r="XDL1829"/>
      <c r="XDM1829"/>
      <c r="XDN1829"/>
      <c r="XDO1829"/>
      <c r="XDP1829"/>
      <c r="XDQ1829"/>
      <c r="XDR1829"/>
      <c r="XDS1829"/>
      <c r="XDT1829"/>
      <c r="XDU1829"/>
      <c r="XDV1829"/>
      <c r="XDW1829"/>
      <c r="XDX1829"/>
      <c r="XDY1829"/>
      <c r="XDZ1829"/>
      <c r="XEA1829"/>
      <c r="XEB1829"/>
      <c r="XEC1829"/>
      <c r="XED1829"/>
      <c r="XEE1829"/>
      <c r="XEF1829"/>
      <c r="XEG1829"/>
      <c r="XEH1829"/>
      <c r="XEI1829"/>
      <c r="XEJ1829"/>
      <c r="XEK1829"/>
      <c r="XEL1829"/>
      <c r="XEM1829"/>
      <c r="XEN1829"/>
      <c r="XEO1829"/>
      <c r="XEP1829"/>
      <c r="XEQ1829"/>
      <c r="XER1829"/>
      <c r="XES1829"/>
      <c r="XET1829"/>
      <c r="XEU1829"/>
      <c r="XEV1829"/>
      <c r="XEW1829"/>
      <c r="XEX1829"/>
      <c r="XEY1829"/>
      <c r="XEZ1829"/>
      <c r="XFA1829"/>
      <c r="XFB1829"/>
      <c r="XFC1829"/>
    </row>
    <row r="1830" spans="1:20 16329:16383" s="38" customFormat="1" ht="29.1" customHeight="1" outlineLevel="6" x14ac:dyDescent="0.25">
      <c r="A1830" s="49" t="s">
        <v>3062</v>
      </c>
      <c r="B1830" s="50"/>
      <c r="C1830" s="50"/>
      <c r="D1830" s="3" t="s">
        <v>2942</v>
      </c>
      <c r="E1830" s="3"/>
      <c r="F1830" s="51"/>
      <c r="G1830" s="50" t="s">
        <v>102</v>
      </c>
      <c r="H1830" s="52">
        <f>1</f>
        <v>1</v>
      </c>
      <c r="I1830" s="36"/>
      <c r="J1830" s="52">
        <v>1</v>
      </c>
      <c r="K1830" s="53">
        <f>0</f>
        <v>0</v>
      </c>
      <c r="L1830" s="53">
        <f>0</f>
        <v>0</v>
      </c>
      <c r="M1830" s="53">
        <f>0</f>
        <v>0</v>
      </c>
      <c r="N1830" s="54">
        <f>SUM(K1830:M1830)</f>
        <v>0</v>
      </c>
      <c r="O1830" s="54">
        <f>ROUND((H1830*K1830),2)</f>
        <v>0</v>
      </c>
      <c r="P1830" s="54">
        <f>ROUND((H1830*L1830),2)</f>
        <v>0</v>
      </c>
      <c r="Q1830" s="54">
        <f>ROUND((H1830*M1830),2)</f>
        <v>0</v>
      </c>
      <c r="R1830" s="54">
        <f>ROUND((H1830*N1830),2)</f>
        <v>0</v>
      </c>
      <c r="S1830" s="54"/>
      <c r="T1830" s="36"/>
      <c r="XDA1830"/>
      <c r="XDB1830"/>
      <c r="XDC1830"/>
      <c r="XDD1830"/>
      <c r="XDE1830"/>
      <c r="XDF1830"/>
      <c r="XDG1830"/>
      <c r="XDH1830"/>
      <c r="XDI1830"/>
      <c r="XDJ1830"/>
      <c r="XDK1830"/>
      <c r="XDL1830"/>
      <c r="XDM1830"/>
      <c r="XDN1830"/>
      <c r="XDO1830"/>
      <c r="XDP1830"/>
      <c r="XDQ1830"/>
      <c r="XDR1830"/>
      <c r="XDS1830"/>
      <c r="XDT1830"/>
      <c r="XDU1830"/>
      <c r="XDV1830"/>
      <c r="XDW1830"/>
      <c r="XDX1830"/>
      <c r="XDY1830"/>
      <c r="XDZ1830"/>
      <c r="XEA1830"/>
      <c r="XEB1830"/>
      <c r="XEC1830"/>
      <c r="XED1830"/>
      <c r="XEE1830"/>
      <c r="XEF1830"/>
      <c r="XEG1830"/>
      <c r="XEH1830"/>
      <c r="XEI1830"/>
      <c r="XEJ1830"/>
      <c r="XEK1830"/>
      <c r="XEL1830"/>
      <c r="XEM1830"/>
      <c r="XEN1830"/>
      <c r="XEO1830"/>
      <c r="XEP1830"/>
      <c r="XEQ1830"/>
      <c r="XER1830"/>
      <c r="XES1830"/>
      <c r="XET1830"/>
      <c r="XEU1830"/>
      <c r="XEV1830"/>
      <c r="XEW1830"/>
      <c r="XEX1830"/>
      <c r="XEY1830"/>
      <c r="XEZ1830"/>
      <c r="XFA1830"/>
      <c r="XFB1830"/>
      <c r="XFC1830"/>
    </row>
    <row r="1831" spans="1:20 16329:16383" s="38" customFormat="1" ht="29.1" customHeight="1" outlineLevel="6" x14ac:dyDescent="0.25">
      <c r="A1831" s="49" t="s">
        <v>3063</v>
      </c>
      <c r="B1831" s="50"/>
      <c r="C1831" s="50"/>
      <c r="D1831" s="3" t="s">
        <v>1972</v>
      </c>
      <c r="E1831" s="3"/>
      <c r="F1831" s="51"/>
      <c r="G1831" s="50" t="s">
        <v>102</v>
      </c>
      <c r="H1831" s="52">
        <f>1</f>
        <v>1</v>
      </c>
      <c r="I1831" s="36"/>
      <c r="J1831" s="52">
        <v>1</v>
      </c>
      <c r="K1831" s="53">
        <f>0</f>
        <v>0</v>
      </c>
      <c r="L1831" s="53">
        <f>0</f>
        <v>0</v>
      </c>
      <c r="M1831" s="53">
        <f>0</f>
        <v>0</v>
      </c>
      <c r="N1831" s="54">
        <f>SUM(K1831:M1831)</f>
        <v>0</v>
      </c>
      <c r="O1831" s="54">
        <f>ROUND((H1831*K1831),2)</f>
        <v>0</v>
      </c>
      <c r="P1831" s="54">
        <f>ROUND((H1831*L1831),2)</f>
        <v>0</v>
      </c>
      <c r="Q1831" s="54">
        <f>ROUND((H1831*M1831),2)</f>
        <v>0</v>
      </c>
      <c r="R1831" s="54">
        <f>ROUND((H1831*N1831),2)</f>
        <v>0</v>
      </c>
      <c r="S1831" s="54"/>
      <c r="T1831" s="36"/>
      <c r="XDA1831"/>
      <c r="XDB1831"/>
      <c r="XDC1831"/>
      <c r="XDD1831"/>
      <c r="XDE1831"/>
      <c r="XDF1831"/>
      <c r="XDG1831"/>
      <c r="XDH1831"/>
      <c r="XDI1831"/>
      <c r="XDJ1831"/>
      <c r="XDK1831"/>
      <c r="XDL1831"/>
      <c r="XDM1831"/>
      <c r="XDN1831"/>
      <c r="XDO1831"/>
      <c r="XDP1831"/>
      <c r="XDQ1831"/>
      <c r="XDR1831"/>
      <c r="XDS1831"/>
      <c r="XDT1831"/>
      <c r="XDU1831"/>
      <c r="XDV1831"/>
      <c r="XDW1831"/>
      <c r="XDX1831"/>
      <c r="XDY1831"/>
      <c r="XDZ1831"/>
      <c r="XEA1831"/>
      <c r="XEB1831"/>
      <c r="XEC1831"/>
      <c r="XED1831"/>
      <c r="XEE1831"/>
      <c r="XEF1831"/>
      <c r="XEG1831"/>
      <c r="XEH1831"/>
      <c r="XEI1831"/>
      <c r="XEJ1831"/>
      <c r="XEK1831"/>
      <c r="XEL1831"/>
      <c r="XEM1831"/>
      <c r="XEN1831"/>
      <c r="XEO1831"/>
      <c r="XEP1831"/>
      <c r="XEQ1831"/>
      <c r="XER1831"/>
      <c r="XES1831"/>
      <c r="XET1831"/>
      <c r="XEU1831"/>
      <c r="XEV1831"/>
      <c r="XEW1831"/>
      <c r="XEX1831"/>
      <c r="XEY1831"/>
      <c r="XEZ1831"/>
      <c r="XFA1831"/>
      <c r="XFB1831"/>
      <c r="XFC1831"/>
    </row>
    <row r="1832" spans="1:20 16329:16383" s="38" customFormat="1" ht="29.1" customHeight="1" outlineLevel="6" x14ac:dyDescent="0.25">
      <c r="A1832" s="49" t="s">
        <v>3064</v>
      </c>
      <c r="B1832" s="50"/>
      <c r="C1832" s="50"/>
      <c r="D1832" s="3" t="s">
        <v>1937</v>
      </c>
      <c r="E1832" s="3"/>
      <c r="F1832" s="51"/>
      <c r="G1832" s="50" t="s">
        <v>194</v>
      </c>
      <c r="H1832" s="52">
        <f>1</f>
        <v>1</v>
      </c>
      <c r="I1832" s="36"/>
      <c r="J1832" s="52">
        <v>1</v>
      </c>
      <c r="K1832" s="53">
        <f>0</f>
        <v>0</v>
      </c>
      <c r="L1832" s="53">
        <f>0</f>
        <v>0</v>
      </c>
      <c r="M1832" s="53">
        <f>0</f>
        <v>0</v>
      </c>
      <c r="N1832" s="54">
        <f>SUM(K1832:M1832)</f>
        <v>0</v>
      </c>
      <c r="O1832" s="54">
        <f>ROUND((H1832*K1832),2)</f>
        <v>0</v>
      </c>
      <c r="P1832" s="54">
        <f>ROUND((H1832*L1832),2)</f>
        <v>0</v>
      </c>
      <c r="Q1832" s="54">
        <f>ROUND((H1832*M1832),2)</f>
        <v>0</v>
      </c>
      <c r="R1832" s="54">
        <f>ROUND((H1832*N1832),2)</f>
        <v>0</v>
      </c>
      <c r="S1832" s="54"/>
      <c r="T1832" s="36"/>
      <c r="XDA1832"/>
      <c r="XDB1832"/>
      <c r="XDC1832"/>
      <c r="XDD1832"/>
      <c r="XDE1832"/>
      <c r="XDF1832"/>
      <c r="XDG1832"/>
      <c r="XDH1832"/>
      <c r="XDI1832"/>
      <c r="XDJ1832"/>
      <c r="XDK1832"/>
      <c r="XDL1832"/>
      <c r="XDM1832"/>
      <c r="XDN1832"/>
      <c r="XDO1832"/>
      <c r="XDP1832"/>
      <c r="XDQ1832"/>
      <c r="XDR1832"/>
      <c r="XDS1832"/>
      <c r="XDT1832"/>
      <c r="XDU1832"/>
      <c r="XDV1832"/>
      <c r="XDW1832"/>
      <c r="XDX1832"/>
      <c r="XDY1832"/>
      <c r="XDZ1832"/>
      <c r="XEA1832"/>
      <c r="XEB1832"/>
      <c r="XEC1832"/>
      <c r="XED1832"/>
      <c r="XEE1832"/>
      <c r="XEF1832"/>
      <c r="XEG1832"/>
      <c r="XEH1832"/>
      <c r="XEI1832"/>
      <c r="XEJ1832"/>
      <c r="XEK1832"/>
      <c r="XEL1832"/>
      <c r="XEM1832"/>
      <c r="XEN1832"/>
      <c r="XEO1832"/>
      <c r="XEP1832"/>
      <c r="XEQ1832"/>
      <c r="XER1832"/>
      <c r="XES1832"/>
      <c r="XET1832"/>
      <c r="XEU1832"/>
      <c r="XEV1832"/>
      <c r="XEW1832"/>
      <c r="XEX1832"/>
      <c r="XEY1832"/>
      <c r="XEZ1832"/>
      <c r="XFA1832"/>
      <c r="XFB1832"/>
      <c r="XFC1832"/>
    </row>
    <row r="1833" spans="1:20 16329:16383" s="38" customFormat="1" ht="29.1" customHeight="1" outlineLevel="5" x14ac:dyDescent="0.25">
      <c r="A1833" s="65" t="s">
        <v>3065</v>
      </c>
      <c r="B1833" s="66" t="s">
        <v>3066</v>
      </c>
      <c r="C1833" s="66"/>
      <c r="D1833" s="98" t="s">
        <v>344</v>
      </c>
      <c r="E1833" s="98"/>
      <c r="F1833" s="67"/>
      <c r="G1833" s="66"/>
      <c r="H1833" s="68"/>
      <c r="I1833" s="36"/>
      <c r="J1833" s="68"/>
      <c r="K1833" s="69"/>
      <c r="L1833" s="69"/>
      <c r="M1833" s="69"/>
      <c r="N1833" s="69"/>
      <c r="O1833" s="69">
        <f>SUM(O1834:O1836)</f>
        <v>0</v>
      </c>
      <c r="P1833" s="69">
        <f>SUM(P1834:P1836)</f>
        <v>0</v>
      </c>
      <c r="Q1833" s="69">
        <f>SUM(Q1834:Q1836)</f>
        <v>0</v>
      </c>
      <c r="R1833" s="69">
        <f>SUM(R1834:R1836)</f>
        <v>0</v>
      </c>
      <c r="S1833" s="69"/>
      <c r="T1833" s="36"/>
      <c r="XDA1833"/>
      <c r="XDB1833"/>
      <c r="XDC1833"/>
      <c r="XDD1833"/>
      <c r="XDE1833"/>
      <c r="XDF1833"/>
      <c r="XDG1833"/>
      <c r="XDH1833"/>
      <c r="XDI1833"/>
      <c r="XDJ1833"/>
      <c r="XDK1833"/>
      <c r="XDL1833"/>
      <c r="XDM1833"/>
      <c r="XDN1833"/>
      <c r="XDO1833"/>
      <c r="XDP1833"/>
      <c r="XDQ1833"/>
      <c r="XDR1833"/>
      <c r="XDS1833"/>
      <c r="XDT1833"/>
      <c r="XDU1833"/>
      <c r="XDV1833"/>
      <c r="XDW1833"/>
      <c r="XDX1833"/>
      <c r="XDY1833"/>
      <c r="XDZ1833"/>
      <c r="XEA1833"/>
      <c r="XEB1833"/>
      <c r="XEC1833"/>
      <c r="XED1833"/>
      <c r="XEE1833"/>
      <c r="XEF1833"/>
      <c r="XEG1833"/>
      <c r="XEH1833"/>
      <c r="XEI1833"/>
      <c r="XEJ1833"/>
      <c r="XEK1833"/>
      <c r="XEL1833"/>
      <c r="XEM1833"/>
      <c r="XEN1833"/>
      <c r="XEO1833"/>
      <c r="XEP1833"/>
      <c r="XEQ1833"/>
      <c r="XER1833"/>
      <c r="XES1833"/>
      <c r="XET1833"/>
      <c r="XEU1833"/>
      <c r="XEV1833"/>
      <c r="XEW1833"/>
      <c r="XEX1833"/>
      <c r="XEY1833"/>
      <c r="XEZ1833"/>
      <c r="XFA1833"/>
      <c r="XFB1833"/>
      <c r="XFC1833"/>
    </row>
    <row r="1834" spans="1:20 16329:16383" s="38" customFormat="1" ht="29.1" customHeight="1" outlineLevel="6" x14ac:dyDescent="0.25">
      <c r="A1834" s="49" t="s">
        <v>3067</v>
      </c>
      <c r="B1834" s="50"/>
      <c r="C1834" s="50"/>
      <c r="D1834" s="3" t="s">
        <v>1884</v>
      </c>
      <c r="E1834" s="3"/>
      <c r="F1834" s="51"/>
      <c r="G1834" s="50" t="s">
        <v>102</v>
      </c>
      <c r="H1834" s="52">
        <f>1</f>
        <v>1</v>
      </c>
      <c r="I1834" s="36"/>
      <c r="J1834" s="52">
        <v>1</v>
      </c>
      <c r="K1834" s="53">
        <f>0</f>
        <v>0</v>
      </c>
      <c r="L1834" s="53">
        <f>0</f>
        <v>0</v>
      </c>
      <c r="M1834" s="53">
        <f>0</f>
        <v>0</v>
      </c>
      <c r="N1834" s="54">
        <f>SUM(K1834:M1834)</f>
        <v>0</v>
      </c>
      <c r="O1834" s="54">
        <f>ROUND((H1834*K1834),2)</f>
        <v>0</v>
      </c>
      <c r="P1834" s="54">
        <f>ROUND((H1834*L1834),2)</f>
        <v>0</v>
      </c>
      <c r="Q1834" s="54">
        <f>ROUND((H1834*M1834),2)</f>
        <v>0</v>
      </c>
      <c r="R1834" s="54">
        <f>ROUND((H1834*N1834),2)</f>
        <v>0</v>
      </c>
      <c r="S1834" s="54"/>
      <c r="T1834" s="36"/>
      <c r="XDA1834"/>
      <c r="XDB1834"/>
      <c r="XDC1834"/>
      <c r="XDD1834"/>
      <c r="XDE1834"/>
      <c r="XDF1834"/>
      <c r="XDG1834"/>
      <c r="XDH1834"/>
      <c r="XDI1834"/>
      <c r="XDJ1834"/>
      <c r="XDK1834"/>
      <c r="XDL1834"/>
      <c r="XDM1834"/>
      <c r="XDN1834"/>
      <c r="XDO1834"/>
      <c r="XDP1834"/>
      <c r="XDQ1834"/>
      <c r="XDR1834"/>
      <c r="XDS1834"/>
      <c r="XDT1834"/>
      <c r="XDU1834"/>
      <c r="XDV1834"/>
      <c r="XDW1834"/>
      <c r="XDX1834"/>
      <c r="XDY1834"/>
      <c r="XDZ1834"/>
      <c r="XEA1834"/>
      <c r="XEB1834"/>
      <c r="XEC1834"/>
      <c r="XED1834"/>
      <c r="XEE1834"/>
      <c r="XEF1834"/>
      <c r="XEG1834"/>
      <c r="XEH1834"/>
      <c r="XEI1834"/>
      <c r="XEJ1834"/>
      <c r="XEK1834"/>
      <c r="XEL1834"/>
      <c r="XEM1834"/>
      <c r="XEN1834"/>
      <c r="XEO1834"/>
      <c r="XEP1834"/>
      <c r="XEQ1834"/>
      <c r="XER1834"/>
      <c r="XES1834"/>
      <c r="XET1834"/>
      <c r="XEU1834"/>
      <c r="XEV1834"/>
      <c r="XEW1834"/>
      <c r="XEX1834"/>
      <c r="XEY1834"/>
      <c r="XEZ1834"/>
      <c r="XFA1834"/>
      <c r="XFB1834"/>
      <c r="XFC1834"/>
    </row>
    <row r="1835" spans="1:20 16329:16383" s="38" customFormat="1" ht="29.1" customHeight="1" outlineLevel="6" x14ac:dyDescent="0.25">
      <c r="A1835" s="49" t="s">
        <v>3068</v>
      </c>
      <c r="B1835" s="50"/>
      <c r="C1835" s="50"/>
      <c r="D1835" s="3" t="s">
        <v>1955</v>
      </c>
      <c r="E1835" s="3"/>
      <c r="F1835" s="51"/>
      <c r="G1835" s="50" t="s">
        <v>102</v>
      </c>
      <c r="H1835" s="52">
        <f>1</f>
        <v>1</v>
      </c>
      <c r="I1835" s="36"/>
      <c r="J1835" s="52">
        <v>1</v>
      </c>
      <c r="K1835" s="53">
        <f>0</f>
        <v>0</v>
      </c>
      <c r="L1835" s="53">
        <f>0</f>
        <v>0</v>
      </c>
      <c r="M1835" s="53">
        <f>0</f>
        <v>0</v>
      </c>
      <c r="N1835" s="54">
        <f>SUM(K1835:M1835)</f>
        <v>0</v>
      </c>
      <c r="O1835" s="54">
        <f>ROUND((H1835*K1835),2)</f>
        <v>0</v>
      </c>
      <c r="P1835" s="54">
        <f>ROUND((H1835*L1835),2)</f>
        <v>0</v>
      </c>
      <c r="Q1835" s="54">
        <f>ROUND((H1835*M1835),2)</f>
        <v>0</v>
      </c>
      <c r="R1835" s="54">
        <f>ROUND((H1835*N1835),2)</f>
        <v>0</v>
      </c>
      <c r="S1835" s="54"/>
      <c r="T1835" s="36"/>
      <c r="XDA1835"/>
      <c r="XDB1835"/>
      <c r="XDC1835"/>
      <c r="XDD1835"/>
      <c r="XDE1835"/>
      <c r="XDF1835"/>
      <c r="XDG1835"/>
      <c r="XDH1835"/>
      <c r="XDI1835"/>
      <c r="XDJ1835"/>
      <c r="XDK1835"/>
      <c r="XDL1835"/>
      <c r="XDM1835"/>
      <c r="XDN1835"/>
      <c r="XDO1835"/>
      <c r="XDP1835"/>
      <c r="XDQ1835"/>
      <c r="XDR1835"/>
      <c r="XDS1835"/>
      <c r="XDT1835"/>
      <c r="XDU1835"/>
      <c r="XDV1835"/>
      <c r="XDW1835"/>
      <c r="XDX1835"/>
      <c r="XDY1835"/>
      <c r="XDZ1835"/>
      <c r="XEA1835"/>
      <c r="XEB1835"/>
      <c r="XEC1835"/>
      <c r="XED1835"/>
      <c r="XEE1835"/>
      <c r="XEF1835"/>
      <c r="XEG1835"/>
      <c r="XEH1835"/>
      <c r="XEI1835"/>
      <c r="XEJ1835"/>
      <c r="XEK1835"/>
      <c r="XEL1835"/>
      <c r="XEM1835"/>
      <c r="XEN1835"/>
      <c r="XEO1835"/>
      <c r="XEP1835"/>
      <c r="XEQ1835"/>
      <c r="XER1835"/>
      <c r="XES1835"/>
      <c r="XET1835"/>
      <c r="XEU1835"/>
      <c r="XEV1835"/>
      <c r="XEW1835"/>
      <c r="XEX1835"/>
      <c r="XEY1835"/>
      <c r="XEZ1835"/>
      <c r="XFA1835"/>
      <c r="XFB1835"/>
      <c r="XFC1835"/>
    </row>
    <row r="1836" spans="1:20 16329:16383" s="38" customFormat="1" ht="29.1" customHeight="1" outlineLevel="6" x14ac:dyDescent="0.25">
      <c r="A1836" s="49" t="s">
        <v>3069</v>
      </c>
      <c r="B1836" s="50"/>
      <c r="C1836" s="50"/>
      <c r="D1836" s="3" t="s">
        <v>2910</v>
      </c>
      <c r="E1836" s="3"/>
      <c r="F1836" s="51"/>
      <c r="G1836" s="50" t="s">
        <v>102</v>
      </c>
      <c r="H1836" s="52">
        <f>1</f>
        <v>1</v>
      </c>
      <c r="I1836" s="36"/>
      <c r="J1836" s="52">
        <v>1</v>
      </c>
      <c r="K1836" s="53">
        <f>0</f>
        <v>0</v>
      </c>
      <c r="L1836" s="53">
        <f>0</f>
        <v>0</v>
      </c>
      <c r="M1836" s="53">
        <f>0</f>
        <v>0</v>
      </c>
      <c r="N1836" s="54">
        <f>SUM(K1836:M1836)</f>
        <v>0</v>
      </c>
      <c r="O1836" s="54">
        <f>ROUND((H1836*K1836),2)</f>
        <v>0</v>
      </c>
      <c r="P1836" s="54">
        <f>ROUND((H1836*L1836),2)</f>
        <v>0</v>
      </c>
      <c r="Q1836" s="54">
        <f>ROUND((H1836*M1836),2)</f>
        <v>0</v>
      </c>
      <c r="R1836" s="54">
        <f>ROUND((H1836*N1836),2)</f>
        <v>0</v>
      </c>
      <c r="S1836" s="54"/>
      <c r="T1836" s="36"/>
      <c r="XDA1836"/>
      <c r="XDB1836"/>
      <c r="XDC1836"/>
      <c r="XDD1836"/>
      <c r="XDE1836"/>
      <c r="XDF1836"/>
      <c r="XDG1836"/>
      <c r="XDH1836"/>
      <c r="XDI1836"/>
      <c r="XDJ1836"/>
      <c r="XDK1836"/>
      <c r="XDL1836"/>
      <c r="XDM1836"/>
      <c r="XDN1836"/>
      <c r="XDO1836"/>
      <c r="XDP1836"/>
      <c r="XDQ1836"/>
      <c r="XDR1836"/>
      <c r="XDS1836"/>
      <c r="XDT1836"/>
      <c r="XDU1836"/>
      <c r="XDV1836"/>
      <c r="XDW1836"/>
      <c r="XDX1836"/>
      <c r="XDY1836"/>
      <c r="XDZ1836"/>
      <c r="XEA1836"/>
      <c r="XEB1836"/>
      <c r="XEC1836"/>
      <c r="XED1836"/>
      <c r="XEE1836"/>
      <c r="XEF1836"/>
      <c r="XEG1836"/>
      <c r="XEH1836"/>
      <c r="XEI1836"/>
      <c r="XEJ1836"/>
      <c r="XEK1836"/>
      <c r="XEL1836"/>
      <c r="XEM1836"/>
      <c r="XEN1836"/>
      <c r="XEO1836"/>
      <c r="XEP1836"/>
      <c r="XEQ1836"/>
      <c r="XER1836"/>
      <c r="XES1836"/>
      <c r="XET1836"/>
      <c r="XEU1836"/>
      <c r="XEV1836"/>
      <c r="XEW1836"/>
      <c r="XEX1836"/>
      <c r="XEY1836"/>
      <c r="XEZ1836"/>
      <c r="XFA1836"/>
      <c r="XFB1836"/>
      <c r="XFC1836"/>
    </row>
    <row r="1837" spans="1:20 16329:16383" s="38" customFormat="1" ht="29.1" customHeight="1" outlineLevel="5" x14ac:dyDescent="0.25">
      <c r="A1837" s="65" t="s">
        <v>3070</v>
      </c>
      <c r="B1837" s="66" t="s">
        <v>3071</v>
      </c>
      <c r="C1837" s="66"/>
      <c r="D1837" s="98" t="s">
        <v>1899</v>
      </c>
      <c r="E1837" s="98"/>
      <c r="F1837" s="67"/>
      <c r="G1837" s="66"/>
      <c r="H1837" s="68"/>
      <c r="I1837" s="36"/>
      <c r="J1837" s="68"/>
      <c r="K1837" s="69"/>
      <c r="L1837" s="69"/>
      <c r="M1837" s="69"/>
      <c r="N1837" s="69"/>
      <c r="O1837" s="69">
        <f>SUM(O1838:O1841)</f>
        <v>0</v>
      </c>
      <c r="P1837" s="69">
        <f>SUM(P1838:P1841)</f>
        <v>0</v>
      </c>
      <c r="Q1837" s="69">
        <f>SUM(Q1838:Q1841)</f>
        <v>0</v>
      </c>
      <c r="R1837" s="69">
        <f>SUM(R1838:R1841)</f>
        <v>0</v>
      </c>
      <c r="S1837" s="69"/>
      <c r="T1837" s="36"/>
      <c r="XDA1837"/>
      <c r="XDB1837"/>
      <c r="XDC1837"/>
      <c r="XDD1837"/>
      <c r="XDE1837"/>
      <c r="XDF1837"/>
      <c r="XDG1837"/>
      <c r="XDH1837"/>
      <c r="XDI1837"/>
      <c r="XDJ1837"/>
      <c r="XDK1837"/>
      <c r="XDL1837"/>
      <c r="XDM1837"/>
      <c r="XDN1837"/>
      <c r="XDO1837"/>
      <c r="XDP1837"/>
      <c r="XDQ1837"/>
      <c r="XDR1837"/>
      <c r="XDS1837"/>
      <c r="XDT1837"/>
      <c r="XDU1837"/>
      <c r="XDV1837"/>
      <c r="XDW1837"/>
      <c r="XDX1837"/>
      <c r="XDY1837"/>
      <c r="XDZ1837"/>
      <c r="XEA1837"/>
      <c r="XEB1837"/>
      <c r="XEC1837"/>
      <c r="XED1837"/>
      <c r="XEE1837"/>
      <c r="XEF1837"/>
      <c r="XEG1837"/>
      <c r="XEH1837"/>
      <c r="XEI1837"/>
      <c r="XEJ1837"/>
      <c r="XEK1837"/>
      <c r="XEL1837"/>
      <c r="XEM1837"/>
      <c r="XEN1837"/>
      <c r="XEO1837"/>
      <c r="XEP1837"/>
      <c r="XEQ1837"/>
      <c r="XER1837"/>
      <c r="XES1837"/>
      <c r="XET1837"/>
      <c r="XEU1837"/>
      <c r="XEV1837"/>
      <c r="XEW1837"/>
      <c r="XEX1837"/>
      <c r="XEY1837"/>
      <c r="XEZ1837"/>
      <c r="XFA1837"/>
      <c r="XFB1837"/>
      <c r="XFC1837"/>
    </row>
    <row r="1838" spans="1:20 16329:16383" s="38" customFormat="1" ht="29.1" customHeight="1" outlineLevel="6" x14ac:dyDescent="0.25">
      <c r="A1838" s="49" t="s">
        <v>3072</v>
      </c>
      <c r="B1838" s="50"/>
      <c r="C1838" s="50"/>
      <c r="D1838" s="3" t="s">
        <v>1884</v>
      </c>
      <c r="E1838" s="3"/>
      <c r="F1838" s="51"/>
      <c r="G1838" s="50" t="s">
        <v>102</v>
      </c>
      <c r="H1838" s="52">
        <f>1</f>
        <v>1</v>
      </c>
      <c r="I1838" s="36"/>
      <c r="J1838" s="52">
        <v>1</v>
      </c>
      <c r="K1838" s="53">
        <f>0</f>
        <v>0</v>
      </c>
      <c r="L1838" s="53">
        <f>0</f>
        <v>0</v>
      </c>
      <c r="M1838" s="53">
        <f>0</f>
        <v>0</v>
      </c>
      <c r="N1838" s="54">
        <f>SUM(K1838:M1838)</f>
        <v>0</v>
      </c>
      <c r="O1838" s="54">
        <f>ROUND((H1838*K1838),2)</f>
        <v>0</v>
      </c>
      <c r="P1838" s="54">
        <f>ROUND((H1838*L1838),2)</f>
        <v>0</v>
      </c>
      <c r="Q1838" s="54">
        <f>ROUND((H1838*M1838),2)</f>
        <v>0</v>
      </c>
      <c r="R1838" s="54">
        <f>ROUND((H1838*N1838),2)</f>
        <v>0</v>
      </c>
      <c r="S1838" s="54"/>
      <c r="T1838" s="36"/>
      <c r="XDA1838"/>
      <c r="XDB1838"/>
      <c r="XDC1838"/>
      <c r="XDD1838"/>
      <c r="XDE1838"/>
      <c r="XDF1838"/>
      <c r="XDG1838"/>
      <c r="XDH1838"/>
      <c r="XDI1838"/>
      <c r="XDJ1838"/>
      <c r="XDK1838"/>
      <c r="XDL1838"/>
      <c r="XDM1838"/>
      <c r="XDN1838"/>
      <c r="XDO1838"/>
      <c r="XDP1838"/>
      <c r="XDQ1838"/>
      <c r="XDR1838"/>
      <c r="XDS1838"/>
      <c r="XDT1838"/>
      <c r="XDU1838"/>
      <c r="XDV1838"/>
      <c r="XDW1838"/>
      <c r="XDX1838"/>
      <c r="XDY1838"/>
      <c r="XDZ1838"/>
      <c r="XEA1838"/>
      <c r="XEB1838"/>
      <c r="XEC1838"/>
      <c r="XED1838"/>
      <c r="XEE1838"/>
      <c r="XEF1838"/>
      <c r="XEG1838"/>
      <c r="XEH1838"/>
      <c r="XEI1838"/>
      <c r="XEJ1838"/>
      <c r="XEK1838"/>
      <c r="XEL1838"/>
      <c r="XEM1838"/>
      <c r="XEN1838"/>
      <c r="XEO1838"/>
      <c r="XEP1838"/>
      <c r="XEQ1838"/>
      <c r="XER1838"/>
      <c r="XES1838"/>
      <c r="XET1838"/>
      <c r="XEU1838"/>
      <c r="XEV1838"/>
      <c r="XEW1838"/>
      <c r="XEX1838"/>
      <c r="XEY1838"/>
      <c r="XEZ1838"/>
      <c r="XFA1838"/>
      <c r="XFB1838"/>
      <c r="XFC1838"/>
    </row>
    <row r="1839" spans="1:20 16329:16383" s="38" customFormat="1" ht="29.1" customHeight="1" outlineLevel="6" x14ac:dyDescent="0.25">
      <c r="A1839" s="49" t="s">
        <v>3073</v>
      </c>
      <c r="B1839" s="50"/>
      <c r="C1839" s="50"/>
      <c r="D1839" s="3" t="s">
        <v>1955</v>
      </c>
      <c r="E1839" s="3"/>
      <c r="F1839" s="51"/>
      <c r="G1839" s="50" t="s">
        <v>102</v>
      </c>
      <c r="H1839" s="52">
        <f>1</f>
        <v>1</v>
      </c>
      <c r="I1839" s="36"/>
      <c r="J1839" s="52">
        <v>1</v>
      </c>
      <c r="K1839" s="53">
        <f>0</f>
        <v>0</v>
      </c>
      <c r="L1839" s="53">
        <f>0</f>
        <v>0</v>
      </c>
      <c r="M1839" s="53">
        <f>0</f>
        <v>0</v>
      </c>
      <c r="N1839" s="54">
        <f>SUM(K1839:M1839)</f>
        <v>0</v>
      </c>
      <c r="O1839" s="54">
        <f>ROUND((H1839*K1839),2)</f>
        <v>0</v>
      </c>
      <c r="P1839" s="54">
        <f>ROUND((H1839*L1839),2)</f>
        <v>0</v>
      </c>
      <c r="Q1839" s="54">
        <f>ROUND((H1839*M1839),2)</f>
        <v>0</v>
      </c>
      <c r="R1839" s="54">
        <f>ROUND((H1839*N1839),2)</f>
        <v>0</v>
      </c>
      <c r="S1839" s="54"/>
      <c r="T1839" s="36"/>
      <c r="XDA1839"/>
      <c r="XDB1839"/>
      <c r="XDC1839"/>
      <c r="XDD1839"/>
      <c r="XDE1839"/>
      <c r="XDF1839"/>
      <c r="XDG1839"/>
      <c r="XDH1839"/>
      <c r="XDI1839"/>
      <c r="XDJ1839"/>
      <c r="XDK1839"/>
      <c r="XDL1839"/>
      <c r="XDM1839"/>
      <c r="XDN1839"/>
      <c r="XDO1839"/>
      <c r="XDP1839"/>
      <c r="XDQ1839"/>
      <c r="XDR1839"/>
      <c r="XDS1839"/>
      <c r="XDT1839"/>
      <c r="XDU1839"/>
      <c r="XDV1839"/>
      <c r="XDW1839"/>
      <c r="XDX1839"/>
      <c r="XDY1839"/>
      <c r="XDZ1839"/>
      <c r="XEA1839"/>
      <c r="XEB1839"/>
      <c r="XEC1839"/>
      <c r="XED1839"/>
      <c r="XEE1839"/>
      <c r="XEF1839"/>
      <c r="XEG1839"/>
      <c r="XEH1839"/>
      <c r="XEI1839"/>
      <c r="XEJ1839"/>
      <c r="XEK1839"/>
      <c r="XEL1839"/>
      <c r="XEM1839"/>
      <c r="XEN1839"/>
      <c r="XEO1839"/>
      <c r="XEP1839"/>
      <c r="XEQ1839"/>
      <c r="XER1839"/>
      <c r="XES1839"/>
      <c r="XET1839"/>
      <c r="XEU1839"/>
      <c r="XEV1839"/>
      <c r="XEW1839"/>
      <c r="XEX1839"/>
      <c r="XEY1839"/>
      <c r="XEZ1839"/>
      <c r="XFA1839"/>
      <c r="XFB1839"/>
      <c r="XFC1839"/>
    </row>
    <row r="1840" spans="1:20 16329:16383" s="38" customFormat="1" ht="29.1" customHeight="1" outlineLevel="6" x14ac:dyDescent="0.25">
      <c r="A1840" s="49" t="s">
        <v>3074</v>
      </c>
      <c r="B1840" s="50"/>
      <c r="C1840" s="50"/>
      <c r="D1840" s="3" t="s">
        <v>2955</v>
      </c>
      <c r="E1840" s="3"/>
      <c r="F1840" s="51"/>
      <c r="G1840" s="50" t="s">
        <v>102</v>
      </c>
      <c r="H1840" s="52">
        <f>1</f>
        <v>1</v>
      </c>
      <c r="I1840" s="36"/>
      <c r="J1840" s="52">
        <v>1</v>
      </c>
      <c r="K1840" s="53">
        <f>0</f>
        <v>0</v>
      </c>
      <c r="L1840" s="53">
        <f>0</f>
        <v>0</v>
      </c>
      <c r="M1840" s="53">
        <f>0</f>
        <v>0</v>
      </c>
      <c r="N1840" s="54">
        <f>SUM(K1840:M1840)</f>
        <v>0</v>
      </c>
      <c r="O1840" s="54">
        <f>ROUND((H1840*K1840),2)</f>
        <v>0</v>
      </c>
      <c r="P1840" s="54">
        <f>ROUND((H1840*L1840),2)</f>
        <v>0</v>
      </c>
      <c r="Q1840" s="54">
        <f>ROUND((H1840*M1840),2)</f>
        <v>0</v>
      </c>
      <c r="R1840" s="54">
        <f>ROUND((H1840*N1840),2)</f>
        <v>0</v>
      </c>
      <c r="S1840" s="54"/>
      <c r="T1840" s="36"/>
      <c r="XDA1840"/>
      <c r="XDB1840"/>
      <c r="XDC1840"/>
      <c r="XDD1840"/>
      <c r="XDE1840"/>
      <c r="XDF1840"/>
      <c r="XDG1840"/>
      <c r="XDH1840"/>
      <c r="XDI1840"/>
      <c r="XDJ1840"/>
      <c r="XDK1840"/>
      <c r="XDL1840"/>
      <c r="XDM1840"/>
      <c r="XDN1840"/>
      <c r="XDO1840"/>
      <c r="XDP1840"/>
      <c r="XDQ1840"/>
      <c r="XDR1840"/>
      <c r="XDS1840"/>
      <c r="XDT1840"/>
      <c r="XDU1840"/>
      <c r="XDV1840"/>
      <c r="XDW1840"/>
      <c r="XDX1840"/>
      <c r="XDY1840"/>
      <c r="XDZ1840"/>
      <c r="XEA1840"/>
      <c r="XEB1840"/>
      <c r="XEC1840"/>
      <c r="XED1840"/>
      <c r="XEE1840"/>
      <c r="XEF1840"/>
      <c r="XEG1840"/>
      <c r="XEH1840"/>
      <c r="XEI1840"/>
      <c r="XEJ1840"/>
      <c r="XEK1840"/>
      <c r="XEL1840"/>
      <c r="XEM1840"/>
      <c r="XEN1840"/>
      <c r="XEO1840"/>
      <c r="XEP1840"/>
      <c r="XEQ1840"/>
      <c r="XER1840"/>
      <c r="XES1840"/>
      <c r="XET1840"/>
      <c r="XEU1840"/>
      <c r="XEV1840"/>
      <c r="XEW1840"/>
      <c r="XEX1840"/>
      <c r="XEY1840"/>
      <c r="XEZ1840"/>
      <c r="XFA1840"/>
      <c r="XFB1840"/>
      <c r="XFC1840"/>
    </row>
    <row r="1841" spans="1:20 16329:16383" s="38" customFormat="1" ht="29.1" customHeight="1" outlineLevel="6" x14ac:dyDescent="0.25">
      <c r="A1841" s="49" t="s">
        <v>3075</v>
      </c>
      <c r="B1841" s="50"/>
      <c r="C1841" s="50"/>
      <c r="D1841" s="3" t="s">
        <v>2621</v>
      </c>
      <c r="E1841" s="3"/>
      <c r="F1841" s="51"/>
      <c r="G1841" s="50" t="s">
        <v>102</v>
      </c>
      <c r="H1841" s="52">
        <f>1</f>
        <v>1</v>
      </c>
      <c r="I1841" s="36"/>
      <c r="J1841" s="52">
        <v>1</v>
      </c>
      <c r="K1841" s="53">
        <f>0</f>
        <v>0</v>
      </c>
      <c r="L1841" s="53">
        <f>0</f>
        <v>0</v>
      </c>
      <c r="M1841" s="53">
        <f>0</f>
        <v>0</v>
      </c>
      <c r="N1841" s="54">
        <f>SUM(K1841:M1841)</f>
        <v>0</v>
      </c>
      <c r="O1841" s="54">
        <f>ROUND((H1841*K1841),2)</f>
        <v>0</v>
      </c>
      <c r="P1841" s="54">
        <f>ROUND((H1841*L1841),2)</f>
        <v>0</v>
      </c>
      <c r="Q1841" s="54">
        <f>ROUND((H1841*M1841),2)</f>
        <v>0</v>
      </c>
      <c r="R1841" s="54">
        <f>ROUND((H1841*N1841),2)</f>
        <v>0</v>
      </c>
      <c r="S1841" s="54"/>
      <c r="T1841" s="36"/>
      <c r="XDA1841"/>
      <c r="XDB1841"/>
      <c r="XDC1841"/>
      <c r="XDD1841"/>
      <c r="XDE1841"/>
      <c r="XDF1841"/>
      <c r="XDG1841"/>
      <c r="XDH1841"/>
      <c r="XDI1841"/>
      <c r="XDJ1841"/>
      <c r="XDK1841"/>
      <c r="XDL1841"/>
      <c r="XDM1841"/>
      <c r="XDN1841"/>
      <c r="XDO1841"/>
      <c r="XDP1841"/>
      <c r="XDQ1841"/>
      <c r="XDR1841"/>
      <c r="XDS1841"/>
      <c r="XDT1841"/>
      <c r="XDU1841"/>
      <c r="XDV1841"/>
      <c r="XDW1841"/>
      <c r="XDX1841"/>
      <c r="XDY1841"/>
      <c r="XDZ1841"/>
      <c r="XEA1841"/>
      <c r="XEB1841"/>
      <c r="XEC1841"/>
      <c r="XED1841"/>
      <c r="XEE1841"/>
      <c r="XEF1841"/>
      <c r="XEG1841"/>
      <c r="XEH1841"/>
      <c r="XEI1841"/>
      <c r="XEJ1841"/>
      <c r="XEK1841"/>
      <c r="XEL1841"/>
      <c r="XEM1841"/>
      <c r="XEN1841"/>
      <c r="XEO1841"/>
      <c r="XEP1841"/>
      <c r="XEQ1841"/>
      <c r="XER1841"/>
      <c r="XES1841"/>
      <c r="XET1841"/>
      <c r="XEU1841"/>
      <c r="XEV1841"/>
      <c r="XEW1841"/>
      <c r="XEX1841"/>
      <c r="XEY1841"/>
      <c r="XEZ1841"/>
      <c r="XFA1841"/>
      <c r="XFB1841"/>
      <c r="XFC1841"/>
    </row>
    <row r="1842" spans="1:20 16329:16383" s="38" customFormat="1" ht="29.1" customHeight="1" outlineLevel="4" x14ac:dyDescent="0.25">
      <c r="A1842" s="60" t="s">
        <v>3076</v>
      </c>
      <c r="B1842" s="61" t="s">
        <v>3077</v>
      </c>
      <c r="C1842" s="61" t="s">
        <v>2329</v>
      </c>
      <c r="D1842" s="1" t="s">
        <v>2026</v>
      </c>
      <c r="E1842" s="1"/>
      <c r="F1842" s="62"/>
      <c r="G1842" s="61" t="s">
        <v>102</v>
      </c>
      <c r="H1842" s="63"/>
      <c r="I1842" s="36"/>
      <c r="J1842" s="63"/>
      <c r="K1842" s="64"/>
      <c r="L1842" s="64"/>
      <c r="M1842" s="64"/>
      <c r="N1842" s="64"/>
      <c r="O1842" s="64">
        <f>O1843+O1847+O1852</f>
        <v>0</v>
      </c>
      <c r="P1842" s="64">
        <f>P1843+P1847+P1852</f>
        <v>0</v>
      </c>
      <c r="Q1842" s="64">
        <f>Q1843+Q1847+Q1852</f>
        <v>0</v>
      </c>
      <c r="R1842" s="64">
        <f>R1843+R1847+R1852</f>
        <v>0</v>
      </c>
      <c r="S1842" s="64"/>
      <c r="T1842" s="36"/>
      <c r="XDA1842"/>
      <c r="XDB1842"/>
      <c r="XDC1842"/>
      <c r="XDD1842"/>
      <c r="XDE1842"/>
      <c r="XDF1842"/>
      <c r="XDG1842"/>
      <c r="XDH1842"/>
      <c r="XDI1842"/>
      <c r="XDJ1842"/>
      <c r="XDK1842"/>
      <c r="XDL1842"/>
      <c r="XDM1842"/>
      <c r="XDN1842"/>
      <c r="XDO1842"/>
      <c r="XDP1842"/>
      <c r="XDQ1842"/>
      <c r="XDR1842"/>
      <c r="XDS1842"/>
      <c r="XDT1842"/>
      <c r="XDU1842"/>
      <c r="XDV1842"/>
      <c r="XDW1842"/>
      <c r="XDX1842"/>
      <c r="XDY1842"/>
      <c r="XDZ1842"/>
      <c r="XEA1842"/>
      <c r="XEB1842"/>
      <c r="XEC1842"/>
      <c r="XED1842"/>
      <c r="XEE1842"/>
      <c r="XEF1842"/>
      <c r="XEG1842"/>
      <c r="XEH1842"/>
      <c r="XEI1842"/>
      <c r="XEJ1842"/>
      <c r="XEK1842"/>
      <c r="XEL1842"/>
      <c r="XEM1842"/>
      <c r="XEN1842"/>
      <c r="XEO1842"/>
      <c r="XEP1842"/>
      <c r="XEQ1842"/>
      <c r="XER1842"/>
      <c r="XES1842"/>
      <c r="XET1842"/>
      <c r="XEU1842"/>
      <c r="XEV1842"/>
      <c r="XEW1842"/>
      <c r="XEX1842"/>
      <c r="XEY1842"/>
      <c r="XEZ1842"/>
      <c r="XFA1842"/>
      <c r="XFB1842"/>
      <c r="XFC1842"/>
    </row>
    <row r="1843" spans="1:20 16329:16383" s="38" customFormat="1" ht="29.1" customHeight="1" outlineLevel="5" x14ac:dyDescent="0.25">
      <c r="A1843" s="65" t="s">
        <v>3078</v>
      </c>
      <c r="B1843" s="66" t="s">
        <v>3079</v>
      </c>
      <c r="C1843" s="66"/>
      <c r="D1843" s="98" t="s">
        <v>1873</v>
      </c>
      <c r="E1843" s="98"/>
      <c r="F1843" s="67"/>
      <c r="G1843" s="66"/>
      <c r="H1843" s="68"/>
      <c r="I1843" s="36"/>
      <c r="J1843" s="68"/>
      <c r="K1843" s="69"/>
      <c r="L1843" s="69"/>
      <c r="M1843" s="69"/>
      <c r="N1843" s="69"/>
      <c r="O1843" s="69">
        <f>SUM(O1844:O1846)</f>
        <v>0</v>
      </c>
      <c r="P1843" s="69">
        <f>SUM(P1844:P1846)</f>
        <v>0</v>
      </c>
      <c r="Q1843" s="69">
        <f>SUM(Q1844:Q1846)</f>
        <v>0</v>
      </c>
      <c r="R1843" s="69">
        <f>SUM(R1844:R1846)</f>
        <v>0</v>
      </c>
      <c r="S1843" s="69"/>
      <c r="T1843" s="36"/>
      <c r="XDA1843"/>
      <c r="XDB1843"/>
      <c r="XDC1843"/>
      <c r="XDD1843"/>
      <c r="XDE1843"/>
      <c r="XDF1843"/>
      <c r="XDG1843"/>
      <c r="XDH1843"/>
      <c r="XDI1843"/>
      <c r="XDJ1843"/>
      <c r="XDK1843"/>
      <c r="XDL1843"/>
      <c r="XDM1843"/>
      <c r="XDN1843"/>
      <c r="XDO1843"/>
      <c r="XDP1843"/>
      <c r="XDQ1843"/>
      <c r="XDR1843"/>
      <c r="XDS1843"/>
      <c r="XDT1843"/>
      <c r="XDU1843"/>
      <c r="XDV1843"/>
      <c r="XDW1843"/>
      <c r="XDX1843"/>
      <c r="XDY1843"/>
      <c r="XDZ1843"/>
      <c r="XEA1843"/>
      <c r="XEB1843"/>
      <c r="XEC1843"/>
      <c r="XED1843"/>
      <c r="XEE1843"/>
      <c r="XEF1843"/>
      <c r="XEG1843"/>
      <c r="XEH1843"/>
      <c r="XEI1843"/>
      <c r="XEJ1843"/>
      <c r="XEK1843"/>
      <c r="XEL1843"/>
      <c r="XEM1843"/>
      <c r="XEN1843"/>
      <c r="XEO1843"/>
      <c r="XEP1843"/>
      <c r="XEQ1843"/>
      <c r="XER1843"/>
      <c r="XES1843"/>
      <c r="XET1843"/>
      <c r="XEU1843"/>
      <c r="XEV1843"/>
      <c r="XEW1843"/>
      <c r="XEX1843"/>
      <c r="XEY1843"/>
      <c r="XEZ1843"/>
      <c r="XFA1843"/>
      <c r="XFB1843"/>
      <c r="XFC1843"/>
    </row>
    <row r="1844" spans="1:20 16329:16383" s="38" customFormat="1" ht="29.1" customHeight="1" outlineLevel="6" x14ac:dyDescent="0.25">
      <c r="A1844" s="49" t="s">
        <v>3080</v>
      </c>
      <c r="B1844" s="50"/>
      <c r="C1844" s="50"/>
      <c r="D1844" s="3" t="s">
        <v>1875</v>
      </c>
      <c r="E1844" s="3"/>
      <c r="F1844" s="51"/>
      <c r="G1844" s="50" t="s">
        <v>102</v>
      </c>
      <c r="H1844" s="52">
        <f>1</f>
        <v>1</v>
      </c>
      <c r="I1844" s="36"/>
      <c r="J1844" s="52">
        <v>1</v>
      </c>
      <c r="K1844" s="53">
        <f>0</f>
        <v>0</v>
      </c>
      <c r="L1844" s="53">
        <f>0</f>
        <v>0</v>
      </c>
      <c r="M1844" s="53">
        <f>0</f>
        <v>0</v>
      </c>
      <c r="N1844" s="54">
        <f>SUM(K1844:M1844)</f>
        <v>0</v>
      </c>
      <c r="O1844" s="54">
        <f>ROUND((H1844*K1844),2)</f>
        <v>0</v>
      </c>
      <c r="P1844" s="54">
        <f>ROUND((H1844*L1844),2)</f>
        <v>0</v>
      </c>
      <c r="Q1844" s="54">
        <f>ROUND((H1844*M1844),2)</f>
        <v>0</v>
      </c>
      <c r="R1844" s="54">
        <f>ROUND((H1844*N1844),2)</f>
        <v>0</v>
      </c>
      <c r="S1844" s="54"/>
      <c r="T1844" s="36"/>
      <c r="XDA1844"/>
      <c r="XDB1844"/>
      <c r="XDC1844"/>
      <c r="XDD1844"/>
      <c r="XDE1844"/>
      <c r="XDF1844"/>
      <c r="XDG1844"/>
      <c r="XDH1844"/>
      <c r="XDI1844"/>
      <c r="XDJ1844"/>
      <c r="XDK1844"/>
      <c r="XDL1844"/>
      <c r="XDM1844"/>
      <c r="XDN1844"/>
      <c r="XDO1844"/>
      <c r="XDP1844"/>
      <c r="XDQ1844"/>
      <c r="XDR1844"/>
      <c r="XDS1844"/>
      <c r="XDT1844"/>
      <c r="XDU1844"/>
      <c r="XDV1844"/>
      <c r="XDW1844"/>
      <c r="XDX1844"/>
      <c r="XDY1844"/>
      <c r="XDZ1844"/>
      <c r="XEA1844"/>
      <c r="XEB1844"/>
      <c r="XEC1844"/>
      <c r="XED1844"/>
      <c r="XEE1844"/>
      <c r="XEF1844"/>
      <c r="XEG1844"/>
      <c r="XEH1844"/>
      <c r="XEI1844"/>
      <c r="XEJ1844"/>
      <c r="XEK1844"/>
      <c r="XEL1844"/>
      <c r="XEM1844"/>
      <c r="XEN1844"/>
      <c r="XEO1844"/>
      <c r="XEP1844"/>
      <c r="XEQ1844"/>
      <c r="XER1844"/>
      <c r="XES1844"/>
      <c r="XET1844"/>
      <c r="XEU1844"/>
      <c r="XEV1844"/>
      <c r="XEW1844"/>
      <c r="XEX1844"/>
      <c r="XEY1844"/>
      <c r="XEZ1844"/>
      <c r="XFA1844"/>
      <c r="XFB1844"/>
      <c r="XFC1844"/>
    </row>
    <row r="1845" spans="1:20 16329:16383" s="38" customFormat="1" ht="29.1" customHeight="1" outlineLevel="6" x14ac:dyDescent="0.25">
      <c r="A1845" s="49" t="s">
        <v>3081</v>
      </c>
      <c r="B1845" s="50"/>
      <c r="C1845" s="50"/>
      <c r="D1845" s="3" t="s">
        <v>2093</v>
      </c>
      <c r="E1845" s="3"/>
      <c r="F1845" s="51"/>
      <c r="G1845" s="50" t="s">
        <v>102</v>
      </c>
      <c r="H1845" s="52">
        <f>1</f>
        <v>1</v>
      </c>
      <c r="I1845" s="36"/>
      <c r="J1845" s="52">
        <v>1</v>
      </c>
      <c r="K1845" s="53">
        <f>0</f>
        <v>0</v>
      </c>
      <c r="L1845" s="53">
        <f>0</f>
        <v>0</v>
      </c>
      <c r="M1845" s="53">
        <f>0</f>
        <v>0</v>
      </c>
      <c r="N1845" s="54">
        <f>SUM(K1845:M1845)</f>
        <v>0</v>
      </c>
      <c r="O1845" s="54">
        <f>ROUND((H1845*K1845),2)</f>
        <v>0</v>
      </c>
      <c r="P1845" s="54">
        <f>ROUND((H1845*L1845),2)</f>
        <v>0</v>
      </c>
      <c r="Q1845" s="54">
        <f>ROUND((H1845*M1845),2)</f>
        <v>0</v>
      </c>
      <c r="R1845" s="54">
        <f>ROUND((H1845*N1845),2)</f>
        <v>0</v>
      </c>
      <c r="S1845" s="54"/>
      <c r="T1845" s="36"/>
      <c r="XDA1845"/>
      <c r="XDB1845"/>
      <c r="XDC1845"/>
      <c r="XDD1845"/>
      <c r="XDE1845"/>
      <c r="XDF1845"/>
      <c r="XDG1845"/>
      <c r="XDH1845"/>
      <c r="XDI1845"/>
      <c r="XDJ1845"/>
      <c r="XDK1845"/>
      <c r="XDL1845"/>
      <c r="XDM1845"/>
      <c r="XDN1845"/>
      <c r="XDO1845"/>
      <c r="XDP1845"/>
      <c r="XDQ1845"/>
      <c r="XDR1845"/>
      <c r="XDS1845"/>
      <c r="XDT1845"/>
      <c r="XDU1845"/>
      <c r="XDV1845"/>
      <c r="XDW1845"/>
      <c r="XDX1845"/>
      <c r="XDY1845"/>
      <c r="XDZ1845"/>
      <c r="XEA1845"/>
      <c r="XEB1845"/>
      <c r="XEC1845"/>
      <c r="XED1845"/>
      <c r="XEE1845"/>
      <c r="XEF1845"/>
      <c r="XEG1845"/>
      <c r="XEH1845"/>
      <c r="XEI1845"/>
      <c r="XEJ1845"/>
      <c r="XEK1845"/>
      <c r="XEL1845"/>
      <c r="XEM1845"/>
      <c r="XEN1845"/>
      <c r="XEO1845"/>
      <c r="XEP1845"/>
      <c r="XEQ1845"/>
      <c r="XER1845"/>
      <c r="XES1845"/>
      <c r="XET1845"/>
      <c r="XEU1845"/>
      <c r="XEV1845"/>
      <c r="XEW1845"/>
      <c r="XEX1845"/>
      <c r="XEY1845"/>
      <c r="XEZ1845"/>
      <c r="XFA1845"/>
      <c r="XFB1845"/>
      <c r="XFC1845"/>
    </row>
    <row r="1846" spans="1:20 16329:16383" s="38" customFormat="1" ht="29.1" customHeight="1" outlineLevel="6" x14ac:dyDescent="0.25">
      <c r="A1846" s="49" t="s">
        <v>3082</v>
      </c>
      <c r="B1846" s="50"/>
      <c r="C1846" s="50"/>
      <c r="D1846" s="3" t="s">
        <v>2095</v>
      </c>
      <c r="E1846" s="3"/>
      <c r="F1846" s="51"/>
      <c r="G1846" s="50" t="s">
        <v>102</v>
      </c>
      <c r="H1846" s="52">
        <f>1</f>
        <v>1</v>
      </c>
      <c r="I1846" s="36"/>
      <c r="J1846" s="52">
        <v>1</v>
      </c>
      <c r="K1846" s="53">
        <f>0</f>
        <v>0</v>
      </c>
      <c r="L1846" s="53">
        <f>0</f>
        <v>0</v>
      </c>
      <c r="M1846" s="53">
        <f>0</f>
        <v>0</v>
      </c>
      <c r="N1846" s="54">
        <f>SUM(K1846:M1846)</f>
        <v>0</v>
      </c>
      <c r="O1846" s="54">
        <f>ROUND((H1846*K1846),2)</f>
        <v>0</v>
      </c>
      <c r="P1846" s="54">
        <f>ROUND((H1846*L1846),2)</f>
        <v>0</v>
      </c>
      <c r="Q1846" s="54">
        <f>ROUND((H1846*M1846),2)</f>
        <v>0</v>
      </c>
      <c r="R1846" s="54">
        <f>ROUND((H1846*N1846),2)</f>
        <v>0</v>
      </c>
      <c r="S1846" s="54"/>
      <c r="T1846" s="36"/>
      <c r="XDA1846"/>
      <c r="XDB1846"/>
      <c r="XDC1846"/>
      <c r="XDD1846"/>
      <c r="XDE1846"/>
      <c r="XDF1846"/>
      <c r="XDG1846"/>
      <c r="XDH1846"/>
      <c r="XDI1846"/>
      <c r="XDJ1846"/>
      <c r="XDK1846"/>
      <c r="XDL1846"/>
      <c r="XDM1846"/>
      <c r="XDN1846"/>
      <c r="XDO1846"/>
      <c r="XDP1846"/>
      <c r="XDQ1846"/>
      <c r="XDR1846"/>
      <c r="XDS1846"/>
      <c r="XDT1846"/>
      <c r="XDU1846"/>
      <c r="XDV1846"/>
      <c r="XDW1846"/>
      <c r="XDX1846"/>
      <c r="XDY1846"/>
      <c r="XDZ1846"/>
      <c r="XEA1846"/>
      <c r="XEB1846"/>
      <c r="XEC1846"/>
      <c r="XED1846"/>
      <c r="XEE1846"/>
      <c r="XEF1846"/>
      <c r="XEG1846"/>
      <c r="XEH1846"/>
      <c r="XEI1846"/>
      <c r="XEJ1846"/>
      <c r="XEK1846"/>
      <c r="XEL1846"/>
      <c r="XEM1846"/>
      <c r="XEN1846"/>
      <c r="XEO1846"/>
      <c r="XEP1846"/>
      <c r="XEQ1846"/>
      <c r="XER1846"/>
      <c r="XES1846"/>
      <c r="XET1846"/>
      <c r="XEU1846"/>
      <c r="XEV1846"/>
      <c r="XEW1846"/>
      <c r="XEX1846"/>
      <c r="XEY1846"/>
      <c r="XEZ1846"/>
      <c r="XFA1846"/>
      <c r="XFB1846"/>
      <c r="XFC1846"/>
    </row>
    <row r="1847" spans="1:20 16329:16383" s="38" customFormat="1" ht="29.1" customHeight="1" outlineLevel="5" x14ac:dyDescent="0.25">
      <c r="A1847" s="65" t="s">
        <v>3083</v>
      </c>
      <c r="B1847" s="66" t="s">
        <v>3084</v>
      </c>
      <c r="C1847" s="66"/>
      <c r="D1847" s="98" t="s">
        <v>344</v>
      </c>
      <c r="E1847" s="98"/>
      <c r="F1847" s="67"/>
      <c r="G1847" s="66"/>
      <c r="H1847" s="68"/>
      <c r="I1847" s="36"/>
      <c r="J1847" s="68"/>
      <c r="K1847" s="69"/>
      <c r="L1847" s="69"/>
      <c r="M1847" s="69"/>
      <c r="N1847" s="69"/>
      <c r="O1847" s="69">
        <f>SUM(O1848:O1851)</f>
        <v>0</v>
      </c>
      <c r="P1847" s="69">
        <f>SUM(P1848:P1851)</f>
        <v>0</v>
      </c>
      <c r="Q1847" s="69">
        <f>SUM(Q1848:Q1851)</f>
        <v>0</v>
      </c>
      <c r="R1847" s="69">
        <f>SUM(R1848:R1851)</f>
        <v>0</v>
      </c>
      <c r="S1847" s="69"/>
      <c r="T1847" s="36"/>
      <c r="XDA1847"/>
      <c r="XDB1847"/>
      <c r="XDC1847"/>
      <c r="XDD1847"/>
      <c r="XDE1847"/>
      <c r="XDF1847"/>
      <c r="XDG1847"/>
      <c r="XDH1847"/>
      <c r="XDI1847"/>
      <c r="XDJ1847"/>
      <c r="XDK1847"/>
      <c r="XDL1847"/>
      <c r="XDM1847"/>
      <c r="XDN1847"/>
      <c r="XDO1847"/>
      <c r="XDP1847"/>
      <c r="XDQ1847"/>
      <c r="XDR1847"/>
      <c r="XDS1847"/>
      <c r="XDT1847"/>
      <c r="XDU1847"/>
      <c r="XDV1847"/>
      <c r="XDW1847"/>
      <c r="XDX1847"/>
      <c r="XDY1847"/>
      <c r="XDZ1847"/>
      <c r="XEA1847"/>
      <c r="XEB1847"/>
      <c r="XEC1847"/>
      <c r="XED1847"/>
      <c r="XEE1847"/>
      <c r="XEF1847"/>
      <c r="XEG1847"/>
      <c r="XEH1847"/>
      <c r="XEI1847"/>
      <c r="XEJ1847"/>
      <c r="XEK1847"/>
      <c r="XEL1847"/>
      <c r="XEM1847"/>
      <c r="XEN1847"/>
      <c r="XEO1847"/>
      <c r="XEP1847"/>
      <c r="XEQ1847"/>
      <c r="XER1847"/>
      <c r="XES1847"/>
      <c r="XET1847"/>
      <c r="XEU1847"/>
      <c r="XEV1847"/>
      <c r="XEW1847"/>
      <c r="XEX1847"/>
      <c r="XEY1847"/>
      <c r="XEZ1847"/>
      <c r="XFA1847"/>
      <c r="XFB1847"/>
      <c r="XFC1847"/>
    </row>
    <row r="1848" spans="1:20 16329:16383" s="38" customFormat="1" ht="29.1" customHeight="1" outlineLevel="6" x14ac:dyDescent="0.25">
      <c r="A1848" s="49" t="s">
        <v>3085</v>
      </c>
      <c r="B1848" s="50"/>
      <c r="C1848" s="50"/>
      <c r="D1848" s="3" t="s">
        <v>1884</v>
      </c>
      <c r="E1848" s="3"/>
      <c r="F1848" s="51"/>
      <c r="G1848" s="50" t="s">
        <v>102</v>
      </c>
      <c r="H1848" s="52">
        <f>1</f>
        <v>1</v>
      </c>
      <c r="I1848" s="36"/>
      <c r="J1848" s="52">
        <v>1</v>
      </c>
      <c r="K1848" s="53">
        <f>0</f>
        <v>0</v>
      </c>
      <c r="L1848" s="53">
        <f>0</f>
        <v>0</v>
      </c>
      <c r="M1848" s="53">
        <f>0</f>
        <v>0</v>
      </c>
      <c r="N1848" s="54">
        <f>SUM(K1848:M1848)</f>
        <v>0</v>
      </c>
      <c r="O1848" s="54">
        <f>ROUND((H1848*K1848),2)</f>
        <v>0</v>
      </c>
      <c r="P1848" s="54">
        <f>ROUND((H1848*L1848),2)</f>
        <v>0</v>
      </c>
      <c r="Q1848" s="54">
        <f>ROUND((H1848*M1848),2)</f>
        <v>0</v>
      </c>
      <c r="R1848" s="54">
        <f>ROUND((H1848*N1848),2)</f>
        <v>0</v>
      </c>
      <c r="S1848" s="54"/>
      <c r="T1848" s="36"/>
      <c r="XDA1848"/>
      <c r="XDB1848"/>
      <c r="XDC1848"/>
      <c r="XDD1848"/>
      <c r="XDE1848"/>
      <c r="XDF1848"/>
      <c r="XDG1848"/>
      <c r="XDH1848"/>
      <c r="XDI1848"/>
      <c r="XDJ1848"/>
      <c r="XDK1848"/>
      <c r="XDL1848"/>
      <c r="XDM1848"/>
      <c r="XDN1848"/>
      <c r="XDO1848"/>
      <c r="XDP1848"/>
      <c r="XDQ1848"/>
      <c r="XDR1848"/>
      <c r="XDS1848"/>
      <c r="XDT1848"/>
      <c r="XDU1848"/>
      <c r="XDV1848"/>
      <c r="XDW1848"/>
      <c r="XDX1848"/>
      <c r="XDY1848"/>
      <c r="XDZ1848"/>
      <c r="XEA1848"/>
      <c r="XEB1848"/>
      <c r="XEC1848"/>
      <c r="XED1848"/>
      <c r="XEE1848"/>
      <c r="XEF1848"/>
      <c r="XEG1848"/>
      <c r="XEH1848"/>
      <c r="XEI1848"/>
      <c r="XEJ1848"/>
      <c r="XEK1848"/>
      <c r="XEL1848"/>
      <c r="XEM1848"/>
      <c r="XEN1848"/>
      <c r="XEO1848"/>
      <c r="XEP1848"/>
      <c r="XEQ1848"/>
      <c r="XER1848"/>
      <c r="XES1848"/>
      <c r="XET1848"/>
      <c r="XEU1848"/>
      <c r="XEV1848"/>
      <c r="XEW1848"/>
      <c r="XEX1848"/>
      <c r="XEY1848"/>
      <c r="XEZ1848"/>
      <c r="XFA1848"/>
      <c r="XFB1848"/>
      <c r="XFC1848"/>
    </row>
    <row r="1849" spans="1:20 16329:16383" s="38" customFormat="1" ht="29.1" customHeight="1" outlineLevel="6" x14ac:dyDescent="0.25">
      <c r="A1849" s="49" t="s">
        <v>3086</v>
      </c>
      <c r="B1849" s="50"/>
      <c r="C1849" s="50"/>
      <c r="D1849" s="3" t="s">
        <v>2100</v>
      </c>
      <c r="E1849" s="3"/>
      <c r="F1849" s="51"/>
      <c r="G1849" s="50" t="s">
        <v>102</v>
      </c>
      <c r="H1849" s="52">
        <f>1</f>
        <v>1</v>
      </c>
      <c r="I1849" s="36"/>
      <c r="J1849" s="52">
        <v>1</v>
      </c>
      <c r="K1849" s="53">
        <f>0</f>
        <v>0</v>
      </c>
      <c r="L1849" s="53">
        <f>0</f>
        <v>0</v>
      </c>
      <c r="M1849" s="53">
        <f>0</f>
        <v>0</v>
      </c>
      <c r="N1849" s="54">
        <f>SUM(K1849:M1849)</f>
        <v>0</v>
      </c>
      <c r="O1849" s="54">
        <f>ROUND((H1849*K1849),2)</f>
        <v>0</v>
      </c>
      <c r="P1849" s="54">
        <f>ROUND((H1849*L1849),2)</f>
        <v>0</v>
      </c>
      <c r="Q1849" s="54">
        <f>ROUND((H1849*M1849),2)</f>
        <v>0</v>
      </c>
      <c r="R1849" s="54">
        <f>ROUND((H1849*N1849),2)</f>
        <v>0</v>
      </c>
      <c r="S1849" s="54"/>
      <c r="T1849" s="36"/>
      <c r="XDA1849"/>
      <c r="XDB1849"/>
      <c r="XDC1849"/>
      <c r="XDD1849"/>
      <c r="XDE1849"/>
      <c r="XDF1849"/>
      <c r="XDG1849"/>
      <c r="XDH1849"/>
      <c r="XDI1849"/>
      <c r="XDJ1849"/>
      <c r="XDK1849"/>
      <c r="XDL1849"/>
      <c r="XDM1849"/>
      <c r="XDN1849"/>
      <c r="XDO1849"/>
      <c r="XDP1849"/>
      <c r="XDQ1849"/>
      <c r="XDR1849"/>
      <c r="XDS1849"/>
      <c r="XDT1849"/>
      <c r="XDU1849"/>
      <c r="XDV1849"/>
      <c r="XDW1849"/>
      <c r="XDX1849"/>
      <c r="XDY1849"/>
      <c r="XDZ1849"/>
      <c r="XEA1849"/>
      <c r="XEB1849"/>
      <c r="XEC1849"/>
      <c r="XED1849"/>
      <c r="XEE1849"/>
      <c r="XEF1849"/>
      <c r="XEG1849"/>
      <c r="XEH1849"/>
      <c r="XEI1849"/>
      <c r="XEJ1849"/>
      <c r="XEK1849"/>
      <c r="XEL1849"/>
      <c r="XEM1849"/>
      <c r="XEN1849"/>
      <c r="XEO1849"/>
      <c r="XEP1849"/>
      <c r="XEQ1849"/>
      <c r="XER1849"/>
      <c r="XES1849"/>
      <c r="XET1849"/>
      <c r="XEU1849"/>
      <c r="XEV1849"/>
      <c r="XEW1849"/>
      <c r="XEX1849"/>
      <c r="XEY1849"/>
      <c r="XEZ1849"/>
      <c r="XFA1849"/>
      <c r="XFB1849"/>
      <c r="XFC1849"/>
    </row>
    <row r="1850" spans="1:20 16329:16383" s="38" customFormat="1" ht="29.1" customHeight="1" outlineLevel="6" x14ac:dyDescent="0.25">
      <c r="A1850" s="49" t="s">
        <v>3087</v>
      </c>
      <c r="B1850" s="50"/>
      <c r="C1850" s="50"/>
      <c r="D1850" s="3" t="s">
        <v>1890</v>
      </c>
      <c r="E1850" s="3"/>
      <c r="F1850" s="51"/>
      <c r="G1850" s="50" t="s">
        <v>102</v>
      </c>
      <c r="H1850" s="52">
        <f>1</f>
        <v>1</v>
      </c>
      <c r="I1850" s="36"/>
      <c r="J1850" s="52">
        <v>1</v>
      </c>
      <c r="K1850" s="53">
        <f>0</f>
        <v>0</v>
      </c>
      <c r="L1850" s="53">
        <f>0</f>
        <v>0</v>
      </c>
      <c r="M1850" s="53">
        <f>0</f>
        <v>0</v>
      </c>
      <c r="N1850" s="54">
        <f>SUM(K1850:M1850)</f>
        <v>0</v>
      </c>
      <c r="O1850" s="54">
        <f>ROUND((H1850*K1850),2)</f>
        <v>0</v>
      </c>
      <c r="P1850" s="54">
        <f>ROUND((H1850*L1850),2)</f>
        <v>0</v>
      </c>
      <c r="Q1850" s="54">
        <f>ROUND((H1850*M1850),2)</f>
        <v>0</v>
      </c>
      <c r="R1850" s="54">
        <f>ROUND((H1850*N1850),2)</f>
        <v>0</v>
      </c>
      <c r="S1850" s="54"/>
      <c r="T1850" s="36"/>
      <c r="XDA1850"/>
      <c r="XDB1850"/>
      <c r="XDC1850"/>
      <c r="XDD1850"/>
      <c r="XDE1850"/>
      <c r="XDF1850"/>
      <c r="XDG1850"/>
      <c r="XDH1850"/>
      <c r="XDI1850"/>
      <c r="XDJ1850"/>
      <c r="XDK1850"/>
      <c r="XDL1850"/>
      <c r="XDM1850"/>
      <c r="XDN1850"/>
      <c r="XDO1850"/>
      <c r="XDP1850"/>
      <c r="XDQ1850"/>
      <c r="XDR1850"/>
      <c r="XDS1850"/>
      <c r="XDT1850"/>
      <c r="XDU1850"/>
      <c r="XDV1850"/>
      <c r="XDW1850"/>
      <c r="XDX1850"/>
      <c r="XDY1850"/>
      <c r="XDZ1850"/>
      <c r="XEA1850"/>
      <c r="XEB1850"/>
      <c r="XEC1850"/>
      <c r="XED1850"/>
      <c r="XEE1850"/>
      <c r="XEF1850"/>
      <c r="XEG1850"/>
      <c r="XEH1850"/>
      <c r="XEI1850"/>
      <c r="XEJ1850"/>
      <c r="XEK1850"/>
      <c r="XEL1850"/>
      <c r="XEM1850"/>
      <c r="XEN1850"/>
      <c r="XEO1850"/>
      <c r="XEP1850"/>
      <c r="XEQ1850"/>
      <c r="XER1850"/>
      <c r="XES1850"/>
      <c r="XET1850"/>
      <c r="XEU1850"/>
      <c r="XEV1850"/>
      <c r="XEW1850"/>
      <c r="XEX1850"/>
      <c r="XEY1850"/>
      <c r="XEZ1850"/>
      <c r="XFA1850"/>
      <c r="XFB1850"/>
      <c r="XFC1850"/>
    </row>
    <row r="1851" spans="1:20 16329:16383" s="38" customFormat="1" ht="29.1" customHeight="1" outlineLevel="6" x14ac:dyDescent="0.25">
      <c r="A1851" s="49" t="s">
        <v>3088</v>
      </c>
      <c r="B1851" s="50"/>
      <c r="C1851" s="50"/>
      <c r="D1851" s="3" t="s">
        <v>2103</v>
      </c>
      <c r="E1851" s="3"/>
      <c r="F1851" s="51"/>
      <c r="G1851" s="50" t="s">
        <v>102</v>
      </c>
      <c r="H1851" s="52">
        <f>1</f>
        <v>1</v>
      </c>
      <c r="I1851" s="36"/>
      <c r="J1851" s="52">
        <v>1</v>
      </c>
      <c r="K1851" s="53">
        <f>0</f>
        <v>0</v>
      </c>
      <c r="L1851" s="53">
        <f>0</f>
        <v>0</v>
      </c>
      <c r="M1851" s="53">
        <f>0</f>
        <v>0</v>
      </c>
      <c r="N1851" s="54">
        <f>SUM(K1851:M1851)</f>
        <v>0</v>
      </c>
      <c r="O1851" s="54">
        <f>ROUND((H1851*K1851),2)</f>
        <v>0</v>
      </c>
      <c r="P1851" s="54">
        <f>ROUND((H1851*L1851),2)</f>
        <v>0</v>
      </c>
      <c r="Q1851" s="54">
        <f>ROUND((H1851*M1851),2)</f>
        <v>0</v>
      </c>
      <c r="R1851" s="54">
        <f>ROUND((H1851*N1851),2)</f>
        <v>0</v>
      </c>
      <c r="S1851" s="54"/>
      <c r="T1851" s="36"/>
      <c r="XDA1851"/>
      <c r="XDB1851"/>
      <c r="XDC1851"/>
      <c r="XDD1851"/>
      <c r="XDE1851"/>
      <c r="XDF1851"/>
      <c r="XDG1851"/>
      <c r="XDH1851"/>
      <c r="XDI1851"/>
      <c r="XDJ1851"/>
      <c r="XDK1851"/>
      <c r="XDL1851"/>
      <c r="XDM1851"/>
      <c r="XDN1851"/>
      <c r="XDO1851"/>
      <c r="XDP1851"/>
      <c r="XDQ1851"/>
      <c r="XDR1851"/>
      <c r="XDS1851"/>
      <c r="XDT1851"/>
      <c r="XDU1851"/>
      <c r="XDV1851"/>
      <c r="XDW1851"/>
      <c r="XDX1851"/>
      <c r="XDY1851"/>
      <c r="XDZ1851"/>
      <c r="XEA1851"/>
      <c r="XEB1851"/>
      <c r="XEC1851"/>
      <c r="XED1851"/>
      <c r="XEE1851"/>
      <c r="XEF1851"/>
      <c r="XEG1851"/>
      <c r="XEH1851"/>
      <c r="XEI1851"/>
      <c r="XEJ1851"/>
      <c r="XEK1851"/>
      <c r="XEL1851"/>
      <c r="XEM1851"/>
      <c r="XEN1851"/>
      <c r="XEO1851"/>
      <c r="XEP1851"/>
      <c r="XEQ1851"/>
      <c r="XER1851"/>
      <c r="XES1851"/>
      <c r="XET1851"/>
      <c r="XEU1851"/>
      <c r="XEV1851"/>
      <c r="XEW1851"/>
      <c r="XEX1851"/>
      <c r="XEY1851"/>
      <c r="XEZ1851"/>
      <c r="XFA1851"/>
      <c r="XFB1851"/>
      <c r="XFC1851"/>
    </row>
    <row r="1852" spans="1:20 16329:16383" s="38" customFormat="1" ht="29.1" customHeight="1" outlineLevel="5" x14ac:dyDescent="0.25">
      <c r="A1852" s="65" t="s">
        <v>3089</v>
      </c>
      <c r="B1852" s="66" t="s">
        <v>3090</v>
      </c>
      <c r="C1852" s="66"/>
      <c r="D1852" s="98" t="s">
        <v>1899</v>
      </c>
      <c r="E1852" s="98"/>
      <c r="F1852" s="67"/>
      <c r="G1852" s="66"/>
      <c r="H1852" s="68"/>
      <c r="I1852" s="36"/>
      <c r="J1852" s="68"/>
      <c r="K1852" s="69"/>
      <c r="L1852" s="69"/>
      <c r="M1852" s="69"/>
      <c r="N1852" s="69"/>
      <c r="O1852" s="69">
        <f>O1853</f>
        <v>0</v>
      </c>
      <c r="P1852" s="69">
        <f>P1853</f>
        <v>0</v>
      </c>
      <c r="Q1852" s="69">
        <f>Q1853</f>
        <v>0</v>
      </c>
      <c r="R1852" s="69">
        <f>R1853</f>
        <v>0</v>
      </c>
      <c r="S1852" s="69"/>
      <c r="T1852" s="36"/>
      <c r="XDA1852"/>
      <c r="XDB1852"/>
      <c r="XDC1852"/>
      <c r="XDD1852"/>
      <c r="XDE1852"/>
      <c r="XDF1852"/>
      <c r="XDG1852"/>
      <c r="XDH1852"/>
      <c r="XDI1852"/>
      <c r="XDJ1852"/>
      <c r="XDK1852"/>
      <c r="XDL1852"/>
      <c r="XDM1852"/>
      <c r="XDN1852"/>
      <c r="XDO1852"/>
      <c r="XDP1852"/>
      <c r="XDQ1852"/>
      <c r="XDR1852"/>
      <c r="XDS1852"/>
      <c r="XDT1852"/>
      <c r="XDU1852"/>
      <c r="XDV1852"/>
      <c r="XDW1852"/>
      <c r="XDX1852"/>
      <c r="XDY1852"/>
      <c r="XDZ1852"/>
      <c r="XEA1852"/>
      <c r="XEB1852"/>
      <c r="XEC1852"/>
      <c r="XED1852"/>
      <c r="XEE1852"/>
      <c r="XEF1852"/>
      <c r="XEG1852"/>
      <c r="XEH1852"/>
      <c r="XEI1852"/>
      <c r="XEJ1852"/>
      <c r="XEK1852"/>
      <c r="XEL1852"/>
      <c r="XEM1852"/>
      <c r="XEN1852"/>
      <c r="XEO1852"/>
      <c r="XEP1852"/>
      <c r="XEQ1852"/>
      <c r="XER1852"/>
      <c r="XES1852"/>
      <c r="XET1852"/>
      <c r="XEU1852"/>
      <c r="XEV1852"/>
      <c r="XEW1852"/>
      <c r="XEX1852"/>
      <c r="XEY1852"/>
      <c r="XEZ1852"/>
      <c r="XFA1852"/>
      <c r="XFB1852"/>
      <c r="XFC1852"/>
    </row>
    <row r="1853" spans="1:20 16329:16383" s="38" customFormat="1" ht="29.1" customHeight="1" outlineLevel="6" x14ac:dyDescent="0.25">
      <c r="A1853" s="49" t="s">
        <v>3091</v>
      </c>
      <c r="B1853" s="50"/>
      <c r="C1853" s="50"/>
      <c r="D1853" s="3" t="s">
        <v>2103</v>
      </c>
      <c r="E1853" s="3"/>
      <c r="F1853" s="51"/>
      <c r="G1853" s="50" t="s">
        <v>102</v>
      </c>
      <c r="H1853" s="52">
        <f>1</f>
        <v>1</v>
      </c>
      <c r="I1853" s="36"/>
      <c r="J1853" s="52">
        <v>1</v>
      </c>
      <c r="K1853" s="53">
        <f>0</f>
        <v>0</v>
      </c>
      <c r="L1853" s="53">
        <f>0</f>
        <v>0</v>
      </c>
      <c r="M1853" s="53">
        <f>0</f>
        <v>0</v>
      </c>
      <c r="N1853" s="54">
        <f>SUM(K1853:M1853)</f>
        <v>0</v>
      </c>
      <c r="O1853" s="54">
        <f>ROUND((H1853*K1853),2)</f>
        <v>0</v>
      </c>
      <c r="P1853" s="54">
        <f>ROUND((H1853*L1853),2)</f>
        <v>0</v>
      </c>
      <c r="Q1853" s="54">
        <f>ROUND((H1853*M1853),2)</f>
        <v>0</v>
      </c>
      <c r="R1853" s="54">
        <f>ROUND((H1853*N1853),2)</f>
        <v>0</v>
      </c>
      <c r="S1853" s="54"/>
      <c r="T1853" s="36"/>
      <c r="XDA1853"/>
      <c r="XDB1853"/>
      <c r="XDC1853"/>
      <c r="XDD1853"/>
      <c r="XDE1853"/>
      <c r="XDF1853"/>
      <c r="XDG1853"/>
      <c r="XDH1853"/>
      <c r="XDI1853"/>
      <c r="XDJ1853"/>
      <c r="XDK1853"/>
      <c r="XDL1853"/>
      <c r="XDM1853"/>
      <c r="XDN1853"/>
      <c r="XDO1853"/>
      <c r="XDP1853"/>
      <c r="XDQ1853"/>
      <c r="XDR1853"/>
      <c r="XDS1853"/>
      <c r="XDT1853"/>
      <c r="XDU1853"/>
      <c r="XDV1853"/>
      <c r="XDW1853"/>
      <c r="XDX1853"/>
      <c r="XDY1853"/>
      <c r="XDZ1853"/>
      <c r="XEA1853"/>
      <c r="XEB1853"/>
      <c r="XEC1853"/>
      <c r="XED1853"/>
      <c r="XEE1853"/>
      <c r="XEF1853"/>
      <c r="XEG1853"/>
      <c r="XEH1853"/>
      <c r="XEI1853"/>
      <c r="XEJ1853"/>
      <c r="XEK1853"/>
      <c r="XEL1853"/>
      <c r="XEM1853"/>
      <c r="XEN1853"/>
      <c r="XEO1853"/>
      <c r="XEP1853"/>
      <c r="XEQ1853"/>
      <c r="XER1853"/>
      <c r="XES1853"/>
      <c r="XET1853"/>
      <c r="XEU1853"/>
      <c r="XEV1853"/>
      <c r="XEW1853"/>
      <c r="XEX1853"/>
      <c r="XEY1853"/>
      <c r="XEZ1853"/>
      <c r="XFA1853"/>
      <c r="XFB1853"/>
      <c r="XFC1853"/>
    </row>
    <row r="1854" spans="1:20 16329:16383" s="38" customFormat="1" ht="29.1" customHeight="1" outlineLevel="2" x14ac:dyDescent="0.25">
      <c r="A1854" s="44" t="s">
        <v>3092</v>
      </c>
      <c r="B1854" s="45" t="s">
        <v>3093</v>
      </c>
      <c r="C1854" s="45" t="s">
        <v>3094</v>
      </c>
      <c r="D1854" s="4" t="s">
        <v>3095</v>
      </c>
      <c r="E1854" s="4"/>
      <c r="F1854" s="46"/>
      <c r="G1854" s="45" t="s">
        <v>134</v>
      </c>
      <c r="H1854" s="47"/>
      <c r="I1854" s="36"/>
      <c r="J1854" s="47"/>
      <c r="K1854" s="48"/>
      <c r="L1854" s="48"/>
      <c r="M1854" s="48"/>
      <c r="N1854" s="48"/>
      <c r="O1854" s="48">
        <f>O1855+O1862+O1871+O1873</f>
        <v>0</v>
      </c>
      <c r="P1854" s="48">
        <f>P1855+P1862+P1871+P1873</f>
        <v>0</v>
      </c>
      <c r="Q1854" s="48">
        <f>Q1855+Q1862+Q1871+Q1873</f>
        <v>0</v>
      </c>
      <c r="R1854" s="48">
        <f>R1855+R1862+R1871+R1873</f>
        <v>0</v>
      </c>
      <c r="S1854" s="48"/>
      <c r="T1854" s="36"/>
      <c r="XDA1854"/>
      <c r="XDB1854"/>
      <c r="XDC1854"/>
      <c r="XDD1854"/>
      <c r="XDE1854"/>
      <c r="XDF1854"/>
      <c r="XDG1854"/>
      <c r="XDH1854"/>
      <c r="XDI1854"/>
      <c r="XDJ1854"/>
      <c r="XDK1854"/>
      <c r="XDL1854"/>
      <c r="XDM1854"/>
      <c r="XDN1854"/>
      <c r="XDO1854"/>
      <c r="XDP1854"/>
      <c r="XDQ1854"/>
      <c r="XDR1854"/>
      <c r="XDS1854"/>
      <c r="XDT1854"/>
      <c r="XDU1854"/>
      <c r="XDV1854"/>
      <c r="XDW1854"/>
      <c r="XDX1854"/>
      <c r="XDY1854"/>
      <c r="XDZ1854"/>
      <c r="XEA1854"/>
      <c r="XEB1854"/>
      <c r="XEC1854"/>
      <c r="XED1854"/>
      <c r="XEE1854"/>
      <c r="XEF1854"/>
      <c r="XEG1854"/>
      <c r="XEH1854"/>
      <c r="XEI1854"/>
      <c r="XEJ1854"/>
      <c r="XEK1854"/>
      <c r="XEL1854"/>
      <c r="XEM1854"/>
      <c r="XEN1854"/>
      <c r="XEO1854"/>
      <c r="XEP1854"/>
      <c r="XEQ1854"/>
      <c r="XER1854"/>
      <c r="XES1854"/>
      <c r="XET1854"/>
      <c r="XEU1854"/>
      <c r="XEV1854"/>
      <c r="XEW1854"/>
      <c r="XEX1854"/>
      <c r="XEY1854"/>
      <c r="XEZ1854"/>
      <c r="XFA1854"/>
      <c r="XFB1854"/>
      <c r="XFC1854"/>
    </row>
    <row r="1855" spans="1:20 16329:16383" s="38" customFormat="1" ht="29.1" customHeight="1" outlineLevel="3" x14ac:dyDescent="0.25">
      <c r="A1855" s="55" t="s">
        <v>3096</v>
      </c>
      <c r="B1855" s="56" t="s">
        <v>3097</v>
      </c>
      <c r="C1855" s="56"/>
      <c r="D1855" s="2" t="s">
        <v>3098</v>
      </c>
      <c r="E1855" s="2"/>
      <c r="F1855" s="57"/>
      <c r="G1855" s="56"/>
      <c r="H1855" s="58"/>
      <c r="I1855" s="36"/>
      <c r="J1855" s="58"/>
      <c r="K1855" s="59"/>
      <c r="L1855" s="59"/>
      <c r="M1855" s="59"/>
      <c r="N1855" s="59"/>
      <c r="O1855" s="59">
        <f>SUM(O1856:O1861)</f>
        <v>0</v>
      </c>
      <c r="P1855" s="59">
        <f>SUM(P1856:P1861)</f>
        <v>0</v>
      </c>
      <c r="Q1855" s="59">
        <f>SUM(Q1856:Q1861)</f>
        <v>0</v>
      </c>
      <c r="R1855" s="59">
        <f>SUM(R1856:R1861)</f>
        <v>0</v>
      </c>
      <c r="S1855" s="59"/>
      <c r="T1855" s="36"/>
      <c r="XDA1855"/>
      <c r="XDB1855"/>
      <c r="XDC1855"/>
      <c r="XDD1855"/>
      <c r="XDE1855"/>
      <c r="XDF1855"/>
      <c r="XDG1855"/>
      <c r="XDH1855"/>
      <c r="XDI1855"/>
      <c r="XDJ1855"/>
      <c r="XDK1855"/>
      <c r="XDL1855"/>
      <c r="XDM1855"/>
      <c r="XDN1855"/>
      <c r="XDO1855"/>
      <c r="XDP1855"/>
      <c r="XDQ1855"/>
      <c r="XDR1855"/>
      <c r="XDS1855"/>
      <c r="XDT1855"/>
      <c r="XDU1855"/>
      <c r="XDV1855"/>
      <c r="XDW1855"/>
      <c r="XDX1855"/>
      <c r="XDY1855"/>
      <c r="XDZ1855"/>
      <c r="XEA1855"/>
      <c r="XEB1855"/>
      <c r="XEC1855"/>
      <c r="XED1855"/>
      <c r="XEE1855"/>
      <c r="XEF1855"/>
      <c r="XEG1855"/>
      <c r="XEH1855"/>
      <c r="XEI1855"/>
      <c r="XEJ1855"/>
      <c r="XEK1855"/>
      <c r="XEL1855"/>
      <c r="XEM1855"/>
      <c r="XEN1855"/>
      <c r="XEO1855"/>
      <c r="XEP1855"/>
      <c r="XEQ1855"/>
      <c r="XER1855"/>
      <c r="XES1855"/>
      <c r="XET1855"/>
      <c r="XEU1855"/>
      <c r="XEV1855"/>
      <c r="XEW1855"/>
      <c r="XEX1855"/>
      <c r="XEY1855"/>
      <c r="XEZ1855"/>
      <c r="XFA1855"/>
      <c r="XFB1855"/>
      <c r="XFC1855"/>
    </row>
    <row r="1856" spans="1:20 16329:16383" s="38" customFormat="1" ht="29.1" customHeight="1" outlineLevel="4" x14ac:dyDescent="0.25">
      <c r="A1856" s="49" t="s">
        <v>3099</v>
      </c>
      <c r="B1856" s="50"/>
      <c r="C1856" s="50"/>
      <c r="D1856" s="3" t="s">
        <v>3100</v>
      </c>
      <c r="E1856" s="3"/>
      <c r="F1856" s="51"/>
      <c r="G1856" s="50" t="s">
        <v>134</v>
      </c>
      <c r="H1856" s="52">
        <f>1</f>
        <v>1</v>
      </c>
      <c r="I1856" s="36"/>
      <c r="J1856" s="52">
        <v>1</v>
      </c>
      <c r="K1856" s="53">
        <f>0</f>
        <v>0</v>
      </c>
      <c r="L1856" s="53">
        <f>0</f>
        <v>0</v>
      </c>
      <c r="M1856" s="53">
        <f>0</f>
        <v>0</v>
      </c>
      <c r="N1856" s="54">
        <f t="shared" ref="N1856:N1861" si="364">SUM(K1856:M1856)</f>
        <v>0</v>
      </c>
      <c r="O1856" s="54">
        <f t="shared" ref="O1856:O1861" si="365">ROUND((H1856*K1856),2)</f>
        <v>0</v>
      </c>
      <c r="P1856" s="54">
        <f t="shared" ref="P1856:P1861" si="366">ROUND((H1856*L1856),2)</f>
        <v>0</v>
      </c>
      <c r="Q1856" s="54">
        <f t="shared" ref="Q1856:Q1861" si="367">ROUND((H1856*M1856),2)</f>
        <v>0</v>
      </c>
      <c r="R1856" s="54">
        <f t="shared" ref="R1856:R1861" si="368">ROUND((H1856*N1856),2)</f>
        <v>0</v>
      </c>
      <c r="S1856" s="54"/>
      <c r="T1856" s="36"/>
      <c r="XDA1856"/>
      <c r="XDB1856"/>
      <c r="XDC1856"/>
      <c r="XDD1856"/>
      <c r="XDE1856"/>
      <c r="XDF1856"/>
      <c r="XDG1856"/>
      <c r="XDH1856"/>
      <c r="XDI1856"/>
      <c r="XDJ1856"/>
      <c r="XDK1856"/>
      <c r="XDL1856"/>
      <c r="XDM1856"/>
      <c r="XDN1856"/>
      <c r="XDO1856"/>
      <c r="XDP1856"/>
      <c r="XDQ1856"/>
      <c r="XDR1856"/>
      <c r="XDS1856"/>
      <c r="XDT1856"/>
      <c r="XDU1856"/>
      <c r="XDV1856"/>
      <c r="XDW1856"/>
      <c r="XDX1856"/>
      <c r="XDY1856"/>
      <c r="XDZ1856"/>
      <c r="XEA1856"/>
      <c r="XEB1856"/>
      <c r="XEC1856"/>
      <c r="XED1856"/>
      <c r="XEE1856"/>
      <c r="XEF1856"/>
      <c r="XEG1856"/>
      <c r="XEH1856"/>
      <c r="XEI1856"/>
      <c r="XEJ1856"/>
      <c r="XEK1856"/>
      <c r="XEL1856"/>
      <c r="XEM1856"/>
      <c r="XEN1856"/>
      <c r="XEO1856"/>
      <c r="XEP1856"/>
      <c r="XEQ1856"/>
      <c r="XER1856"/>
      <c r="XES1856"/>
      <c r="XET1856"/>
      <c r="XEU1856"/>
      <c r="XEV1856"/>
      <c r="XEW1856"/>
      <c r="XEX1856"/>
      <c r="XEY1856"/>
      <c r="XEZ1856"/>
      <c r="XFA1856"/>
      <c r="XFB1856"/>
      <c r="XFC1856"/>
    </row>
    <row r="1857" spans="1:20 16329:16383" s="38" customFormat="1" ht="29.1" customHeight="1" outlineLevel="4" x14ac:dyDescent="0.25">
      <c r="A1857" s="49" t="s">
        <v>3101</v>
      </c>
      <c r="B1857" s="50"/>
      <c r="C1857" s="50"/>
      <c r="D1857" s="3" t="s">
        <v>3102</v>
      </c>
      <c r="E1857" s="3"/>
      <c r="F1857" s="51"/>
      <c r="G1857" s="50" t="s">
        <v>134</v>
      </c>
      <c r="H1857" s="52">
        <f>1</f>
        <v>1</v>
      </c>
      <c r="I1857" s="36"/>
      <c r="J1857" s="52">
        <v>1</v>
      </c>
      <c r="K1857" s="53">
        <f>0</f>
        <v>0</v>
      </c>
      <c r="L1857" s="53">
        <f>0</f>
        <v>0</v>
      </c>
      <c r="M1857" s="53">
        <f>0</f>
        <v>0</v>
      </c>
      <c r="N1857" s="54">
        <f t="shared" si="364"/>
        <v>0</v>
      </c>
      <c r="O1857" s="54">
        <f t="shared" si="365"/>
        <v>0</v>
      </c>
      <c r="P1857" s="54">
        <f t="shared" si="366"/>
        <v>0</v>
      </c>
      <c r="Q1857" s="54">
        <f t="shared" si="367"/>
        <v>0</v>
      </c>
      <c r="R1857" s="54">
        <f t="shared" si="368"/>
        <v>0</v>
      </c>
      <c r="S1857" s="54"/>
      <c r="T1857" s="36"/>
      <c r="XDA1857"/>
      <c r="XDB1857"/>
      <c r="XDC1857"/>
      <c r="XDD1857"/>
      <c r="XDE1857"/>
      <c r="XDF1857"/>
      <c r="XDG1857"/>
      <c r="XDH1857"/>
      <c r="XDI1857"/>
      <c r="XDJ1857"/>
      <c r="XDK1857"/>
      <c r="XDL1857"/>
      <c r="XDM1857"/>
      <c r="XDN1857"/>
      <c r="XDO1857"/>
      <c r="XDP1857"/>
      <c r="XDQ1857"/>
      <c r="XDR1857"/>
      <c r="XDS1857"/>
      <c r="XDT1857"/>
      <c r="XDU1857"/>
      <c r="XDV1857"/>
      <c r="XDW1857"/>
      <c r="XDX1857"/>
      <c r="XDY1857"/>
      <c r="XDZ1857"/>
      <c r="XEA1857"/>
      <c r="XEB1857"/>
      <c r="XEC1857"/>
      <c r="XED1857"/>
      <c r="XEE1857"/>
      <c r="XEF1857"/>
      <c r="XEG1857"/>
      <c r="XEH1857"/>
      <c r="XEI1857"/>
      <c r="XEJ1857"/>
      <c r="XEK1857"/>
      <c r="XEL1857"/>
      <c r="XEM1857"/>
      <c r="XEN1857"/>
      <c r="XEO1857"/>
      <c r="XEP1857"/>
      <c r="XEQ1857"/>
      <c r="XER1857"/>
      <c r="XES1857"/>
      <c r="XET1857"/>
      <c r="XEU1857"/>
      <c r="XEV1857"/>
      <c r="XEW1857"/>
      <c r="XEX1857"/>
      <c r="XEY1857"/>
      <c r="XEZ1857"/>
      <c r="XFA1857"/>
      <c r="XFB1857"/>
      <c r="XFC1857"/>
    </row>
    <row r="1858" spans="1:20 16329:16383" s="38" customFormat="1" ht="29.1" customHeight="1" outlineLevel="4" x14ac:dyDescent="0.25">
      <c r="A1858" s="49" t="s">
        <v>3103</v>
      </c>
      <c r="B1858" s="50"/>
      <c r="C1858" s="50"/>
      <c r="D1858" s="3" t="s">
        <v>3104</v>
      </c>
      <c r="E1858" s="3"/>
      <c r="F1858" s="51"/>
      <c r="G1858" s="50" t="s">
        <v>134</v>
      </c>
      <c r="H1858" s="52">
        <f>1</f>
        <v>1</v>
      </c>
      <c r="I1858" s="36"/>
      <c r="J1858" s="52">
        <v>1</v>
      </c>
      <c r="K1858" s="53">
        <f>0</f>
        <v>0</v>
      </c>
      <c r="L1858" s="53">
        <f>0</f>
        <v>0</v>
      </c>
      <c r="M1858" s="53">
        <f>0</f>
        <v>0</v>
      </c>
      <c r="N1858" s="54">
        <f t="shared" si="364"/>
        <v>0</v>
      </c>
      <c r="O1858" s="54">
        <f t="shared" si="365"/>
        <v>0</v>
      </c>
      <c r="P1858" s="54">
        <f t="shared" si="366"/>
        <v>0</v>
      </c>
      <c r="Q1858" s="54">
        <f t="shared" si="367"/>
        <v>0</v>
      </c>
      <c r="R1858" s="54">
        <f t="shared" si="368"/>
        <v>0</v>
      </c>
      <c r="S1858" s="54"/>
      <c r="T1858" s="36"/>
      <c r="XDA1858"/>
      <c r="XDB1858"/>
      <c r="XDC1858"/>
      <c r="XDD1858"/>
      <c r="XDE1858"/>
      <c r="XDF1858"/>
      <c r="XDG1858"/>
      <c r="XDH1858"/>
      <c r="XDI1858"/>
      <c r="XDJ1858"/>
      <c r="XDK1858"/>
      <c r="XDL1858"/>
      <c r="XDM1858"/>
      <c r="XDN1858"/>
      <c r="XDO1858"/>
      <c r="XDP1858"/>
      <c r="XDQ1858"/>
      <c r="XDR1858"/>
      <c r="XDS1858"/>
      <c r="XDT1858"/>
      <c r="XDU1858"/>
      <c r="XDV1858"/>
      <c r="XDW1858"/>
      <c r="XDX1858"/>
      <c r="XDY1858"/>
      <c r="XDZ1858"/>
      <c r="XEA1858"/>
      <c r="XEB1858"/>
      <c r="XEC1858"/>
      <c r="XED1858"/>
      <c r="XEE1858"/>
      <c r="XEF1858"/>
      <c r="XEG1858"/>
      <c r="XEH1858"/>
      <c r="XEI1858"/>
      <c r="XEJ1858"/>
      <c r="XEK1858"/>
      <c r="XEL1858"/>
      <c r="XEM1858"/>
      <c r="XEN1858"/>
      <c r="XEO1858"/>
      <c r="XEP1858"/>
      <c r="XEQ1858"/>
      <c r="XER1858"/>
      <c r="XES1858"/>
      <c r="XET1858"/>
      <c r="XEU1858"/>
      <c r="XEV1858"/>
      <c r="XEW1858"/>
      <c r="XEX1858"/>
      <c r="XEY1858"/>
      <c r="XEZ1858"/>
      <c r="XFA1858"/>
      <c r="XFB1858"/>
      <c r="XFC1858"/>
    </row>
    <row r="1859" spans="1:20 16329:16383" s="38" customFormat="1" ht="29.1" customHeight="1" outlineLevel="4" x14ac:dyDescent="0.25">
      <c r="A1859" s="49" t="s">
        <v>3105</v>
      </c>
      <c r="B1859" s="50"/>
      <c r="C1859" s="50"/>
      <c r="D1859" s="3" t="s">
        <v>3106</v>
      </c>
      <c r="E1859" s="3"/>
      <c r="F1859" s="51"/>
      <c r="G1859" s="50" t="s">
        <v>134</v>
      </c>
      <c r="H1859" s="52">
        <f>1</f>
        <v>1</v>
      </c>
      <c r="I1859" s="36"/>
      <c r="J1859" s="52">
        <v>1</v>
      </c>
      <c r="K1859" s="53">
        <f>0</f>
        <v>0</v>
      </c>
      <c r="L1859" s="53">
        <f>0</f>
        <v>0</v>
      </c>
      <c r="M1859" s="53">
        <f>0</f>
        <v>0</v>
      </c>
      <c r="N1859" s="54">
        <f t="shared" si="364"/>
        <v>0</v>
      </c>
      <c r="O1859" s="54">
        <f t="shared" si="365"/>
        <v>0</v>
      </c>
      <c r="P1859" s="54">
        <f t="shared" si="366"/>
        <v>0</v>
      </c>
      <c r="Q1859" s="54">
        <f t="shared" si="367"/>
        <v>0</v>
      </c>
      <c r="R1859" s="54">
        <f t="shared" si="368"/>
        <v>0</v>
      </c>
      <c r="S1859" s="54"/>
      <c r="T1859" s="36"/>
      <c r="XDA1859"/>
      <c r="XDB1859"/>
      <c r="XDC1859"/>
      <c r="XDD1859"/>
      <c r="XDE1859"/>
      <c r="XDF1859"/>
      <c r="XDG1859"/>
      <c r="XDH1859"/>
      <c r="XDI1859"/>
      <c r="XDJ1859"/>
      <c r="XDK1859"/>
      <c r="XDL1859"/>
      <c r="XDM1859"/>
      <c r="XDN1859"/>
      <c r="XDO1859"/>
      <c r="XDP1859"/>
      <c r="XDQ1859"/>
      <c r="XDR1859"/>
      <c r="XDS1859"/>
      <c r="XDT1859"/>
      <c r="XDU1859"/>
      <c r="XDV1859"/>
      <c r="XDW1859"/>
      <c r="XDX1859"/>
      <c r="XDY1859"/>
      <c r="XDZ1859"/>
      <c r="XEA1859"/>
      <c r="XEB1859"/>
      <c r="XEC1859"/>
      <c r="XED1859"/>
      <c r="XEE1859"/>
      <c r="XEF1859"/>
      <c r="XEG1859"/>
      <c r="XEH1859"/>
      <c r="XEI1859"/>
      <c r="XEJ1859"/>
      <c r="XEK1859"/>
      <c r="XEL1859"/>
      <c r="XEM1859"/>
      <c r="XEN1859"/>
      <c r="XEO1859"/>
      <c r="XEP1859"/>
      <c r="XEQ1859"/>
      <c r="XER1859"/>
      <c r="XES1859"/>
      <c r="XET1859"/>
      <c r="XEU1859"/>
      <c r="XEV1859"/>
      <c r="XEW1859"/>
      <c r="XEX1859"/>
      <c r="XEY1859"/>
      <c r="XEZ1859"/>
      <c r="XFA1859"/>
      <c r="XFB1859"/>
      <c r="XFC1859"/>
    </row>
    <row r="1860" spans="1:20 16329:16383" s="38" customFormat="1" ht="29.1" customHeight="1" outlineLevel="4" x14ac:dyDescent="0.25">
      <c r="A1860" s="49" t="s">
        <v>3107</v>
      </c>
      <c r="B1860" s="50"/>
      <c r="C1860" s="50"/>
      <c r="D1860" s="3" t="s">
        <v>3108</v>
      </c>
      <c r="E1860" s="3"/>
      <c r="F1860" s="51"/>
      <c r="G1860" s="50" t="s">
        <v>134</v>
      </c>
      <c r="H1860" s="52">
        <f>1</f>
        <v>1</v>
      </c>
      <c r="I1860" s="36"/>
      <c r="J1860" s="52">
        <v>1</v>
      </c>
      <c r="K1860" s="53">
        <f>0</f>
        <v>0</v>
      </c>
      <c r="L1860" s="53">
        <f>0</f>
        <v>0</v>
      </c>
      <c r="M1860" s="53">
        <f>0</f>
        <v>0</v>
      </c>
      <c r="N1860" s="54">
        <f t="shared" si="364"/>
        <v>0</v>
      </c>
      <c r="O1860" s="54">
        <f t="shared" si="365"/>
        <v>0</v>
      </c>
      <c r="P1860" s="54">
        <f t="shared" si="366"/>
        <v>0</v>
      </c>
      <c r="Q1860" s="54">
        <f t="shared" si="367"/>
        <v>0</v>
      </c>
      <c r="R1860" s="54">
        <f t="shared" si="368"/>
        <v>0</v>
      </c>
      <c r="S1860" s="54"/>
      <c r="T1860" s="36"/>
      <c r="XDA1860"/>
      <c r="XDB1860"/>
      <c r="XDC1860"/>
      <c r="XDD1860"/>
      <c r="XDE1860"/>
      <c r="XDF1860"/>
      <c r="XDG1860"/>
      <c r="XDH1860"/>
      <c r="XDI1860"/>
      <c r="XDJ1860"/>
      <c r="XDK1860"/>
      <c r="XDL1860"/>
      <c r="XDM1860"/>
      <c r="XDN1860"/>
      <c r="XDO1860"/>
      <c r="XDP1860"/>
      <c r="XDQ1860"/>
      <c r="XDR1860"/>
      <c r="XDS1860"/>
      <c r="XDT1860"/>
      <c r="XDU1860"/>
      <c r="XDV1860"/>
      <c r="XDW1860"/>
      <c r="XDX1860"/>
      <c r="XDY1860"/>
      <c r="XDZ1860"/>
      <c r="XEA1860"/>
      <c r="XEB1860"/>
      <c r="XEC1860"/>
      <c r="XED1860"/>
      <c r="XEE1860"/>
      <c r="XEF1860"/>
      <c r="XEG1860"/>
      <c r="XEH1860"/>
      <c r="XEI1860"/>
      <c r="XEJ1860"/>
      <c r="XEK1860"/>
      <c r="XEL1860"/>
      <c r="XEM1860"/>
      <c r="XEN1860"/>
      <c r="XEO1860"/>
      <c r="XEP1860"/>
      <c r="XEQ1860"/>
      <c r="XER1860"/>
      <c r="XES1860"/>
      <c r="XET1860"/>
      <c r="XEU1860"/>
      <c r="XEV1860"/>
      <c r="XEW1860"/>
      <c r="XEX1860"/>
      <c r="XEY1860"/>
      <c r="XEZ1860"/>
      <c r="XFA1860"/>
      <c r="XFB1860"/>
      <c r="XFC1860"/>
    </row>
    <row r="1861" spans="1:20 16329:16383" s="38" customFormat="1" ht="29.1" customHeight="1" outlineLevel="4" x14ac:dyDescent="0.25">
      <c r="A1861" s="49" t="s">
        <v>3109</v>
      </c>
      <c r="B1861" s="50"/>
      <c r="C1861" s="50"/>
      <c r="D1861" s="3" t="s">
        <v>3110</v>
      </c>
      <c r="E1861" s="3"/>
      <c r="F1861" s="51"/>
      <c r="G1861" s="50" t="s">
        <v>134</v>
      </c>
      <c r="H1861" s="52">
        <f>1</f>
        <v>1</v>
      </c>
      <c r="I1861" s="36"/>
      <c r="J1861" s="52">
        <v>1</v>
      </c>
      <c r="K1861" s="53">
        <f>0</f>
        <v>0</v>
      </c>
      <c r="L1861" s="53">
        <f>0</f>
        <v>0</v>
      </c>
      <c r="M1861" s="53">
        <f>0</f>
        <v>0</v>
      </c>
      <c r="N1861" s="54">
        <f t="shared" si="364"/>
        <v>0</v>
      </c>
      <c r="O1861" s="54">
        <f t="shared" si="365"/>
        <v>0</v>
      </c>
      <c r="P1861" s="54">
        <f t="shared" si="366"/>
        <v>0</v>
      </c>
      <c r="Q1861" s="54">
        <f t="shared" si="367"/>
        <v>0</v>
      </c>
      <c r="R1861" s="54">
        <f t="shared" si="368"/>
        <v>0</v>
      </c>
      <c r="S1861" s="54"/>
      <c r="T1861" s="36"/>
      <c r="XDA1861"/>
      <c r="XDB1861"/>
      <c r="XDC1861"/>
      <c r="XDD1861"/>
      <c r="XDE1861"/>
      <c r="XDF1861"/>
      <c r="XDG1861"/>
      <c r="XDH1861"/>
      <c r="XDI1861"/>
      <c r="XDJ1861"/>
      <c r="XDK1861"/>
      <c r="XDL1861"/>
      <c r="XDM1861"/>
      <c r="XDN1861"/>
      <c r="XDO1861"/>
      <c r="XDP1861"/>
      <c r="XDQ1861"/>
      <c r="XDR1861"/>
      <c r="XDS1861"/>
      <c r="XDT1861"/>
      <c r="XDU1861"/>
      <c r="XDV1861"/>
      <c r="XDW1861"/>
      <c r="XDX1861"/>
      <c r="XDY1861"/>
      <c r="XDZ1861"/>
      <c r="XEA1861"/>
      <c r="XEB1861"/>
      <c r="XEC1861"/>
      <c r="XED1861"/>
      <c r="XEE1861"/>
      <c r="XEF1861"/>
      <c r="XEG1861"/>
      <c r="XEH1861"/>
      <c r="XEI1861"/>
      <c r="XEJ1861"/>
      <c r="XEK1861"/>
      <c r="XEL1861"/>
      <c r="XEM1861"/>
      <c r="XEN1861"/>
      <c r="XEO1861"/>
      <c r="XEP1861"/>
      <c r="XEQ1861"/>
      <c r="XER1861"/>
      <c r="XES1861"/>
      <c r="XET1861"/>
      <c r="XEU1861"/>
      <c r="XEV1861"/>
      <c r="XEW1861"/>
      <c r="XEX1861"/>
      <c r="XEY1861"/>
      <c r="XEZ1861"/>
      <c r="XFA1861"/>
      <c r="XFB1861"/>
      <c r="XFC1861"/>
    </row>
    <row r="1862" spans="1:20 16329:16383" s="38" customFormat="1" ht="29.1" customHeight="1" outlineLevel="3" x14ac:dyDescent="0.25">
      <c r="A1862" s="55" t="s">
        <v>3111</v>
      </c>
      <c r="B1862" s="56" t="s">
        <v>3112</v>
      </c>
      <c r="C1862" s="56"/>
      <c r="D1862" s="2" t="s">
        <v>3113</v>
      </c>
      <c r="E1862" s="2"/>
      <c r="F1862" s="57"/>
      <c r="G1862" s="56"/>
      <c r="H1862" s="58"/>
      <c r="I1862" s="36"/>
      <c r="J1862" s="58"/>
      <c r="K1862" s="59"/>
      <c r="L1862" s="59"/>
      <c r="M1862" s="59"/>
      <c r="N1862" s="59"/>
      <c r="O1862" s="59">
        <f>SUM(O1863:O1870)</f>
        <v>0</v>
      </c>
      <c r="P1862" s="59">
        <f>SUM(P1863:P1870)</f>
        <v>0</v>
      </c>
      <c r="Q1862" s="59">
        <f>SUM(Q1863:Q1870)</f>
        <v>0</v>
      </c>
      <c r="R1862" s="59">
        <f>SUM(R1863:R1870)</f>
        <v>0</v>
      </c>
      <c r="S1862" s="59"/>
      <c r="T1862" s="36"/>
      <c r="XDA1862"/>
      <c r="XDB1862"/>
      <c r="XDC1862"/>
      <c r="XDD1862"/>
      <c r="XDE1862"/>
      <c r="XDF1862"/>
      <c r="XDG1862"/>
      <c r="XDH1862"/>
      <c r="XDI1862"/>
      <c r="XDJ1862"/>
      <c r="XDK1862"/>
      <c r="XDL1862"/>
      <c r="XDM1862"/>
      <c r="XDN1862"/>
      <c r="XDO1862"/>
      <c r="XDP1862"/>
      <c r="XDQ1862"/>
      <c r="XDR1862"/>
      <c r="XDS1862"/>
      <c r="XDT1862"/>
      <c r="XDU1862"/>
      <c r="XDV1862"/>
      <c r="XDW1862"/>
      <c r="XDX1862"/>
      <c r="XDY1862"/>
      <c r="XDZ1862"/>
      <c r="XEA1862"/>
      <c r="XEB1862"/>
      <c r="XEC1862"/>
      <c r="XED1862"/>
      <c r="XEE1862"/>
      <c r="XEF1862"/>
      <c r="XEG1862"/>
      <c r="XEH1862"/>
      <c r="XEI1862"/>
      <c r="XEJ1862"/>
      <c r="XEK1862"/>
      <c r="XEL1862"/>
      <c r="XEM1862"/>
      <c r="XEN1862"/>
      <c r="XEO1862"/>
      <c r="XEP1862"/>
      <c r="XEQ1862"/>
      <c r="XER1862"/>
      <c r="XES1862"/>
      <c r="XET1862"/>
      <c r="XEU1862"/>
      <c r="XEV1862"/>
      <c r="XEW1862"/>
      <c r="XEX1862"/>
      <c r="XEY1862"/>
      <c r="XEZ1862"/>
      <c r="XFA1862"/>
      <c r="XFB1862"/>
      <c r="XFC1862"/>
    </row>
    <row r="1863" spans="1:20 16329:16383" s="38" customFormat="1" ht="29.1" customHeight="1" outlineLevel="4" x14ac:dyDescent="0.25">
      <c r="A1863" s="49" t="s">
        <v>3114</v>
      </c>
      <c r="B1863" s="50"/>
      <c r="C1863" s="50"/>
      <c r="D1863" s="3" t="s">
        <v>3115</v>
      </c>
      <c r="E1863" s="3"/>
      <c r="F1863" s="51"/>
      <c r="G1863" s="50" t="s">
        <v>134</v>
      </c>
      <c r="H1863" s="52">
        <f>1</f>
        <v>1</v>
      </c>
      <c r="I1863" s="36"/>
      <c r="J1863" s="52">
        <v>1</v>
      </c>
      <c r="K1863" s="53">
        <f>0</f>
        <v>0</v>
      </c>
      <c r="L1863" s="53">
        <f>0</f>
        <v>0</v>
      </c>
      <c r="M1863" s="53">
        <f>0</f>
        <v>0</v>
      </c>
      <c r="N1863" s="54">
        <f t="shared" ref="N1863:N1870" si="369">SUM(K1863:M1863)</f>
        <v>0</v>
      </c>
      <c r="O1863" s="54">
        <f t="shared" ref="O1863:O1870" si="370">ROUND((H1863*K1863),2)</f>
        <v>0</v>
      </c>
      <c r="P1863" s="54">
        <f t="shared" ref="P1863:P1870" si="371">ROUND((H1863*L1863),2)</f>
        <v>0</v>
      </c>
      <c r="Q1863" s="54">
        <f t="shared" ref="Q1863:Q1870" si="372">ROUND((H1863*M1863),2)</f>
        <v>0</v>
      </c>
      <c r="R1863" s="54">
        <f t="shared" ref="R1863:R1870" si="373">ROUND((H1863*N1863),2)</f>
        <v>0</v>
      </c>
      <c r="S1863" s="54"/>
      <c r="T1863" s="36"/>
      <c r="XDA1863"/>
      <c r="XDB1863"/>
      <c r="XDC1863"/>
      <c r="XDD1863"/>
      <c r="XDE1863"/>
      <c r="XDF1863"/>
      <c r="XDG1863"/>
      <c r="XDH1863"/>
      <c r="XDI1863"/>
      <c r="XDJ1863"/>
      <c r="XDK1863"/>
      <c r="XDL1863"/>
      <c r="XDM1863"/>
      <c r="XDN1863"/>
      <c r="XDO1863"/>
      <c r="XDP1863"/>
      <c r="XDQ1863"/>
      <c r="XDR1863"/>
      <c r="XDS1863"/>
      <c r="XDT1863"/>
      <c r="XDU1863"/>
      <c r="XDV1863"/>
      <c r="XDW1863"/>
      <c r="XDX1863"/>
      <c r="XDY1863"/>
      <c r="XDZ1863"/>
      <c r="XEA1863"/>
      <c r="XEB1863"/>
      <c r="XEC1863"/>
      <c r="XED1863"/>
      <c r="XEE1863"/>
      <c r="XEF1863"/>
      <c r="XEG1863"/>
      <c r="XEH1863"/>
      <c r="XEI1863"/>
      <c r="XEJ1863"/>
      <c r="XEK1863"/>
      <c r="XEL1863"/>
      <c r="XEM1863"/>
      <c r="XEN1863"/>
      <c r="XEO1863"/>
      <c r="XEP1863"/>
      <c r="XEQ1863"/>
      <c r="XER1863"/>
      <c r="XES1863"/>
      <c r="XET1863"/>
      <c r="XEU1863"/>
      <c r="XEV1863"/>
      <c r="XEW1863"/>
      <c r="XEX1863"/>
      <c r="XEY1863"/>
      <c r="XEZ1863"/>
      <c r="XFA1863"/>
      <c r="XFB1863"/>
      <c r="XFC1863"/>
    </row>
    <row r="1864" spans="1:20 16329:16383" s="38" customFormat="1" ht="29.1" customHeight="1" outlineLevel="4" x14ac:dyDescent="0.25">
      <c r="A1864" s="49" t="s">
        <v>3116</v>
      </c>
      <c r="B1864" s="50"/>
      <c r="C1864" s="50"/>
      <c r="D1864" s="3" t="s">
        <v>3117</v>
      </c>
      <c r="E1864" s="3"/>
      <c r="F1864" s="51"/>
      <c r="G1864" s="50" t="s">
        <v>134</v>
      </c>
      <c r="H1864" s="52">
        <f>1</f>
        <v>1</v>
      </c>
      <c r="I1864" s="36"/>
      <c r="J1864" s="52">
        <v>1</v>
      </c>
      <c r="K1864" s="53">
        <f>0</f>
        <v>0</v>
      </c>
      <c r="L1864" s="53">
        <f>0</f>
        <v>0</v>
      </c>
      <c r="M1864" s="53">
        <f>0</f>
        <v>0</v>
      </c>
      <c r="N1864" s="54">
        <f t="shared" si="369"/>
        <v>0</v>
      </c>
      <c r="O1864" s="54">
        <f t="shared" si="370"/>
        <v>0</v>
      </c>
      <c r="P1864" s="54">
        <f t="shared" si="371"/>
        <v>0</v>
      </c>
      <c r="Q1864" s="54">
        <f t="shared" si="372"/>
        <v>0</v>
      </c>
      <c r="R1864" s="54">
        <f t="shared" si="373"/>
        <v>0</v>
      </c>
      <c r="S1864" s="54"/>
      <c r="T1864" s="36"/>
      <c r="XDA1864"/>
      <c r="XDB1864"/>
      <c r="XDC1864"/>
      <c r="XDD1864"/>
      <c r="XDE1864"/>
      <c r="XDF1864"/>
      <c r="XDG1864"/>
      <c r="XDH1864"/>
      <c r="XDI1864"/>
      <c r="XDJ1864"/>
      <c r="XDK1864"/>
      <c r="XDL1864"/>
      <c r="XDM1864"/>
      <c r="XDN1864"/>
      <c r="XDO1864"/>
      <c r="XDP1864"/>
      <c r="XDQ1864"/>
      <c r="XDR1864"/>
      <c r="XDS1864"/>
      <c r="XDT1864"/>
      <c r="XDU1864"/>
      <c r="XDV1864"/>
      <c r="XDW1864"/>
      <c r="XDX1864"/>
      <c r="XDY1864"/>
      <c r="XDZ1864"/>
      <c r="XEA1864"/>
      <c r="XEB1864"/>
      <c r="XEC1864"/>
      <c r="XED1864"/>
      <c r="XEE1864"/>
      <c r="XEF1864"/>
      <c r="XEG1864"/>
      <c r="XEH1864"/>
      <c r="XEI1864"/>
      <c r="XEJ1864"/>
      <c r="XEK1864"/>
      <c r="XEL1864"/>
      <c r="XEM1864"/>
      <c r="XEN1864"/>
      <c r="XEO1864"/>
      <c r="XEP1864"/>
      <c r="XEQ1864"/>
      <c r="XER1864"/>
      <c r="XES1864"/>
      <c r="XET1864"/>
      <c r="XEU1864"/>
      <c r="XEV1864"/>
      <c r="XEW1864"/>
      <c r="XEX1864"/>
      <c r="XEY1864"/>
      <c r="XEZ1864"/>
      <c r="XFA1864"/>
      <c r="XFB1864"/>
      <c r="XFC1864"/>
    </row>
    <row r="1865" spans="1:20 16329:16383" s="38" customFormat="1" ht="29.1" customHeight="1" outlineLevel="4" x14ac:dyDescent="0.25">
      <c r="A1865" s="49" t="s">
        <v>3118</v>
      </c>
      <c r="B1865" s="50"/>
      <c r="C1865" s="50"/>
      <c r="D1865" s="3" t="s">
        <v>3119</v>
      </c>
      <c r="E1865" s="3"/>
      <c r="F1865" s="51"/>
      <c r="G1865" s="50" t="s">
        <v>134</v>
      </c>
      <c r="H1865" s="52">
        <f>1</f>
        <v>1</v>
      </c>
      <c r="I1865" s="36"/>
      <c r="J1865" s="52">
        <v>1</v>
      </c>
      <c r="K1865" s="53">
        <f>0</f>
        <v>0</v>
      </c>
      <c r="L1865" s="53">
        <f>0</f>
        <v>0</v>
      </c>
      <c r="M1865" s="53">
        <f>0</f>
        <v>0</v>
      </c>
      <c r="N1865" s="54">
        <f t="shared" si="369"/>
        <v>0</v>
      </c>
      <c r="O1865" s="54">
        <f t="shared" si="370"/>
        <v>0</v>
      </c>
      <c r="P1865" s="54">
        <f t="shared" si="371"/>
        <v>0</v>
      </c>
      <c r="Q1865" s="54">
        <f t="shared" si="372"/>
        <v>0</v>
      </c>
      <c r="R1865" s="54">
        <f t="shared" si="373"/>
        <v>0</v>
      </c>
      <c r="S1865" s="54"/>
      <c r="T1865" s="36"/>
      <c r="XDA1865"/>
      <c r="XDB1865"/>
      <c r="XDC1865"/>
      <c r="XDD1865"/>
      <c r="XDE1865"/>
      <c r="XDF1865"/>
      <c r="XDG1865"/>
      <c r="XDH1865"/>
      <c r="XDI1865"/>
      <c r="XDJ1865"/>
      <c r="XDK1865"/>
      <c r="XDL1865"/>
      <c r="XDM1865"/>
      <c r="XDN1865"/>
      <c r="XDO1865"/>
      <c r="XDP1865"/>
      <c r="XDQ1865"/>
      <c r="XDR1865"/>
      <c r="XDS1865"/>
      <c r="XDT1865"/>
      <c r="XDU1865"/>
      <c r="XDV1865"/>
      <c r="XDW1865"/>
      <c r="XDX1865"/>
      <c r="XDY1865"/>
      <c r="XDZ1865"/>
      <c r="XEA1865"/>
      <c r="XEB1865"/>
      <c r="XEC1865"/>
      <c r="XED1865"/>
      <c r="XEE1865"/>
      <c r="XEF1865"/>
      <c r="XEG1865"/>
      <c r="XEH1865"/>
      <c r="XEI1865"/>
      <c r="XEJ1865"/>
      <c r="XEK1865"/>
      <c r="XEL1865"/>
      <c r="XEM1865"/>
      <c r="XEN1865"/>
      <c r="XEO1865"/>
      <c r="XEP1865"/>
      <c r="XEQ1865"/>
      <c r="XER1865"/>
      <c r="XES1865"/>
      <c r="XET1865"/>
      <c r="XEU1865"/>
      <c r="XEV1865"/>
      <c r="XEW1865"/>
      <c r="XEX1865"/>
      <c r="XEY1865"/>
      <c r="XEZ1865"/>
      <c r="XFA1865"/>
      <c r="XFB1865"/>
      <c r="XFC1865"/>
    </row>
    <row r="1866" spans="1:20 16329:16383" s="38" customFormat="1" ht="29.1" customHeight="1" outlineLevel="4" x14ac:dyDescent="0.25">
      <c r="A1866" s="49" t="s">
        <v>3120</v>
      </c>
      <c r="B1866" s="50"/>
      <c r="C1866" s="50"/>
      <c r="D1866" s="3" t="s">
        <v>3121</v>
      </c>
      <c r="E1866" s="3"/>
      <c r="F1866" s="51"/>
      <c r="G1866" s="50" t="s">
        <v>134</v>
      </c>
      <c r="H1866" s="52">
        <f>1</f>
        <v>1</v>
      </c>
      <c r="I1866" s="36"/>
      <c r="J1866" s="52">
        <v>1</v>
      </c>
      <c r="K1866" s="53">
        <f>0</f>
        <v>0</v>
      </c>
      <c r="L1866" s="53">
        <f>0</f>
        <v>0</v>
      </c>
      <c r="M1866" s="53">
        <f>0</f>
        <v>0</v>
      </c>
      <c r="N1866" s="54">
        <f t="shared" si="369"/>
        <v>0</v>
      </c>
      <c r="O1866" s="54">
        <f t="shared" si="370"/>
        <v>0</v>
      </c>
      <c r="P1866" s="54">
        <f t="shared" si="371"/>
        <v>0</v>
      </c>
      <c r="Q1866" s="54">
        <f t="shared" si="372"/>
        <v>0</v>
      </c>
      <c r="R1866" s="54">
        <f t="shared" si="373"/>
        <v>0</v>
      </c>
      <c r="S1866" s="54"/>
      <c r="T1866" s="36"/>
      <c r="XDA1866"/>
      <c r="XDB1866"/>
      <c r="XDC1866"/>
      <c r="XDD1866"/>
      <c r="XDE1866"/>
      <c r="XDF1866"/>
      <c r="XDG1866"/>
      <c r="XDH1866"/>
      <c r="XDI1866"/>
      <c r="XDJ1866"/>
      <c r="XDK1866"/>
      <c r="XDL1866"/>
      <c r="XDM1866"/>
      <c r="XDN1866"/>
      <c r="XDO1866"/>
      <c r="XDP1866"/>
      <c r="XDQ1866"/>
      <c r="XDR1866"/>
      <c r="XDS1866"/>
      <c r="XDT1866"/>
      <c r="XDU1866"/>
      <c r="XDV1866"/>
      <c r="XDW1866"/>
      <c r="XDX1866"/>
      <c r="XDY1866"/>
      <c r="XDZ1866"/>
      <c r="XEA1866"/>
      <c r="XEB1866"/>
      <c r="XEC1866"/>
      <c r="XED1866"/>
      <c r="XEE1866"/>
      <c r="XEF1866"/>
      <c r="XEG1866"/>
      <c r="XEH1866"/>
      <c r="XEI1866"/>
      <c r="XEJ1866"/>
      <c r="XEK1866"/>
      <c r="XEL1866"/>
      <c r="XEM1866"/>
      <c r="XEN1866"/>
      <c r="XEO1866"/>
      <c r="XEP1866"/>
      <c r="XEQ1866"/>
      <c r="XER1866"/>
      <c r="XES1866"/>
      <c r="XET1866"/>
      <c r="XEU1866"/>
      <c r="XEV1866"/>
      <c r="XEW1866"/>
      <c r="XEX1866"/>
      <c r="XEY1866"/>
      <c r="XEZ1866"/>
      <c r="XFA1866"/>
      <c r="XFB1866"/>
      <c r="XFC1866"/>
    </row>
    <row r="1867" spans="1:20 16329:16383" s="38" customFormat="1" ht="29.1" customHeight="1" outlineLevel="4" x14ac:dyDescent="0.25">
      <c r="A1867" s="49" t="s">
        <v>3122</v>
      </c>
      <c r="B1867" s="50"/>
      <c r="C1867" s="50"/>
      <c r="D1867" s="3" t="s">
        <v>3123</v>
      </c>
      <c r="E1867" s="3"/>
      <c r="F1867" s="51"/>
      <c r="G1867" s="50" t="s">
        <v>134</v>
      </c>
      <c r="H1867" s="52">
        <f>1</f>
        <v>1</v>
      </c>
      <c r="I1867" s="36"/>
      <c r="J1867" s="52">
        <v>1</v>
      </c>
      <c r="K1867" s="53">
        <f>0</f>
        <v>0</v>
      </c>
      <c r="L1867" s="53">
        <f>0</f>
        <v>0</v>
      </c>
      <c r="M1867" s="53">
        <f>0</f>
        <v>0</v>
      </c>
      <c r="N1867" s="54">
        <f t="shared" si="369"/>
        <v>0</v>
      </c>
      <c r="O1867" s="54">
        <f t="shared" si="370"/>
        <v>0</v>
      </c>
      <c r="P1867" s="54">
        <f t="shared" si="371"/>
        <v>0</v>
      </c>
      <c r="Q1867" s="54">
        <f t="shared" si="372"/>
        <v>0</v>
      </c>
      <c r="R1867" s="54">
        <f t="shared" si="373"/>
        <v>0</v>
      </c>
      <c r="S1867" s="54"/>
      <c r="T1867" s="36"/>
      <c r="XDA1867"/>
      <c r="XDB1867"/>
      <c r="XDC1867"/>
      <c r="XDD1867"/>
      <c r="XDE1867"/>
      <c r="XDF1867"/>
      <c r="XDG1867"/>
      <c r="XDH1867"/>
      <c r="XDI1867"/>
      <c r="XDJ1867"/>
      <c r="XDK1867"/>
      <c r="XDL1867"/>
      <c r="XDM1867"/>
      <c r="XDN1867"/>
      <c r="XDO1867"/>
      <c r="XDP1867"/>
      <c r="XDQ1867"/>
      <c r="XDR1867"/>
      <c r="XDS1867"/>
      <c r="XDT1867"/>
      <c r="XDU1867"/>
      <c r="XDV1867"/>
      <c r="XDW1867"/>
      <c r="XDX1867"/>
      <c r="XDY1867"/>
      <c r="XDZ1867"/>
      <c r="XEA1867"/>
      <c r="XEB1867"/>
      <c r="XEC1867"/>
      <c r="XED1867"/>
      <c r="XEE1867"/>
      <c r="XEF1867"/>
      <c r="XEG1867"/>
      <c r="XEH1867"/>
      <c r="XEI1867"/>
      <c r="XEJ1867"/>
      <c r="XEK1867"/>
      <c r="XEL1867"/>
      <c r="XEM1867"/>
      <c r="XEN1867"/>
      <c r="XEO1867"/>
      <c r="XEP1867"/>
      <c r="XEQ1867"/>
      <c r="XER1867"/>
      <c r="XES1867"/>
      <c r="XET1867"/>
      <c r="XEU1867"/>
      <c r="XEV1867"/>
      <c r="XEW1867"/>
      <c r="XEX1867"/>
      <c r="XEY1867"/>
      <c r="XEZ1867"/>
      <c r="XFA1867"/>
      <c r="XFB1867"/>
      <c r="XFC1867"/>
    </row>
    <row r="1868" spans="1:20 16329:16383" s="38" customFormat="1" ht="29.1" customHeight="1" outlineLevel="4" x14ac:dyDescent="0.25">
      <c r="A1868" s="49" t="s">
        <v>3124</v>
      </c>
      <c r="B1868" s="50"/>
      <c r="C1868" s="50"/>
      <c r="D1868" s="3" t="s">
        <v>3125</v>
      </c>
      <c r="E1868" s="3"/>
      <c r="F1868" s="51"/>
      <c r="G1868" s="50" t="s">
        <v>134</v>
      </c>
      <c r="H1868" s="52">
        <f>1</f>
        <v>1</v>
      </c>
      <c r="I1868" s="36"/>
      <c r="J1868" s="52">
        <v>1</v>
      </c>
      <c r="K1868" s="53">
        <f>0</f>
        <v>0</v>
      </c>
      <c r="L1868" s="53">
        <f>0</f>
        <v>0</v>
      </c>
      <c r="M1868" s="53">
        <f>0</f>
        <v>0</v>
      </c>
      <c r="N1868" s="54">
        <f t="shared" si="369"/>
        <v>0</v>
      </c>
      <c r="O1868" s="54">
        <f t="shared" si="370"/>
        <v>0</v>
      </c>
      <c r="P1868" s="54">
        <f t="shared" si="371"/>
        <v>0</v>
      </c>
      <c r="Q1868" s="54">
        <f t="shared" si="372"/>
        <v>0</v>
      </c>
      <c r="R1868" s="54">
        <f t="shared" si="373"/>
        <v>0</v>
      </c>
      <c r="S1868" s="54"/>
      <c r="T1868" s="36"/>
      <c r="XDA1868"/>
      <c r="XDB1868"/>
      <c r="XDC1868"/>
      <c r="XDD1868"/>
      <c r="XDE1868"/>
      <c r="XDF1868"/>
      <c r="XDG1868"/>
      <c r="XDH1868"/>
      <c r="XDI1868"/>
      <c r="XDJ1868"/>
      <c r="XDK1868"/>
      <c r="XDL1868"/>
      <c r="XDM1868"/>
      <c r="XDN1868"/>
      <c r="XDO1868"/>
      <c r="XDP1868"/>
      <c r="XDQ1868"/>
      <c r="XDR1868"/>
      <c r="XDS1868"/>
      <c r="XDT1868"/>
      <c r="XDU1868"/>
      <c r="XDV1868"/>
      <c r="XDW1868"/>
      <c r="XDX1868"/>
      <c r="XDY1868"/>
      <c r="XDZ1868"/>
      <c r="XEA1868"/>
      <c r="XEB1868"/>
      <c r="XEC1868"/>
      <c r="XED1868"/>
      <c r="XEE1868"/>
      <c r="XEF1868"/>
      <c r="XEG1868"/>
      <c r="XEH1868"/>
      <c r="XEI1868"/>
      <c r="XEJ1868"/>
      <c r="XEK1868"/>
      <c r="XEL1868"/>
      <c r="XEM1868"/>
      <c r="XEN1868"/>
      <c r="XEO1868"/>
      <c r="XEP1868"/>
      <c r="XEQ1868"/>
      <c r="XER1868"/>
      <c r="XES1868"/>
      <c r="XET1868"/>
      <c r="XEU1868"/>
      <c r="XEV1868"/>
      <c r="XEW1868"/>
      <c r="XEX1868"/>
      <c r="XEY1868"/>
      <c r="XEZ1868"/>
      <c r="XFA1868"/>
      <c r="XFB1868"/>
      <c r="XFC1868"/>
    </row>
    <row r="1869" spans="1:20 16329:16383" s="38" customFormat="1" ht="29.1" customHeight="1" outlineLevel="4" x14ac:dyDescent="0.25">
      <c r="A1869" s="49" t="s">
        <v>3126</v>
      </c>
      <c r="B1869" s="50"/>
      <c r="C1869" s="50"/>
      <c r="D1869" s="3" t="s">
        <v>3127</v>
      </c>
      <c r="E1869" s="3"/>
      <c r="F1869" s="51"/>
      <c r="G1869" s="50" t="s">
        <v>134</v>
      </c>
      <c r="H1869" s="52">
        <f>1</f>
        <v>1</v>
      </c>
      <c r="I1869" s="36"/>
      <c r="J1869" s="52">
        <v>1</v>
      </c>
      <c r="K1869" s="53">
        <f>0</f>
        <v>0</v>
      </c>
      <c r="L1869" s="53">
        <f>0</f>
        <v>0</v>
      </c>
      <c r="M1869" s="53">
        <f>0</f>
        <v>0</v>
      </c>
      <c r="N1869" s="54">
        <f t="shared" si="369"/>
        <v>0</v>
      </c>
      <c r="O1869" s="54">
        <f t="shared" si="370"/>
        <v>0</v>
      </c>
      <c r="P1869" s="54">
        <f t="shared" si="371"/>
        <v>0</v>
      </c>
      <c r="Q1869" s="54">
        <f t="shared" si="372"/>
        <v>0</v>
      </c>
      <c r="R1869" s="54">
        <f t="shared" si="373"/>
        <v>0</v>
      </c>
      <c r="S1869" s="54"/>
      <c r="T1869" s="36"/>
      <c r="XDA1869"/>
      <c r="XDB1869"/>
      <c r="XDC1869"/>
      <c r="XDD1869"/>
      <c r="XDE1869"/>
      <c r="XDF1869"/>
      <c r="XDG1869"/>
      <c r="XDH1869"/>
      <c r="XDI1869"/>
      <c r="XDJ1869"/>
      <c r="XDK1869"/>
      <c r="XDL1869"/>
      <c r="XDM1869"/>
      <c r="XDN1869"/>
      <c r="XDO1869"/>
      <c r="XDP1869"/>
      <c r="XDQ1869"/>
      <c r="XDR1869"/>
      <c r="XDS1869"/>
      <c r="XDT1869"/>
      <c r="XDU1869"/>
      <c r="XDV1869"/>
      <c r="XDW1869"/>
      <c r="XDX1869"/>
      <c r="XDY1869"/>
      <c r="XDZ1869"/>
      <c r="XEA1869"/>
      <c r="XEB1869"/>
      <c r="XEC1869"/>
      <c r="XED1869"/>
      <c r="XEE1869"/>
      <c r="XEF1869"/>
      <c r="XEG1869"/>
      <c r="XEH1869"/>
      <c r="XEI1869"/>
      <c r="XEJ1869"/>
      <c r="XEK1869"/>
      <c r="XEL1869"/>
      <c r="XEM1869"/>
      <c r="XEN1869"/>
      <c r="XEO1869"/>
      <c r="XEP1869"/>
      <c r="XEQ1869"/>
      <c r="XER1869"/>
      <c r="XES1869"/>
      <c r="XET1869"/>
      <c r="XEU1869"/>
      <c r="XEV1869"/>
      <c r="XEW1869"/>
      <c r="XEX1869"/>
      <c r="XEY1869"/>
      <c r="XEZ1869"/>
      <c r="XFA1869"/>
      <c r="XFB1869"/>
      <c r="XFC1869"/>
    </row>
    <row r="1870" spans="1:20 16329:16383" s="38" customFormat="1" ht="29.1" customHeight="1" outlineLevel="4" x14ac:dyDescent="0.25">
      <c r="A1870" s="49" t="s">
        <v>3128</v>
      </c>
      <c r="B1870" s="50"/>
      <c r="C1870" s="50"/>
      <c r="D1870" s="3" t="s">
        <v>3129</v>
      </c>
      <c r="E1870" s="3"/>
      <c r="F1870" s="51"/>
      <c r="G1870" s="50" t="s">
        <v>134</v>
      </c>
      <c r="H1870" s="52">
        <f>1</f>
        <v>1</v>
      </c>
      <c r="I1870" s="36"/>
      <c r="J1870" s="52">
        <v>1</v>
      </c>
      <c r="K1870" s="53">
        <f>0</f>
        <v>0</v>
      </c>
      <c r="L1870" s="53">
        <f>0</f>
        <v>0</v>
      </c>
      <c r="M1870" s="53">
        <f>0</f>
        <v>0</v>
      </c>
      <c r="N1870" s="54">
        <f t="shared" si="369"/>
        <v>0</v>
      </c>
      <c r="O1870" s="54">
        <f t="shared" si="370"/>
        <v>0</v>
      </c>
      <c r="P1870" s="54">
        <f t="shared" si="371"/>
        <v>0</v>
      </c>
      <c r="Q1870" s="54">
        <f t="shared" si="372"/>
        <v>0</v>
      </c>
      <c r="R1870" s="54">
        <f t="shared" si="373"/>
        <v>0</v>
      </c>
      <c r="S1870" s="54"/>
      <c r="T1870" s="36"/>
      <c r="XDA1870"/>
      <c r="XDB1870"/>
      <c r="XDC1870"/>
      <c r="XDD1870"/>
      <c r="XDE1870"/>
      <c r="XDF1870"/>
      <c r="XDG1870"/>
      <c r="XDH1870"/>
      <c r="XDI1870"/>
      <c r="XDJ1870"/>
      <c r="XDK1870"/>
      <c r="XDL1870"/>
      <c r="XDM1870"/>
      <c r="XDN1870"/>
      <c r="XDO1870"/>
      <c r="XDP1870"/>
      <c r="XDQ1870"/>
      <c r="XDR1870"/>
      <c r="XDS1870"/>
      <c r="XDT1870"/>
      <c r="XDU1870"/>
      <c r="XDV1870"/>
      <c r="XDW1870"/>
      <c r="XDX1870"/>
      <c r="XDY1870"/>
      <c r="XDZ1870"/>
      <c r="XEA1870"/>
      <c r="XEB1870"/>
      <c r="XEC1870"/>
      <c r="XED1870"/>
      <c r="XEE1870"/>
      <c r="XEF1870"/>
      <c r="XEG1870"/>
      <c r="XEH1870"/>
      <c r="XEI1870"/>
      <c r="XEJ1870"/>
      <c r="XEK1870"/>
      <c r="XEL1870"/>
      <c r="XEM1870"/>
      <c r="XEN1870"/>
      <c r="XEO1870"/>
      <c r="XEP1870"/>
      <c r="XEQ1870"/>
      <c r="XER1870"/>
      <c r="XES1870"/>
      <c r="XET1870"/>
      <c r="XEU1870"/>
      <c r="XEV1870"/>
      <c r="XEW1870"/>
      <c r="XEX1870"/>
      <c r="XEY1870"/>
      <c r="XEZ1870"/>
      <c r="XFA1870"/>
      <c r="XFB1870"/>
      <c r="XFC1870"/>
    </row>
    <row r="1871" spans="1:20 16329:16383" s="38" customFormat="1" ht="29.1" customHeight="1" outlineLevel="3" x14ac:dyDescent="0.25">
      <c r="A1871" s="55" t="s">
        <v>3130</v>
      </c>
      <c r="B1871" s="56" t="s">
        <v>3131</v>
      </c>
      <c r="C1871" s="56"/>
      <c r="D1871" s="2" t="s">
        <v>3132</v>
      </c>
      <c r="E1871" s="2"/>
      <c r="F1871" s="57"/>
      <c r="G1871" s="56"/>
      <c r="H1871" s="58"/>
      <c r="I1871" s="36"/>
      <c r="J1871" s="58"/>
      <c r="K1871" s="59"/>
      <c r="L1871" s="59"/>
      <c r="M1871" s="59"/>
      <c r="N1871" s="59"/>
      <c r="O1871" s="59">
        <f>O1872</f>
        <v>0</v>
      </c>
      <c r="P1871" s="59">
        <f>P1872</f>
        <v>0</v>
      </c>
      <c r="Q1871" s="59">
        <f>Q1872</f>
        <v>0</v>
      </c>
      <c r="R1871" s="59">
        <f>R1872</f>
        <v>0</v>
      </c>
      <c r="S1871" s="59"/>
      <c r="T1871" s="36"/>
      <c r="XDA1871"/>
      <c r="XDB1871"/>
      <c r="XDC1871"/>
      <c r="XDD1871"/>
      <c r="XDE1871"/>
      <c r="XDF1871"/>
      <c r="XDG1871"/>
      <c r="XDH1871"/>
      <c r="XDI1871"/>
      <c r="XDJ1871"/>
      <c r="XDK1871"/>
      <c r="XDL1871"/>
      <c r="XDM1871"/>
      <c r="XDN1871"/>
      <c r="XDO1871"/>
      <c r="XDP1871"/>
      <c r="XDQ1871"/>
      <c r="XDR1871"/>
      <c r="XDS1871"/>
      <c r="XDT1871"/>
      <c r="XDU1871"/>
      <c r="XDV1871"/>
      <c r="XDW1871"/>
      <c r="XDX1871"/>
      <c r="XDY1871"/>
      <c r="XDZ1871"/>
      <c r="XEA1871"/>
      <c r="XEB1871"/>
      <c r="XEC1871"/>
      <c r="XED1871"/>
      <c r="XEE1871"/>
      <c r="XEF1871"/>
      <c r="XEG1871"/>
      <c r="XEH1871"/>
      <c r="XEI1871"/>
      <c r="XEJ1871"/>
      <c r="XEK1871"/>
      <c r="XEL1871"/>
      <c r="XEM1871"/>
      <c r="XEN1871"/>
      <c r="XEO1871"/>
      <c r="XEP1871"/>
      <c r="XEQ1871"/>
      <c r="XER1871"/>
      <c r="XES1871"/>
      <c r="XET1871"/>
      <c r="XEU1871"/>
      <c r="XEV1871"/>
      <c r="XEW1871"/>
      <c r="XEX1871"/>
      <c r="XEY1871"/>
      <c r="XEZ1871"/>
      <c r="XFA1871"/>
      <c r="XFB1871"/>
      <c r="XFC1871"/>
    </row>
    <row r="1872" spans="1:20 16329:16383" s="38" customFormat="1" ht="29.1" customHeight="1" outlineLevel="4" x14ac:dyDescent="0.25">
      <c r="A1872" s="49" t="s">
        <v>3133</v>
      </c>
      <c r="B1872" s="50"/>
      <c r="C1872" s="50"/>
      <c r="D1872" s="3" t="s">
        <v>3134</v>
      </c>
      <c r="E1872" s="3"/>
      <c r="F1872" s="51"/>
      <c r="G1872" s="50" t="s">
        <v>134</v>
      </c>
      <c r="H1872" s="52">
        <f>1</f>
        <v>1</v>
      </c>
      <c r="I1872" s="36"/>
      <c r="J1872" s="52">
        <v>1</v>
      </c>
      <c r="K1872" s="53">
        <f>0</f>
        <v>0</v>
      </c>
      <c r="L1872" s="53">
        <f>0</f>
        <v>0</v>
      </c>
      <c r="M1872" s="53">
        <f>0</f>
        <v>0</v>
      </c>
      <c r="N1872" s="54">
        <f>SUM(K1872:M1872)</f>
        <v>0</v>
      </c>
      <c r="O1872" s="54">
        <f>ROUND((H1872*K1872),2)</f>
        <v>0</v>
      </c>
      <c r="P1872" s="54">
        <f>ROUND((H1872*L1872),2)</f>
        <v>0</v>
      </c>
      <c r="Q1872" s="54">
        <f>ROUND((H1872*M1872),2)</f>
        <v>0</v>
      </c>
      <c r="R1872" s="54">
        <f>ROUND((H1872*N1872),2)</f>
        <v>0</v>
      </c>
      <c r="S1872" s="54"/>
      <c r="T1872" s="36"/>
      <c r="XDA1872"/>
      <c r="XDB1872"/>
      <c r="XDC1872"/>
      <c r="XDD1872"/>
      <c r="XDE1872"/>
      <c r="XDF1872"/>
      <c r="XDG1872"/>
      <c r="XDH1872"/>
      <c r="XDI1872"/>
      <c r="XDJ1872"/>
      <c r="XDK1872"/>
      <c r="XDL1872"/>
      <c r="XDM1872"/>
      <c r="XDN1872"/>
      <c r="XDO1872"/>
      <c r="XDP1872"/>
      <c r="XDQ1872"/>
      <c r="XDR1872"/>
      <c r="XDS1872"/>
      <c r="XDT1872"/>
      <c r="XDU1872"/>
      <c r="XDV1872"/>
      <c r="XDW1872"/>
      <c r="XDX1872"/>
      <c r="XDY1872"/>
      <c r="XDZ1872"/>
      <c r="XEA1872"/>
      <c r="XEB1872"/>
      <c r="XEC1872"/>
      <c r="XED1872"/>
      <c r="XEE1872"/>
      <c r="XEF1872"/>
      <c r="XEG1872"/>
      <c r="XEH1872"/>
      <c r="XEI1872"/>
      <c r="XEJ1872"/>
      <c r="XEK1872"/>
      <c r="XEL1872"/>
      <c r="XEM1872"/>
      <c r="XEN1872"/>
      <c r="XEO1872"/>
      <c r="XEP1872"/>
      <c r="XEQ1872"/>
      <c r="XER1872"/>
      <c r="XES1872"/>
      <c r="XET1872"/>
      <c r="XEU1872"/>
      <c r="XEV1872"/>
      <c r="XEW1872"/>
      <c r="XEX1872"/>
      <c r="XEY1872"/>
      <c r="XEZ1872"/>
      <c r="XFA1872"/>
      <c r="XFB1872"/>
      <c r="XFC1872"/>
    </row>
    <row r="1873" spans="1:20 16329:16383" s="38" customFormat="1" ht="29.1" customHeight="1" outlineLevel="3" x14ac:dyDescent="0.25">
      <c r="A1873" s="55" t="s">
        <v>3135</v>
      </c>
      <c r="B1873" s="56" t="s">
        <v>3136</v>
      </c>
      <c r="C1873" s="56"/>
      <c r="D1873" s="2" t="s">
        <v>3137</v>
      </c>
      <c r="E1873" s="2"/>
      <c r="F1873" s="57"/>
      <c r="G1873" s="56"/>
      <c r="H1873" s="58"/>
      <c r="I1873" s="36"/>
      <c r="J1873" s="58"/>
      <c r="K1873" s="59"/>
      <c r="L1873" s="59"/>
      <c r="M1873" s="59"/>
      <c r="N1873" s="59"/>
      <c r="O1873" s="59">
        <f>O1874+O1880+O1886+O1894+O1901</f>
        <v>0</v>
      </c>
      <c r="P1873" s="59">
        <f>P1874+P1880+P1886+P1894+P1901</f>
        <v>0</v>
      </c>
      <c r="Q1873" s="59">
        <f>Q1874+Q1880+Q1886+Q1894+Q1901</f>
        <v>0</v>
      </c>
      <c r="R1873" s="59">
        <f>R1874+R1880+R1886+R1894+R1901</f>
        <v>0</v>
      </c>
      <c r="S1873" s="59"/>
      <c r="T1873" s="36"/>
      <c r="XDA1873"/>
      <c r="XDB1873"/>
      <c r="XDC1873"/>
      <c r="XDD1873"/>
      <c r="XDE1873"/>
      <c r="XDF1873"/>
      <c r="XDG1873"/>
      <c r="XDH1873"/>
      <c r="XDI1873"/>
      <c r="XDJ1873"/>
      <c r="XDK1873"/>
      <c r="XDL1873"/>
      <c r="XDM1873"/>
      <c r="XDN1873"/>
      <c r="XDO1873"/>
      <c r="XDP1873"/>
      <c r="XDQ1873"/>
      <c r="XDR1873"/>
      <c r="XDS1873"/>
      <c r="XDT1873"/>
      <c r="XDU1873"/>
      <c r="XDV1873"/>
      <c r="XDW1873"/>
      <c r="XDX1873"/>
      <c r="XDY1873"/>
      <c r="XDZ1873"/>
      <c r="XEA1873"/>
      <c r="XEB1873"/>
      <c r="XEC1873"/>
      <c r="XED1873"/>
      <c r="XEE1873"/>
      <c r="XEF1873"/>
      <c r="XEG1873"/>
      <c r="XEH1873"/>
      <c r="XEI1873"/>
      <c r="XEJ1873"/>
      <c r="XEK1873"/>
      <c r="XEL1873"/>
      <c r="XEM1873"/>
      <c r="XEN1873"/>
      <c r="XEO1873"/>
      <c r="XEP1873"/>
      <c r="XEQ1873"/>
      <c r="XER1873"/>
      <c r="XES1873"/>
      <c r="XET1873"/>
      <c r="XEU1873"/>
      <c r="XEV1873"/>
      <c r="XEW1873"/>
      <c r="XEX1873"/>
      <c r="XEY1873"/>
      <c r="XEZ1873"/>
      <c r="XFA1873"/>
      <c r="XFB1873"/>
      <c r="XFC1873"/>
    </row>
    <row r="1874" spans="1:20 16329:16383" s="38" customFormat="1" ht="29.1" customHeight="1" outlineLevel="4" x14ac:dyDescent="0.25">
      <c r="A1874" s="60" t="s">
        <v>3138</v>
      </c>
      <c r="B1874" s="61" t="s">
        <v>3139</v>
      </c>
      <c r="C1874" s="61"/>
      <c r="D1874" s="1" t="s">
        <v>3140</v>
      </c>
      <c r="E1874" s="1"/>
      <c r="F1874" s="62"/>
      <c r="G1874" s="61"/>
      <c r="H1874" s="63"/>
      <c r="I1874" s="36"/>
      <c r="J1874" s="63"/>
      <c r="K1874" s="64"/>
      <c r="L1874" s="64"/>
      <c r="M1874" s="64"/>
      <c r="N1874" s="64"/>
      <c r="O1874" s="64">
        <f>SUM(O1875:O1879)</f>
        <v>0</v>
      </c>
      <c r="P1874" s="64">
        <f>SUM(P1875:P1879)</f>
        <v>0</v>
      </c>
      <c r="Q1874" s="64">
        <f>SUM(Q1875:Q1879)</f>
        <v>0</v>
      </c>
      <c r="R1874" s="64">
        <f>SUM(R1875:R1879)</f>
        <v>0</v>
      </c>
      <c r="S1874" s="64"/>
      <c r="T1874" s="36"/>
      <c r="XDA1874"/>
      <c r="XDB1874"/>
      <c r="XDC1874"/>
      <c r="XDD1874"/>
      <c r="XDE1874"/>
      <c r="XDF1874"/>
      <c r="XDG1874"/>
      <c r="XDH1874"/>
      <c r="XDI1874"/>
      <c r="XDJ1874"/>
      <c r="XDK1874"/>
      <c r="XDL1874"/>
      <c r="XDM1874"/>
      <c r="XDN1874"/>
      <c r="XDO1874"/>
      <c r="XDP1874"/>
      <c r="XDQ1874"/>
      <c r="XDR1874"/>
      <c r="XDS1874"/>
      <c r="XDT1874"/>
      <c r="XDU1874"/>
      <c r="XDV1874"/>
      <c r="XDW1874"/>
      <c r="XDX1874"/>
      <c r="XDY1874"/>
      <c r="XDZ1874"/>
      <c r="XEA1874"/>
      <c r="XEB1874"/>
      <c r="XEC1874"/>
      <c r="XED1874"/>
      <c r="XEE1874"/>
      <c r="XEF1874"/>
      <c r="XEG1874"/>
      <c r="XEH1874"/>
      <c r="XEI1874"/>
      <c r="XEJ1874"/>
      <c r="XEK1874"/>
      <c r="XEL1874"/>
      <c r="XEM1874"/>
      <c r="XEN1874"/>
      <c r="XEO1874"/>
      <c r="XEP1874"/>
      <c r="XEQ1874"/>
      <c r="XER1874"/>
      <c r="XES1874"/>
      <c r="XET1874"/>
      <c r="XEU1874"/>
      <c r="XEV1874"/>
      <c r="XEW1874"/>
      <c r="XEX1874"/>
      <c r="XEY1874"/>
      <c r="XEZ1874"/>
      <c r="XFA1874"/>
      <c r="XFB1874"/>
      <c r="XFC1874"/>
    </row>
    <row r="1875" spans="1:20 16329:16383" s="38" customFormat="1" ht="29.1" customHeight="1" outlineLevel="5" x14ac:dyDescent="0.25">
      <c r="A1875" s="49" t="s">
        <v>3141</v>
      </c>
      <c r="B1875" s="50"/>
      <c r="C1875" s="50"/>
      <c r="D1875" s="3" t="s">
        <v>3100</v>
      </c>
      <c r="E1875" s="3"/>
      <c r="F1875" s="51"/>
      <c r="G1875" s="50" t="s">
        <v>134</v>
      </c>
      <c r="H1875" s="52">
        <f>1</f>
        <v>1</v>
      </c>
      <c r="I1875" s="36"/>
      <c r="J1875" s="52">
        <v>1</v>
      </c>
      <c r="K1875" s="53">
        <f>0</f>
        <v>0</v>
      </c>
      <c r="L1875" s="53">
        <f>0</f>
        <v>0</v>
      </c>
      <c r="M1875" s="53">
        <f>0</f>
        <v>0</v>
      </c>
      <c r="N1875" s="54">
        <f>SUM(K1875:M1875)</f>
        <v>0</v>
      </c>
      <c r="O1875" s="54">
        <f>ROUND((H1875*K1875),2)</f>
        <v>0</v>
      </c>
      <c r="P1875" s="54">
        <f>ROUND((H1875*L1875),2)</f>
        <v>0</v>
      </c>
      <c r="Q1875" s="54">
        <f>ROUND((H1875*M1875),2)</f>
        <v>0</v>
      </c>
      <c r="R1875" s="54">
        <f>ROUND((H1875*N1875),2)</f>
        <v>0</v>
      </c>
      <c r="S1875" s="54"/>
      <c r="T1875" s="36"/>
      <c r="XDA1875"/>
      <c r="XDB1875"/>
      <c r="XDC1875"/>
      <c r="XDD1875"/>
      <c r="XDE1875"/>
      <c r="XDF1875"/>
      <c r="XDG1875"/>
      <c r="XDH1875"/>
      <c r="XDI1875"/>
      <c r="XDJ1875"/>
      <c r="XDK1875"/>
      <c r="XDL1875"/>
      <c r="XDM1875"/>
      <c r="XDN1875"/>
      <c r="XDO1875"/>
      <c r="XDP1875"/>
      <c r="XDQ1875"/>
      <c r="XDR1875"/>
      <c r="XDS1875"/>
      <c r="XDT1875"/>
      <c r="XDU1875"/>
      <c r="XDV1875"/>
      <c r="XDW1875"/>
      <c r="XDX1875"/>
      <c r="XDY1875"/>
      <c r="XDZ1875"/>
      <c r="XEA1875"/>
      <c r="XEB1875"/>
      <c r="XEC1875"/>
      <c r="XED1875"/>
      <c r="XEE1875"/>
      <c r="XEF1875"/>
      <c r="XEG1875"/>
      <c r="XEH1875"/>
      <c r="XEI1875"/>
      <c r="XEJ1875"/>
      <c r="XEK1875"/>
      <c r="XEL1875"/>
      <c r="XEM1875"/>
      <c r="XEN1875"/>
      <c r="XEO1875"/>
      <c r="XEP1875"/>
      <c r="XEQ1875"/>
      <c r="XER1875"/>
      <c r="XES1875"/>
      <c r="XET1875"/>
      <c r="XEU1875"/>
      <c r="XEV1875"/>
      <c r="XEW1875"/>
      <c r="XEX1875"/>
      <c r="XEY1875"/>
      <c r="XEZ1875"/>
      <c r="XFA1875"/>
      <c r="XFB1875"/>
      <c r="XFC1875"/>
    </row>
    <row r="1876" spans="1:20 16329:16383" s="38" customFormat="1" ht="29.1" customHeight="1" outlineLevel="5" x14ac:dyDescent="0.25">
      <c r="A1876" s="49" t="s">
        <v>3142</v>
      </c>
      <c r="B1876" s="50"/>
      <c r="C1876" s="50"/>
      <c r="D1876" s="3" t="s">
        <v>3143</v>
      </c>
      <c r="E1876" s="3"/>
      <c r="F1876" s="51"/>
      <c r="G1876" s="50" t="s">
        <v>134</v>
      </c>
      <c r="H1876" s="52">
        <f>1</f>
        <v>1</v>
      </c>
      <c r="I1876" s="36"/>
      <c r="J1876" s="52">
        <v>1</v>
      </c>
      <c r="K1876" s="53">
        <f>0</f>
        <v>0</v>
      </c>
      <c r="L1876" s="53">
        <f>0</f>
        <v>0</v>
      </c>
      <c r="M1876" s="53">
        <f>0</f>
        <v>0</v>
      </c>
      <c r="N1876" s="54">
        <f>SUM(K1876:M1876)</f>
        <v>0</v>
      </c>
      <c r="O1876" s="54">
        <f>ROUND((H1876*K1876),2)</f>
        <v>0</v>
      </c>
      <c r="P1876" s="54">
        <f>ROUND((H1876*L1876),2)</f>
        <v>0</v>
      </c>
      <c r="Q1876" s="54">
        <f>ROUND((H1876*M1876),2)</f>
        <v>0</v>
      </c>
      <c r="R1876" s="54">
        <f>ROUND((H1876*N1876),2)</f>
        <v>0</v>
      </c>
      <c r="S1876" s="54"/>
      <c r="T1876" s="36"/>
      <c r="XDA1876"/>
      <c r="XDB1876"/>
      <c r="XDC1876"/>
      <c r="XDD1876"/>
      <c r="XDE1876"/>
      <c r="XDF1876"/>
      <c r="XDG1876"/>
      <c r="XDH1876"/>
      <c r="XDI1876"/>
      <c r="XDJ1876"/>
      <c r="XDK1876"/>
      <c r="XDL1876"/>
      <c r="XDM1876"/>
      <c r="XDN1876"/>
      <c r="XDO1876"/>
      <c r="XDP1876"/>
      <c r="XDQ1876"/>
      <c r="XDR1876"/>
      <c r="XDS1876"/>
      <c r="XDT1876"/>
      <c r="XDU1876"/>
      <c r="XDV1876"/>
      <c r="XDW1876"/>
      <c r="XDX1876"/>
      <c r="XDY1876"/>
      <c r="XDZ1876"/>
      <c r="XEA1876"/>
      <c r="XEB1876"/>
      <c r="XEC1876"/>
      <c r="XED1876"/>
      <c r="XEE1876"/>
      <c r="XEF1876"/>
      <c r="XEG1876"/>
      <c r="XEH1876"/>
      <c r="XEI1876"/>
      <c r="XEJ1876"/>
      <c r="XEK1876"/>
      <c r="XEL1876"/>
      <c r="XEM1876"/>
      <c r="XEN1876"/>
      <c r="XEO1876"/>
      <c r="XEP1876"/>
      <c r="XEQ1876"/>
      <c r="XER1876"/>
      <c r="XES1876"/>
      <c r="XET1876"/>
      <c r="XEU1876"/>
      <c r="XEV1876"/>
      <c r="XEW1876"/>
      <c r="XEX1876"/>
      <c r="XEY1876"/>
      <c r="XEZ1876"/>
      <c r="XFA1876"/>
      <c r="XFB1876"/>
      <c r="XFC1876"/>
    </row>
    <row r="1877" spans="1:20 16329:16383" s="38" customFormat="1" ht="29.1" customHeight="1" outlineLevel="5" x14ac:dyDescent="0.25">
      <c r="A1877" s="49" t="s">
        <v>3144</v>
      </c>
      <c r="B1877" s="50"/>
      <c r="C1877" s="50"/>
      <c r="D1877" s="3" t="s">
        <v>3104</v>
      </c>
      <c r="E1877" s="3"/>
      <c r="F1877" s="51"/>
      <c r="G1877" s="50" t="s">
        <v>134</v>
      </c>
      <c r="H1877" s="52">
        <f>1</f>
        <v>1</v>
      </c>
      <c r="I1877" s="36"/>
      <c r="J1877" s="52">
        <v>1</v>
      </c>
      <c r="K1877" s="53">
        <f>0</f>
        <v>0</v>
      </c>
      <c r="L1877" s="53">
        <f>0</f>
        <v>0</v>
      </c>
      <c r="M1877" s="53">
        <f>0</f>
        <v>0</v>
      </c>
      <c r="N1877" s="54">
        <f>SUM(K1877:M1877)</f>
        <v>0</v>
      </c>
      <c r="O1877" s="54">
        <f>ROUND((H1877*K1877),2)</f>
        <v>0</v>
      </c>
      <c r="P1877" s="54">
        <f>ROUND((H1877*L1877),2)</f>
        <v>0</v>
      </c>
      <c r="Q1877" s="54">
        <f>ROUND((H1877*M1877),2)</f>
        <v>0</v>
      </c>
      <c r="R1877" s="54">
        <f>ROUND((H1877*N1877),2)</f>
        <v>0</v>
      </c>
      <c r="S1877" s="54"/>
      <c r="T1877" s="36"/>
      <c r="XDA1877"/>
      <c r="XDB1877"/>
      <c r="XDC1877"/>
      <c r="XDD1877"/>
      <c r="XDE1877"/>
      <c r="XDF1877"/>
      <c r="XDG1877"/>
      <c r="XDH1877"/>
      <c r="XDI1877"/>
      <c r="XDJ1877"/>
      <c r="XDK1877"/>
      <c r="XDL1877"/>
      <c r="XDM1877"/>
      <c r="XDN1877"/>
      <c r="XDO1877"/>
      <c r="XDP1877"/>
      <c r="XDQ1877"/>
      <c r="XDR1877"/>
      <c r="XDS1877"/>
      <c r="XDT1877"/>
      <c r="XDU1877"/>
      <c r="XDV1877"/>
      <c r="XDW1877"/>
      <c r="XDX1877"/>
      <c r="XDY1877"/>
      <c r="XDZ1877"/>
      <c r="XEA1877"/>
      <c r="XEB1877"/>
      <c r="XEC1877"/>
      <c r="XED1877"/>
      <c r="XEE1877"/>
      <c r="XEF1877"/>
      <c r="XEG1877"/>
      <c r="XEH1877"/>
      <c r="XEI1877"/>
      <c r="XEJ1877"/>
      <c r="XEK1877"/>
      <c r="XEL1877"/>
      <c r="XEM1877"/>
      <c r="XEN1877"/>
      <c r="XEO1877"/>
      <c r="XEP1877"/>
      <c r="XEQ1877"/>
      <c r="XER1877"/>
      <c r="XES1877"/>
      <c r="XET1877"/>
      <c r="XEU1877"/>
      <c r="XEV1877"/>
      <c r="XEW1877"/>
      <c r="XEX1877"/>
      <c r="XEY1877"/>
      <c r="XEZ1877"/>
      <c r="XFA1877"/>
      <c r="XFB1877"/>
      <c r="XFC1877"/>
    </row>
    <row r="1878" spans="1:20 16329:16383" s="38" customFormat="1" ht="29.1" customHeight="1" outlineLevel="5" x14ac:dyDescent="0.25">
      <c r="A1878" s="49" t="s">
        <v>3145</v>
      </c>
      <c r="B1878" s="50"/>
      <c r="C1878" s="50"/>
      <c r="D1878" s="3" t="s">
        <v>3146</v>
      </c>
      <c r="E1878" s="3"/>
      <c r="F1878" s="51"/>
      <c r="G1878" s="50" t="s">
        <v>134</v>
      </c>
      <c r="H1878" s="52">
        <f>1</f>
        <v>1</v>
      </c>
      <c r="I1878" s="36"/>
      <c r="J1878" s="52">
        <v>1</v>
      </c>
      <c r="K1878" s="53">
        <f>0</f>
        <v>0</v>
      </c>
      <c r="L1878" s="53">
        <f>0</f>
        <v>0</v>
      </c>
      <c r="M1878" s="53">
        <f>0</f>
        <v>0</v>
      </c>
      <c r="N1878" s="54">
        <f>SUM(K1878:M1878)</f>
        <v>0</v>
      </c>
      <c r="O1878" s="54">
        <f>ROUND((H1878*K1878),2)</f>
        <v>0</v>
      </c>
      <c r="P1878" s="54">
        <f>ROUND((H1878*L1878),2)</f>
        <v>0</v>
      </c>
      <c r="Q1878" s="54">
        <f>ROUND((H1878*M1878),2)</f>
        <v>0</v>
      </c>
      <c r="R1878" s="54">
        <f>ROUND((H1878*N1878),2)</f>
        <v>0</v>
      </c>
      <c r="S1878" s="54"/>
      <c r="T1878" s="36"/>
      <c r="XDA1878"/>
      <c r="XDB1878"/>
      <c r="XDC1878"/>
      <c r="XDD1878"/>
      <c r="XDE1878"/>
      <c r="XDF1878"/>
      <c r="XDG1878"/>
      <c r="XDH1878"/>
      <c r="XDI1878"/>
      <c r="XDJ1878"/>
      <c r="XDK1878"/>
      <c r="XDL1878"/>
      <c r="XDM1878"/>
      <c r="XDN1878"/>
      <c r="XDO1878"/>
      <c r="XDP1878"/>
      <c r="XDQ1878"/>
      <c r="XDR1878"/>
      <c r="XDS1878"/>
      <c r="XDT1878"/>
      <c r="XDU1878"/>
      <c r="XDV1878"/>
      <c r="XDW1878"/>
      <c r="XDX1878"/>
      <c r="XDY1878"/>
      <c r="XDZ1878"/>
      <c r="XEA1878"/>
      <c r="XEB1878"/>
      <c r="XEC1878"/>
      <c r="XED1878"/>
      <c r="XEE1878"/>
      <c r="XEF1878"/>
      <c r="XEG1878"/>
      <c r="XEH1878"/>
      <c r="XEI1878"/>
      <c r="XEJ1878"/>
      <c r="XEK1878"/>
      <c r="XEL1878"/>
      <c r="XEM1878"/>
      <c r="XEN1878"/>
      <c r="XEO1878"/>
      <c r="XEP1878"/>
      <c r="XEQ1878"/>
      <c r="XER1878"/>
      <c r="XES1878"/>
      <c r="XET1878"/>
      <c r="XEU1878"/>
      <c r="XEV1878"/>
      <c r="XEW1878"/>
      <c r="XEX1878"/>
      <c r="XEY1878"/>
      <c r="XEZ1878"/>
      <c r="XFA1878"/>
      <c r="XFB1878"/>
      <c r="XFC1878"/>
    </row>
    <row r="1879" spans="1:20 16329:16383" s="38" customFormat="1" ht="29.1" customHeight="1" outlineLevel="5" x14ac:dyDescent="0.25">
      <c r="A1879" s="49" t="s">
        <v>3147</v>
      </c>
      <c r="B1879" s="50"/>
      <c r="C1879" s="50"/>
      <c r="D1879" s="3" t="s">
        <v>3110</v>
      </c>
      <c r="E1879" s="3"/>
      <c r="F1879" s="51"/>
      <c r="G1879" s="50" t="s">
        <v>134</v>
      </c>
      <c r="H1879" s="52">
        <f>1</f>
        <v>1</v>
      </c>
      <c r="I1879" s="36"/>
      <c r="J1879" s="52">
        <v>1</v>
      </c>
      <c r="K1879" s="53">
        <f>0</f>
        <v>0</v>
      </c>
      <c r="L1879" s="53">
        <f>0</f>
        <v>0</v>
      </c>
      <c r="M1879" s="53">
        <f>0</f>
        <v>0</v>
      </c>
      <c r="N1879" s="54">
        <f>SUM(K1879:M1879)</f>
        <v>0</v>
      </c>
      <c r="O1879" s="54">
        <f>ROUND((H1879*K1879),2)</f>
        <v>0</v>
      </c>
      <c r="P1879" s="54">
        <f>ROUND((H1879*L1879),2)</f>
        <v>0</v>
      </c>
      <c r="Q1879" s="54">
        <f>ROUND((H1879*M1879),2)</f>
        <v>0</v>
      </c>
      <c r="R1879" s="54">
        <f>ROUND((H1879*N1879),2)</f>
        <v>0</v>
      </c>
      <c r="S1879" s="54"/>
      <c r="T1879" s="36"/>
      <c r="XDA1879"/>
      <c r="XDB1879"/>
      <c r="XDC1879"/>
      <c r="XDD1879"/>
      <c r="XDE1879"/>
      <c r="XDF1879"/>
      <c r="XDG1879"/>
      <c r="XDH1879"/>
      <c r="XDI1879"/>
      <c r="XDJ1879"/>
      <c r="XDK1879"/>
      <c r="XDL1879"/>
      <c r="XDM1879"/>
      <c r="XDN1879"/>
      <c r="XDO1879"/>
      <c r="XDP1879"/>
      <c r="XDQ1879"/>
      <c r="XDR1879"/>
      <c r="XDS1879"/>
      <c r="XDT1879"/>
      <c r="XDU1879"/>
      <c r="XDV1879"/>
      <c r="XDW1879"/>
      <c r="XDX1879"/>
      <c r="XDY1879"/>
      <c r="XDZ1879"/>
      <c r="XEA1879"/>
      <c r="XEB1879"/>
      <c r="XEC1879"/>
      <c r="XED1879"/>
      <c r="XEE1879"/>
      <c r="XEF1879"/>
      <c r="XEG1879"/>
      <c r="XEH1879"/>
      <c r="XEI1879"/>
      <c r="XEJ1879"/>
      <c r="XEK1879"/>
      <c r="XEL1879"/>
      <c r="XEM1879"/>
      <c r="XEN1879"/>
      <c r="XEO1879"/>
      <c r="XEP1879"/>
      <c r="XEQ1879"/>
      <c r="XER1879"/>
      <c r="XES1879"/>
      <c r="XET1879"/>
      <c r="XEU1879"/>
      <c r="XEV1879"/>
      <c r="XEW1879"/>
      <c r="XEX1879"/>
      <c r="XEY1879"/>
      <c r="XEZ1879"/>
      <c r="XFA1879"/>
      <c r="XFB1879"/>
      <c r="XFC1879"/>
    </row>
    <row r="1880" spans="1:20 16329:16383" s="38" customFormat="1" ht="29.1" customHeight="1" outlineLevel="4" x14ac:dyDescent="0.25">
      <c r="A1880" s="60" t="s">
        <v>3148</v>
      </c>
      <c r="B1880" s="61" t="s">
        <v>3149</v>
      </c>
      <c r="C1880" s="61"/>
      <c r="D1880" s="1" t="s">
        <v>3150</v>
      </c>
      <c r="E1880" s="1"/>
      <c r="F1880" s="62"/>
      <c r="G1880" s="61"/>
      <c r="H1880" s="63"/>
      <c r="I1880" s="36"/>
      <c r="J1880" s="63"/>
      <c r="K1880" s="64"/>
      <c r="L1880" s="64"/>
      <c r="M1880" s="64"/>
      <c r="N1880" s="64"/>
      <c r="O1880" s="64">
        <f>SUM(O1881:O1885)</f>
        <v>0</v>
      </c>
      <c r="P1880" s="64">
        <f>SUM(P1881:P1885)</f>
        <v>0</v>
      </c>
      <c r="Q1880" s="64">
        <f>SUM(Q1881:Q1885)</f>
        <v>0</v>
      </c>
      <c r="R1880" s="64">
        <f>SUM(R1881:R1885)</f>
        <v>0</v>
      </c>
      <c r="S1880" s="64"/>
      <c r="T1880" s="36"/>
      <c r="XDA1880"/>
      <c r="XDB1880"/>
      <c r="XDC1880"/>
      <c r="XDD1880"/>
      <c r="XDE1880"/>
      <c r="XDF1880"/>
      <c r="XDG1880"/>
      <c r="XDH1880"/>
      <c r="XDI1880"/>
      <c r="XDJ1880"/>
      <c r="XDK1880"/>
      <c r="XDL1880"/>
      <c r="XDM1880"/>
      <c r="XDN1880"/>
      <c r="XDO1880"/>
      <c r="XDP1880"/>
      <c r="XDQ1880"/>
      <c r="XDR1880"/>
      <c r="XDS1880"/>
      <c r="XDT1880"/>
      <c r="XDU1880"/>
      <c r="XDV1880"/>
      <c r="XDW1880"/>
      <c r="XDX1880"/>
      <c r="XDY1880"/>
      <c r="XDZ1880"/>
      <c r="XEA1880"/>
      <c r="XEB1880"/>
      <c r="XEC1880"/>
      <c r="XED1880"/>
      <c r="XEE1880"/>
      <c r="XEF1880"/>
      <c r="XEG1880"/>
      <c r="XEH1880"/>
      <c r="XEI1880"/>
      <c r="XEJ1880"/>
      <c r="XEK1880"/>
      <c r="XEL1880"/>
      <c r="XEM1880"/>
      <c r="XEN1880"/>
      <c r="XEO1880"/>
      <c r="XEP1880"/>
      <c r="XEQ1880"/>
      <c r="XER1880"/>
      <c r="XES1880"/>
      <c r="XET1880"/>
      <c r="XEU1880"/>
      <c r="XEV1880"/>
      <c r="XEW1880"/>
      <c r="XEX1880"/>
      <c r="XEY1880"/>
      <c r="XEZ1880"/>
      <c r="XFA1880"/>
      <c r="XFB1880"/>
      <c r="XFC1880"/>
    </row>
    <row r="1881" spans="1:20 16329:16383" s="38" customFormat="1" ht="29.1" customHeight="1" outlineLevel="5" x14ac:dyDescent="0.25">
      <c r="A1881" s="49" t="s">
        <v>3151</v>
      </c>
      <c r="B1881" s="50"/>
      <c r="C1881" s="50"/>
      <c r="D1881" s="3" t="s">
        <v>3104</v>
      </c>
      <c r="E1881" s="3"/>
      <c r="F1881" s="51"/>
      <c r="G1881" s="50" t="s">
        <v>134</v>
      </c>
      <c r="H1881" s="52">
        <f>1</f>
        <v>1</v>
      </c>
      <c r="I1881" s="36"/>
      <c r="J1881" s="52">
        <v>1</v>
      </c>
      <c r="K1881" s="53">
        <f>0</f>
        <v>0</v>
      </c>
      <c r="L1881" s="53">
        <f>0</f>
        <v>0</v>
      </c>
      <c r="M1881" s="53">
        <f>0</f>
        <v>0</v>
      </c>
      <c r="N1881" s="54">
        <f>SUM(K1881:M1881)</f>
        <v>0</v>
      </c>
      <c r="O1881" s="54">
        <f>ROUND((H1881*K1881),2)</f>
        <v>0</v>
      </c>
      <c r="P1881" s="54">
        <f>ROUND((H1881*L1881),2)</f>
        <v>0</v>
      </c>
      <c r="Q1881" s="54">
        <f>ROUND((H1881*M1881),2)</f>
        <v>0</v>
      </c>
      <c r="R1881" s="54">
        <f>ROUND((H1881*N1881),2)</f>
        <v>0</v>
      </c>
      <c r="S1881" s="54"/>
      <c r="T1881" s="36"/>
      <c r="XDA1881"/>
      <c r="XDB1881"/>
      <c r="XDC1881"/>
      <c r="XDD1881"/>
      <c r="XDE1881"/>
      <c r="XDF1881"/>
      <c r="XDG1881"/>
      <c r="XDH1881"/>
      <c r="XDI1881"/>
      <c r="XDJ1881"/>
      <c r="XDK1881"/>
      <c r="XDL1881"/>
      <c r="XDM1881"/>
      <c r="XDN1881"/>
      <c r="XDO1881"/>
      <c r="XDP1881"/>
      <c r="XDQ1881"/>
      <c r="XDR1881"/>
      <c r="XDS1881"/>
      <c r="XDT1881"/>
      <c r="XDU1881"/>
      <c r="XDV1881"/>
      <c r="XDW1881"/>
      <c r="XDX1881"/>
      <c r="XDY1881"/>
      <c r="XDZ1881"/>
      <c r="XEA1881"/>
      <c r="XEB1881"/>
      <c r="XEC1881"/>
      <c r="XED1881"/>
      <c r="XEE1881"/>
      <c r="XEF1881"/>
      <c r="XEG1881"/>
      <c r="XEH1881"/>
      <c r="XEI1881"/>
      <c r="XEJ1881"/>
      <c r="XEK1881"/>
      <c r="XEL1881"/>
      <c r="XEM1881"/>
      <c r="XEN1881"/>
      <c r="XEO1881"/>
      <c r="XEP1881"/>
      <c r="XEQ1881"/>
      <c r="XER1881"/>
      <c r="XES1881"/>
      <c r="XET1881"/>
      <c r="XEU1881"/>
      <c r="XEV1881"/>
      <c r="XEW1881"/>
      <c r="XEX1881"/>
      <c r="XEY1881"/>
      <c r="XEZ1881"/>
      <c r="XFA1881"/>
      <c r="XFB1881"/>
      <c r="XFC1881"/>
    </row>
    <row r="1882" spans="1:20 16329:16383" s="38" customFormat="1" ht="29.1" customHeight="1" outlineLevel="5" x14ac:dyDescent="0.25">
      <c r="A1882" s="49" t="s">
        <v>3152</v>
      </c>
      <c r="B1882" s="50"/>
      <c r="C1882" s="50"/>
      <c r="D1882" s="3" t="s">
        <v>3153</v>
      </c>
      <c r="E1882" s="3"/>
      <c r="F1882" s="51"/>
      <c r="G1882" s="50" t="s">
        <v>134</v>
      </c>
      <c r="H1882" s="52">
        <f>1</f>
        <v>1</v>
      </c>
      <c r="I1882" s="36"/>
      <c r="J1882" s="52">
        <v>1</v>
      </c>
      <c r="K1882" s="53">
        <f>0</f>
        <v>0</v>
      </c>
      <c r="L1882" s="53">
        <f>0</f>
        <v>0</v>
      </c>
      <c r="M1882" s="53">
        <f>0</f>
        <v>0</v>
      </c>
      <c r="N1882" s="54">
        <f>SUM(K1882:M1882)</f>
        <v>0</v>
      </c>
      <c r="O1882" s="54">
        <f>ROUND((H1882*K1882),2)</f>
        <v>0</v>
      </c>
      <c r="P1882" s="54">
        <f>ROUND((H1882*L1882),2)</f>
        <v>0</v>
      </c>
      <c r="Q1882" s="54">
        <f>ROUND((H1882*M1882),2)</f>
        <v>0</v>
      </c>
      <c r="R1882" s="54">
        <f>ROUND((H1882*N1882),2)</f>
        <v>0</v>
      </c>
      <c r="S1882" s="54"/>
      <c r="T1882" s="36"/>
      <c r="XDA1882"/>
      <c r="XDB1882"/>
      <c r="XDC1882"/>
      <c r="XDD1882"/>
      <c r="XDE1882"/>
      <c r="XDF1882"/>
      <c r="XDG1882"/>
      <c r="XDH1882"/>
      <c r="XDI1882"/>
      <c r="XDJ1882"/>
      <c r="XDK1882"/>
      <c r="XDL1882"/>
      <c r="XDM1882"/>
      <c r="XDN1882"/>
      <c r="XDO1882"/>
      <c r="XDP1882"/>
      <c r="XDQ1882"/>
      <c r="XDR1882"/>
      <c r="XDS1882"/>
      <c r="XDT1882"/>
      <c r="XDU1882"/>
      <c r="XDV1882"/>
      <c r="XDW1882"/>
      <c r="XDX1882"/>
      <c r="XDY1882"/>
      <c r="XDZ1882"/>
      <c r="XEA1882"/>
      <c r="XEB1882"/>
      <c r="XEC1882"/>
      <c r="XED1882"/>
      <c r="XEE1882"/>
      <c r="XEF1882"/>
      <c r="XEG1882"/>
      <c r="XEH1882"/>
      <c r="XEI1882"/>
      <c r="XEJ1882"/>
      <c r="XEK1882"/>
      <c r="XEL1882"/>
      <c r="XEM1882"/>
      <c r="XEN1882"/>
      <c r="XEO1882"/>
      <c r="XEP1882"/>
      <c r="XEQ1882"/>
      <c r="XER1882"/>
      <c r="XES1882"/>
      <c r="XET1882"/>
      <c r="XEU1882"/>
      <c r="XEV1882"/>
      <c r="XEW1882"/>
      <c r="XEX1882"/>
      <c r="XEY1882"/>
      <c r="XEZ1882"/>
      <c r="XFA1882"/>
      <c r="XFB1882"/>
      <c r="XFC1882"/>
    </row>
    <row r="1883" spans="1:20 16329:16383" s="38" customFormat="1" ht="29.1" customHeight="1" outlineLevel="5" x14ac:dyDescent="0.25">
      <c r="A1883" s="49" t="s">
        <v>3154</v>
      </c>
      <c r="B1883" s="50"/>
      <c r="C1883" s="50"/>
      <c r="D1883" s="3" t="s">
        <v>3106</v>
      </c>
      <c r="E1883" s="3"/>
      <c r="F1883" s="51"/>
      <c r="G1883" s="50" t="s">
        <v>134</v>
      </c>
      <c r="H1883" s="52">
        <f>1</f>
        <v>1</v>
      </c>
      <c r="I1883" s="36"/>
      <c r="J1883" s="52">
        <v>1</v>
      </c>
      <c r="K1883" s="53">
        <f>0</f>
        <v>0</v>
      </c>
      <c r="L1883" s="53">
        <f>0</f>
        <v>0</v>
      </c>
      <c r="M1883" s="53">
        <f>0</f>
        <v>0</v>
      </c>
      <c r="N1883" s="54">
        <f>SUM(K1883:M1883)</f>
        <v>0</v>
      </c>
      <c r="O1883" s="54">
        <f>ROUND((H1883*K1883),2)</f>
        <v>0</v>
      </c>
      <c r="P1883" s="54">
        <f>ROUND((H1883*L1883),2)</f>
        <v>0</v>
      </c>
      <c r="Q1883" s="54">
        <f>ROUND((H1883*M1883),2)</f>
        <v>0</v>
      </c>
      <c r="R1883" s="54">
        <f>ROUND((H1883*N1883),2)</f>
        <v>0</v>
      </c>
      <c r="S1883" s="54"/>
      <c r="T1883" s="36"/>
      <c r="XDA1883"/>
      <c r="XDB1883"/>
      <c r="XDC1883"/>
      <c r="XDD1883"/>
      <c r="XDE1883"/>
      <c r="XDF1883"/>
      <c r="XDG1883"/>
      <c r="XDH1883"/>
      <c r="XDI1883"/>
      <c r="XDJ1883"/>
      <c r="XDK1883"/>
      <c r="XDL1883"/>
      <c r="XDM1883"/>
      <c r="XDN1883"/>
      <c r="XDO1883"/>
      <c r="XDP1883"/>
      <c r="XDQ1883"/>
      <c r="XDR1883"/>
      <c r="XDS1883"/>
      <c r="XDT1883"/>
      <c r="XDU1883"/>
      <c r="XDV1883"/>
      <c r="XDW1883"/>
      <c r="XDX1883"/>
      <c r="XDY1883"/>
      <c r="XDZ1883"/>
      <c r="XEA1883"/>
      <c r="XEB1883"/>
      <c r="XEC1883"/>
      <c r="XED1883"/>
      <c r="XEE1883"/>
      <c r="XEF1883"/>
      <c r="XEG1883"/>
      <c r="XEH1883"/>
      <c r="XEI1883"/>
      <c r="XEJ1883"/>
      <c r="XEK1883"/>
      <c r="XEL1883"/>
      <c r="XEM1883"/>
      <c r="XEN1883"/>
      <c r="XEO1883"/>
      <c r="XEP1883"/>
      <c r="XEQ1883"/>
      <c r="XER1883"/>
      <c r="XES1883"/>
      <c r="XET1883"/>
      <c r="XEU1883"/>
      <c r="XEV1883"/>
      <c r="XEW1883"/>
      <c r="XEX1883"/>
      <c r="XEY1883"/>
      <c r="XEZ1883"/>
      <c r="XFA1883"/>
      <c r="XFB1883"/>
      <c r="XFC1883"/>
    </row>
    <row r="1884" spans="1:20 16329:16383" s="38" customFormat="1" ht="29.1" customHeight="1" outlineLevel="5" x14ac:dyDescent="0.25">
      <c r="A1884" s="49" t="s">
        <v>3155</v>
      </c>
      <c r="B1884" s="50"/>
      <c r="C1884" s="50"/>
      <c r="D1884" s="3" t="s">
        <v>3108</v>
      </c>
      <c r="E1884" s="3"/>
      <c r="F1884" s="51"/>
      <c r="G1884" s="50" t="s">
        <v>134</v>
      </c>
      <c r="H1884" s="52">
        <f>1</f>
        <v>1</v>
      </c>
      <c r="I1884" s="36"/>
      <c r="J1884" s="52">
        <v>1</v>
      </c>
      <c r="K1884" s="53">
        <f>0</f>
        <v>0</v>
      </c>
      <c r="L1884" s="53">
        <f>0</f>
        <v>0</v>
      </c>
      <c r="M1884" s="53">
        <f>0</f>
        <v>0</v>
      </c>
      <c r="N1884" s="54">
        <f>SUM(K1884:M1884)</f>
        <v>0</v>
      </c>
      <c r="O1884" s="54">
        <f>ROUND((H1884*K1884),2)</f>
        <v>0</v>
      </c>
      <c r="P1884" s="54">
        <f>ROUND((H1884*L1884),2)</f>
        <v>0</v>
      </c>
      <c r="Q1884" s="54">
        <f>ROUND((H1884*M1884),2)</f>
        <v>0</v>
      </c>
      <c r="R1884" s="54">
        <f>ROUND((H1884*N1884),2)</f>
        <v>0</v>
      </c>
      <c r="S1884" s="54"/>
      <c r="T1884" s="36"/>
      <c r="XDA1884"/>
      <c r="XDB1884"/>
      <c r="XDC1884"/>
      <c r="XDD1884"/>
      <c r="XDE1884"/>
      <c r="XDF1884"/>
      <c r="XDG1884"/>
      <c r="XDH1884"/>
      <c r="XDI1884"/>
      <c r="XDJ1884"/>
      <c r="XDK1884"/>
      <c r="XDL1884"/>
      <c r="XDM1884"/>
      <c r="XDN1884"/>
      <c r="XDO1884"/>
      <c r="XDP1884"/>
      <c r="XDQ1884"/>
      <c r="XDR1884"/>
      <c r="XDS1884"/>
      <c r="XDT1884"/>
      <c r="XDU1884"/>
      <c r="XDV1884"/>
      <c r="XDW1884"/>
      <c r="XDX1884"/>
      <c r="XDY1884"/>
      <c r="XDZ1884"/>
      <c r="XEA1884"/>
      <c r="XEB1884"/>
      <c r="XEC1884"/>
      <c r="XED1884"/>
      <c r="XEE1884"/>
      <c r="XEF1884"/>
      <c r="XEG1884"/>
      <c r="XEH1884"/>
      <c r="XEI1884"/>
      <c r="XEJ1884"/>
      <c r="XEK1884"/>
      <c r="XEL1884"/>
      <c r="XEM1884"/>
      <c r="XEN1884"/>
      <c r="XEO1884"/>
      <c r="XEP1884"/>
      <c r="XEQ1884"/>
      <c r="XER1884"/>
      <c r="XES1884"/>
      <c r="XET1884"/>
      <c r="XEU1884"/>
      <c r="XEV1884"/>
      <c r="XEW1884"/>
      <c r="XEX1884"/>
      <c r="XEY1884"/>
      <c r="XEZ1884"/>
      <c r="XFA1884"/>
      <c r="XFB1884"/>
      <c r="XFC1884"/>
    </row>
    <row r="1885" spans="1:20 16329:16383" s="38" customFormat="1" ht="29.1" customHeight="1" outlineLevel="5" x14ac:dyDescent="0.25">
      <c r="A1885" s="49" t="s">
        <v>3156</v>
      </c>
      <c r="B1885" s="50"/>
      <c r="C1885" s="50"/>
      <c r="D1885" s="3" t="s">
        <v>3157</v>
      </c>
      <c r="E1885" s="3"/>
      <c r="F1885" s="51"/>
      <c r="G1885" s="50" t="s">
        <v>134</v>
      </c>
      <c r="H1885" s="52">
        <f>1</f>
        <v>1</v>
      </c>
      <c r="I1885" s="36"/>
      <c r="J1885" s="52">
        <v>1</v>
      </c>
      <c r="K1885" s="53">
        <f>0</f>
        <v>0</v>
      </c>
      <c r="L1885" s="53">
        <f>0</f>
        <v>0</v>
      </c>
      <c r="M1885" s="53">
        <f>0</f>
        <v>0</v>
      </c>
      <c r="N1885" s="54">
        <f>SUM(K1885:M1885)</f>
        <v>0</v>
      </c>
      <c r="O1885" s="54">
        <f>ROUND((H1885*K1885),2)</f>
        <v>0</v>
      </c>
      <c r="P1885" s="54">
        <f>ROUND((H1885*L1885),2)</f>
        <v>0</v>
      </c>
      <c r="Q1885" s="54">
        <f>ROUND((H1885*M1885),2)</f>
        <v>0</v>
      </c>
      <c r="R1885" s="54">
        <f>ROUND((H1885*N1885),2)</f>
        <v>0</v>
      </c>
      <c r="S1885" s="54"/>
      <c r="T1885" s="36"/>
      <c r="XDA1885"/>
      <c r="XDB1885"/>
      <c r="XDC1885"/>
      <c r="XDD1885"/>
      <c r="XDE1885"/>
      <c r="XDF1885"/>
      <c r="XDG1885"/>
      <c r="XDH1885"/>
      <c r="XDI1885"/>
      <c r="XDJ1885"/>
      <c r="XDK1885"/>
      <c r="XDL1885"/>
      <c r="XDM1885"/>
      <c r="XDN1885"/>
      <c r="XDO1885"/>
      <c r="XDP1885"/>
      <c r="XDQ1885"/>
      <c r="XDR1885"/>
      <c r="XDS1885"/>
      <c r="XDT1885"/>
      <c r="XDU1885"/>
      <c r="XDV1885"/>
      <c r="XDW1885"/>
      <c r="XDX1885"/>
      <c r="XDY1885"/>
      <c r="XDZ1885"/>
      <c r="XEA1885"/>
      <c r="XEB1885"/>
      <c r="XEC1885"/>
      <c r="XED1885"/>
      <c r="XEE1885"/>
      <c r="XEF1885"/>
      <c r="XEG1885"/>
      <c r="XEH1885"/>
      <c r="XEI1885"/>
      <c r="XEJ1885"/>
      <c r="XEK1885"/>
      <c r="XEL1885"/>
      <c r="XEM1885"/>
      <c r="XEN1885"/>
      <c r="XEO1885"/>
      <c r="XEP1885"/>
      <c r="XEQ1885"/>
      <c r="XER1885"/>
      <c r="XES1885"/>
      <c r="XET1885"/>
      <c r="XEU1885"/>
      <c r="XEV1885"/>
      <c r="XEW1885"/>
      <c r="XEX1885"/>
      <c r="XEY1885"/>
      <c r="XEZ1885"/>
      <c r="XFA1885"/>
      <c r="XFB1885"/>
      <c r="XFC1885"/>
    </row>
    <row r="1886" spans="1:20 16329:16383" s="38" customFormat="1" ht="29.1" customHeight="1" outlineLevel="4" x14ac:dyDescent="0.25">
      <c r="A1886" s="60" t="s">
        <v>3158</v>
      </c>
      <c r="B1886" s="61" t="s">
        <v>3159</v>
      </c>
      <c r="C1886" s="61"/>
      <c r="D1886" s="1" t="s">
        <v>3160</v>
      </c>
      <c r="E1886" s="1"/>
      <c r="F1886" s="62"/>
      <c r="G1886" s="61"/>
      <c r="H1886" s="63"/>
      <c r="I1886" s="36"/>
      <c r="J1886" s="63"/>
      <c r="K1886" s="64"/>
      <c r="L1886" s="64"/>
      <c r="M1886" s="64"/>
      <c r="N1886" s="64"/>
      <c r="O1886" s="64">
        <f>SUM(O1887:O1893)</f>
        <v>0</v>
      </c>
      <c r="P1886" s="64">
        <f>SUM(P1887:P1893)</f>
        <v>0</v>
      </c>
      <c r="Q1886" s="64">
        <f>SUM(Q1887:Q1893)</f>
        <v>0</v>
      </c>
      <c r="R1886" s="64">
        <f>SUM(R1887:R1893)</f>
        <v>0</v>
      </c>
      <c r="S1886" s="64"/>
      <c r="T1886" s="36"/>
      <c r="XDA1886"/>
      <c r="XDB1886"/>
      <c r="XDC1886"/>
      <c r="XDD1886"/>
      <c r="XDE1886"/>
      <c r="XDF1886"/>
      <c r="XDG1886"/>
      <c r="XDH1886"/>
      <c r="XDI1886"/>
      <c r="XDJ1886"/>
      <c r="XDK1886"/>
      <c r="XDL1886"/>
      <c r="XDM1886"/>
      <c r="XDN1886"/>
      <c r="XDO1886"/>
      <c r="XDP1886"/>
      <c r="XDQ1886"/>
      <c r="XDR1886"/>
      <c r="XDS1886"/>
      <c r="XDT1886"/>
      <c r="XDU1886"/>
      <c r="XDV1886"/>
      <c r="XDW1886"/>
      <c r="XDX1886"/>
      <c r="XDY1886"/>
      <c r="XDZ1886"/>
      <c r="XEA1886"/>
      <c r="XEB1886"/>
      <c r="XEC1886"/>
      <c r="XED1886"/>
      <c r="XEE1886"/>
      <c r="XEF1886"/>
      <c r="XEG1886"/>
      <c r="XEH1886"/>
      <c r="XEI1886"/>
      <c r="XEJ1886"/>
      <c r="XEK1886"/>
      <c r="XEL1886"/>
      <c r="XEM1886"/>
      <c r="XEN1886"/>
      <c r="XEO1886"/>
      <c r="XEP1886"/>
      <c r="XEQ1886"/>
      <c r="XER1886"/>
      <c r="XES1886"/>
      <c r="XET1886"/>
      <c r="XEU1886"/>
      <c r="XEV1886"/>
      <c r="XEW1886"/>
      <c r="XEX1886"/>
      <c r="XEY1886"/>
      <c r="XEZ1886"/>
      <c r="XFA1886"/>
      <c r="XFB1886"/>
      <c r="XFC1886"/>
    </row>
    <row r="1887" spans="1:20 16329:16383" s="38" customFormat="1" ht="29.1" customHeight="1" outlineLevel="5" x14ac:dyDescent="0.25">
      <c r="A1887" s="49" t="s">
        <v>3161</v>
      </c>
      <c r="B1887" s="50"/>
      <c r="C1887" s="50"/>
      <c r="D1887" s="3" t="s">
        <v>3153</v>
      </c>
      <c r="E1887" s="3"/>
      <c r="F1887" s="51"/>
      <c r="G1887" s="50" t="s">
        <v>134</v>
      </c>
      <c r="H1887" s="52">
        <f>1</f>
        <v>1</v>
      </c>
      <c r="I1887" s="36"/>
      <c r="J1887" s="52">
        <v>1</v>
      </c>
      <c r="K1887" s="53">
        <f>0</f>
        <v>0</v>
      </c>
      <c r="L1887" s="53">
        <f>0</f>
        <v>0</v>
      </c>
      <c r="M1887" s="53">
        <f>0</f>
        <v>0</v>
      </c>
      <c r="N1887" s="54">
        <f t="shared" ref="N1887:N1893" si="374">SUM(K1887:M1887)</f>
        <v>0</v>
      </c>
      <c r="O1887" s="54">
        <f t="shared" ref="O1887:O1893" si="375">ROUND((H1887*K1887),2)</f>
        <v>0</v>
      </c>
      <c r="P1887" s="54">
        <f t="shared" ref="P1887:P1893" si="376">ROUND((H1887*L1887),2)</f>
        <v>0</v>
      </c>
      <c r="Q1887" s="54">
        <f t="shared" ref="Q1887:Q1893" si="377">ROUND((H1887*M1887),2)</f>
        <v>0</v>
      </c>
      <c r="R1887" s="54">
        <f t="shared" ref="R1887:R1893" si="378">ROUND((H1887*N1887),2)</f>
        <v>0</v>
      </c>
      <c r="S1887" s="54"/>
      <c r="T1887" s="36"/>
      <c r="XDA1887"/>
      <c r="XDB1887"/>
      <c r="XDC1887"/>
      <c r="XDD1887"/>
      <c r="XDE1887"/>
      <c r="XDF1887"/>
      <c r="XDG1887"/>
      <c r="XDH1887"/>
      <c r="XDI1887"/>
      <c r="XDJ1887"/>
      <c r="XDK1887"/>
      <c r="XDL1887"/>
      <c r="XDM1887"/>
      <c r="XDN1887"/>
      <c r="XDO1887"/>
      <c r="XDP1887"/>
      <c r="XDQ1887"/>
      <c r="XDR1887"/>
      <c r="XDS1887"/>
      <c r="XDT1887"/>
      <c r="XDU1887"/>
      <c r="XDV1887"/>
      <c r="XDW1887"/>
      <c r="XDX1887"/>
      <c r="XDY1887"/>
      <c r="XDZ1887"/>
      <c r="XEA1887"/>
      <c r="XEB1887"/>
      <c r="XEC1887"/>
      <c r="XED1887"/>
      <c r="XEE1887"/>
      <c r="XEF1887"/>
      <c r="XEG1887"/>
      <c r="XEH1887"/>
      <c r="XEI1887"/>
      <c r="XEJ1887"/>
      <c r="XEK1887"/>
      <c r="XEL1887"/>
      <c r="XEM1887"/>
      <c r="XEN1887"/>
      <c r="XEO1887"/>
      <c r="XEP1887"/>
      <c r="XEQ1887"/>
      <c r="XER1887"/>
      <c r="XES1887"/>
      <c r="XET1887"/>
      <c r="XEU1887"/>
      <c r="XEV1887"/>
      <c r="XEW1887"/>
      <c r="XEX1887"/>
      <c r="XEY1887"/>
      <c r="XEZ1887"/>
      <c r="XFA1887"/>
      <c r="XFB1887"/>
      <c r="XFC1887"/>
    </row>
    <row r="1888" spans="1:20 16329:16383" s="38" customFormat="1" ht="29.1" customHeight="1" outlineLevel="5" x14ac:dyDescent="0.25">
      <c r="A1888" s="49" t="s">
        <v>3162</v>
      </c>
      <c r="B1888" s="50"/>
      <c r="C1888" s="50"/>
      <c r="D1888" s="3" t="s">
        <v>3104</v>
      </c>
      <c r="E1888" s="3"/>
      <c r="F1888" s="51"/>
      <c r="G1888" s="50" t="s">
        <v>134</v>
      </c>
      <c r="H1888" s="52">
        <f>1</f>
        <v>1</v>
      </c>
      <c r="I1888" s="36"/>
      <c r="J1888" s="52">
        <v>1</v>
      </c>
      <c r="K1888" s="53">
        <f>0</f>
        <v>0</v>
      </c>
      <c r="L1888" s="53">
        <f>0</f>
        <v>0</v>
      </c>
      <c r="M1888" s="53">
        <f>0</f>
        <v>0</v>
      </c>
      <c r="N1888" s="54">
        <f t="shared" si="374"/>
        <v>0</v>
      </c>
      <c r="O1888" s="54">
        <f t="shared" si="375"/>
        <v>0</v>
      </c>
      <c r="P1888" s="54">
        <f t="shared" si="376"/>
        <v>0</v>
      </c>
      <c r="Q1888" s="54">
        <f t="shared" si="377"/>
        <v>0</v>
      </c>
      <c r="R1888" s="54">
        <f t="shared" si="378"/>
        <v>0</v>
      </c>
      <c r="S1888" s="54"/>
      <c r="T1888" s="36"/>
      <c r="XDA1888"/>
      <c r="XDB1888"/>
      <c r="XDC1888"/>
      <c r="XDD1888"/>
      <c r="XDE1888"/>
      <c r="XDF1888"/>
      <c r="XDG1888"/>
      <c r="XDH1888"/>
      <c r="XDI1888"/>
      <c r="XDJ1888"/>
      <c r="XDK1888"/>
      <c r="XDL1888"/>
      <c r="XDM1888"/>
      <c r="XDN1888"/>
      <c r="XDO1888"/>
      <c r="XDP1888"/>
      <c r="XDQ1888"/>
      <c r="XDR1888"/>
      <c r="XDS1888"/>
      <c r="XDT1888"/>
      <c r="XDU1888"/>
      <c r="XDV1888"/>
      <c r="XDW1888"/>
      <c r="XDX1888"/>
      <c r="XDY1888"/>
      <c r="XDZ1888"/>
      <c r="XEA1888"/>
      <c r="XEB1888"/>
      <c r="XEC1888"/>
      <c r="XED1888"/>
      <c r="XEE1888"/>
      <c r="XEF1888"/>
      <c r="XEG1888"/>
      <c r="XEH1888"/>
      <c r="XEI1888"/>
      <c r="XEJ1888"/>
      <c r="XEK1888"/>
      <c r="XEL1888"/>
      <c r="XEM1888"/>
      <c r="XEN1888"/>
      <c r="XEO1888"/>
      <c r="XEP1888"/>
      <c r="XEQ1888"/>
      <c r="XER1888"/>
      <c r="XES1888"/>
      <c r="XET1888"/>
      <c r="XEU1888"/>
      <c r="XEV1888"/>
      <c r="XEW1888"/>
      <c r="XEX1888"/>
      <c r="XEY1888"/>
      <c r="XEZ1888"/>
      <c r="XFA1888"/>
      <c r="XFB1888"/>
      <c r="XFC1888"/>
    </row>
    <row r="1889" spans="1:20 16329:16383" s="38" customFormat="1" ht="29.1" customHeight="1" outlineLevel="5" x14ac:dyDescent="0.25">
      <c r="A1889" s="49" t="s">
        <v>3163</v>
      </c>
      <c r="B1889" s="50"/>
      <c r="C1889" s="50"/>
      <c r="D1889" s="3" t="s">
        <v>3106</v>
      </c>
      <c r="E1889" s="3"/>
      <c r="F1889" s="51"/>
      <c r="G1889" s="50" t="s">
        <v>134</v>
      </c>
      <c r="H1889" s="52">
        <f>1</f>
        <v>1</v>
      </c>
      <c r="I1889" s="36"/>
      <c r="J1889" s="52">
        <v>1</v>
      </c>
      <c r="K1889" s="53">
        <f>0</f>
        <v>0</v>
      </c>
      <c r="L1889" s="53">
        <f>0</f>
        <v>0</v>
      </c>
      <c r="M1889" s="53">
        <f>0</f>
        <v>0</v>
      </c>
      <c r="N1889" s="54">
        <f t="shared" si="374"/>
        <v>0</v>
      </c>
      <c r="O1889" s="54">
        <f t="shared" si="375"/>
        <v>0</v>
      </c>
      <c r="P1889" s="54">
        <f t="shared" si="376"/>
        <v>0</v>
      </c>
      <c r="Q1889" s="54">
        <f t="shared" si="377"/>
        <v>0</v>
      </c>
      <c r="R1889" s="54">
        <f t="shared" si="378"/>
        <v>0</v>
      </c>
      <c r="S1889" s="54"/>
      <c r="T1889" s="36"/>
      <c r="XDA1889"/>
      <c r="XDB1889"/>
      <c r="XDC1889"/>
      <c r="XDD1889"/>
      <c r="XDE1889"/>
      <c r="XDF1889"/>
      <c r="XDG1889"/>
      <c r="XDH1889"/>
      <c r="XDI1889"/>
      <c r="XDJ1889"/>
      <c r="XDK1889"/>
      <c r="XDL1889"/>
      <c r="XDM1889"/>
      <c r="XDN1889"/>
      <c r="XDO1889"/>
      <c r="XDP1889"/>
      <c r="XDQ1889"/>
      <c r="XDR1889"/>
      <c r="XDS1889"/>
      <c r="XDT1889"/>
      <c r="XDU1889"/>
      <c r="XDV1889"/>
      <c r="XDW1889"/>
      <c r="XDX1889"/>
      <c r="XDY1889"/>
      <c r="XDZ1889"/>
      <c r="XEA1889"/>
      <c r="XEB1889"/>
      <c r="XEC1889"/>
      <c r="XED1889"/>
      <c r="XEE1889"/>
      <c r="XEF1889"/>
      <c r="XEG1889"/>
      <c r="XEH1889"/>
      <c r="XEI1889"/>
      <c r="XEJ1889"/>
      <c r="XEK1889"/>
      <c r="XEL1889"/>
      <c r="XEM1889"/>
      <c r="XEN1889"/>
      <c r="XEO1889"/>
      <c r="XEP1889"/>
      <c r="XEQ1889"/>
      <c r="XER1889"/>
      <c r="XES1889"/>
      <c r="XET1889"/>
      <c r="XEU1889"/>
      <c r="XEV1889"/>
      <c r="XEW1889"/>
      <c r="XEX1889"/>
      <c r="XEY1889"/>
      <c r="XEZ1889"/>
      <c r="XFA1889"/>
      <c r="XFB1889"/>
      <c r="XFC1889"/>
    </row>
    <row r="1890" spans="1:20 16329:16383" s="38" customFormat="1" ht="29.1" customHeight="1" outlineLevel="5" x14ac:dyDescent="0.25">
      <c r="A1890" s="49" t="s">
        <v>3164</v>
      </c>
      <c r="B1890" s="50"/>
      <c r="C1890" s="50"/>
      <c r="D1890" s="3" t="s">
        <v>3165</v>
      </c>
      <c r="E1890" s="3"/>
      <c r="F1890" s="51"/>
      <c r="G1890" s="50" t="s">
        <v>134</v>
      </c>
      <c r="H1890" s="52">
        <f>1</f>
        <v>1</v>
      </c>
      <c r="I1890" s="36"/>
      <c r="J1890" s="52">
        <v>1</v>
      </c>
      <c r="K1890" s="53">
        <f>0</f>
        <v>0</v>
      </c>
      <c r="L1890" s="53">
        <f>0</f>
        <v>0</v>
      </c>
      <c r="M1890" s="53">
        <f>0</f>
        <v>0</v>
      </c>
      <c r="N1890" s="54">
        <f t="shared" si="374"/>
        <v>0</v>
      </c>
      <c r="O1890" s="54">
        <f t="shared" si="375"/>
        <v>0</v>
      </c>
      <c r="P1890" s="54">
        <f t="shared" si="376"/>
        <v>0</v>
      </c>
      <c r="Q1890" s="54">
        <f t="shared" si="377"/>
        <v>0</v>
      </c>
      <c r="R1890" s="54">
        <f t="shared" si="378"/>
        <v>0</v>
      </c>
      <c r="S1890" s="54"/>
      <c r="T1890" s="36"/>
      <c r="XDA1890"/>
      <c r="XDB1890"/>
      <c r="XDC1890"/>
      <c r="XDD1890"/>
      <c r="XDE1890"/>
      <c r="XDF1890"/>
      <c r="XDG1890"/>
      <c r="XDH1890"/>
      <c r="XDI1890"/>
      <c r="XDJ1890"/>
      <c r="XDK1890"/>
      <c r="XDL1890"/>
      <c r="XDM1890"/>
      <c r="XDN1890"/>
      <c r="XDO1890"/>
      <c r="XDP1890"/>
      <c r="XDQ1890"/>
      <c r="XDR1890"/>
      <c r="XDS1890"/>
      <c r="XDT1890"/>
      <c r="XDU1890"/>
      <c r="XDV1890"/>
      <c r="XDW1890"/>
      <c r="XDX1890"/>
      <c r="XDY1890"/>
      <c r="XDZ1890"/>
      <c r="XEA1890"/>
      <c r="XEB1890"/>
      <c r="XEC1890"/>
      <c r="XED1890"/>
      <c r="XEE1890"/>
      <c r="XEF1890"/>
      <c r="XEG1890"/>
      <c r="XEH1890"/>
      <c r="XEI1890"/>
      <c r="XEJ1890"/>
      <c r="XEK1890"/>
      <c r="XEL1890"/>
      <c r="XEM1890"/>
      <c r="XEN1890"/>
      <c r="XEO1890"/>
      <c r="XEP1890"/>
      <c r="XEQ1890"/>
      <c r="XER1890"/>
      <c r="XES1890"/>
      <c r="XET1890"/>
      <c r="XEU1890"/>
      <c r="XEV1890"/>
      <c r="XEW1890"/>
      <c r="XEX1890"/>
      <c r="XEY1890"/>
      <c r="XEZ1890"/>
      <c r="XFA1890"/>
      <c r="XFB1890"/>
      <c r="XFC1890"/>
    </row>
    <row r="1891" spans="1:20 16329:16383" s="38" customFormat="1" ht="29.1" customHeight="1" outlineLevel="5" x14ac:dyDescent="0.25">
      <c r="A1891" s="49" t="s">
        <v>3166</v>
      </c>
      <c r="B1891" s="50"/>
      <c r="C1891" s="50"/>
      <c r="D1891" s="3" t="s">
        <v>3146</v>
      </c>
      <c r="E1891" s="3"/>
      <c r="F1891" s="51"/>
      <c r="G1891" s="50" t="s">
        <v>134</v>
      </c>
      <c r="H1891" s="52">
        <f>1</f>
        <v>1</v>
      </c>
      <c r="I1891" s="36"/>
      <c r="J1891" s="52">
        <v>1</v>
      </c>
      <c r="K1891" s="53">
        <f>0</f>
        <v>0</v>
      </c>
      <c r="L1891" s="53">
        <f>0</f>
        <v>0</v>
      </c>
      <c r="M1891" s="53">
        <f>0</f>
        <v>0</v>
      </c>
      <c r="N1891" s="54">
        <f t="shared" si="374"/>
        <v>0</v>
      </c>
      <c r="O1891" s="54">
        <f t="shared" si="375"/>
        <v>0</v>
      </c>
      <c r="P1891" s="54">
        <f t="shared" si="376"/>
        <v>0</v>
      </c>
      <c r="Q1891" s="54">
        <f t="shared" si="377"/>
        <v>0</v>
      </c>
      <c r="R1891" s="54">
        <f t="shared" si="378"/>
        <v>0</v>
      </c>
      <c r="S1891" s="54"/>
      <c r="T1891" s="36"/>
      <c r="XDA1891"/>
      <c r="XDB1891"/>
      <c r="XDC1891"/>
      <c r="XDD1891"/>
      <c r="XDE1891"/>
      <c r="XDF1891"/>
      <c r="XDG1891"/>
      <c r="XDH1891"/>
      <c r="XDI1891"/>
      <c r="XDJ1891"/>
      <c r="XDK1891"/>
      <c r="XDL1891"/>
      <c r="XDM1891"/>
      <c r="XDN1891"/>
      <c r="XDO1891"/>
      <c r="XDP1891"/>
      <c r="XDQ1891"/>
      <c r="XDR1891"/>
      <c r="XDS1891"/>
      <c r="XDT1891"/>
      <c r="XDU1891"/>
      <c r="XDV1891"/>
      <c r="XDW1891"/>
      <c r="XDX1891"/>
      <c r="XDY1891"/>
      <c r="XDZ1891"/>
      <c r="XEA1891"/>
      <c r="XEB1891"/>
      <c r="XEC1891"/>
      <c r="XED1891"/>
      <c r="XEE1891"/>
      <c r="XEF1891"/>
      <c r="XEG1891"/>
      <c r="XEH1891"/>
      <c r="XEI1891"/>
      <c r="XEJ1891"/>
      <c r="XEK1891"/>
      <c r="XEL1891"/>
      <c r="XEM1891"/>
      <c r="XEN1891"/>
      <c r="XEO1891"/>
      <c r="XEP1891"/>
      <c r="XEQ1891"/>
      <c r="XER1891"/>
      <c r="XES1891"/>
      <c r="XET1891"/>
      <c r="XEU1891"/>
      <c r="XEV1891"/>
      <c r="XEW1891"/>
      <c r="XEX1891"/>
      <c r="XEY1891"/>
      <c r="XEZ1891"/>
      <c r="XFA1891"/>
      <c r="XFB1891"/>
      <c r="XFC1891"/>
    </row>
    <row r="1892" spans="1:20 16329:16383" s="38" customFormat="1" ht="29.1" customHeight="1" outlineLevel="5" x14ac:dyDescent="0.25">
      <c r="A1892" s="49" t="s">
        <v>3167</v>
      </c>
      <c r="B1892" s="50"/>
      <c r="C1892" s="50"/>
      <c r="D1892" s="3" t="s">
        <v>3157</v>
      </c>
      <c r="E1892" s="3"/>
      <c r="F1892" s="51"/>
      <c r="G1892" s="50" t="s">
        <v>134</v>
      </c>
      <c r="H1892" s="52">
        <f>1</f>
        <v>1</v>
      </c>
      <c r="I1892" s="36"/>
      <c r="J1892" s="52">
        <v>1</v>
      </c>
      <c r="K1892" s="53">
        <f>0</f>
        <v>0</v>
      </c>
      <c r="L1892" s="53">
        <f>0</f>
        <v>0</v>
      </c>
      <c r="M1892" s="53">
        <f>0</f>
        <v>0</v>
      </c>
      <c r="N1892" s="54">
        <f t="shared" si="374"/>
        <v>0</v>
      </c>
      <c r="O1892" s="54">
        <f t="shared" si="375"/>
        <v>0</v>
      </c>
      <c r="P1892" s="54">
        <f t="shared" si="376"/>
        <v>0</v>
      </c>
      <c r="Q1892" s="54">
        <f t="shared" si="377"/>
        <v>0</v>
      </c>
      <c r="R1892" s="54">
        <f t="shared" si="378"/>
        <v>0</v>
      </c>
      <c r="S1892" s="54"/>
      <c r="T1892" s="36"/>
      <c r="XDA1892"/>
      <c r="XDB1892"/>
      <c r="XDC1892"/>
      <c r="XDD1892"/>
      <c r="XDE1892"/>
      <c r="XDF1892"/>
      <c r="XDG1892"/>
      <c r="XDH1892"/>
      <c r="XDI1892"/>
      <c r="XDJ1892"/>
      <c r="XDK1892"/>
      <c r="XDL1892"/>
      <c r="XDM1892"/>
      <c r="XDN1892"/>
      <c r="XDO1892"/>
      <c r="XDP1892"/>
      <c r="XDQ1892"/>
      <c r="XDR1892"/>
      <c r="XDS1892"/>
      <c r="XDT1892"/>
      <c r="XDU1892"/>
      <c r="XDV1892"/>
      <c r="XDW1892"/>
      <c r="XDX1892"/>
      <c r="XDY1892"/>
      <c r="XDZ1892"/>
      <c r="XEA1892"/>
      <c r="XEB1892"/>
      <c r="XEC1892"/>
      <c r="XED1892"/>
      <c r="XEE1892"/>
      <c r="XEF1892"/>
      <c r="XEG1892"/>
      <c r="XEH1892"/>
      <c r="XEI1892"/>
      <c r="XEJ1892"/>
      <c r="XEK1892"/>
      <c r="XEL1892"/>
      <c r="XEM1892"/>
      <c r="XEN1892"/>
      <c r="XEO1892"/>
      <c r="XEP1892"/>
      <c r="XEQ1892"/>
      <c r="XER1892"/>
      <c r="XES1892"/>
      <c r="XET1892"/>
      <c r="XEU1892"/>
      <c r="XEV1892"/>
      <c r="XEW1892"/>
      <c r="XEX1892"/>
      <c r="XEY1892"/>
      <c r="XEZ1892"/>
      <c r="XFA1892"/>
      <c r="XFB1892"/>
      <c r="XFC1892"/>
    </row>
    <row r="1893" spans="1:20 16329:16383" s="38" customFormat="1" ht="29.1" customHeight="1" outlineLevel="5" x14ac:dyDescent="0.25">
      <c r="A1893" s="49" t="s">
        <v>3168</v>
      </c>
      <c r="B1893" s="50"/>
      <c r="C1893" s="50"/>
      <c r="D1893" s="3" t="s">
        <v>3110</v>
      </c>
      <c r="E1893" s="3"/>
      <c r="F1893" s="51"/>
      <c r="G1893" s="50" t="s">
        <v>134</v>
      </c>
      <c r="H1893" s="52">
        <f>1</f>
        <v>1</v>
      </c>
      <c r="I1893" s="36"/>
      <c r="J1893" s="52">
        <v>1</v>
      </c>
      <c r="K1893" s="53">
        <f>0</f>
        <v>0</v>
      </c>
      <c r="L1893" s="53">
        <f>0</f>
        <v>0</v>
      </c>
      <c r="M1893" s="53">
        <f>0</f>
        <v>0</v>
      </c>
      <c r="N1893" s="54">
        <f t="shared" si="374"/>
        <v>0</v>
      </c>
      <c r="O1893" s="54">
        <f t="shared" si="375"/>
        <v>0</v>
      </c>
      <c r="P1893" s="54">
        <f t="shared" si="376"/>
        <v>0</v>
      </c>
      <c r="Q1893" s="54">
        <f t="shared" si="377"/>
        <v>0</v>
      </c>
      <c r="R1893" s="54">
        <f t="shared" si="378"/>
        <v>0</v>
      </c>
      <c r="S1893" s="54"/>
      <c r="T1893" s="36"/>
      <c r="XDA1893"/>
      <c r="XDB1893"/>
      <c r="XDC1893"/>
      <c r="XDD1893"/>
      <c r="XDE1893"/>
      <c r="XDF1893"/>
      <c r="XDG1893"/>
      <c r="XDH1893"/>
      <c r="XDI1893"/>
      <c r="XDJ1893"/>
      <c r="XDK1893"/>
      <c r="XDL1893"/>
      <c r="XDM1893"/>
      <c r="XDN1893"/>
      <c r="XDO1893"/>
      <c r="XDP1893"/>
      <c r="XDQ1893"/>
      <c r="XDR1893"/>
      <c r="XDS1893"/>
      <c r="XDT1893"/>
      <c r="XDU1893"/>
      <c r="XDV1893"/>
      <c r="XDW1893"/>
      <c r="XDX1893"/>
      <c r="XDY1893"/>
      <c r="XDZ1893"/>
      <c r="XEA1893"/>
      <c r="XEB1893"/>
      <c r="XEC1893"/>
      <c r="XED1893"/>
      <c r="XEE1893"/>
      <c r="XEF1893"/>
      <c r="XEG1893"/>
      <c r="XEH1893"/>
      <c r="XEI1893"/>
      <c r="XEJ1893"/>
      <c r="XEK1893"/>
      <c r="XEL1893"/>
      <c r="XEM1893"/>
      <c r="XEN1893"/>
      <c r="XEO1893"/>
      <c r="XEP1893"/>
      <c r="XEQ1893"/>
      <c r="XER1893"/>
      <c r="XES1893"/>
      <c r="XET1893"/>
      <c r="XEU1893"/>
      <c r="XEV1893"/>
      <c r="XEW1893"/>
      <c r="XEX1893"/>
      <c r="XEY1893"/>
      <c r="XEZ1893"/>
      <c r="XFA1893"/>
      <c r="XFB1893"/>
      <c r="XFC1893"/>
    </row>
    <row r="1894" spans="1:20 16329:16383" s="38" customFormat="1" ht="29.1" customHeight="1" outlineLevel="4" x14ac:dyDescent="0.25">
      <c r="A1894" s="60" t="s">
        <v>3169</v>
      </c>
      <c r="B1894" s="61" t="s">
        <v>3170</v>
      </c>
      <c r="C1894" s="61"/>
      <c r="D1894" s="1" t="s">
        <v>3171</v>
      </c>
      <c r="E1894" s="1"/>
      <c r="F1894" s="62"/>
      <c r="G1894" s="61"/>
      <c r="H1894" s="63"/>
      <c r="I1894" s="36"/>
      <c r="J1894" s="63"/>
      <c r="K1894" s="64"/>
      <c r="L1894" s="64"/>
      <c r="M1894" s="64"/>
      <c r="N1894" s="64"/>
      <c r="O1894" s="64">
        <f>SUM(O1895:O1900)</f>
        <v>0</v>
      </c>
      <c r="P1894" s="64">
        <f>SUM(P1895:P1900)</f>
        <v>0</v>
      </c>
      <c r="Q1894" s="64">
        <f>SUM(Q1895:Q1900)</f>
        <v>0</v>
      </c>
      <c r="R1894" s="64">
        <f>SUM(R1895:R1900)</f>
        <v>0</v>
      </c>
      <c r="S1894" s="64"/>
      <c r="T1894" s="36"/>
      <c r="XDA1894"/>
      <c r="XDB1894"/>
      <c r="XDC1894"/>
      <c r="XDD1894"/>
      <c r="XDE1894"/>
      <c r="XDF1894"/>
      <c r="XDG1894"/>
      <c r="XDH1894"/>
      <c r="XDI1894"/>
      <c r="XDJ1894"/>
      <c r="XDK1894"/>
      <c r="XDL1894"/>
      <c r="XDM1894"/>
      <c r="XDN1894"/>
      <c r="XDO1894"/>
      <c r="XDP1894"/>
      <c r="XDQ1894"/>
      <c r="XDR1894"/>
      <c r="XDS1894"/>
      <c r="XDT1894"/>
      <c r="XDU1894"/>
      <c r="XDV1894"/>
      <c r="XDW1894"/>
      <c r="XDX1894"/>
      <c r="XDY1894"/>
      <c r="XDZ1894"/>
      <c r="XEA1894"/>
      <c r="XEB1894"/>
      <c r="XEC1894"/>
      <c r="XED1894"/>
      <c r="XEE1894"/>
      <c r="XEF1894"/>
      <c r="XEG1894"/>
      <c r="XEH1894"/>
      <c r="XEI1894"/>
      <c r="XEJ1894"/>
      <c r="XEK1894"/>
      <c r="XEL1894"/>
      <c r="XEM1894"/>
      <c r="XEN1894"/>
      <c r="XEO1894"/>
      <c r="XEP1894"/>
      <c r="XEQ1894"/>
      <c r="XER1894"/>
      <c r="XES1894"/>
      <c r="XET1894"/>
      <c r="XEU1894"/>
      <c r="XEV1894"/>
      <c r="XEW1894"/>
      <c r="XEX1894"/>
      <c r="XEY1894"/>
      <c r="XEZ1894"/>
      <c r="XFA1894"/>
      <c r="XFB1894"/>
      <c r="XFC1894"/>
    </row>
    <row r="1895" spans="1:20 16329:16383" s="38" customFormat="1" ht="29.1" customHeight="1" outlineLevel="5" x14ac:dyDescent="0.25">
      <c r="A1895" s="49" t="s">
        <v>3172</v>
      </c>
      <c r="B1895" s="50"/>
      <c r="C1895" s="50"/>
      <c r="D1895" s="3" t="s">
        <v>3153</v>
      </c>
      <c r="E1895" s="3"/>
      <c r="F1895" s="51"/>
      <c r="G1895" s="50" t="s">
        <v>134</v>
      </c>
      <c r="H1895" s="52">
        <f>1</f>
        <v>1</v>
      </c>
      <c r="I1895" s="36"/>
      <c r="J1895" s="52">
        <v>1</v>
      </c>
      <c r="K1895" s="53">
        <f>0</f>
        <v>0</v>
      </c>
      <c r="L1895" s="53">
        <f>0</f>
        <v>0</v>
      </c>
      <c r="M1895" s="53">
        <f>0</f>
        <v>0</v>
      </c>
      <c r="N1895" s="54">
        <f t="shared" ref="N1895:N1900" si="379">SUM(K1895:M1895)</f>
        <v>0</v>
      </c>
      <c r="O1895" s="54">
        <f t="shared" ref="O1895:O1900" si="380">ROUND((H1895*K1895),2)</f>
        <v>0</v>
      </c>
      <c r="P1895" s="54">
        <f t="shared" ref="P1895:P1900" si="381">ROUND((H1895*L1895),2)</f>
        <v>0</v>
      </c>
      <c r="Q1895" s="54">
        <f t="shared" ref="Q1895:Q1900" si="382">ROUND((H1895*M1895),2)</f>
        <v>0</v>
      </c>
      <c r="R1895" s="54">
        <f t="shared" ref="R1895:R1900" si="383">ROUND((H1895*N1895),2)</f>
        <v>0</v>
      </c>
      <c r="S1895" s="54"/>
      <c r="T1895" s="36"/>
      <c r="XDA1895"/>
      <c r="XDB1895"/>
      <c r="XDC1895"/>
      <c r="XDD1895"/>
      <c r="XDE1895"/>
      <c r="XDF1895"/>
      <c r="XDG1895"/>
      <c r="XDH1895"/>
      <c r="XDI1895"/>
      <c r="XDJ1895"/>
      <c r="XDK1895"/>
      <c r="XDL1895"/>
      <c r="XDM1895"/>
      <c r="XDN1895"/>
      <c r="XDO1895"/>
      <c r="XDP1895"/>
      <c r="XDQ1895"/>
      <c r="XDR1895"/>
      <c r="XDS1895"/>
      <c r="XDT1895"/>
      <c r="XDU1895"/>
      <c r="XDV1895"/>
      <c r="XDW1895"/>
      <c r="XDX1895"/>
      <c r="XDY1895"/>
      <c r="XDZ1895"/>
      <c r="XEA1895"/>
      <c r="XEB1895"/>
      <c r="XEC1895"/>
      <c r="XED1895"/>
      <c r="XEE1895"/>
      <c r="XEF1895"/>
      <c r="XEG1895"/>
      <c r="XEH1895"/>
      <c r="XEI1895"/>
      <c r="XEJ1895"/>
      <c r="XEK1895"/>
      <c r="XEL1895"/>
      <c r="XEM1895"/>
      <c r="XEN1895"/>
      <c r="XEO1895"/>
      <c r="XEP1895"/>
      <c r="XEQ1895"/>
      <c r="XER1895"/>
      <c r="XES1895"/>
      <c r="XET1895"/>
      <c r="XEU1895"/>
      <c r="XEV1895"/>
      <c r="XEW1895"/>
      <c r="XEX1895"/>
      <c r="XEY1895"/>
      <c r="XEZ1895"/>
      <c r="XFA1895"/>
      <c r="XFB1895"/>
      <c r="XFC1895"/>
    </row>
    <row r="1896" spans="1:20 16329:16383" s="38" customFormat="1" ht="29.1" customHeight="1" outlineLevel="5" x14ac:dyDescent="0.25">
      <c r="A1896" s="49" t="s">
        <v>3173</v>
      </c>
      <c r="B1896" s="50"/>
      <c r="C1896" s="50"/>
      <c r="D1896" s="3" t="s">
        <v>3104</v>
      </c>
      <c r="E1896" s="3"/>
      <c r="F1896" s="51"/>
      <c r="G1896" s="50" t="s">
        <v>134</v>
      </c>
      <c r="H1896" s="52">
        <f>1</f>
        <v>1</v>
      </c>
      <c r="I1896" s="36"/>
      <c r="J1896" s="52">
        <v>1</v>
      </c>
      <c r="K1896" s="53">
        <f>0</f>
        <v>0</v>
      </c>
      <c r="L1896" s="53">
        <f>0</f>
        <v>0</v>
      </c>
      <c r="M1896" s="53">
        <f>0</f>
        <v>0</v>
      </c>
      <c r="N1896" s="54">
        <f t="shared" si="379"/>
        <v>0</v>
      </c>
      <c r="O1896" s="54">
        <f t="shared" si="380"/>
        <v>0</v>
      </c>
      <c r="P1896" s="54">
        <f t="shared" si="381"/>
        <v>0</v>
      </c>
      <c r="Q1896" s="54">
        <f t="shared" si="382"/>
        <v>0</v>
      </c>
      <c r="R1896" s="54">
        <f t="shared" si="383"/>
        <v>0</v>
      </c>
      <c r="S1896" s="54"/>
      <c r="T1896" s="36"/>
      <c r="XDA1896"/>
      <c r="XDB1896"/>
      <c r="XDC1896"/>
      <c r="XDD1896"/>
      <c r="XDE1896"/>
      <c r="XDF1896"/>
      <c r="XDG1896"/>
      <c r="XDH1896"/>
      <c r="XDI1896"/>
      <c r="XDJ1896"/>
      <c r="XDK1896"/>
      <c r="XDL1896"/>
      <c r="XDM1896"/>
      <c r="XDN1896"/>
      <c r="XDO1896"/>
      <c r="XDP1896"/>
      <c r="XDQ1896"/>
      <c r="XDR1896"/>
      <c r="XDS1896"/>
      <c r="XDT1896"/>
      <c r="XDU1896"/>
      <c r="XDV1896"/>
      <c r="XDW1896"/>
      <c r="XDX1896"/>
      <c r="XDY1896"/>
      <c r="XDZ1896"/>
      <c r="XEA1896"/>
      <c r="XEB1896"/>
      <c r="XEC1896"/>
      <c r="XED1896"/>
      <c r="XEE1896"/>
      <c r="XEF1896"/>
      <c r="XEG1896"/>
      <c r="XEH1896"/>
      <c r="XEI1896"/>
      <c r="XEJ1896"/>
      <c r="XEK1896"/>
      <c r="XEL1896"/>
      <c r="XEM1896"/>
      <c r="XEN1896"/>
      <c r="XEO1896"/>
      <c r="XEP1896"/>
      <c r="XEQ1896"/>
      <c r="XER1896"/>
      <c r="XES1896"/>
      <c r="XET1896"/>
      <c r="XEU1896"/>
      <c r="XEV1896"/>
      <c r="XEW1896"/>
      <c r="XEX1896"/>
      <c r="XEY1896"/>
      <c r="XEZ1896"/>
      <c r="XFA1896"/>
      <c r="XFB1896"/>
      <c r="XFC1896"/>
    </row>
    <row r="1897" spans="1:20 16329:16383" s="38" customFormat="1" ht="29.1" customHeight="1" outlineLevel="5" x14ac:dyDescent="0.25">
      <c r="A1897" s="49" t="s">
        <v>3174</v>
      </c>
      <c r="B1897" s="50"/>
      <c r="C1897" s="50"/>
      <c r="D1897" s="3" t="s">
        <v>3106</v>
      </c>
      <c r="E1897" s="3"/>
      <c r="F1897" s="51"/>
      <c r="G1897" s="50" t="s">
        <v>134</v>
      </c>
      <c r="H1897" s="52">
        <f>1</f>
        <v>1</v>
      </c>
      <c r="I1897" s="36"/>
      <c r="J1897" s="52">
        <v>1</v>
      </c>
      <c r="K1897" s="53">
        <f>0</f>
        <v>0</v>
      </c>
      <c r="L1897" s="53">
        <f>0</f>
        <v>0</v>
      </c>
      <c r="M1897" s="53">
        <f>0</f>
        <v>0</v>
      </c>
      <c r="N1897" s="54">
        <f t="shared" si="379"/>
        <v>0</v>
      </c>
      <c r="O1897" s="54">
        <f t="shared" si="380"/>
        <v>0</v>
      </c>
      <c r="P1897" s="54">
        <f t="shared" si="381"/>
        <v>0</v>
      </c>
      <c r="Q1897" s="54">
        <f t="shared" si="382"/>
        <v>0</v>
      </c>
      <c r="R1897" s="54">
        <f t="shared" si="383"/>
        <v>0</v>
      </c>
      <c r="S1897" s="54"/>
      <c r="T1897" s="36"/>
      <c r="XDA1897"/>
      <c r="XDB1897"/>
      <c r="XDC1897"/>
      <c r="XDD1897"/>
      <c r="XDE1897"/>
      <c r="XDF1897"/>
      <c r="XDG1897"/>
      <c r="XDH1897"/>
      <c r="XDI1897"/>
      <c r="XDJ1897"/>
      <c r="XDK1897"/>
      <c r="XDL1897"/>
      <c r="XDM1897"/>
      <c r="XDN1897"/>
      <c r="XDO1897"/>
      <c r="XDP1897"/>
      <c r="XDQ1897"/>
      <c r="XDR1897"/>
      <c r="XDS1897"/>
      <c r="XDT1897"/>
      <c r="XDU1897"/>
      <c r="XDV1897"/>
      <c r="XDW1897"/>
      <c r="XDX1897"/>
      <c r="XDY1897"/>
      <c r="XDZ1897"/>
      <c r="XEA1897"/>
      <c r="XEB1897"/>
      <c r="XEC1897"/>
      <c r="XED1897"/>
      <c r="XEE1897"/>
      <c r="XEF1897"/>
      <c r="XEG1897"/>
      <c r="XEH1897"/>
      <c r="XEI1897"/>
      <c r="XEJ1897"/>
      <c r="XEK1897"/>
      <c r="XEL1897"/>
      <c r="XEM1897"/>
      <c r="XEN1897"/>
      <c r="XEO1897"/>
      <c r="XEP1897"/>
      <c r="XEQ1897"/>
      <c r="XER1897"/>
      <c r="XES1897"/>
      <c r="XET1897"/>
      <c r="XEU1897"/>
      <c r="XEV1897"/>
      <c r="XEW1897"/>
      <c r="XEX1897"/>
      <c r="XEY1897"/>
      <c r="XEZ1897"/>
      <c r="XFA1897"/>
      <c r="XFB1897"/>
      <c r="XFC1897"/>
    </row>
    <row r="1898" spans="1:20 16329:16383" s="38" customFormat="1" ht="29.1" customHeight="1" outlineLevel="5" x14ac:dyDescent="0.25">
      <c r="A1898" s="49" t="s">
        <v>3175</v>
      </c>
      <c r="B1898" s="50"/>
      <c r="C1898" s="50"/>
      <c r="D1898" s="3" t="s">
        <v>3108</v>
      </c>
      <c r="E1898" s="3"/>
      <c r="F1898" s="51"/>
      <c r="G1898" s="50" t="s">
        <v>134</v>
      </c>
      <c r="H1898" s="52">
        <f>1</f>
        <v>1</v>
      </c>
      <c r="I1898" s="36"/>
      <c r="J1898" s="52">
        <v>1</v>
      </c>
      <c r="K1898" s="53">
        <f>0</f>
        <v>0</v>
      </c>
      <c r="L1898" s="53">
        <f>0</f>
        <v>0</v>
      </c>
      <c r="M1898" s="53">
        <f>0</f>
        <v>0</v>
      </c>
      <c r="N1898" s="54">
        <f t="shared" si="379"/>
        <v>0</v>
      </c>
      <c r="O1898" s="54">
        <f t="shared" si="380"/>
        <v>0</v>
      </c>
      <c r="P1898" s="54">
        <f t="shared" si="381"/>
        <v>0</v>
      </c>
      <c r="Q1898" s="54">
        <f t="shared" si="382"/>
        <v>0</v>
      </c>
      <c r="R1898" s="54">
        <f t="shared" si="383"/>
        <v>0</v>
      </c>
      <c r="S1898" s="54"/>
      <c r="T1898" s="36"/>
      <c r="XDA1898"/>
      <c r="XDB1898"/>
      <c r="XDC1898"/>
      <c r="XDD1898"/>
      <c r="XDE1898"/>
      <c r="XDF1898"/>
      <c r="XDG1898"/>
      <c r="XDH1898"/>
      <c r="XDI1898"/>
      <c r="XDJ1898"/>
      <c r="XDK1898"/>
      <c r="XDL1898"/>
      <c r="XDM1898"/>
      <c r="XDN1898"/>
      <c r="XDO1898"/>
      <c r="XDP1898"/>
      <c r="XDQ1898"/>
      <c r="XDR1898"/>
      <c r="XDS1898"/>
      <c r="XDT1898"/>
      <c r="XDU1898"/>
      <c r="XDV1898"/>
      <c r="XDW1898"/>
      <c r="XDX1898"/>
      <c r="XDY1898"/>
      <c r="XDZ1898"/>
      <c r="XEA1898"/>
      <c r="XEB1898"/>
      <c r="XEC1898"/>
      <c r="XED1898"/>
      <c r="XEE1898"/>
      <c r="XEF1898"/>
      <c r="XEG1898"/>
      <c r="XEH1898"/>
      <c r="XEI1898"/>
      <c r="XEJ1898"/>
      <c r="XEK1898"/>
      <c r="XEL1898"/>
      <c r="XEM1898"/>
      <c r="XEN1898"/>
      <c r="XEO1898"/>
      <c r="XEP1898"/>
      <c r="XEQ1898"/>
      <c r="XER1898"/>
      <c r="XES1898"/>
      <c r="XET1898"/>
      <c r="XEU1898"/>
      <c r="XEV1898"/>
      <c r="XEW1898"/>
      <c r="XEX1898"/>
      <c r="XEY1898"/>
      <c r="XEZ1898"/>
      <c r="XFA1898"/>
      <c r="XFB1898"/>
      <c r="XFC1898"/>
    </row>
    <row r="1899" spans="1:20 16329:16383" s="38" customFormat="1" ht="29.1" customHeight="1" outlineLevel="5" x14ac:dyDescent="0.25">
      <c r="A1899" s="49" t="s">
        <v>3176</v>
      </c>
      <c r="B1899" s="50"/>
      <c r="C1899" s="50"/>
      <c r="D1899" s="3" t="s">
        <v>3157</v>
      </c>
      <c r="E1899" s="3"/>
      <c r="F1899" s="51"/>
      <c r="G1899" s="50" t="s">
        <v>134</v>
      </c>
      <c r="H1899" s="52">
        <f>1</f>
        <v>1</v>
      </c>
      <c r="I1899" s="36"/>
      <c r="J1899" s="52">
        <v>1</v>
      </c>
      <c r="K1899" s="53">
        <f>0</f>
        <v>0</v>
      </c>
      <c r="L1899" s="53">
        <f>0</f>
        <v>0</v>
      </c>
      <c r="M1899" s="53">
        <f>0</f>
        <v>0</v>
      </c>
      <c r="N1899" s="54">
        <f t="shared" si="379"/>
        <v>0</v>
      </c>
      <c r="O1899" s="54">
        <f t="shared" si="380"/>
        <v>0</v>
      </c>
      <c r="P1899" s="54">
        <f t="shared" si="381"/>
        <v>0</v>
      </c>
      <c r="Q1899" s="54">
        <f t="shared" si="382"/>
        <v>0</v>
      </c>
      <c r="R1899" s="54">
        <f t="shared" si="383"/>
        <v>0</v>
      </c>
      <c r="S1899" s="54"/>
      <c r="T1899" s="36"/>
      <c r="XDA1899"/>
      <c r="XDB1899"/>
      <c r="XDC1899"/>
      <c r="XDD1899"/>
      <c r="XDE1899"/>
      <c r="XDF1899"/>
      <c r="XDG1899"/>
      <c r="XDH1899"/>
      <c r="XDI1899"/>
      <c r="XDJ1899"/>
      <c r="XDK1899"/>
      <c r="XDL1899"/>
      <c r="XDM1899"/>
      <c r="XDN1899"/>
      <c r="XDO1899"/>
      <c r="XDP1899"/>
      <c r="XDQ1899"/>
      <c r="XDR1899"/>
      <c r="XDS1899"/>
      <c r="XDT1899"/>
      <c r="XDU1899"/>
      <c r="XDV1899"/>
      <c r="XDW1899"/>
      <c r="XDX1899"/>
      <c r="XDY1899"/>
      <c r="XDZ1899"/>
      <c r="XEA1899"/>
      <c r="XEB1899"/>
      <c r="XEC1899"/>
      <c r="XED1899"/>
      <c r="XEE1899"/>
      <c r="XEF1899"/>
      <c r="XEG1899"/>
      <c r="XEH1899"/>
      <c r="XEI1899"/>
      <c r="XEJ1899"/>
      <c r="XEK1899"/>
      <c r="XEL1899"/>
      <c r="XEM1899"/>
      <c r="XEN1899"/>
      <c r="XEO1899"/>
      <c r="XEP1899"/>
      <c r="XEQ1899"/>
      <c r="XER1899"/>
      <c r="XES1899"/>
      <c r="XET1899"/>
      <c r="XEU1899"/>
      <c r="XEV1899"/>
      <c r="XEW1899"/>
      <c r="XEX1899"/>
      <c r="XEY1899"/>
      <c r="XEZ1899"/>
      <c r="XFA1899"/>
      <c r="XFB1899"/>
      <c r="XFC1899"/>
    </row>
    <row r="1900" spans="1:20 16329:16383" s="38" customFormat="1" ht="29.1" customHeight="1" outlineLevel="5" x14ac:dyDescent="0.25">
      <c r="A1900" s="49" t="s">
        <v>3177</v>
      </c>
      <c r="B1900" s="50"/>
      <c r="C1900" s="50"/>
      <c r="D1900" s="3" t="s">
        <v>3110</v>
      </c>
      <c r="E1900" s="3"/>
      <c r="F1900" s="51"/>
      <c r="G1900" s="50" t="s">
        <v>134</v>
      </c>
      <c r="H1900" s="52">
        <f>1</f>
        <v>1</v>
      </c>
      <c r="I1900" s="36"/>
      <c r="J1900" s="52">
        <v>1</v>
      </c>
      <c r="K1900" s="53">
        <f>0</f>
        <v>0</v>
      </c>
      <c r="L1900" s="53">
        <f>0</f>
        <v>0</v>
      </c>
      <c r="M1900" s="53">
        <f>0</f>
        <v>0</v>
      </c>
      <c r="N1900" s="54">
        <f t="shared" si="379"/>
        <v>0</v>
      </c>
      <c r="O1900" s="54">
        <f t="shared" si="380"/>
        <v>0</v>
      </c>
      <c r="P1900" s="54">
        <f t="shared" si="381"/>
        <v>0</v>
      </c>
      <c r="Q1900" s="54">
        <f t="shared" si="382"/>
        <v>0</v>
      </c>
      <c r="R1900" s="54">
        <f t="shared" si="383"/>
        <v>0</v>
      </c>
      <c r="S1900" s="54"/>
      <c r="T1900" s="36"/>
      <c r="XDA1900"/>
      <c r="XDB1900"/>
      <c r="XDC1900"/>
      <c r="XDD1900"/>
      <c r="XDE1900"/>
      <c r="XDF1900"/>
      <c r="XDG1900"/>
      <c r="XDH1900"/>
      <c r="XDI1900"/>
      <c r="XDJ1900"/>
      <c r="XDK1900"/>
      <c r="XDL1900"/>
      <c r="XDM1900"/>
      <c r="XDN1900"/>
      <c r="XDO1900"/>
      <c r="XDP1900"/>
      <c r="XDQ1900"/>
      <c r="XDR1900"/>
      <c r="XDS1900"/>
      <c r="XDT1900"/>
      <c r="XDU1900"/>
      <c r="XDV1900"/>
      <c r="XDW1900"/>
      <c r="XDX1900"/>
      <c r="XDY1900"/>
      <c r="XDZ1900"/>
      <c r="XEA1900"/>
      <c r="XEB1900"/>
      <c r="XEC1900"/>
      <c r="XED1900"/>
      <c r="XEE1900"/>
      <c r="XEF1900"/>
      <c r="XEG1900"/>
      <c r="XEH1900"/>
      <c r="XEI1900"/>
      <c r="XEJ1900"/>
      <c r="XEK1900"/>
      <c r="XEL1900"/>
      <c r="XEM1900"/>
      <c r="XEN1900"/>
      <c r="XEO1900"/>
      <c r="XEP1900"/>
      <c r="XEQ1900"/>
      <c r="XER1900"/>
      <c r="XES1900"/>
      <c r="XET1900"/>
      <c r="XEU1900"/>
      <c r="XEV1900"/>
      <c r="XEW1900"/>
      <c r="XEX1900"/>
      <c r="XEY1900"/>
      <c r="XEZ1900"/>
      <c r="XFA1900"/>
      <c r="XFB1900"/>
      <c r="XFC1900"/>
    </row>
    <row r="1901" spans="1:20 16329:16383" s="38" customFormat="1" ht="29.1" customHeight="1" outlineLevel="4" x14ac:dyDescent="0.25">
      <c r="A1901" s="60" t="s">
        <v>3178</v>
      </c>
      <c r="B1901" s="61" t="s">
        <v>3179</v>
      </c>
      <c r="C1901" s="61"/>
      <c r="D1901" s="1" t="s">
        <v>3180</v>
      </c>
      <c r="E1901" s="1"/>
      <c r="F1901" s="62"/>
      <c r="G1901" s="61"/>
      <c r="H1901" s="63"/>
      <c r="I1901" s="36"/>
      <c r="J1901" s="63"/>
      <c r="K1901" s="64"/>
      <c r="L1901" s="64"/>
      <c r="M1901" s="64"/>
      <c r="N1901" s="64"/>
      <c r="O1901" s="64">
        <f>SUM(O1902:O1907)</f>
        <v>0</v>
      </c>
      <c r="P1901" s="64">
        <f>SUM(P1902:P1907)</f>
        <v>0</v>
      </c>
      <c r="Q1901" s="64">
        <f>SUM(Q1902:Q1907)</f>
        <v>0</v>
      </c>
      <c r="R1901" s="64">
        <f>SUM(R1902:R1907)</f>
        <v>0</v>
      </c>
      <c r="S1901" s="64"/>
      <c r="T1901" s="36"/>
      <c r="XDA1901"/>
      <c r="XDB1901"/>
      <c r="XDC1901"/>
      <c r="XDD1901"/>
      <c r="XDE1901"/>
      <c r="XDF1901"/>
      <c r="XDG1901"/>
      <c r="XDH1901"/>
      <c r="XDI1901"/>
      <c r="XDJ1901"/>
      <c r="XDK1901"/>
      <c r="XDL1901"/>
      <c r="XDM1901"/>
      <c r="XDN1901"/>
      <c r="XDO1901"/>
      <c r="XDP1901"/>
      <c r="XDQ1901"/>
      <c r="XDR1901"/>
      <c r="XDS1901"/>
      <c r="XDT1901"/>
      <c r="XDU1901"/>
      <c r="XDV1901"/>
      <c r="XDW1901"/>
      <c r="XDX1901"/>
      <c r="XDY1901"/>
      <c r="XDZ1901"/>
      <c r="XEA1901"/>
      <c r="XEB1901"/>
      <c r="XEC1901"/>
      <c r="XED1901"/>
      <c r="XEE1901"/>
      <c r="XEF1901"/>
      <c r="XEG1901"/>
      <c r="XEH1901"/>
      <c r="XEI1901"/>
      <c r="XEJ1901"/>
      <c r="XEK1901"/>
      <c r="XEL1901"/>
      <c r="XEM1901"/>
      <c r="XEN1901"/>
      <c r="XEO1901"/>
      <c r="XEP1901"/>
      <c r="XEQ1901"/>
      <c r="XER1901"/>
      <c r="XES1901"/>
      <c r="XET1901"/>
      <c r="XEU1901"/>
      <c r="XEV1901"/>
      <c r="XEW1901"/>
      <c r="XEX1901"/>
      <c r="XEY1901"/>
      <c r="XEZ1901"/>
      <c r="XFA1901"/>
      <c r="XFB1901"/>
      <c r="XFC1901"/>
    </row>
    <row r="1902" spans="1:20 16329:16383" s="38" customFormat="1" ht="29.1" customHeight="1" outlineLevel="5" x14ac:dyDescent="0.25">
      <c r="A1902" s="49" t="s">
        <v>3181</v>
      </c>
      <c r="B1902" s="50"/>
      <c r="C1902" s="50"/>
      <c r="D1902" s="3" t="s">
        <v>3104</v>
      </c>
      <c r="E1902" s="3"/>
      <c r="F1902" s="51"/>
      <c r="G1902" s="50" t="s">
        <v>134</v>
      </c>
      <c r="H1902" s="52">
        <f>1</f>
        <v>1</v>
      </c>
      <c r="I1902" s="36"/>
      <c r="J1902" s="52">
        <v>1</v>
      </c>
      <c r="K1902" s="53">
        <f>0</f>
        <v>0</v>
      </c>
      <c r="L1902" s="53">
        <f>0</f>
        <v>0</v>
      </c>
      <c r="M1902" s="53">
        <f>0</f>
        <v>0</v>
      </c>
      <c r="N1902" s="54">
        <f t="shared" ref="N1902:N1907" si="384">SUM(K1902:M1902)</f>
        <v>0</v>
      </c>
      <c r="O1902" s="54">
        <f t="shared" ref="O1902:O1907" si="385">ROUND((H1902*K1902),2)</f>
        <v>0</v>
      </c>
      <c r="P1902" s="54">
        <f t="shared" ref="P1902:P1907" si="386">ROUND((H1902*L1902),2)</f>
        <v>0</v>
      </c>
      <c r="Q1902" s="54">
        <f t="shared" ref="Q1902:Q1907" si="387">ROUND((H1902*M1902),2)</f>
        <v>0</v>
      </c>
      <c r="R1902" s="54">
        <f t="shared" ref="R1902:R1907" si="388">ROUND((H1902*N1902),2)</f>
        <v>0</v>
      </c>
      <c r="S1902" s="54"/>
      <c r="T1902" s="36"/>
      <c r="XDA1902"/>
      <c r="XDB1902"/>
      <c r="XDC1902"/>
      <c r="XDD1902"/>
      <c r="XDE1902"/>
      <c r="XDF1902"/>
      <c r="XDG1902"/>
      <c r="XDH1902"/>
      <c r="XDI1902"/>
      <c r="XDJ1902"/>
      <c r="XDK1902"/>
      <c r="XDL1902"/>
      <c r="XDM1902"/>
      <c r="XDN1902"/>
      <c r="XDO1902"/>
      <c r="XDP1902"/>
      <c r="XDQ1902"/>
      <c r="XDR1902"/>
      <c r="XDS1902"/>
      <c r="XDT1902"/>
      <c r="XDU1902"/>
      <c r="XDV1902"/>
      <c r="XDW1902"/>
      <c r="XDX1902"/>
      <c r="XDY1902"/>
      <c r="XDZ1902"/>
      <c r="XEA1902"/>
      <c r="XEB1902"/>
      <c r="XEC1902"/>
      <c r="XED1902"/>
      <c r="XEE1902"/>
      <c r="XEF1902"/>
      <c r="XEG1902"/>
      <c r="XEH1902"/>
      <c r="XEI1902"/>
      <c r="XEJ1902"/>
      <c r="XEK1902"/>
      <c r="XEL1902"/>
      <c r="XEM1902"/>
      <c r="XEN1902"/>
      <c r="XEO1902"/>
      <c r="XEP1902"/>
      <c r="XEQ1902"/>
      <c r="XER1902"/>
      <c r="XES1902"/>
      <c r="XET1902"/>
      <c r="XEU1902"/>
      <c r="XEV1902"/>
      <c r="XEW1902"/>
      <c r="XEX1902"/>
      <c r="XEY1902"/>
      <c r="XEZ1902"/>
      <c r="XFA1902"/>
      <c r="XFB1902"/>
      <c r="XFC1902"/>
    </row>
    <row r="1903" spans="1:20 16329:16383" s="38" customFormat="1" ht="29.1" customHeight="1" outlineLevel="5" x14ac:dyDescent="0.25">
      <c r="A1903" s="49" t="s">
        <v>3182</v>
      </c>
      <c r="B1903" s="50"/>
      <c r="C1903" s="50"/>
      <c r="D1903" s="3" t="s">
        <v>3153</v>
      </c>
      <c r="E1903" s="3"/>
      <c r="F1903" s="51"/>
      <c r="G1903" s="50" t="s">
        <v>134</v>
      </c>
      <c r="H1903" s="52">
        <f>1</f>
        <v>1</v>
      </c>
      <c r="I1903" s="36"/>
      <c r="J1903" s="52">
        <v>1</v>
      </c>
      <c r="K1903" s="53">
        <f>0</f>
        <v>0</v>
      </c>
      <c r="L1903" s="53">
        <f>0</f>
        <v>0</v>
      </c>
      <c r="M1903" s="53">
        <f>0</f>
        <v>0</v>
      </c>
      <c r="N1903" s="54">
        <f t="shared" si="384"/>
        <v>0</v>
      </c>
      <c r="O1903" s="54">
        <f t="shared" si="385"/>
        <v>0</v>
      </c>
      <c r="P1903" s="54">
        <f t="shared" si="386"/>
        <v>0</v>
      </c>
      <c r="Q1903" s="54">
        <f t="shared" si="387"/>
        <v>0</v>
      </c>
      <c r="R1903" s="54">
        <f t="shared" si="388"/>
        <v>0</v>
      </c>
      <c r="S1903" s="54"/>
      <c r="T1903" s="36"/>
      <c r="XDA1903"/>
      <c r="XDB1903"/>
      <c r="XDC1903"/>
      <c r="XDD1903"/>
      <c r="XDE1903"/>
      <c r="XDF1903"/>
      <c r="XDG1903"/>
      <c r="XDH1903"/>
      <c r="XDI1903"/>
      <c r="XDJ1903"/>
      <c r="XDK1903"/>
      <c r="XDL1903"/>
      <c r="XDM1903"/>
      <c r="XDN1903"/>
      <c r="XDO1903"/>
      <c r="XDP1903"/>
      <c r="XDQ1903"/>
      <c r="XDR1903"/>
      <c r="XDS1903"/>
      <c r="XDT1903"/>
      <c r="XDU1903"/>
      <c r="XDV1903"/>
      <c r="XDW1903"/>
      <c r="XDX1903"/>
      <c r="XDY1903"/>
      <c r="XDZ1903"/>
      <c r="XEA1903"/>
      <c r="XEB1903"/>
      <c r="XEC1903"/>
      <c r="XED1903"/>
      <c r="XEE1903"/>
      <c r="XEF1903"/>
      <c r="XEG1903"/>
      <c r="XEH1903"/>
      <c r="XEI1903"/>
      <c r="XEJ1903"/>
      <c r="XEK1903"/>
      <c r="XEL1903"/>
      <c r="XEM1903"/>
      <c r="XEN1903"/>
      <c r="XEO1903"/>
      <c r="XEP1903"/>
      <c r="XEQ1903"/>
      <c r="XER1903"/>
      <c r="XES1903"/>
      <c r="XET1903"/>
      <c r="XEU1903"/>
      <c r="XEV1903"/>
      <c r="XEW1903"/>
      <c r="XEX1903"/>
      <c r="XEY1903"/>
      <c r="XEZ1903"/>
      <c r="XFA1903"/>
      <c r="XFB1903"/>
      <c r="XFC1903"/>
    </row>
    <row r="1904" spans="1:20 16329:16383" s="38" customFormat="1" ht="29.1" customHeight="1" outlineLevel="5" x14ac:dyDescent="0.25">
      <c r="A1904" s="49" t="s">
        <v>3183</v>
      </c>
      <c r="B1904" s="50"/>
      <c r="C1904" s="50"/>
      <c r="D1904" s="3" t="s">
        <v>3106</v>
      </c>
      <c r="E1904" s="3"/>
      <c r="F1904" s="51"/>
      <c r="G1904" s="50" t="s">
        <v>134</v>
      </c>
      <c r="H1904" s="52">
        <f>1</f>
        <v>1</v>
      </c>
      <c r="I1904" s="36"/>
      <c r="J1904" s="52">
        <v>1</v>
      </c>
      <c r="K1904" s="53">
        <f>0</f>
        <v>0</v>
      </c>
      <c r="L1904" s="53">
        <f>0</f>
        <v>0</v>
      </c>
      <c r="M1904" s="53">
        <f>0</f>
        <v>0</v>
      </c>
      <c r="N1904" s="54">
        <f t="shared" si="384"/>
        <v>0</v>
      </c>
      <c r="O1904" s="54">
        <f t="shared" si="385"/>
        <v>0</v>
      </c>
      <c r="P1904" s="54">
        <f t="shared" si="386"/>
        <v>0</v>
      </c>
      <c r="Q1904" s="54">
        <f t="shared" si="387"/>
        <v>0</v>
      </c>
      <c r="R1904" s="54">
        <f t="shared" si="388"/>
        <v>0</v>
      </c>
      <c r="S1904" s="54"/>
      <c r="T1904" s="36"/>
      <c r="XDA1904"/>
      <c r="XDB1904"/>
      <c r="XDC1904"/>
      <c r="XDD1904"/>
      <c r="XDE1904"/>
      <c r="XDF1904"/>
      <c r="XDG1904"/>
      <c r="XDH1904"/>
      <c r="XDI1904"/>
      <c r="XDJ1904"/>
      <c r="XDK1904"/>
      <c r="XDL1904"/>
      <c r="XDM1904"/>
      <c r="XDN1904"/>
      <c r="XDO1904"/>
      <c r="XDP1904"/>
      <c r="XDQ1904"/>
      <c r="XDR1904"/>
      <c r="XDS1904"/>
      <c r="XDT1904"/>
      <c r="XDU1904"/>
      <c r="XDV1904"/>
      <c r="XDW1904"/>
      <c r="XDX1904"/>
      <c r="XDY1904"/>
      <c r="XDZ1904"/>
      <c r="XEA1904"/>
      <c r="XEB1904"/>
      <c r="XEC1904"/>
      <c r="XED1904"/>
      <c r="XEE1904"/>
      <c r="XEF1904"/>
      <c r="XEG1904"/>
      <c r="XEH1904"/>
      <c r="XEI1904"/>
      <c r="XEJ1904"/>
      <c r="XEK1904"/>
      <c r="XEL1904"/>
      <c r="XEM1904"/>
      <c r="XEN1904"/>
      <c r="XEO1904"/>
      <c r="XEP1904"/>
      <c r="XEQ1904"/>
      <c r="XER1904"/>
      <c r="XES1904"/>
      <c r="XET1904"/>
      <c r="XEU1904"/>
      <c r="XEV1904"/>
      <c r="XEW1904"/>
      <c r="XEX1904"/>
      <c r="XEY1904"/>
      <c r="XEZ1904"/>
      <c r="XFA1904"/>
      <c r="XFB1904"/>
      <c r="XFC1904"/>
    </row>
    <row r="1905" spans="1:20 16329:16383" s="38" customFormat="1" ht="29.1" customHeight="1" outlineLevel="5" x14ac:dyDescent="0.25">
      <c r="A1905" s="49" t="s">
        <v>3184</v>
      </c>
      <c r="B1905" s="50"/>
      <c r="C1905" s="50"/>
      <c r="D1905" s="3" t="s">
        <v>3108</v>
      </c>
      <c r="E1905" s="3"/>
      <c r="F1905" s="51"/>
      <c r="G1905" s="50" t="s">
        <v>134</v>
      </c>
      <c r="H1905" s="52">
        <f>1</f>
        <v>1</v>
      </c>
      <c r="I1905" s="36"/>
      <c r="J1905" s="52">
        <v>1</v>
      </c>
      <c r="K1905" s="53">
        <f>0</f>
        <v>0</v>
      </c>
      <c r="L1905" s="53">
        <f>0</f>
        <v>0</v>
      </c>
      <c r="M1905" s="53">
        <f>0</f>
        <v>0</v>
      </c>
      <c r="N1905" s="54">
        <f t="shared" si="384"/>
        <v>0</v>
      </c>
      <c r="O1905" s="54">
        <f t="shared" si="385"/>
        <v>0</v>
      </c>
      <c r="P1905" s="54">
        <f t="shared" si="386"/>
        <v>0</v>
      </c>
      <c r="Q1905" s="54">
        <f t="shared" si="387"/>
        <v>0</v>
      </c>
      <c r="R1905" s="54">
        <f t="shared" si="388"/>
        <v>0</v>
      </c>
      <c r="S1905" s="54"/>
      <c r="T1905" s="36"/>
      <c r="XDA1905"/>
      <c r="XDB1905"/>
      <c r="XDC1905"/>
      <c r="XDD1905"/>
      <c r="XDE1905"/>
      <c r="XDF1905"/>
      <c r="XDG1905"/>
      <c r="XDH1905"/>
      <c r="XDI1905"/>
      <c r="XDJ1905"/>
      <c r="XDK1905"/>
      <c r="XDL1905"/>
      <c r="XDM1905"/>
      <c r="XDN1905"/>
      <c r="XDO1905"/>
      <c r="XDP1905"/>
      <c r="XDQ1905"/>
      <c r="XDR1905"/>
      <c r="XDS1905"/>
      <c r="XDT1905"/>
      <c r="XDU1905"/>
      <c r="XDV1905"/>
      <c r="XDW1905"/>
      <c r="XDX1905"/>
      <c r="XDY1905"/>
      <c r="XDZ1905"/>
      <c r="XEA1905"/>
      <c r="XEB1905"/>
      <c r="XEC1905"/>
      <c r="XED1905"/>
      <c r="XEE1905"/>
      <c r="XEF1905"/>
      <c r="XEG1905"/>
      <c r="XEH1905"/>
      <c r="XEI1905"/>
      <c r="XEJ1905"/>
      <c r="XEK1905"/>
      <c r="XEL1905"/>
      <c r="XEM1905"/>
      <c r="XEN1905"/>
      <c r="XEO1905"/>
      <c r="XEP1905"/>
      <c r="XEQ1905"/>
      <c r="XER1905"/>
      <c r="XES1905"/>
      <c r="XET1905"/>
      <c r="XEU1905"/>
      <c r="XEV1905"/>
      <c r="XEW1905"/>
      <c r="XEX1905"/>
      <c r="XEY1905"/>
      <c r="XEZ1905"/>
      <c r="XFA1905"/>
      <c r="XFB1905"/>
      <c r="XFC1905"/>
    </row>
    <row r="1906" spans="1:20 16329:16383" s="38" customFormat="1" ht="29.1" customHeight="1" outlineLevel="5" x14ac:dyDescent="0.25">
      <c r="A1906" s="49" t="s">
        <v>3185</v>
      </c>
      <c r="B1906" s="50"/>
      <c r="C1906" s="50"/>
      <c r="D1906" s="3" t="s">
        <v>3157</v>
      </c>
      <c r="E1906" s="3"/>
      <c r="F1906" s="51"/>
      <c r="G1906" s="50" t="s">
        <v>134</v>
      </c>
      <c r="H1906" s="52">
        <f>1</f>
        <v>1</v>
      </c>
      <c r="I1906" s="36"/>
      <c r="J1906" s="52">
        <v>1</v>
      </c>
      <c r="K1906" s="53">
        <f>0</f>
        <v>0</v>
      </c>
      <c r="L1906" s="53">
        <f>0</f>
        <v>0</v>
      </c>
      <c r="M1906" s="53">
        <f>0</f>
        <v>0</v>
      </c>
      <c r="N1906" s="54">
        <f t="shared" si="384"/>
        <v>0</v>
      </c>
      <c r="O1906" s="54">
        <f t="shared" si="385"/>
        <v>0</v>
      </c>
      <c r="P1906" s="54">
        <f t="shared" si="386"/>
        <v>0</v>
      </c>
      <c r="Q1906" s="54">
        <f t="shared" si="387"/>
        <v>0</v>
      </c>
      <c r="R1906" s="54">
        <f t="shared" si="388"/>
        <v>0</v>
      </c>
      <c r="S1906" s="54"/>
      <c r="T1906" s="36"/>
      <c r="XDA1906"/>
      <c r="XDB1906"/>
      <c r="XDC1906"/>
      <c r="XDD1906"/>
      <c r="XDE1906"/>
      <c r="XDF1906"/>
      <c r="XDG1906"/>
      <c r="XDH1906"/>
      <c r="XDI1906"/>
      <c r="XDJ1906"/>
      <c r="XDK1906"/>
      <c r="XDL1906"/>
      <c r="XDM1906"/>
      <c r="XDN1906"/>
      <c r="XDO1906"/>
      <c r="XDP1906"/>
      <c r="XDQ1906"/>
      <c r="XDR1906"/>
      <c r="XDS1906"/>
      <c r="XDT1906"/>
      <c r="XDU1906"/>
      <c r="XDV1906"/>
      <c r="XDW1906"/>
      <c r="XDX1906"/>
      <c r="XDY1906"/>
      <c r="XDZ1906"/>
      <c r="XEA1906"/>
      <c r="XEB1906"/>
      <c r="XEC1906"/>
      <c r="XED1906"/>
      <c r="XEE1906"/>
      <c r="XEF1906"/>
      <c r="XEG1906"/>
      <c r="XEH1906"/>
      <c r="XEI1906"/>
      <c r="XEJ1906"/>
      <c r="XEK1906"/>
      <c r="XEL1906"/>
      <c r="XEM1906"/>
      <c r="XEN1906"/>
      <c r="XEO1906"/>
      <c r="XEP1906"/>
      <c r="XEQ1906"/>
      <c r="XER1906"/>
      <c r="XES1906"/>
      <c r="XET1906"/>
      <c r="XEU1906"/>
      <c r="XEV1906"/>
      <c r="XEW1906"/>
      <c r="XEX1906"/>
      <c r="XEY1906"/>
      <c r="XEZ1906"/>
      <c r="XFA1906"/>
      <c r="XFB1906"/>
      <c r="XFC1906"/>
    </row>
    <row r="1907" spans="1:20 16329:16383" s="38" customFormat="1" ht="29.1" customHeight="1" outlineLevel="5" x14ac:dyDescent="0.25">
      <c r="A1907" s="49" t="s">
        <v>3186</v>
      </c>
      <c r="B1907" s="50"/>
      <c r="C1907" s="50"/>
      <c r="D1907" s="3" t="s">
        <v>3110</v>
      </c>
      <c r="E1907" s="3"/>
      <c r="F1907" s="51"/>
      <c r="G1907" s="50" t="s">
        <v>134</v>
      </c>
      <c r="H1907" s="52">
        <f>1</f>
        <v>1</v>
      </c>
      <c r="I1907" s="36"/>
      <c r="J1907" s="52">
        <v>1</v>
      </c>
      <c r="K1907" s="53">
        <f>0</f>
        <v>0</v>
      </c>
      <c r="L1907" s="53">
        <f>0</f>
        <v>0</v>
      </c>
      <c r="M1907" s="53">
        <f>0</f>
        <v>0</v>
      </c>
      <c r="N1907" s="54">
        <f t="shared" si="384"/>
        <v>0</v>
      </c>
      <c r="O1907" s="54">
        <f t="shared" si="385"/>
        <v>0</v>
      </c>
      <c r="P1907" s="54">
        <f t="shared" si="386"/>
        <v>0</v>
      </c>
      <c r="Q1907" s="54">
        <f t="shared" si="387"/>
        <v>0</v>
      </c>
      <c r="R1907" s="54">
        <f t="shared" si="388"/>
        <v>0</v>
      </c>
      <c r="S1907" s="54"/>
      <c r="T1907" s="36"/>
      <c r="XDA1907"/>
      <c r="XDB1907"/>
      <c r="XDC1907"/>
      <c r="XDD1907"/>
      <c r="XDE1907"/>
      <c r="XDF1907"/>
      <c r="XDG1907"/>
      <c r="XDH1907"/>
      <c r="XDI1907"/>
      <c r="XDJ1907"/>
      <c r="XDK1907"/>
      <c r="XDL1907"/>
      <c r="XDM1907"/>
      <c r="XDN1907"/>
      <c r="XDO1907"/>
      <c r="XDP1907"/>
      <c r="XDQ1907"/>
      <c r="XDR1907"/>
      <c r="XDS1907"/>
      <c r="XDT1907"/>
      <c r="XDU1907"/>
      <c r="XDV1907"/>
      <c r="XDW1907"/>
      <c r="XDX1907"/>
      <c r="XDY1907"/>
      <c r="XDZ1907"/>
      <c r="XEA1907"/>
      <c r="XEB1907"/>
      <c r="XEC1907"/>
      <c r="XED1907"/>
      <c r="XEE1907"/>
      <c r="XEF1907"/>
      <c r="XEG1907"/>
      <c r="XEH1907"/>
      <c r="XEI1907"/>
      <c r="XEJ1907"/>
      <c r="XEK1907"/>
      <c r="XEL1907"/>
      <c r="XEM1907"/>
      <c r="XEN1907"/>
      <c r="XEO1907"/>
      <c r="XEP1907"/>
      <c r="XEQ1907"/>
      <c r="XER1907"/>
      <c r="XES1907"/>
      <c r="XET1907"/>
      <c r="XEU1907"/>
      <c r="XEV1907"/>
      <c r="XEW1907"/>
      <c r="XEX1907"/>
      <c r="XEY1907"/>
      <c r="XEZ1907"/>
      <c r="XFA1907"/>
      <c r="XFB1907"/>
      <c r="XFC1907"/>
    </row>
    <row r="1908" spans="1:20 16329:16383" s="38" customFormat="1" ht="29.1" customHeight="1" outlineLevel="2" x14ac:dyDescent="0.25">
      <c r="A1908" s="44" t="s">
        <v>3187</v>
      </c>
      <c r="B1908" s="45" t="s">
        <v>3188</v>
      </c>
      <c r="C1908" s="45" t="s">
        <v>3189</v>
      </c>
      <c r="D1908" s="4" t="s">
        <v>3190</v>
      </c>
      <c r="E1908" s="4"/>
      <c r="F1908" s="46"/>
      <c r="G1908" s="45" t="s">
        <v>29</v>
      </c>
      <c r="H1908" s="47"/>
      <c r="I1908" s="36"/>
      <c r="J1908" s="47"/>
      <c r="K1908" s="48"/>
      <c r="L1908" s="48"/>
      <c r="M1908" s="48"/>
      <c r="N1908" s="48"/>
      <c r="O1908" s="48">
        <f>O1909</f>
        <v>0</v>
      </c>
      <c r="P1908" s="48">
        <f>P1909</f>
        <v>0</v>
      </c>
      <c r="Q1908" s="48">
        <f>Q1909</f>
        <v>0</v>
      </c>
      <c r="R1908" s="48">
        <f>R1909</f>
        <v>0</v>
      </c>
      <c r="S1908" s="48"/>
      <c r="T1908" s="36"/>
      <c r="XDA1908"/>
      <c r="XDB1908"/>
      <c r="XDC1908"/>
      <c r="XDD1908"/>
      <c r="XDE1908"/>
      <c r="XDF1908"/>
      <c r="XDG1908"/>
      <c r="XDH1908"/>
      <c r="XDI1908"/>
      <c r="XDJ1908"/>
      <c r="XDK1908"/>
      <c r="XDL1908"/>
      <c r="XDM1908"/>
      <c r="XDN1908"/>
      <c r="XDO1908"/>
      <c r="XDP1908"/>
      <c r="XDQ1908"/>
      <c r="XDR1908"/>
      <c r="XDS1908"/>
      <c r="XDT1908"/>
      <c r="XDU1908"/>
      <c r="XDV1908"/>
      <c r="XDW1908"/>
      <c r="XDX1908"/>
      <c r="XDY1908"/>
      <c r="XDZ1908"/>
      <c r="XEA1908"/>
      <c r="XEB1908"/>
      <c r="XEC1908"/>
      <c r="XED1908"/>
      <c r="XEE1908"/>
      <c r="XEF1908"/>
      <c r="XEG1908"/>
      <c r="XEH1908"/>
      <c r="XEI1908"/>
      <c r="XEJ1908"/>
      <c r="XEK1908"/>
      <c r="XEL1908"/>
      <c r="XEM1908"/>
      <c r="XEN1908"/>
      <c r="XEO1908"/>
      <c r="XEP1908"/>
      <c r="XEQ1908"/>
      <c r="XER1908"/>
      <c r="XES1908"/>
      <c r="XET1908"/>
      <c r="XEU1908"/>
      <c r="XEV1908"/>
      <c r="XEW1908"/>
      <c r="XEX1908"/>
      <c r="XEY1908"/>
      <c r="XEZ1908"/>
      <c r="XFA1908"/>
      <c r="XFB1908"/>
      <c r="XFC1908"/>
    </row>
    <row r="1909" spans="1:20 16329:16383" s="38" customFormat="1" ht="29.1" customHeight="1" outlineLevel="3" x14ac:dyDescent="0.25">
      <c r="A1909" s="49" t="s">
        <v>3191</v>
      </c>
      <c r="B1909" s="50"/>
      <c r="C1909" s="50"/>
      <c r="D1909" s="3" t="s">
        <v>3190</v>
      </c>
      <c r="E1909" s="3"/>
      <c r="F1909" s="51"/>
      <c r="G1909" s="50" t="s">
        <v>29</v>
      </c>
      <c r="H1909" s="52">
        <f>1</f>
        <v>1</v>
      </c>
      <c r="I1909" s="36"/>
      <c r="J1909" s="52">
        <v>1</v>
      </c>
      <c r="K1909" s="53">
        <f>0</f>
        <v>0</v>
      </c>
      <c r="L1909" s="53">
        <f>0</f>
        <v>0</v>
      </c>
      <c r="M1909" s="53">
        <f>0</f>
        <v>0</v>
      </c>
      <c r="N1909" s="54">
        <f>SUM(K1909:M1909)</f>
        <v>0</v>
      </c>
      <c r="O1909" s="54">
        <f>ROUND((H1909*K1909),2)</f>
        <v>0</v>
      </c>
      <c r="P1909" s="54">
        <f>ROUND((H1909*L1909),2)</f>
        <v>0</v>
      </c>
      <c r="Q1909" s="54">
        <f>ROUND((H1909*M1909),2)</f>
        <v>0</v>
      </c>
      <c r="R1909" s="54">
        <f>ROUND((H1909*N1909),2)</f>
        <v>0</v>
      </c>
      <c r="S1909" s="54"/>
      <c r="T1909" s="36"/>
      <c r="XDA1909"/>
      <c r="XDB1909"/>
      <c r="XDC1909"/>
      <c r="XDD1909"/>
      <c r="XDE1909"/>
      <c r="XDF1909"/>
      <c r="XDG1909"/>
      <c r="XDH1909"/>
      <c r="XDI1909"/>
      <c r="XDJ1909"/>
      <c r="XDK1909"/>
      <c r="XDL1909"/>
      <c r="XDM1909"/>
      <c r="XDN1909"/>
      <c r="XDO1909"/>
      <c r="XDP1909"/>
      <c r="XDQ1909"/>
      <c r="XDR1909"/>
      <c r="XDS1909"/>
      <c r="XDT1909"/>
      <c r="XDU1909"/>
      <c r="XDV1909"/>
      <c r="XDW1909"/>
      <c r="XDX1909"/>
      <c r="XDY1909"/>
      <c r="XDZ1909"/>
      <c r="XEA1909"/>
      <c r="XEB1909"/>
      <c r="XEC1909"/>
      <c r="XED1909"/>
      <c r="XEE1909"/>
      <c r="XEF1909"/>
      <c r="XEG1909"/>
      <c r="XEH1909"/>
      <c r="XEI1909"/>
      <c r="XEJ1909"/>
      <c r="XEK1909"/>
      <c r="XEL1909"/>
      <c r="XEM1909"/>
      <c r="XEN1909"/>
      <c r="XEO1909"/>
      <c r="XEP1909"/>
      <c r="XEQ1909"/>
      <c r="XER1909"/>
      <c r="XES1909"/>
      <c r="XET1909"/>
      <c r="XEU1909"/>
      <c r="XEV1909"/>
      <c r="XEW1909"/>
      <c r="XEX1909"/>
      <c r="XEY1909"/>
      <c r="XEZ1909"/>
      <c r="XFA1909"/>
      <c r="XFB1909"/>
      <c r="XFC1909"/>
    </row>
    <row r="1910" spans="1:20 16329:16383" s="38" customFormat="1" ht="29.1" customHeight="1" outlineLevel="1" x14ac:dyDescent="0.25">
      <c r="A1910" s="39" t="s">
        <v>3192</v>
      </c>
      <c r="B1910" s="40" t="s">
        <v>48</v>
      </c>
      <c r="C1910" s="40" t="s">
        <v>3193</v>
      </c>
      <c r="D1910" s="5" t="s">
        <v>3194</v>
      </c>
      <c r="E1910" s="5"/>
      <c r="F1910" s="41"/>
      <c r="G1910" s="40" t="s">
        <v>134</v>
      </c>
      <c r="H1910" s="42"/>
      <c r="I1910" s="36"/>
      <c r="J1910" s="42"/>
      <c r="K1910" s="43"/>
      <c r="L1910" s="43"/>
      <c r="M1910" s="43"/>
      <c r="N1910" s="43"/>
      <c r="O1910" s="43">
        <f>O1911+O1928</f>
        <v>0</v>
      </c>
      <c r="P1910" s="43">
        <f>P1911+P1928</f>
        <v>0</v>
      </c>
      <c r="Q1910" s="43">
        <f>Q1911+Q1928</f>
        <v>0</v>
      </c>
      <c r="R1910" s="43">
        <f>R1911+R1928</f>
        <v>0</v>
      </c>
      <c r="S1910" s="43"/>
      <c r="T1910" s="36"/>
      <c r="XDA1910"/>
      <c r="XDB1910"/>
      <c r="XDC1910"/>
      <c r="XDD1910"/>
      <c r="XDE1910"/>
      <c r="XDF1910"/>
      <c r="XDG1910"/>
      <c r="XDH1910"/>
      <c r="XDI1910"/>
      <c r="XDJ1910"/>
      <c r="XDK1910"/>
      <c r="XDL1910"/>
      <c r="XDM1910"/>
      <c r="XDN1910"/>
      <c r="XDO1910"/>
      <c r="XDP1910"/>
      <c r="XDQ1910"/>
      <c r="XDR1910"/>
      <c r="XDS1910"/>
      <c r="XDT1910"/>
      <c r="XDU1910"/>
      <c r="XDV1910"/>
      <c r="XDW1910"/>
      <c r="XDX1910"/>
      <c r="XDY1910"/>
      <c r="XDZ1910"/>
      <c r="XEA1910"/>
      <c r="XEB1910"/>
      <c r="XEC1910"/>
      <c r="XED1910"/>
      <c r="XEE1910"/>
      <c r="XEF1910"/>
      <c r="XEG1910"/>
      <c r="XEH1910"/>
      <c r="XEI1910"/>
      <c r="XEJ1910"/>
      <c r="XEK1910"/>
      <c r="XEL1910"/>
      <c r="XEM1910"/>
      <c r="XEN1910"/>
      <c r="XEO1910"/>
      <c r="XEP1910"/>
      <c r="XEQ1910"/>
      <c r="XER1910"/>
      <c r="XES1910"/>
      <c r="XET1910"/>
      <c r="XEU1910"/>
      <c r="XEV1910"/>
      <c r="XEW1910"/>
      <c r="XEX1910"/>
      <c r="XEY1910"/>
      <c r="XEZ1910"/>
      <c r="XFA1910"/>
      <c r="XFB1910"/>
      <c r="XFC1910"/>
    </row>
    <row r="1911" spans="1:20 16329:16383" s="38" customFormat="1" ht="29.1" customHeight="1" outlineLevel="2" x14ac:dyDescent="0.25">
      <c r="A1911" s="44" t="s">
        <v>3195</v>
      </c>
      <c r="B1911" s="45" t="s">
        <v>3196</v>
      </c>
      <c r="C1911" s="45" t="s">
        <v>3197</v>
      </c>
      <c r="D1911" s="4" t="s">
        <v>3198</v>
      </c>
      <c r="E1911" s="4"/>
      <c r="F1911" s="46"/>
      <c r="G1911" s="45" t="s">
        <v>134</v>
      </c>
      <c r="H1911" s="47"/>
      <c r="I1911" s="36"/>
      <c r="J1911" s="47"/>
      <c r="K1911" s="48"/>
      <c r="L1911" s="48"/>
      <c r="M1911" s="48"/>
      <c r="N1911" s="48"/>
      <c r="O1911" s="48">
        <f>O1912+O1914+O1917+O1919+O1924</f>
        <v>0</v>
      </c>
      <c r="P1911" s="48">
        <f>P1912+P1914+P1917+P1919+P1924</f>
        <v>0</v>
      </c>
      <c r="Q1911" s="48">
        <f>Q1912+Q1914+Q1917+Q1919+Q1924</f>
        <v>0</v>
      </c>
      <c r="R1911" s="48">
        <f>R1912+R1914+R1917+R1919+R1924</f>
        <v>0</v>
      </c>
      <c r="S1911" s="48"/>
      <c r="T1911" s="36"/>
      <c r="XDA1911"/>
      <c r="XDB1911"/>
      <c r="XDC1911"/>
      <c r="XDD1911"/>
      <c r="XDE1911"/>
      <c r="XDF1911"/>
      <c r="XDG1911"/>
      <c r="XDH1911"/>
      <c r="XDI1911"/>
      <c r="XDJ1911"/>
      <c r="XDK1911"/>
      <c r="XDL1911"/>
      <c r="XDM1911"/>
      <c r="XDN1911"/>
      <c r="XDO1911"/>
      <c r="XDP1911"/>
      <c r="XDQ1911"/>
      <c r="XDR1911"/>
      <c r="XDS1911"/>
      <c r="XDT1911"/>
      <c r="XDU1911"/>
      <c r="XDV1911"/>
      <c r="XDW1911"/>
      <c r="XDX1911"/>
      <c r="XDY1911"/>
      <c r="XDZ1911"/>
      <c r="XEA1911"/>
      <c r="XEB1911"/>
      <c r="XEC1911"/>
      <c r="XED1911"/>
      <c r="XEE1911"/>
      <c r="XEF1911"/>
      <c r="XEG1911"/>
      <c r="XEH1911"/>
      <c r="XEI1911"/>
      <c r="XEJ1911"/>
      <c r="XEK1911"/>
      <c r="XEL1911"/>
      <c r="XEM1911"/>
      <c r="XEN1911"/>
      <c r="XEO1911"/>
      <c r="XEP1911"/>
      <c r="XEQ1911"/>
      <c r="XER1911"/>
      <c r="XES1911"/>
      <c r="XET1911"/>
      <c r="XEU1911"/>
      <c r="XEV1911"/>
      <c r="XEW1911"/>
      <c r="XEX1911"/>
      <c r="XEY1911"/>
      <c r="XEZ1911"/>
      <c r="XFA1911"/>
      <c r="XFB1911"/>
      <c r="XFC1911"/>
    </row>
    <row r="1912" spans="1:20 16329:16383" s="38" customFormat="1" ht="29.1" customHeight="1" outlineLevel="3" x14ac:dyDescent="0.25">
      <c r="A1912" s="55" t="s">
        <v>3199</v>
      </c>
      <c r="B1912" s="56" t="s">
        <v>3200</v>
      </c>
      <c r="C1912" s="56"/>
      <c r="D1912" s="2" t="s">
        <v>3201</v>
      </c>
      <c r="E1912" s="2"/>
      <c r="F1912" s="57"/>
      <c r="G1912" s="56"/>
      <c r="H1912" s="58"/>
      <c r="I1912" s="36"/>
      <c r="J1912" s="58"/>
      <c r="K1912" s="59"/>
      <c r="L1912" s="59"/>
      <c r="M1912" s="59"/>
      <c r="N1912" s="59"/>
      <c r="O1912" s="59">
        <f>O1913</f>
        <v>0</v>
      </c>
      <c r="P1912" s="59">
        <f>P1913</f>
        <v>0</v>
      </c>
      <c r="Q1912" s="59">
        <f>Q1913</f>
        <v>0</v>
      </c>
      <c r="R1912" s="59">
        <f>R1913</f>
        <v>0</v>
      </c>
      <c r="S1912" s="59"/>
      <c r="T1912" s="36"/>
      <c r="XDA1912"/>
      <c r="XDB1912"/>
      <c r="XDC1912"/>
      <c r="XDD1912"/>
      <c r="XDE1912"/>
      <c r="XDF1912"/>
      <c r="XDG1912"/>
      <c r="XDH1912"/>
      <c r="XDI1912"/>
      <c r="XDJ1912"/>
      <c r="XDK1912"/>
      <c r="XDL1912"/>
      <c r="XDM1912"/>
      <c r="XDN1912"/>
      <c r="XDO1912"/>
      <c r="XDP1912"/>
      <c r="XDQ1912"/>
      <c r="XDR1912"/>
      <c r="XDS1912"/>
      <c r="XDT1912"/>
      <c r="XDU1912"/>
      <c r="XDV1912"/>
      <c r="XDW1912"/>
      <c r="XDX1912"/>
      <c r="XDY1912"/>
      <c r="XDZ1912"/>
      <c r="XEA1912"/>
      <c r="XEB1912"/>
      <c r="XEC1912"/>
      <c r="XED1912"/>
      <c r="XEE1912"/>
      <c r="XEF1912"/>
      <c r="XEG1912"/>
      <c r="XEH1912"/>
      <c r="XEI1912"/>
      <c r="XEJ1912"/>
      <c r="XEK1912"/>
      <c r="XEL1912"/>
      <c r="XEM1912"/>
      <c r="XEN1912"/>
      <c r="XEO1912"/>
      <c r="XEP1912"/>
      <c r="XEQ1912"/>
      <c r="XER1912"/>
      <c r="XES1912"/>
      <c r="XET1912"/>
      <c r="XEU1912"/>
      <c r="XEV1912"/>
      <c r="XEW1912"/>
      <c r="XEX1912"/>
      <c r="XEY1912"/>
      <c r="XEZ1912"/>
      <c r="XFA1912"/>
      <c r="XFB1912"/>
      <c r="XFC1912"/>
    </row>
    <row r="1913" spans="1:20 16329:16383" s="38" customFormat="1" ht="29.1" customHeight="1" outlineLevel="4" x14ac:dyDescent="0.25">
      <c r="A1913" s="49" t="s">
        <v>3202</v>
      </c>
      <c r="B1913" s="50"/>
      <c r="C1913" s="50"/>
      <c r="D1913" s="3" t="s">
        <v>3203</v>
      </c>
      <c r="E1913" s="3"/>
      <c r="F1913" s="51"/>
      <c r="G1913" s="50" t="s">
        <v>134</v>
      </c>
      <c r="H1913" s="52">
        <f>1</f>
        <v>1</v>
      </c>
      <c r="I1913" s="36"/>
      <c r="J1913" s="52">
        <v>1</v>
      </c>
      <c r="K1913" s="53">
        <f>0</f>
        <v>0</v>
      </c>
      <c r="L1913" s="53">
        <f>0</f>
        <v>0</v>
      </c>
      <c r="M1913" s="53">
        <f>0</f>
        <v>0</v>
      </c>
      <c r="N1913" s="54">
        <f>SUM(K1913:M1913)</f>
        <v>0</v>
      </c>
      <c r="O1913" s="54">
        <f>ROUND((H1913*K1913),2)</f>
        <v>0</v>
      </c>
      <c r="P1913" s="54">
        <f>ROUND((H1913*L1913),2)</f>
        <v>0</v>
      </c>
      <c r="Q1913" s="54">
        <f>ROUND((H1913*M1913),2)</f>
        <v>0</v>
      </c>
      <c r="R1913" s="54">
        <f>ROUND((H1913*N1913),2)</f>
        <v>0</v>
      </c>
      <c r="S1913" s="54"/>
      <c r="T1913" s="36"/>
      <c r="XDA1913"/>
      <c r="XDB1913"/>
      <c r="XDC1913"/>
      <c r="XDD1913"/>
      <c r="XDE1913"/>
      <c r="XDF1913"/>
      <c r="XDG1913"/>
      <c r="XDH1913"/>
      <c r="XDI1913"/>
      <c r="XDJ1913"/>
      <c r="XDK1913"/>
      <c r="XDL1913"/>
      <c r="XDM1913"/>
      <c r="XDN1913"/>
      <c r="XDO1913"/>
      <c r="XDP1913"/>
      <c r="XDQ1913"/>
      <c r="XDR1913"/>
      <c r="XDS1913"/>
      <c r="XDT1913"/>
      <c r="XDU1913"/>
      <c r="XDV1913"/>
      <c r="XDW1913"/>
      <c r="XDX1913"/>
      <c r="XDY1913"/>
      <c r="XDZ1913"/>
      <c r="XEA1913"/>
      <c r="XEB1913"/>
      <c r="XEC1913"/>
      <c r="XED1913"/>
      <c r="XEE1913"/>
      <c r="XEF1913"/>
      <c r="XEG1913"/>
      <c r="XEH1913"/>
      <c r="XEI1913"/>
      <c r="XEJ1913"/>
      <c r="XEK1913"/>
      <c r="XEL1913"/>
      <c r="XEM1913"/>
      <c r="XEN1913"/>
      <c r="XEO1913"/>
      <c r="XEP1913"/>
      <c r="XEQ1913"/>
      <c r="XER1913"/>
      <c r="XES1913"/>
      <c r="XET1913"/>
      <c r="XEU1913"/>
      <c r="XEV1913"/>
      <c r="XEW1913"/>
      <c r="XEX1913"/>
      <c r="XEY1913"/>
      <c r="XEZ1913"/>
      <c r="XFA1913"/>
      <c r="XFB1913"/>
      <c r="XFC1913"/>
    </row>
    <row r="1914" spans="1:20 16329:16383" s="38" customFormat="1" ht="29.1" customHeight="1" outlineLevel="3" x14ac:dyDescent="0.25">
      <c r="A1914" s="55" t="s">
        <v>3204</v>
      </c>
      <c r="B1914" s="56" t="s">
        <v>3205</v>
      </c>
      <c r="C1914" s="56"/>
      <c r="D1914" s="2" t="s">
        <v>3206</v>
      </c>
      <c r="E1914" s="2"/>
      <c r="F1914" s="57"/>
      <c r="G1914" s="56"/>
      <c r="H1914" s="58"/>
      <c r="I1914" s="36"/>
      <c r="J1914" s="58"/>
      <c r="K1914" s="59"/>
      <c r="L1914" s="59"/>
      <c r="M1914" s="59"/>
      <c r="N1914" s="59"/>
      <c r="O1914" s="59">
        <f>O1915+O1916</f>
        <v>0</v>
      </c>
      <c r="P1914" s="59">
        <f>P1915+P1916</f>
        <v>0</v>
      </c>
      <c r="Q1914" s="59">
        <f>Q1915+Q1916</f>
        <v>0</v>
      </c>
      <c r="R1914" s="59">
        <f>R1915+R1916</f>
        <v>0</v>
      </c>
      <c r="S1914" s="59"/>
      <c r="T1914" s="36"/>
      <c r="XDA1914"/>
      <c r="XDB1914"/>
      <c r="XDC1914"/>
      <c r="XDD1914"/>
      <c r="XDE1914"/>
      <c r="XDF1914"/>
      <c r="XDG1914"/>
      <c r="XDH1914"/>
      <c r="XDI1914"/>
      <c r="XDJ1914"/>
      <c r="XDK1914"/>
      <c r="XDL1914"/>
      <c r="XDM1914"/>
      <c r="XDN1914"/>
      <c r="XDO1914"/>
      <c r="XDP1914"/>
      <c r="XDQ1914"/>
      <c r="XDR1914"/>
      <c r="XDS1914"/>
      <c r="XDT1914"/>
      <c r="XDU1914"/>
      <c r="XDV1914"/>
      <c r="XDW1914"/>
      <c r="XDX1914"/>
      <c r="XDY1914"/>
      <c r="XDZ1914"/>
      <c r="XEA1914"/>
      <c r="XEB1914"/>
      <c r="XEC1914"/>
      <c r="XED1914"/>
      <c r="XEE1914"/>
      <c r="XEF1914"/>
      <c r="XEG1914"/>
      <c r="XEH1914"/>
      <c r="XEI1914"/>
      <c r="XEJ1914"/>
      <c r="XEK1914"/>
      <c r="XEL1914"/>
      <c r="XEM1914"/>
      <c r="XEN1914"/>
      <c r="XEO1914"/>
      <c r="XEP1914"/>
      <c r="XEQ1914"/>
      <c r="XER1914"/>
      <c r="XES1914"/>
      <c r="XET1914"/>
      <c r="XEU1914"/>
      <c r="XEV1914"/>
      <c r="XEW1914"/>
      <c r="XEX1914"/>
      <c r="XEY1914"/>
      <c r="XEZ1914"/>
      <c r="XFA1914"/>
      <c r="XFB1914"/>
      <c r="XFC1914"/>
    </row>
    <row r="1915" spans="1:20 16329:16383" s="38" customFormat="1" ht="29.1" customHeight="1" outlineLevel="4" x14ac:dyDescent="0.25">
      <c r="A1915" s="49" t="s">
        <v>3207</v>
      </c>
      <c r="B1915" s="50"/>
      <c r="C1915" s="50"/>
      <c r="D1915" s="3" t="s">
        <v>3208</v>
      </c>
      <c r="E1915" s="3"/>
      <c r="F1915" s="51"/>
      <c r="G1915" s="50" t="s">
        <v>134</v>
      </c>
      <c r="H1915" s="52">
        <f>1</f>
        <v>1</v>
      </c>
      <c r="I1915" s="36"/>
      <c r="J1915" s="52">
        <v>1</v>
      </c>
      <c r="K1915" s="53">
        <f>0</f>
        <v>0</v>
      </c>
      <c r="L1915" s="53">
        <f>0</f>
        <v>0</v>
      </c>
      <c r="M1915" s="53">
        <f>0</f>
        <v>0</v>
      </c>
      <c r="N1915" s="54">
        <f>SUM(K1915:M1915)</f>
        <v>0</v>
      </c>
      <c r="O1915" s="54">
        <f>ROUND((H1915*K1915),2)</f>
        <v>0</v>
      </c>
      <c r="P1915" s="54">
        <f>ROUND((H1915*L1915),2)</f>
        <v>0</v>
      </c>
      <c r="Q1915" s="54">
        <f>ROUND((H1915*M1915),2)</f>
        <v>0</v>
      </c>
      <c r="R1915" s="54">
        <f>ROUND((H1915*N1915),2)</f>
        <v>0</v>
      </c>
      <c r="S1915" s="54"/>
      <c r="T1915" s="36"/>
      <c r="XDA1915"/>
      <c r="XDB1915"/>
      <c r="XDC1915"/>
      <c r="XDD1915"/>
      <c r="XDE1915"/>
      <c r="XDF1915"/>
      <c r="XDG1915"/>
      <c r="XDH1915"/>
      <c r="XDI1915"/>
      <c r="XDJ1915"/>
      <c r="XDK1915"/>
      <c r="XDL1915"/>
      <c r="XDM1915"/>
      <c r="XDN1915"/>
      <c r="XDO1915"/>
      <c r="XDP1915"/>
      <c r="XDQ1915"/>
      <c r="XDR1915"/>
      <c r="XDS1915"/>
      <c r="XDT1915"/>
      <c r="XDU1915"/>
      <c r="XDV1915"/>
      <c r="XDW1915"/>
      <c r="XDX1915"/>
      <c r="XDY1915"/>
      <c r="XDZ1915"/>
      <c r="XEA1915"/>
      <c r="XEB1915"/>
      <c r="XEC1915"/>
      <c r="XED1915"/>
      <c r="XEE1915"/>
      <c r="XEF1915"/>
      <c r="XEG1915"/>
      <c r="XEH1915"/>
      <c r="XEI1915"/>
      <c r="XEJ1915"/>
      <c r="XEK1915"/>
      <c r="XEL1915"/>
      <c r="XEM1915"/>
      <c r="XEN1915"/>
      <c r="XEO1915"/>
      <c r="XEP1915"/>
      <c r="XEQ1915"/>
      <c r="XER1915"/>
      <c r="XES1915"/>
      <c r="XET1915"/>
      <c r="XEU1915"/>
      <c r="XEV1915"/>
      <c r="XEW1915"/>
      <c r="XEX1915"/>
      <c r="XEY1915"/>
      <c r="XEZ1915"/>
      <c r="XFA1915"/>
      <c r="XFB1915"/>
      <c r="XFC1915"/>
    </row>
    <row r="1916" spans="1:20 16329:16383" s="38" customFormat="1" ht="29.1" customHeight="1" outlineLevel="4" x14ac:dyDescent="0.25">
      <c r="A1916" s="49" t="s">
        <v>3209</v>
      </c>
      <c r="B1916" s="50"/>
      <c r="C1916" s="50"/>
      <c r="D1916" s="3" t="s">
        <v>3210</v>
      </c>
      <c r="E1916" s="3"/>
      <c r="F1916" s="51"/>
      <c r="G1916" s="50" t="s">
        <v>134</v>
      </c>
      <c r="H1916" s="52">
        <f>1</f>
        <v>1</v>
      </c>
      <c r="I1916" s="36"/>
      <c r="J1916" s="52">
        <v>1</v>
      </c>
      <c r="K1916" s="53">
        <f>0</f>
        <v>0</v>
      </c>
      <c r="L1916" s="53">
        <f>0</f>
        <v>0</v>
      </c>
      <c r="M1916" s="53">
        <f>0</f>
        <v>0</v>
      </c>
      <c r="N1916" s="54">
        <f>SUM(K1916:M1916)</f>
        <v>0</v>
      </c>
      <c r="O1916" s="54">
        <f>ROUND((H1916*K1916),2)</f>
        <v>0</v>
      </c>
      <c r="P1916" s="54">
        <f>ROUND((H1916*L1916),2)</f>
        <v>0</v>
      </c>
      <c r="Q1916" s="54">
        <f>ROUND((H1916*M1916),2)</f>
        <v>0</v>
      </c>
      <c r="R1916" s="54">
        <f>ROUND((H1916*N1916),2)</f>
        <v>0</v>
      </c>
      <c r="S1916" s="54"/>
      <c r="T1916" s="36"/>
      <c r="XDA1916"/>
      <c r="XDB1916"/>
      <c r="XDC1916"/>
      <c r="XDD1916"/>
      <c r="XDE1916"/>
      <c r="XDF1916"/>
      <c r="XDG1916"/>
      <c r="XDH1916"/>
      <c r="XDI1916"/>
      <c r="XDJ1916"/>
      <c r="XDK1916"/>
      <c r="XDL1916"/>
      <c r="XDM1916"/>
      <c r="XDN1916"/>
      <c r="XDO1916"/>
      <c r="XDP1916"/>
      <c r="XDQ1916"/>
      <c r="XDR1916"/>
      <c r="XDS1916"/>
      <c r="XDT1916"/>
      <c r="XDU1916"/>
      <c r="XDV1916"/>
      <c r="XDW1916"/>
      <c r="XDX1916"/>
      <c r="XDY1916"/>
      <c r="XDZ1916"/>
      <c r="XEA1916"/>
      <c r="XEB1916"/>
      <c r="XEC1916"/>
      <c r="XED1916"/>
      <c r="XEE1916"/>
      <c r="XEF1916"/>
      <c r="XEG1916"/>
      <c r="XEH1916"/>
      <c r="XEI1916"/>
      <c r="XEJ1916"/>
      <c r="XEK1916"/>
      <c r="XEL1916"/>
      <c r="XEM1916"/>
      <c r="XEN1916"/>
      <c r="XEO1916"/>
      <c r="XEP1916"/>
      <c r="XEQ1916"/>
      <c r="XER1916"/>
      <c r="XES1916"/>
      <c r="XET1916"/>
      <c r="XEU1916"/>
      <c r="XEV1916"/>
      <c r="XEW1916"/>
      <c r="XEX1916"/>
      <c r="XEY1916"/>
      <c r="XEZ1916"/>
      <c r="XFA1916"/>
      <c r="XFB1916"/>
      <c r="XFC1916"/>
    </row>
    <row r="1917" spans="1:20 16329:16383" s="38" customFormat="1" ht="29.1" customHeight="1" outlineLevel="3" x14ac:dyDescent="0.25">
      <c r="A1917" s="55" t="s">
        <v>3211</v>
      </c>
      <c r="B1917" s="56" t="s">
        <v>3212</v>
      </c>
      <c r="C1917" s="56"/>
      <c r="D1917" s="2" t="s">
        <v>3213</v>
      </c>
      <c r="E1917" s="2"/>
      <c r="F1917" s="57"/>
      <c r="G1917" s="56"/>
      <c r="H1917" s="58"/>
      <c r="I1917" s="36"/>
      <c r="J1917" s="58"/>
      <c r="K1917" s="59"/>
      <c r="L1917" s="59"/>
      <c r="M1917" s="59"/>
      <c r="N1917" s="59"/>
      <c r="O1917" s="59">
        <f>O1918</f>
        <v>0</v>
      </c>
      <c r="P1917" s="59">
        <f>P1918</f>
        <v>0</v>
      </c>
      <c r="Q1917" s="59">
        <f>Q1918</f>
        <v>0</v>
      </c>
      <c r="R1917" s="59">
        <f>R1918</f>
        <v>0</v>
      </c>
      <c r="S1917" s="59"/>
      <c r="T1917" s="36"/>
      <c r="XDA1917"/>
      <c r="XDB1917"/>
      <c r="XDC1917"/>
      <c r="XDD1917"/>
      <c r="XDE1917"/>
      <c r="XDF1917"/>
      <c r="XDG1917"/>
      <c r="XDH1917"/>
      <c r="XDI1917"/>
      <c r="XDJ1917"/>
      <c r="XDK1917"/>
      <c r="XDL1917"/>
      <c r="XDM1917"/>
      <c r="XDN1917"/>
      <c r="XDO1917"/>
      <c r="XDP1917"/>
      <c r="XDQ1917"/>
      <c r="XDR1917"/>
      <c r="XDS1917"/>
      <c r="XDT1917"/>
      <c r="XDU1917"/>
      <c r="XDV1917"/>
      <c r="XDW1917"/>
      <c r="XDX1917"/>
      <c r="XDY1917"/>
      <c r="XDZ1917"/>
      <c r="XEA1917"/>
      <c r="XEB1917"/>
      <c r="XEC1917"/>
      <c r="XED1917"/>
      <c r="XEE1917"/>
      <c r="XEF1917"/>
      <c r="XEG1917"/>
      <c r="XEH1917"/>
      <c r="XEI1917"/>
      <c r="XEJ1917"/>
      <c r="XEK1917"/>
      <c r="XEL1917"/>
      <c r="XEM1917"/>
      <c r="XEN1917"/>
      <c r="XEO1917"/>
      <c r="XEP1917"/>
      <c r="XEQ1917"/>
      <c r="XER1917"/>
      <c r="XES1917"/>
      <c r="XET1917"/>
      <c r="XEU1917"/>
      <c r="XEV1917"/>
      <c r="XEW1917"/>
      <c r="XEX1917"/>
      <c r="XEY1917"/>
      <c r="XEZ1917"/>
      <c r="XFA1917"/>
      <c r="XFB1917"/>
      <c r="XFC1917"/>
    </row>
    <row r="1918" spans="1:20 16329:16383" s="38" customFormat="1" ht="29.1" customHeight="1" outlineLevel="4" x14ac:dyDescent="0.25">
      <c r="A1918" s="49" t="s">
        <v>3214</v>
      </c>
      <c r="B1918" s="50"/>
      <c r="C1918" s="50"/>
      <c r="D1918" s="3" t="s">
        <v>3215</v>
      </c>
      <c r="E1918" s="3"/>
      <c r="F1918" s="51"/>
      <c r="G1918" s="50" t="s">
        <v>134</v>
      </c>
      <c r="H1918" s="52">
        <f>1</f>
        <v>1</v>
      </c>
      <c r="I1918" s="36"/>
      <c r="J1918" s="52">
        <v>1</v>
      </c>
      <c r="K1918" s="53">
        <f>0</f>
        <v>0</v>
      </c>
      <c r="L1918" s="53">
        <f>0</f>
        <v>0</v>
      </c>
      <c r="M1918" s="53">
        <f>0</f>
        <v>0</v>
      </c>
      <c r="N1918" s="54">
        <f>SUM(K1918:M1918)</f>
        <v>0</v>
      </c>
      <c r="O1918" s="54">
        <f>ROUND((H1918*K1918),2)</f>
        <v>0</v>
      </c>
      <c r="P1918" s="54">
        <f>ROUND((H1918*L1918),2)</f>
        <v>0</v>
      </c>
      <c r="Q1918" s="54">
        <f>ROUND((H1918*M1918),2)</f>
        <v>0</v>
      </c>
      <c r="R1918" s="54">
        <f>ROUND((H1918*N1918),2)</f>
        <v>0</v>
      </c>
      <c r="S1918" s="54"/>
      <c r="T1918" s="36"/>
      <c r="XDA1918"/>
      <c r="XDB1918"/>
      <c r="XDC1918"/>
      <c r="XDD1918"/>
      <c r="XDE1918"/>
      <c r="XDF1918"/>
      <c r="XDG1918"/>
      <c r="XDH1918"/>
      <c r="XDI1918"/>
      <c r="XDJ1918"/>
      <c r="XDK1918"/>
      <c r="XDL1918"/>
      <c r="XDM1918"/>
      <c r="XDN1918"/>
      <c r="XDO1918"/>
      <c r="XDP1918"/>
      <c r="XDQ1918"/>
      <c r="XDR1918"/>
      <c r="XDS1918"/>
      <c r="XDT1918"/>
      <c r="XDU1918"/>
      <c r="XDV1918"/>
      <c r="XDW1918"/>
      <c r="XDX1918"/>
      <c r="XDY1918"/>
      <c r="XDZ1918"/>
      <c r="XEA1918"/>
      <c r="XEB1918"/>
      <c r="XEC1918"/>
      <c r="XED1918"/>
      <c r="XEE1918"/>
      <c r="XEF1918"/>
      <c r="XEG1918"/>
      <c r="XEH1918"/>
      <c r="XEI1918"/>
      <c r="XEJ1918"/>
      <c r="XEK1918"/>
      <c r="XEL1918"/>
      <c r="XEM1918"/>
      <c r="XEN1918"/>
      <c r="XEO1918"/>
      <c r="XEP1918"/>
      <c r="XEQ1918"/>
      <c r="XER1918"/>
      <c r="XES1918"/>
      <c r="XET1918"/>
      <c r="XEU1918"/>
      <c r="XEV1918"/>
      <c r="XEW1918"/>
      <c r="XEX1918"/>
      <c r="XEY1918"/>
      <c r="XEZ1918"/>
      <c r="XFA1918"/>
      <c r="XFB1918"/>
      <c r="XFC1918"/>
    </row>
    <row r="1919" spans="1:20 16329:16383" s="38" customFormat="1" ht="29.1" customHeight="1" outlineLevel="3" x14ac:dyDescent="0.25">
      <c r="A1919" s="55" t="s">
        <v>3216</v>
      </c>
      <c r="B1919" s="56" t="s">
        <v>3217</v>
      </c>
      <c r="C1919" s="56"/>
      <c r="D1919" s="2" t="s">
        <v>3218</v>
      </c>
      <c r="E1919" s="2"/>
      <c r="F1919" s="57"/>
      <c r="G1919" s="56"/>
      <c r="H1919" s="58"/>
      <c r="I1919" s="36"/>
      <c r="J1919" s="58"/>
      <c r="K1919" s="59"/>
      <c r="L1919" s="59"/>
      <c r="M1919" s="59"/>
      <c r="N1919" s="59"/>
      <c r="O1919" s="59">
        <f>SUM(O1920:O1923)</f>
        <v>0</v>
      </c>
      <c r="P1919" s="59">
        <f>SUM(P1920:P1923)</f>
        <v>0</v>
      </c>
      <c r="Q1919" s="59">
        <f>SUM(Q1920:Q1923)</f>
        <v>0</v>
      </c>
      <c r="R1919" s="59">
        <f>SUM(R1920:R1923)</f>
        <v>0</v>
      </c>
      <c r="S1919" s="59"/>
      <c r="T1919" s="36"/>
      <c r="XDA1919"/>
      <c r="XDB1919"/>
      <c r="XDC1919"/>
      <c r="XDD1919"/>
      <c r="XDE1919"/>
      <c r="XDF1919"/>
      <c r="XDG1919"/>
      <c r="XDH1919"/>
      <c r="XDI1919"/>
      <c r="XDJ1919"/>
      <c r="XDK1919"/>
      <c r="XDL1919"/>
      <c r="XDM1919"/>
      <c r="XDN1919"/>
      <c r="XDO1919"/>
      <c r="XDP1919"/>
      <c r="XDQ1919"/>
      <c r="XDR1919"/>
      <c r="XDS1919"/>
      <c r="XDT1919"/>
      <c r="XDU1919"/>
      <c r="XDV1919"/>
      <c r="XDW1919"/>
      <c r="XDX1919"/>
      <c r="XDY1919"/>
      <c r="XDZ1919"/>
      <c r="XEA1919"/>
      <c r="XEB1919"/>
      <c r="XEC1919"/>
      <c r="XED1919"/>
      <c r="XEE1919"/>
      <c r="XEF1919"/>
      <c r="XEG1919"/>
      <c r="XEH1919"/>
      <c r="XEI1919"/>
      <c r="XEJ1919"/>
      <c r="XEK1919"/>
      <c r="XEL1919"/>
      <c r="XEM1919"/>
      <c r="XEN1919"/>
      <c r="XEO1919"/>
      <c r="XEP1919"/>
      <c r="XEQ1919"/>
      <c r="XER1919"/>
      <c r="XES1919"/>
      <c r="XET1919"/>
      <c r="XEU1919"/>
      <c r="XEV1919"/>
      <c r="XEW1919"/>
      <c r="XEX1919"/>
      <c r="XEY1919"/>
      <c r="XEZ1919"/>
      <c r="XFA1919"/>
      <c r="XFB1919"/>
      <c r="XFC1919"/>
    </row>
    <row r="1920" spans="1:20 16329:16383" s="38" customFormat="1" ht="29.1" customHeight="1" outlineLevel="4" x14ac:dyDescent="0.25">
      <c r="A1920" s="49" t="s">
        <v>3219</v>
      </c>
      <c r="B1920" s="50"/>
      <c r="C1920" s="50"/>
      <c r="D1920" s="3" t="s">
        <v>3220</v>
      </c>
      <c r="E1920" s="3"/>
      <c r="F1920" s="51"/>
      <c r="G1920" s="50" t="s">
        <v>134</v>
      </c>
      <c r="H1920" s="52">
        <f>1</f>
        <v>1</v>
      </c>
      <c r="I1920" s="36"/>
      <c r="J1920" s="52">
        <v>1</v>
      </c>
      <c r="K1920" s="53">
        <f>0</f>
        <v>0</v>
      </c>
      <c r="L1920" s="53">
        <f>0</f>
        <v>0</v>
      </c>
      <c r="M1920" s="53">
        <f>0</f>
        <v>0</v>
      </c>
      <c r="N1920" s="54">
        <f>SUM(K1920:M1920)</f>
        <v>0</v>
      </c>
      <c r="O1920" s="54">
        <f>ROUND((H1920*K1920),2)</f>
        <v>0</v>
      </c>
      <c r="P1920" s="54">
        <f>ROUND((H1920*L1920),2)</f>
        <v>0</v>
      </c>
      <c r="Q1920" s="54">
        <f>ROUND((H1920*M1920),2)</f>
        <v>0</v>
      </c>
      <c r="R1920" s="54">
        <f>ROUND((H1920*N1920),2)</f>
        <v>0</v>
      </c>
      <c r="S1920" s="54"/>
      <c r="T1920" s="36"/>
      <c r="XDA1920"/>
      <c r="XDB1920"/>
      <c r="XDC1920"/>
      <c r="XDD1920"/>
      <c r="XDE1920"/>
      <c r="XDF1920"/>
      <c r="XDG1920"/>
      <c r="XDH1920"/>
      <c r="XDI1920"/>
      <c r="XDJ1920"/>
      <c r="XDK1920"/>
      <c r="XDL1920"/>
      <c r="XDM1920"/>
      <c r="XDN1920"/>
      <c r="XDO1920"/>
      <c r="XDP1920"/>
      <c r="XDQ1920"/>
      <c r="XDR1920"/>
      <c r="XDS1920"/>
      <c r="XDT1920"/>
      <c r="XDU1920"/>
      <c r="XDV1920"/>
      <c r="XDW1920"/>
      <c r="XDX1920"/>
      <c r="XDY1920"/>
      <c r="XDZ1920"/>
      <c r="XEA1920"/>
      <c r="XEB1920"/>
      <c r="XEC1920"/>
      <c r="XED1920"/>
      <c r="XEE1920"/>
      <c r="XEF1920"/>
      <c r="XEG1920"/>
      <c r="XEH1920"/>
      <c r="XEI1920"/>
      <c r="XEJ1920"/>
      <c r="XEK1920"/>
      <c r="XEL1920"/>
      <c r="XEM1920"/>
      <c r="XEN1920"/>
      <c r="XEO1920"/>
      <c r="XEP1920"/>
      <c r="XEQ1920"/>
      <c r="XER1920"/>
      <c r="XES1920"/>
      <c r="XET1920"/>
      <c r="XEU1920"/>
      <c r="XEV1920"/>
      <c r="XEW1920"/>
      <c r="XEX1920"/>
      <c r="XEY1920"/>
      <c r="XEZ1920"/>
      <c r="XFA1920"/>
      <c r="XFB1920"/>
      <c r="XFC1920"/>
    </row>
    <row r="1921" spans="1:20 16329:16383" s="38" customFormat="1" ht="29.1" customHeight="1" outlineLevel="4" x14ac:dyDescent="0.25">
      <c r="A1921" s="49" t="s">
        <v>3221</v>
      </c>
      <c r="B1921" s="50"/>
      <c r="C1921" s="50"/>
      <c r="D1921" s="3" t="s">
        <v>3222</v>
      </c>
      <c r="E1921" s="3"/>
      <c r="F1921" s="51"/>
      <c r="G1921" s="50" t="s">
        <v>134</v>
      </c>
      <c r="H1921" s="52">
        <f>1</f>
        <v>1</v>
      </c>
      <c r="I1921" s="36"/>
      <c r="J1921" s="52">
        <v>1</v>
      </c>
      <c r="K1921" s="53">
        <f>0</f>
        <v>0</v>
      </c>
      <c r="L1921" s="53">
        <f>0</f>
        <v>0</v>
      </c>
      <c r="M1921" s="53">
        <f>0</f>
        <v>0</v>
      </c>
      <c r="N1921" s="54">
        <f>SUM(K1921:M1921)</f>
        <v>0</v>
      </c>
      <c r="O1921" s="54">
        <f>ROUND((H1921*K1921),2)</f>
        <v>0</v>
      </c>
      <c r="P1921" s="54">
        <f>ROUND((H1921*L1921),2)</f>
        <v>0</v>
      </c>
      <c r="Q1921" s="54">
        <f>ROUND((H1921*M1921),2)</f>
        <v>0</v>
      </c>
      <c r="R1921" s="54">
        <f>ROUND((H1921*N1921),2)</f>
        <v>0</v>
      </c>
      <c r="S1921" s="54"/>
      <c r="T1921" s="36"/>
      <c r="XDA1921"/>
      <c r="XDB1921"/>
      <c r="XDC1921"/>
      <c r="XDD1921"/>
      <c r="XDE1921"/>
      <c r="XDF1921"/>
      <c r="XDG1921"/>
      <c r="XDH1921"/>
      <c r="XDI1921"/>
      <c r="XDJ1921"/>
      <c r="XDK1921"/>
      <c r="XDL1921"/>
      <c r="XDM1921"/>
      <c r="XDN1921"/>
      <c r="XDO1921"/>
      <c r="XDP1921"/>
      <c r="XDQ1921"/>
      <c r="XDR1921"/>
      <c r="XDS1921"/>
      <c r="XDT1921"/>
      <c r="XDU1921"/>
      <c r="XDV1921"/>
      <c r="XDW1921"/>
      <c r="XDX1921"/>
      <c r="XDY1921"/>
      <c r="XDZ1921"/>
      <c r="XEA1921"/>
      <c r="XEB1921"/>
      <c r="XEC1921"/>
      <c r="XED1921"/>
      <c r="XEE1921"/>
      <c r="XEF1921"/>
      <c r="XEG1921"/>
      <c r="XEH1921"/>
      <c r="XEI1921"/>
      <c r="XEJ1921"/>
      <c r="XEK1921"/>
      <c r="XEL1921"/>
      <c r="XEM1921"/>
      <c r="XEN1921"/>
      <c r="XEO1921"/>
      <c r="XEP1921"/>
      <c r="XEQ1921"/>
      <c r="XER1921"/>
      <c r="XES1921"/>
      <c r="XET1921"/>
      <c r="XEU1921"/>
      <c r="XEV1921"/>
      <c r="XEW1921"/>
      <c r="XEX1921"/>
      <c r="XEY1921"/>
      <c r="XEZ1921"/>
      <c r="XFA1921"/>
      <c r="XFB1921"/>
      <c r="XFC1921"/>
    </row>
    <row r="1922" spans="1:20 16329:16383" s="38" customFormat="1" ht="29.1" customHeight="1" outlineLevel="4" x14ac:dyDescent="0.25">
      <c r="A1922" s="49" t="s">
        <v>3223</v>
      </c>
      <c r="B1922" s="50"/>
      <c r="C1922" s="50"/>
      <c r="D1922" s="3" t="s">
        <v>3224</v>
      </c>
      <c r="E1922" s="3"/>
      <c r="F1922" s="51"/>
      <c r="G1922" s="50" t="s">
        <v>134</v>
      </c>
      <c r="H1922" s="52">
        <f>1</f>
        <v>1</v>
      </c>
      <c r="I1922" s="36"/>
      <c r="J1922" s="52">
        <v>1</v>
      </c>
      <c r="K1922" s="53">
        <f>0</f>
        <v>0</v>
      </c>
      <c r="L1922" s="53">
        <f>0</f>
        <v>0</v>
      </c>
      <c r="M1922" s="53">
        <f>0</f>
        <v>0</v>
      </c>
      <c r="N1922" s="54">
        <f>SUM(K1922:M1922)</f>
        <v>0</v>
      </c>
      <c r="O1922" s="54">
        <f>ROUND((H1922*K1922),2)</f>
        <v>0</v>
      </c>
      <c r="P1922" s="54">
        <f>ROUND((H1922*L1922),2)</f>
        <v>0</v>
      </c>
      <c r="Q1922" s="54">
        <f>ROUND((H1922*M1922),2)</f>
        <v>0</v>
      </c>
      <c r="R1922" s="54">
        <f>ROUND((H1922*N1922),2)</f>
        <v>0</v>
      </c>
      <c r="S1922" s="54"/>
      <c r="T1922" s="36"/>
      <c r="XDA1922"/>
      <c r="XDB1922"/>
      <c r="XDC1922"/>
      <c r="XDD1922"/>
      <c r="XDE1922"/>
      <c r="XDF1922"/>
      <c r="XDG1922"/>
      <c r="XDH1922"/>
      <c r="XDI1922"/>
      <c r="XDJ1922"/>
      <c r="XDK1922"/>
      <c r="XDL1922"/>
      <c r="XDM1922"/>
      <c r="XDN1922"/>
      <c r="XDO1922"/>
      <c r="XDP1922"/>
      <c r="XDQ1922"/>
      <c r="XDR1922"/>
      <c r="XDS1922"/>
      <c r="XDT1922"/>
      <c r="XDU1922"/>
      <c r="XDV1922"/>
      <c r="XDW1922"/>
      <c r="XDX1922"/>
      <c r="XDY1922"/>
      <c r="XDZ1922"/>
      <c r="XEA1922"/>
      <c r="XEB1922"/>
      <c r="XEC1922"/>
      <c r="XED1922"/>
      <c r="XEE1922"/>
      <c r="XEF1922"/>
      <c r="XEG1922"/>
      <c r="XEH1922"/>
      <c r="XEI1922"/>
      <c r="XEJ1922"/>
      <c r="XEK1922"/>
      <c r="XEL1922"/>
      <c r="XEM1922"/>
      <c r="XEN1922"/>
      <c r="XEO1922"/>
      <c r="XEP1922"/>
      <c r="XEQ1922"/>
      <c r="XER1922"/>
      <c r="XES1922"/>
      <c r="XET1922"/>
      <c r="XEU1922"/>
      <c r="XEV1922"/>
      <c r="XEW1922"/>
      <c r="XEX1922"/>
      <c r="XEY1922"/>
      <c r="XEZ1922"/>
      <c r="XFA1922"/>
      <c r="XFB1922"/>
      <c r="XFC1922"/>
    </row>
    <row r="1923" spans="1:20 16329:16383" s="38" customFormat="1" ht="29.1" customHeight="1" outlineLevel="4" x14ac:dyDescent="0.25">
      <c r="A1923" s="49" t="s">
        <v>3225</v>
      </c>
      <c r="B1923" s="50"/>
      <c r="C1923" s="50"/>
      <c r="D1923" s="3" t="s">
        <v>3226</v>
      </c>
      <c r="E1923" s="3"/>
      <c r="F1923" s="51"/>
      <c r="G1923" s="50" t="s">
        <v>134</v>
      </c>
      <c r="H1923" s="52">
        <f>1</f>
        <v>1</v>
      </c>
      <c r="I1923" s="36"/>
      <c r="J1923" s="52">
        <v>1</v>
      </c>
      <c r="K1923" s="53">
        <f>0</f>
        <v>0</v>
      </c>
      <c r="L1923" s="53">
        <f>0</f>
        <v>0</v>
      </c>
      <c r="M1923" s="53">
        <f>0</f>
        <v>0</v>
      </c>
      <c r="N1923" s="54">
        <f>SUM(K1923:M1923)</f>
        <v>0</v>
      </c>
      <c r="O1923" s="54">
        <f>ROUND((H1923*K1923),2)</f>
        <v>0</v>
      </c>
      <c r="P1923" s="54">
        <f>ROUND((H1923*L1923),2)</f>
        <v>0</v>
      </c>
      <c r="Q1923" s="54">
        <f>ROUND((H1923*M1923),2)</f>
        <v>0</v>
      </c>
      <c r="R1923" s="54">
        <f>ROUND((H1923*N1923),2)</f>
        <v>0</v>
      </c>
      <c r="S1923" s="54"/>
      <c r="T1923" s="36"/>
      <c r="XDA1923"/>
      <c r="XDB1923"/>
      <c r="XDC1923"/>
      <c r="XDD1923"/>
      <c r="XDE1923"/>
      <c r="XDF1923"/>
      <c r="XDG1923"/>
      <c r="XDH1923"/>
      <c r="XDI1923"/>
      <c r="XDJ1923"/>
      <c r="XDK1923"/>
      <c r="XDL1923"/>
      <c r="XDM1923"/>
      <c r="XDN1923"/>
      <c r="XDO1923"/>
      <c r="XDP1923"/>
      <c r="XDQ1923"/>
      <c r="XDR1923"/>
      <c r="XDS1923"/>
      <c r="XDT1923"/>
      <c r="XDU1923"/>
      <c r="XDV1923"/>
      <c r="XDW1923"/>
      <c r="XDX1923"/>
      <c r="XDY1923"/>
      <c r="XDZ1923"/>
      <c r="XEA1923"/>
      <c r="XEB1923"/>
      <c r="XEC1923"/>
      <c r="XED1923"/>
      <c r="XEE1923"/>
      <c r="XEF1923"/>
      <c r="XEG1923"/>
      <c r="XEH1923"/>
      <c r="XEI1923"/>
      <c r="XEJ1923"/>
      <c r="XEK1923"/>
      <c r="XEL1923"/>
      <c r="XEM1923"/>
      <c r="XEN1923"/>
      <c r="XEO1923"/>
      <c r="XEP1923"/>
      <c r="XEQ1923"/>
      <c r="XER1923"/>
      <c r="XES1923"/>
      <c r="XET1923"/>
      <c r="XEU1923"/>
      <c r="XEV1923"/>
      <c r="XEW1923"/>
      <c r="XEX1923"/>
      <c r="XEY1923"/>
      <c r="XEZ1923"/>
      <c r="XFA1923"/>
      <c r="XFB1923"/>
      <c r="XFC1923"/>
    </row>
    <row r="1924" spans="1:20 16329:16383" s="38" customFormat="1" ht="29.1" customHeight="1" outlineLevel="3" x14ac:dyDescent="0.25">
      <c r="A1924" s="55" t="s">
        <v>3227</v>
      </c>
      <c r="B1924" s="56" t="s">
        <v>3228</v>
      </c>
      <c r="C1924" s="56"/>
      <c r="D1924" s="2" t="s">
        <v>3229</v>
      </c>
      <c r="E1924" s="2"/>
      <c r="F1924" s="57"/>
      <c r="G1924" s="56"/>
      <c r="H1924" s="58"/>
      <c r="I1924" s="36"/>
      <c r="J1924" s="58"/>
      <c r="K1924" s="59"/>
      <c r="L1924" s="59"/>
      <c r="M1924" s="59"/>
      <c r="N1924" s="59"/>
      <c r="O1924" s="59">
        <f>SUM(O1925:O1927)</f>
        <v>0</v>
      </c>
      <c r="P1924" s="59">
        <f>SUM(P1925:P1927)</f>
        <v>0</v>
      </c>
      <c r="Q1924" s="59">
        <f>SUM(Q1925:Q1927)</f>
        <v>0</v>
      </c>
      <c r="R1924" s="59">
        <f>SUM(R1925:R1927)</f>
        <v>0</v>
      </c>
      <c r="S1924" s="59"/>
      <c r="T1924" s="36"/>
      <c r="XDA1924"/>
      <c r="XDB1924"/>
      <c r="XDC1924"/>
      <c r="XDD1924"/>
      <c r="XDE1924"/>
      <c r="XDF1924"/>
      <c r="XDG1924"/>
      <c r="XDH1924"/>
      <c r="XDI1924"/>
      <c r="XDJ1924"/>
      <c r="XDK1924"/>
      <c r="XDL1924"/>
      <c r="XDM1924"/>
      <c r="XDN1924"/>
      <c r="XDO1924"/>
      <c r="XDP1924"/>
      <c r="XDQ1924"/>
      <c r="XDR1924"/>
      <c r="XDS1924"/>
      <c r="XDT1924"/>
      <c r="XDU1924"/>
      <c r="XDV1924"/>
      <c r="XDW1924"/>
      <c r="XDX1924"/>
      <c r="XDY1924"/>
      <c r="XDZ1924"/>
      <c r="XEA1924"/>
      <c r="XEB1924"/>
      <c r="XEC1924"/>
      <c r="XED1924"/>
      <c r="XEE1924"/>
      <c r="XEF1924"/>
      <c r="XEG1924"/>
      <c r="XEH1924"/>
      <c r="XEI1924"/>
      <c r="XEJ1924"/>
      <c r="XEK1924"/>
      <c r="XEL1924"/>
      <c r="XEM1924"/>
      <c r="XEN1924"/>
      <c r="XEO1924"/>
      <c r="XEP1924"/>
      <c r="XEQ1924"/>
      <c r="XER1924"/>
      <c r="XES1924"/>
      <c r="XET1924"/>
      <c r="XEU1924"/>
      <c r="XEV1924"/>
      <c r="XEW1924"/>
      <c r="XEX1924"/>
      <c r="XEY1924"/>
      <c r="XEZ1924"/>
      <c r="XFA1924"/>
      <c r="XFB1924"/>
      <c r="XFC1924"/>
    </row>
    <row r="1925" spans="1:20 16329:16383" s="38" customFormat="1" ht="29.1" customHeight="1" outlineLevel="4" x14ac:dyDescent="0.25">
      <c r="A1925" s="49" t="s">
        <v>3230</v>
      </c>
      <c r="B1925" s="50"/>
      <c r="C1925" s="50"/>
      <c r="D1925" s="3" t="s">
        <v>3231</v>
      </c>
      <c r="E1925" s="3"/>
      <c r="F1925" s="51"/>
      <c r="G1925" s="50" t="s">
        <v>134</v>
      </c>
      <c r="H1925" s="52">
        <f>1</f>
        <v>1</v>
      </c>
      <c r="I1925" s="36"/>
      <c r="J1925" s="52">
        <v>1</v>
      </c>
      <c r="K1925" s="53">
        <f>0</f>
        <v>0</v>
      </c>
      <c r="L1925" s="53">
        <f>0</f>
        <v>0</v>
      </c>
      <c r="M1925" s="53">
        <f>0</f>
        <v>0</v>
      </c>
      <c r="N1925" s="54">
        <f>SUM(K1925:M1925)</f>
        <v>0</v>
      </c>
      <c r="O1925" s="54">
        <f>ROUND((H1925*K1925),2)</f>
        <v>0</v>
      </c>
      <c r="P1925" s="54">
        <f>ROUND((H1925*L1925),2)</f>
        <v>0</v>
      </c>
      <c r="Q1925" s="54">
        <f>ROUND((H1925*M1925),2)</f>
        <v>0</v>
      </c>
      <c r="R1925" s="54">
        <f>ROUND((H1925*N1925),2)</f>
        <v>0</v>
      </c>
      <c r="S1925" s="54"/>
      <c r="T1925" s="36"/>
      <c r="XDA1925"/>
      <c r="XDB1925"/>
      <c r="XDC1925"/>
      <c r="XDD1925"/>
      <c r="XDE1925"/>
      <c r="XDF1925"/>
      <c r="XDG1925"/>
      <c r="XDH1925"/>
      <c r="XDI1925"/>
      <c r="XDJ1925"/>
      <c r="XDK1925"/>
      <c r="XDL1925"/>
      <c r="XDM1925"/>
      <c r="XDN1925"/>
      <c r="XDO1925"/>
      <c r="XDP1925"/>
      <c r="XDQ1925"/>
      <c r="XDR1925"/>
      <c r="XDS1925"/>
      <c r="XDT1925"/>
      <c r="XDU1925"/>
      <c r="XDV1925"/>
      <c r="XDW1925"/>
      <c r="XDX1925"/>
      <c r="XDY1925"/>
      <c r="XDZ1925"/>
      <c r="XEA1925"/>
      <c r="XEB1925"/>
      <c r="XEC1925"/>
      <c r="XED1925"/>
      <c r="XEE1925"/>
      <c r="XEF1925"/>
      <c r="XEG1925"/>
      <c r="XEH1925"/>
      <c r="XEI1925"/>
      <c r="XEJ1925"/>
      <c r="XEK1925"/>
      <c r="XEL1925"/>
      <c r="XEM1925"/>
      <c r="XEN1925"/>
      <c r="XEO1925"/>
      <c r="XEP1925"/>
      <c r="XEQ1925"/>
      <c r="XER1925"/>
      <c r="XES1925"/>
      <c r="XET1925"/>
      <c r="XEU1925"/>
      <c r="XEV1925"/>
      <c r="XEW1925"/>
      <c r="XEX1925"/>
      <c r="XEY1925"/>
      <c r="XEZ1925"/>
      <c r="XFA1925"/>
      <c r="XFB1925"/>
      <c r="XFC1925"/>
    </row>
    <row r="1926" spans="1:20 16329:16383" s="38" customFormat="1" ht="29.1" customHeight="1" outlineLevel="4" x14ac:dyDescent="0.25">
      <c r="A1926" s="49" t="s">
        <v>3232</v>
      </c>
      <c r="B1926" s="50"/>
      <c r="C1926" s="50"/>
      <c r="D1926" s="3" t="s">
        <v>3233</v>
      </c>
      <c r="E1926" s="3"/>
      <c r="F1926" s="51"/>
      <c r="G1926" s="50" t="s">
        <v>134</v>
      </c>
      <c r="H1926" s="52">
        <f>1</f>
        <v>1</v>
      </c>
      <c r="I1926" s="36"/>
      <c r="J1926" s="52">
        <v>1</v>
      </c>
      <c r="K1926" s="53">
        <f>0</f>
        <v>0</v>
      </c>
      <c r="L1926" s="53">
        <f>0</f>
        <v>0</v>
      </c>
      <c r="M1926" s="53">
        <f>0</f>
        <v>0</v>
      </c>
      <c r="N1926" s="54">
        <f>SUM(K1926:M1926)</f>
        <v>0</v>
      </c>
      <c r="O1926" s="54">
        <f>ROUND((H1926*K1926),2)</f>
        <v>0</v>
      </c>
      <c r="P1926" s="54">
        <f>ROUND((H1926*L1926),2)</f>
        <v>0</v>
      </c>
      <c r="Q1926" s="54">
        <f>ROUND((H1926*M1926),2)</f>
        <v>0</v>
      </c>
      <c r="R1926" s="54">
        <f>ROUND((H1926*N1926),2)</f>
        <v>0</v>
      </c>
      <c r="S1926" s="54"/>
      <c r="T1926" s="36"/>
      <c r="XDA1926"/>
      <c r="XDB1926"/>
      <c r="XDC1926"/>
      <c r="XDD1926"/>
      <c r="XDE1926"/>
      <c r="XDF1926"/>
      <c r="XDG1926"/>
      <c r="XDH1926"/>
      <c r="XDI1926"/>
      <c r="XDJ1926"/>
      <c r="XDK1926"/>
      <c r="XDL1926"/>
      <c r="XDM1926"/>
      <c r="XDN1926"/>
      <c r="XDO1926"/>
      <c r="XDP1926"/>
      <c r="XDQ1926"/>
      <c r="XDR1926"/>
      <c r="XDS1926"/>
      <c r="XDT1926"/>
      <c r="XDU1926"/>
      <c r="XDV1926"/>
      <c r="XDW1926"/>
      <c r="XDX1926"/>
      <c r="XDY1926"/>
      <c r="XDZ1926"/>
      <c r="XEA1926"/>
      <c r="XEB1926"/>
      <c r="XEC1926"/>
      <c r="XED1926"/>
      <c r="XEE1926"/>
      <c r="XEF1926"/>
      <c r="XEG1926"/>
      <c r="XEH1926"/>
      <c r="XEI1926"/>
      <c r="XEJ1926"/>
      <c r="XEK1926"/>
      <c r="XEL1926"/>
      <c r="XEM1926"/>
      <c r="XEN1926"/>
      <c r="XEO1926"/>
      <c r="XEP1926"/>
      <c r="XEQ1926"/>
      <c r="XER1926"/>
      <c r="XES1926"/>
      <c r="XET1926"/>
      <c r="XEU1926"/>
      <c r="XEV1926"/>
      <c r="XEW1926"/>
      <c r="XEX1926"/>
      <c r="XEY1926"/>
      <c r="XEZ1926"/>
      <c r="XFA1926"/>
      <c r="XFB1926"/>
      <c r="XFC1926"/>
    </row>
    <row r="1927" spans="1:20 16329:16383" s="38" customFormat="1" ht="29.1" customHeight="1" outlineLevel="4" x14ac:dyDescent="0.25">
      <c r="A1927" s="49" t="s">
        <v>3234</v>
      </c>
      <c r="B1927" s="50"/>
      <c r="C1927" s="50"/>
      <c r="D1927" s="3" t="s">
        <v>3235</v>
      </c>
      <c r="E1927" s="3"/>
      <c r="F1927" s="51"/>
      <c r="G1927" s="50" t="s">
        <v>134</v>
      </c>
      <c r="H1927" s="52">
        <f>1</f>
        <v>1</v>
      </c>
      <c r="I1927" s="36"/>
      <c r="J1927" s="52">
        <v>1</v>
      </c>
      <c r="K1927" s="53">
        <f>0</f>
        <v>0</v>
      </c>
      <c r="L1927" s="53">
        <f>0</f>
        <v>0</v>
      </c>
      <c r="M1927" s="53">
        <f>0</f>
        <v>0</v>
      </c>
      <c r="N1927" s="54">
        <f>SUM(K1927:M1927)</f>
        <v>0</v>
      </c>
      <c r="O1927" s="54">
        <f>ROUND((H1927*K1927),2)</f>
        <v>0</v>
      </c>
      <c r="P1927" s="54">
        <f>ROUND((H1927*L1927),2)</f>
        <v>0</v>
      </c>
      <c r="Q1927" s="54">
        <f>ROUND((H1927*M1927),2)</f>
        <v>0</v>
      </c>
      <c r="R1927" s="54">
        <f>ROUND((H1927*N1927),2)</f>
        <v>0</v>
      </c>
      <c r="S1927" s="54"/>
      <c r="T1927" s="36"/>
      <c r="XDA1927"/>
      <c r="XDB1927"/>
      <c r="XDC1927"/>
      <c r="XDD1927"/>
      <c r="XDE1927"/>
      <c r="XDF1927"/>
      <c r="XDG1927"/>
      <c r="XDH1927"/>
      <c r="XDI1927"/>
      <c r="XDJ1927"/>
      <c r="XDK1927"/>
      <c r="XDL1927"/>
      <c r="XDM1927"/>
      <c r="XDN1927"/>
      <c r="XDO1927"/>
      <c r="XDP1927"/>
      <c r="XDQ1927"/>
      <c r="XDR1927"/>
      <c r="XDS1927"/>
      <c r="XDT1927"/>
      <c r="XDU1927"/>
      <c r="XDV1927"/>
      <c r="XDW1927"/>
      <c r="XDX1927"/>
      <c r="XDY1927"/>
      <c r="XDZ1927"/>
      <c r="XEA1927"/>
      <c r="XEB1927"/>
      <c r="XEC1927"/>
      <c r="XED1927"/>
      <c r="XEE1927"/>
      <c r="XEF1927"/>
      <c r="XEG1927"/>
      <c r="XEH1927"/>
      <c r="XEI1927"/>
      <c r="XEJ1927"/>
      <c r="XEK1927"/>
      <c r="XEL1927"/>
      <c r="XEM1927"/>
      <c r="XEN1927"/>
      <c r="XEO1927"/>
      <c r="XEP1927"/>
      <c r="XEQ1927"/>
      <c r="XER1927"/>
      <c r="XES1927"/>
      <c r="XET1927"/>
      <c r="XEU1927"/>
      <c r="XEV1927"/>
      <c r="XEW1927"/>
      <c r="XEX1927"/>
      <c r="XEY1927"/>
      <c r="XEZ1927"/>
      <c r="XFA1927"/>
      <c r="XFB1927"/>
      <c r="XFC1927"/>
    </row>
    <row r="1928" spans="1:20 16329:16383" s="38" customFormat="1" ht="29.1" customHeight="1" outlineLevel="2" x14ac:dyDescent="0.25">
      <c r="A1928" s="44" t="s">
        <v>3236</v>
      </c>
      <c r="B1928" s="45" t="s">
        <v>3237</v>
      </c>
      <c r="C1928" s="45" t="s">
        <v>3238</v>
      </c>
      <c r="D1928" s="4" t="s">
        <v>1498</v>
      </c>
      <c r="E1928" s="4"/>
      <c r="F1928" s="46"/>
      <c r="G1928" s="45" t="s">
        <v>29</v>
      </c>
      <c r="H1928" s="47"/>
      <c r="I1928" s="36"/>
      <c r="J1928" s="47"/>
      <c r="K1928" s="48"/>
      <c r="L1928" s="48"/>
      <c r="M1928" s="48"/>
      <c r="N1928" s="48"/>
      <c r="O1928" s="48">
        <f>O1929+O1934+O1937+O1940</f>
        <v>0</v>
      </c>
      <c r="P1928" s="48">
        <f>P1929+P1934+P1937+P1940</f>
        <v>0</v>
      </c>
      <c r="Q1928" s="48">
        <f>Q1929+Q1934+Q1937+Q1940</f>
        <v>0</v>
      </c>
      <c r="R1928" s="48">
        <f>R1929+R1934+R1937+R1940</f>
        <v>0</v>
      </c>
      <c r="S1928" s="48"/>
      <c r="T1928" s="36"/>
      <c r="XDA1928"/>
      <c r="XDB1928"/>
      <c r="XDC1928"/>
      <c r="XDD1928"/>
      <c r="XDE1928"/>
      <c r="XDF1928"/>
      <c r="XDG1928"/>
      <c r="XDH1928"/>
      <c r="XDI1928"/>
      <c r="XDJ1928"/>
      <c r="XDK1928"/>
      <c r="XDL1928"/>
      <c r="XDM1928"/>
      <c r="XDN1928"/>
      <c r="XDO1928"/>
      <c r="XDP1928"/>
      <c r="XDQ1928"/>
      <c r="XDR1928"/>
      <c r="XDS1928"/>
      <c r="XDT1928"/>
      <c r="XDU1928"/>
      <c r="XDV1928"/>
      <c r="XDW1928"/>
      <c r="XDX1928"/>
      <c r="XDY1928"/>
      <c r="XDZ1928"/>
      <c r="XEA1928"/>
      <c r="XEB1928"/>
      <c r="XEC1928"/>
      <c r="XED1928"/>
      <c r="XEE1928"/>
      <c r="XEF1928"/>
      <c r="XEG1928"/>
      <c r="XEH1928"/>
      <c r="XEI1928"/>
      <c r="XEJ1928"/>
      <c r="XEK1928"/>
      <c r="XEL1928"/>
      <c r="XEM1928"/>
      <c r="XEN1928"/>
      <c r="XEO1928"/>
      <c r="XEP1928"/>
      <c r="XEQ1928"/>
      <c r="XER1928"/>
      <c r="XES1928"/>
      <c r="XET1928"/>
      <c r="XEU1928"/>
      <c r="XEV1928"/>
      <c r="XEW1928"/>
      <c r="XEX1928"/>
      <c r="XEY1928"/>
      <c r="XEZ1928"/>
      <c r="XFA1928"/>
      <c r="XFB1928"/>
      <c r="XFC1928"/>
    </row>
    <row r="1929" spans="1:20 16329:16383" s="38" customFormat="1" ht="29.1" customHeight="1" outlineLevel="3" x14ac:dyDescent="0.25">
      <c r="A1929" s="55" t="s">
        <v>3239</v>
      </c>
      <c r="B1929" s="56" t="s">
        <v>3240</v>
      </c>
      <c r="C1929" s="56"/>
      <c r="D1929" s="2" t="s">
        <v>3241</v>
      </c>
      <c r="E1929" s="2"/>
      <c r="F1929" s="57"/>
      <c r="G1929" s="56"/>
      <c r="H1929" s="58"/>
      <c r="I1929" s="36"/>
      <c r="J1929" s="58"/>
      <c r="K1929" s="59"/>
      <c r="L1929" s="59"/>
      <c r="M1929" s="59"/>
      <c r="N1929" s="59"/>
      <c r="O1929" s="59">
        <f>SUM(O1930:O1933)</f>
        <v>0</v>
      </c>
      <c r="P1929" s="59">
        <f>SUM(P1930:P1933)</f>
        <v>0</v>
      </c>
      <c r="Q1929" s="59">
        <f>SUM(Q1930:Q1933)</f>
        <v>0</v>
      </c>
      <c r="R1929" s="59">
        <f>SUM(R1930:R1933)</f>
        <v>0</v>
      </c>
      <c r="S1929" s="59"/>
      <c r="T1929" s="36"/>
      <c r="XDA1929"/>
      <c r="XDB1929"/>
      <c r="XDC1929"/>
      <c r="XDD1929"/>
      <c r="XDE1929"/>
      <c r="XDF1929"/>
      <c r="XDG1929"/>
      <c r="XDH1929"/>
      <c r="XDI1929"/>
      <c r="XDJ1929"/>
      <c r="XDK1929"/>
      <c r="XDL1929"/>
      <c r="XDM1929"/>
      <c r="XDN1929"/>
      <c r="XDO1929"/>
      <c r="XDP1929"/>
      <c r="XDQ1929"/>
      <c r="XDR1929"/>
      <c r="XDS1929"/>
      <c r="XDT1929"/>
      <c r="XDU1929"/>
      <c r="XDV1929"/>
      <c r="XDW1929"/>
      <c r="XDX1929"/>
      <c r="XDY1929"/>
      <c r="XDZ1929"/>
      <c r="XEA1929"/>
      <c r="XEB1929"/>
      <c r="XEC1929"/>
      <c r="XED1929"/>
      <c r="XEE1929"/>
      <c r="XEF1929"/>
      <c r="XEG1929"/>
      <c r="XEH1929"/>
      <c r="XEI1929"/>
      <c r="XEJ1929"/>
      <c r="XEK1929"/>
      <c r="XEL1929"/>
      <c r="XEM1929"/>
      <c r="XEN1929"/>
      <c r="XEO1929"/>
      <c r="XEP1929"/>
      <c r="XEQ1929"/>
      <c r="XER1929"/>
      <c r="XES1929"/>
      <c r="XET1929"/>
      <c r="XEU1929"/>
      <c r="XEV1929"/>
      <c r="XEW1929"/>
      <c r="XEX1929"/>
      <c r="XEY1929"/>
      <c r="XEZ1929"/>
      <c r="XFA1929"/>
      <c r="XFB1929"/>
      <c r="XFC1929"/>
    </row>
    <row r="1930" spans="1:20 16329:16383" s="38" customFormat="1" ht="29.1" customHeight="1" outlineLevel="4" x14ac:dyDescent="0.25">
      <c r="A1930" s="49" t="s">
        <v>3242</v>
      </c>
      <c r="B1930" s="50"/>
      <c r="C1930" s="50"/>
      <c r="D1930" s="3" t="s">
        <v>3243</v>
      </c>
      <c r="E1930" s="3"/>
      <c r="F1930" s="51"/>
      <c r="G1930" s="50" t="s">
        <v>29</v>
      </c>
      <c r="H1930" s="52">
        <f>1</f>
        <v>1</v>
      </c>
      <c r="I1930" s="36"/>
      <c r="J1930" s="52">
        <v>1</v>
      </c>
      <c r="K1930" s="53">
        <f>0</f>
        <v>0</v>
      </c>
      <c r="L1930" s="53">
        <f>0</f>
        <v>0</v>
      </c>
      <c r="M1930" s="53">
        <f>0</f>
        <v>0</v>
      </c>
      <c r="N1930" s="54">
        <f>SUM(K1930:M1930)</f>
        <v>0</v>
      </c>
      <c r="O1930" s="54">
        <f>ROUND((H1930*K1930),2)</f>
        <v>0</v>
      </c>
      <c r="P1930" s="54">
        <f>ROUND((H1930*L1930),2)</f>
        <v>0</v>
      </c>
      <c r="Q1930" s="54">
        <f>ROUND((H1930*M1930),2)</f>
        <v>0</v>
      </c>
      <c r="R1930" s="54">
        <f>ROUND((H1930*N1930),2)</f>
        <v>0</v>
      </c>
      <c r="S1930" s="54"/>
      <c r="T1930" s="36"/>
      <c r="XDA1930"/>
      <c r="XDB1930"/>
      <c r="XDC1930"/>
      <c r="XDD1930"/>
      <c r="XDE1930"/>
      <c r="XDF1930"/>
      <c r="XDG1930"/>
      <c r="XDH1930"/>
      <c r="XDI1930"/>
      <c r="XDJ1930"/>
      <c r="XDK1930"/>
      <c r="XDL1930"/>
      <c r="XDM1930"/>
      <c r="XDN1930"/>
      <c r="XDO1930"/>
      <c r="XDP1930"/>
      <c r="XDQ1930"/>
      <c r="XDR1930"/>
      <c r="XDS1930"/>
      <c r="XDT1930"/>
      <c r="XDU1930"/>
      <c r="XDV1930"/>
      <c r="XDW1930"/>
      <c r="XDX1930"/>
      <c r="XDY1930"/>
      <c r="XDZ1930"/>
      <c r="XEA1930"/>
      <c r="XEB1930"/>
      <c r="XEC1930"/>
      <c r="XED1930"/>
      <c r="XEE1930"/>
      <c r="XEF1930"/>
      <c r="XEG1930"/>
      <c r="XEH1930"/>
      <c r="XEI1930"/>
      <c r="XEJ1930"/>
      <c r="XEK1930"/>
      <c r="XEL1930"/>
      <c r="XEM1930"/>
      <c r="XEN1930"/>
      <c r="XEO1930"/>
      <c r="XEP1930"/>
      <c r="XEQ1930"/>
      <c r="XER1930"/>
      <c r="XES1930"/>
      <c r="XET1930"/>
      <c r="XEU1930"/>
      <c r="XEV1930"/>
      <c r="XEW1930"/>
      <c r="XEX1930"/>
      <c r="XEY1930"/>
      <c r="XEZ1930"/>
      <c r="XFA1930"/>
      <c r="XFB1930"/>
      <c r="XFC1930"/>
    </row>
    <row r="1931" spans="1:20 16329:16383" s="38" customFormat="1" ht="29.1" customHeight="1" outlineLevel="4" x14ac:dyDescent="0.25">
      <c r="A1931" s="49" t="s">
        <v>3244</v>
      </c>
      <c r="B1931" s="50"/>
      <c r="C1931" s="50"/>
      <c r="D1931" s="3" t="s">
        <v>3245</v>
      </c>
      <c r="E1931" s="3"/>
      <c r="F1931" s="51"/>
      <c r="G1931" s="50" t="s">
        <v>29</v>
      </c>
      <c r="H1931" s="52">
        <f>1</f>
        <v>1</v>
      </c>
      <c r="I1931" s="36"/>
      <c r="J1931" s="52">
        <v>1</v>
      </c>
      <c r="K1931" s="53">
        <f>0</f>
        <v>0</v>
      </c>
      <c r="L1931" s="53">
        <f>0</f>
        <v>0</v>
      </c>
      <c r="M1931" s="53">
        <f>0</f>
        <v>0</v>
      </c>
      <c r="N1931" s="54">
        <f>SUM(K1931:M1931)</f>
        <v>0</v>
      </c>
      <c r="O1931" s="54">
        <f>ROUND((H1931*K1931),2)</f>
        <v>0</v>
      </c>
      <c r="P1931" s="54">
        <f>ROUND((H1931*L1931),2)</f>
        <v>0</v>
      </c>
      <c r="Q1931" s="54">
        <f>ROUND((H1931*M1931),2)</f>
        <v>0</v>
      </c>
      <c r="R1931" s="54">
        <f>ROUND((H1931*N1931),2)</f>
        <v>0</v>
      </c>
      <c r="S1931" s="54"/>
      <c r="T1931" s="36"/>
      <c r="XDA1931"/>
      <c r="XDB1931"/>
      <c r="XDC1931"/>
      <c r="XDD1931"/>
      <c r="XDE1931"/>
      <c r="XDF1931"/>
      <c r="XDG1931"/>
      <c r="XDH1931"/>
      <c r="XDI1931"/>
      <c r="XDJ1931"/>
      <c r="XDK1931"/>
      <c r="XDL1931"/>
      <c r="XDM1931"/>
      <c r="XDN1931"/>
      <c r="XDO1931"/>
      <c r="XDP1931"/>
      <c r="XDQ1931"/>
      <c r="XDR1931"/>
      <c r="XDS1931"/>
      <c r="XDT1931"/>
      <c r="XDU1931"/>
      <c r="XDV1931"/>
      <c r="XDW1931"/>
      <c r="XDX1931"/>
      <c r="XDY1931"/>
      <c r="XDZ1931"/>
      <c r="XEA1931"/>
      <c r="XEB1931"/>
      <c r="XEC1931"/>
      <c r="XED1931"/>
      <c r="XEE1931"/>
      <c r="XEF1931"/>
      <c r="XEG1931"/>
      <c r="XEH1931"/>
      <c r="XEI1931"/>
      <c r="XEJ1931"/>
      <c r="XEK1931"/>
      <c r="XEL1931"/>
      <c r="XEM1931"/>
      <c r="XEN1931"/>
      <c r="XEO1931"/>
      <c r="XEP1931"/>
      <c r="XEQ1931"/>
      <c r="XER1931"/>
      <c r="XES1931"/>
      <c r="XET1931"/>
      <c r="XEU1931"/>
      <c r="XEV1931"/>
      <c r="XEW1931"/>
      <c r="XEX1931"/>
      <c r="XEY1931"/>
      <c r="XEZ1931"/>
      <c r="XFA1931"/>
      <c r="XFB1931"/>
      <c r="XFC1931"/>
    </row>
    <row r="1932" spans="1:20 16329:16383" s="38" customFormat="1" ht="29.1" customHeight="1" outlineLevel="4" x14ac:dyDescent="0.25">
      <c r="A1932" s="49" t="s">
        <v>3246</v>
      </c>
      <c r="B1932" s="50"/>
      <c r="C1932" s="50"/>
      <c r="D1932" s="3" t="s">
        <v>3247</v>
      </c>
      <c r="E1932" s="3"/>
      <c r="F1932" s="51"/>
      <c r="G1932" s="50" t="s">
        <v>29</v>
      </c>
      <c r="H1932" s="52">
        <f>1</f>
        <v>1</v>
      </c>
      <c r="I1932" s="36"/>
      <c r="J1932" s="52">
        <v>1</v>
      </c>
      <c r="K1932" s="53">
        <f>0</f>
        <v>0</v>
      </c>
      <c r="L1932" s="53">
        <f>0</f>
        <v>0</v>
      </c>
      <c r="M1932" s="53">
        <f>0</f>
        <v>0</v>
      </c>
      <c r="N1932" s="54">
        <f>SUM(K1932:M1932)</f>
        <v>0</v>
      </c>
      <c r="O1932" s="54">
        <f>ROUND((H1932*K1932),2)</f>
        <v>0</v>
      </c>
      <c r="P1932" s="54">
        <f>ROUND((H1932*L1932),2)</f>
        <v>0</v>
      </c>
      <c r="Q1932" s="54">
        <f>ROUND((H1932*M1932),2)</f>
        <v>0</v>
      </c>
      <c r="R1932" s="54">
        <f>ROUND((H1932*N1932),2)</f>
        <v>0</v>
      </c>
      <c r="S1932" s="54"/>
      <c r="T1932" s="36"/>
      <c r="XDA1932"/>
      <c r="XDB1932"/>
      <c r="XDC1932"/>
      <c r="XDD1932"/>
      <c r="XDE1932"/>
      <c r="XDF1932"/>
      <c r="XDG1932"/>
      <c r="XDH1932"/>
      <c r="XDI1932"/>
      <c r="XDJ1932"/>
      <c r="XDK1932"/>
      <c r="XDL1932"/>
      <c r="XDM1932"/>
      <c r="XDN1932"/>
      <c r="XDO1932"/>
      <c r="XDP1932"/>
      <c r="XDQ1932"/>
      <c r="XDR1932"/>
      <c r="XDS1932"/>
      <c r="XDT1932"/>
      <c r="XDU1932"/>
      <c r="XDV1932"/>
      <c r="XDW1932"/>
      <c r="XDX1932"/>
      <c r="XDY1932"/>
      <c r="XDZ1932"/>
      <c r="XEA1932"/>
      <c r="XEB1932"/>
      <c r="XEC1932"/>
      <c r="XED1932"/>
      <c r="XEE1932"/>
      <c r="XEF1932"/>
      <c r="XEG1932"/>
      <c r="XEH1932"/>
      <c r="XEI1932"/>
      <c r="XEJ1932"/>
      <c r="XEK1932"/>
      <c r="XEL1932"/>
      <c r="XEM1932"/>
      <c r="XEN1932"/>
      <c r="XEO1932"/>
      <c r="XEP1932"/>
      <c r="XEQ1932"/>
      <c r="XER1932"/>
      <c r="XES1932"/>
      <c r="XET1932"/>
      <c r="XEU1932"/>
      <c r="XEV1932"/>
      <c r="XEW1932"/>
      <c r="XEX1932"/>
      <c r="XEY1932"/>
      <c r="XEZ1932"/>
      <c r="XFA1932"/>
      <c r="XFB1932"/>
      <c r="XFC1932"/>
    </row>
    <row r="1933" spans="1:20 16329:16383" s="38" customFormat="1" ht="29.1" customHeight="1" outlineLevel="4" x14ac:dyDescent="0.25">
      <c r="A1933" s="49" t="s">
        <v>3248</v>
      </c>
      <c r="B1933" s="50"/>
      <c r="C1933" s="50"/>
      <c r="D1933" s="3" t="s">
        <v>3249</v>
      </c>
      <c r="E1933" s="3"/>
      <c r="F1933" s="51"/>
      <c r="G1933" s="50" t="s">
        <v>29</v>
      </c>
      <c r="H1933" s="52">
        <f>1</f>
        <v>1</v>
      </c>
      <c r="I1933" s="36"/>
      <c r="J1933" s="52">
        <v>1</v>
      </c>
      <c r="K1933" s="53">
        <f>0</f>
        <v>0</v>
      </c>
      <c r="L1933" s="53">
        <f>0</f>
        <v>0</v>
      </c>
      <c r="M1933" s="53">
        <f>0</f>
        <v>0</v>
      </c>
      <c r="N1933" s="54">
        <f>SUM(K1933:M1933)</f>
        <v>0</v>
      </c>
      <c r="O1933" s="54">
        <f>ROUND((H1933*K1933),2)</f>
        <v>0</v>
      </c>
      <c r="P1933" s="54">
        <f>ROUND((H1933*L1933),2)</f>
        <v>0</v>
      </c>
      <c r="Q1933" s="54">
        <f>ROUND((H1933*M1933),2)</f>
        <v>0</v>
      </c>
      <c r="R1933" s="54">
        <f>ROUND((H1933*N1933),2)</f>
        <v>0</v>
      </c>
      <c r="S1933" s="54"/>
      <c r="T1933" s="36"/>
      <c r="XDA1933"/>
      <c r="XDB1933"/>
      <c r="XDC1933"/>
      <c r="XDD1933"/>
      <c r="XDE1933"/>
      <c r="XDF1933"/>
      <c r="XDG1933"/>
      <c r="XDH1933"/>
      <c r="XDI1933"/>
      <c r="XDJ1933"/>
      <c r="XDK1933"/>
      <c r="XDL1933"/>
      <c r="XDM1933"/>
      <c r="XDN1933"/>
      <c r="XDO1933"/>
      <c r="XDP1933"/>
      <c r="XDQ1933"/>
      <c r="XDR1933"/>
      <c r="XDS1933"/>
      <c r="XDT1933"/>
      <c r="XDU1933"/>
      <c r="XDV1933"/>
      <c r="XDW1933"/>
      <c r="XDX1933"/>
      <c r="XDY1933"/>
      <c r="XDZ1933"/>
      <c r="XEA1933"/>
      <c r="XEB1933"/>
      <c r="XEC1933"/>
      <c r="XED1933"/>
      <c r="XEE1933"/>
      <c r="XEF1933"/>
      <c r="XEG1933"/>
      <c r="XEH1933"/>
      <c r="XEI1933"/>
      <c r="XEJ1933"/>
      <c r="XEK1933"/>
      <c r="XEL1933"/>
      <c r="XEM1933"/>
      <c r="XEN1933"/>
      <c r="XEO1933"/>
      <c r="XEP1933"/>
      <c r="XEQ1933"/>
      <c r="XER1933"/>
      <c r="XES1933"/>
      <c r="XET1933"/>
      <c r="XEU1933"/>
      <c r="XEV1933"/>
      <c r="XEW1933"/>
      <c r="XEX1933"/>
      <c r="XEY1933"/>
      <c r="XEZ1933"/>
      <c r="XFA1933"/>
      <c r="XFB1933"/>
      <c r="XFC1933"/>
    </row>
    <row r="1934" spans="1:20 16329:16383" s="38" customFormat="1" ht="29.1" customHeight="1" outlineLevel="3" x14ac:dyDescent="0.25">
      <c r="A1934" s="55" t="s">
        <v>3250</v>
      </c>
      <c r="B1934" s="56" t="s">
        <v>3251</v>
      </c>
      <c r="C1934" s="56"/>
      <c r="D1934" s="2" t="s">
        <v>3252</v>
      </c>
      <c r="E1934" s="2"/>
      <c r="F1934" s="57"/>
      <c r="G1934" s="56"/>
      <c r="H1934" s="58"/>
      <c r="I1934" s="36"/>
      <c r="J1934" s="58"/>
      <c r="K1934" s="59"/>
      <c r="L1934" s="59"/>
      <c r="M1934" s="59"/>
      <c r="N1934" s="59"/>
      <c r="O1934" s="59">
        <f>O1935+O1936</f>
        <v>0</v>
      </c>
      <c r="P1934" s="59">
        <f>P1935+P1936</f>
        <v>0</v>
      </c>
      <c r="Q1934" s="59">
        <f>Q1935+Q1936</f>
        <v>0</v>
      </c>
      <c r="R1934" s="59">
        <f>R1935+R1936</f>
        <v>0</v>
      </c>
      <c r="S1934" s="59"/>
      <c r="T1934" s="36"/>
      <c r="XDA1934"/>
      <c r="XDB1934"/>
      <c r="XDC1934"/>
      <c r="XDD1934"/>
      <c r="XDE1934"/>
      <c r="XDF1934"/>
      <c r="XDG1934"/>
      <c r="XDH1934"/>
      <c r="XDI1934"/>
      <c r="XDJ1934"/>
      <c r="XDK1934"/>
      <c r="XDL1934"/>
      <c r="XDM1934"/>
      <c r="XDN1934"/>
      <c r="XDO1934"/>
      <c r="XDP1934"/>
      <c r="XDQ1934"/>
      <c r="XDR1934"/>
      <c r="XDS1934"/>
      <c r="XDT1934"/>
      <c r="XDU1934"/>
      <c r="XDV1934"/>
      <c r="XDW1934"/>
      <c r="XDX1934"/>
      <c r="XDY1934"/>
      <c r="XDZ1934"/>
      <c r="XEA1934"/>
      <c r="XEB1934"/>
      <c r="XEC1934"/>
      <c r="XED1934"/>
      <c r="XEE1934"/>
      <c r="XEF1934"/>
      <c r="XEG1934"/>
      <c r="XEH1934"/>
      <c r="XEI1934"/>
      <c r="XEJ1934"/>
      <c r="XEK1934"/>
      <c r="XEL1934"/>
      <c r="XEM1934"/>
      <c r="XEN1934"/>
      <c r="XEO1934"/>
      <c r="XEP1934"/>
      <c r="XEQ1934"/>
      <c r="XER1934"/>
      <c r="XES1934"/>
      <c r="XET1934"/>
      <c r="XEU1934"/>
      <c r="XEV1934"/>
      <c r="XEW1934"/>
      <c r="XEX1934"/>
      <c r="XEY1934"/>
      <c r="XEZ1934"/>
      <c r="XFA1934"/>
      <c r="XFB1934"/>
      <c r="XFC1934"/>
    </row>
    <row r="1935" spans="1:20 16329:16383" s="38" customFormat="1" ht="29.1" customHeight="1" outlineLevel="4" x14ac:dyDescent="0.25">
      <c r="A1935" s="49" t="s">
        <v>3253</v>
      </c>
      <c r="B1935" s="50"/>
      <c r="C1935" s="50"/>
      <c r="D1935" s="3" t="s">
        <v>3254</v>
      </c>
      <c r="E1935" s="3"/>
      <c r="F1935" s="51"/>
      <c r="G1935" s="50" t="s">
        <v>29</v>
      </c>
      <c r="H1935" s="52">
        <f>1</f>
        <v>1</v>
      </c>
      <c r="I1935" s="36"/>
      <c r="J1935" s="52">
        <v>1</v>
      </c>
      <c r="K1935" s="53">
        <f>0</f>
        <v>0</v>
      </c>
      <c r="L1935" s="53">
        <f>0</f>
        <v>0</v>
      </c>
      <c r="M1935" s="53">
        <f>0</f>
        <v>0</v>
      </c>
      <c r="N1935" s="54">
        <f>SUM(K1935:M1935)</f>
        <v>0</v>
      </c>
      <c r="O1935" s="54">
        <f>ROUND((H1935*K1935),2)</f>
        <v>0</v>
      </c>
      <c r="P1935" s="54">
        <f>ROUND((H1935*L1935),2)</f>
        <v>0</v>
      </c>
      <c r="Q1935" s="54">
        <f>ROUND((H1935*M1935),2)</f>
        <v>0</v>
      </c>
      <c r="R1935" s="54">
        <f>ROUND((H1935*N1935),2)</f>
        <v>0</v>
      </c>
      <c r="S1935" s="54"/>
      <c r="T1935" s="36"/>
      <c r="XDA1935"/>
      <c r="XDB1935"/>
      <c r="XDC1935"/>
      <c r="XDD1935"/>
      <c r="XDE1935"/>
      <c r="XDF1935"/>
      <c r="XDG1935"/>
      <c r="XDH1935"/>
      <c r="XDI1935"/>
      <c r="XDJ1935"/>
      <c r="XDK1935"/>
      <c r="XDL1935"/>
      <c r="XDM1935"/>
      <c r="XDN1935"/>
      <c r="XDO1935"/>
      <c r="XDP1935"/>
      <c r="XDQ1935"/>
      <c r="XDR1935"/>
      <c r="XDS1935"/>
      <c r="XDT1935"/>
      <c r="XDU1935"/>
      <c r="XDV1935"/>
      <c r="XDW1935"/>
      <c r="XDX1935"/>
      <c r="XDY1935"/>
      <c r="XDZ1935"/>
      <c r="XEA1935"/>
      <c r="XEB1935"/>
      <c r="XEC1935"/>
      <c r="XED1935"/>
      <c r="XEE1935"/>
      <c r="XEF1935"/>
      <c r="XEG1935"/>
      <c r="XEH1935"/>
      <c r="XEI1935"/>
      <c r="XEJ1935"/>
      <c r="XEK1935"/>
      <c r="XEL1935"/>
      <c r="XEM1935"/>
      <c r="XEN1935"/>
      <c r="XEO1935"/>
      <c r="XEP1935"/>
      <c r="XEQ1935"/>
      <c r="XER1935"/>
      <c r="XES1935"/>
      <c r="XET1935"/>
      <c r="XEU1935"/>
      <c r="XEV1935"/>
      <c r="XEW1935"/>
      <c r="XEX1935"/>
      <c r="XEY1935"/>
      <c r="XEZ1935"/>
      <c r="XFA1935"/>
      <c r="XFB1935"/>
      <c r="XFC1935"/>
    </row>
    <row r="1936" spans="1:20 16329:16383" s="38" customFormat="1" ht="29.1" customHeight="1" outlineLevel="4" x14ac:dyDescent="0.25">
      <c r="A1936" s="49" t="s">
        <v>3255</v>
      </c>
      <c r="B1936" s="50"/>
      <c r="C1936" s="50"/>
      <c r="D1936" s="3" t="s">
        <v>3256</v>
      </c>
      <c r="E1936" s="3"/>
      <c r="F1936" s="51"/>
      <c r="G1936" s="50" t="s">
        <v>29</v>
      </c>
      <c r="H1936" s="52">
        <f>1</f>
        <v>1</v>
      </c>
      <c r="I1936" s="36"/>
      <c r="J1936" s="52">
        <v>1</v>
      </c>
      <c r="K1936" s="53">
        <f>0</f>
        <v>0</v>
      </c>
      <c r="L1936" s="53">
        <f>0</f>
        <v>0</v>
      </c>
      <c r="M1936" s="53">
        <f>0</f>
        <v>0</v>
      </c>
      <c r="N1936" s="54">
        <f>SUM(K1936:M1936)</f>
        <v>0</v>
      </c>
      <c r="O1936" s="54">
        <f>ROUND((H1936*K1936),2)</f>
        <v>0</v>
      </c>
      <c r="P1936" s="54">
        <f>ROUND((H1936*L1936),2)</f>
        <v>0</v>
      </c>
      <c r="Q1936" s="54">
        <f>ROUND((H1936*M1936),2)</f>
        <v>0</v>
      </c>
      <c r="R1936" s="54">
        <f>ROUND((H1936*N1936),2)</f>
        <v>0</v>
      </c>
      <c r="S1936" s="54"/>
      <c r="T1936" s="36"/>
      <c r="XDA1936"/>
      <c r="XDB1936"/>
      <c r="XDC1936"/>
      <c r="XDD1936"/>
      <c r="XDE1936"/>
      <c r="XDF1936"/>
      <c r="XDG1936"/>
      <c r="XDH1936"/>
      <c r="XDI1936"/>
      <c r="XDJ1936"/>
      <c r="XDK1936"/>
      <c r="XDL1936"/>
      <c r="XDM1936"/>
      <c r="XDN1936"/>
      <c r="XDO1936"/>
      <c r="XDP1936"/>
      <c r="XDQ1936"/>
      <c r="XDR1936"/>
      <c r="XDS1936"/>
      <c r="XDT1936"/>
      <c r="XDU1936"/>
      <c r="XDV1936"/>
      <c r="XDW1936"/>
      <c r="XDX1936"/>
      <c r="XDY1936"/>
      <c r="XDZ1936"/>
      <c r="XEA1936"/>
      <c r="XEB1936"/>
      <c r="XEC1936"/>
      <c r="XED1936"/>
      <c r="XEE1936"/>
      <c r="XEF1936"/>
      <c r="XEG1936"/>
      <c r="XEH1936"/>
      <c r="XEI1936"/>
      <c r="XEJ1936"/>
      <c r="XEK1936"/>
      <c r="XEL1936"/>
      <c r="XEM1936"/>
      <c r="XEN1936"/>
      <c r="XEO1936"/>
      <c r="XEP1936"/>
      <c r="XEQ1936"/>
      <c r="XER1936"/>
      <c r="XES1936"/>
      <c r="XET1936"/>
      <c r="XEU1936"/>
      <c r="XEV1936"/>
      <c r="XEW1936"/>
      <c r="XEX1936"/>
      <c r="XEY1936"/>
      <c r="XEZ1936"/>
      <c r="XFA1936"/>
      <c r="XFB1936"/>
      <c r="XFC1936"/>
    </row>
    <row r="1937" spans="1:20 16329:16383" s="38" customFormat="1" ht="29.1" customHeight="1" outlineLevel="3" x14ac:dyDescent="0.25">
      <c r="A1937" s="55" t="s">
        <v>3257</v>
      </c>
      <c r="B1937" s="56" t="s">
        <v>3258</v>
      </c>
      <c r="C1937" s="56"/>
      <c r="D1937" s="2" t="s">
        <v>3259</v>
      </c>
      <c r="E1937" s="2"/>
      <c r="F1937" s="57"/>
      <c r="G1937" s="56"/>
      <c r="H1937" s="58"/>
      <c r="I1937" s="36"/>
      <c r="J1937" s="58"/>
      <c r="K1937" s="59"/>
      <c r="L1937" s="59"/>
      <c r="M1937" s="59"/>
      <c r="N1937" s="59"/>
      <c r="O1937" s="59">
        <f>O1938+O1939</f>
        <v>0</v>
      </c>
      <c r="P1937" s="59">
        <f>P1938+P1939</f>
        <v>0</v>
      </c>
      <c r="Q1937" s="59">
        <f>Q1938+Q1939</f>
        <v>0</v>
      </c>
      <c r="R1937" s="59">
        <f>R1938+R1939</f>
        <v>0</v>
      </c>
      <c r="S1937" s="59"/>
      <c r="T1937" s="36"/>
      <c r="XDA1937"/>
      <c r="XDB1937"/>
      <c r="XDC1937"/>
      <c r="XDD1937"/>
      <c r="XDE1937"/>
      <c r="XDF1937"/>
      <c r="XDG1937"/>
      <c r="XDH1937"/>
      <c r="XDI1937"/>
      <c r="XDJ1937"/>
      <c r="XDK1937"/>
      <c r="XDL1937"/>
      <c r="XDM1937"/>
      <c r="XDN1937"/>
      <c r="XDO1937"/>
      <c r="XDP1937"/>
      <c r="XDQ1937"/>
      <c r="XDR1937"/>
      <c r="XDS1937"/>
      <c r="XDT1937"/>
      <c r="XDU1937"/>
      <c r="XDV1937"/>
      <c r="XDW1937"/>
      <c r="XDX1937"/>
      <c r="XDY1937"/>
      <c r="XDZ1937"/>
      <c r="XEA1937"/>
      <c r="XEB1937"/>
      <c r="XEC1937"/>
      <c r="XED1937"/>
      <c r="XEE1937"/>
      <c r="XEF1937"/>
      <c r="XEG1937"/>
      <c r="XEH1937"/>
      <c r="XEI1937"/>
      <c r="XEJ1937"/>
      <c r="XEK1937"/>
      <c r="XEL1937"/>
      <c r="XEM1937"/>
      <c r="XEN1937"/>
      <c r="XEO1937"/>
      <c r="XEP1937"/>
      <c r="XEQ1937"/>
      <c r="XER1937"/>
      <c r="XES1937"/>
      <c r="XET1937"/>
      <c r="XEU1937"/>
      <c r="XEV1937"/>
      <c r="XEW1937"/>
      <c r="XEX1937"/>
      <c r="XEY1937"/>
      <c r="XEZ1937"/>
      <c r="XFA1937"/>
      <c r="XFB1937"/>
      <c r="XFC1937"/>
    </row>
    <row r="1938" spans="1:20 16329:16383" s="38" customFormat="1" ht="29.1" customHeight="1" outlineLevel="4" x14ac:dyDescent="0.25">
      <c r="A1938" s="49" t="s">
        <v>3260</v>
      </c>
      <c r="B1938" s="50"/>
      <c r="C1938" s="50"/>
      <c r="D1938" s="3" t="s">
        <v>3261</v>
      </c>
      <c r="E1938" s="3"/>
      <c r="F1938" s="51"/>
      <c r="G1938" s="50" t="s">
        <v>29</v>
      </c>
      <c r="H1938" s="52">
        <f>1</f>
        <v>1</v>
      </c>
      <c r="I1938" s="36"/>
      <c r="J1938" s="52">
        <v>1</v>
      </c>
      <c r="K1938" s="53">
        <f>0</f>
        <v>0</v>
      </c>
      <c r="L1938" s="53">
        <f>0</f>
        <v>0</v>
      </c>
      <c r="M1938" s="53">
        <f>0</f>
        <v>0</v>
      </c>
      <c r="N1938" s="54">
        <f>SUM(K1938:M1938)</f>
        <v>0</v>
      </c>
      <c r="O1938" s="54">
        <f>ROUND((H1938*K1938),2)</f>
        <v>0</v>
      </c>
      <c r="P1938" s="54">
        <f>ROUND((H1938*L1938),2)</f>
        <v>0</v>
      </c>
      <c r="Q1938" s="54">
        <f>ROUND((H1938*M1938),2)</f>
        <v>0</v>
      </c>
      <c r="R1938" s="54">
        <f>ROUND((H1938*N1938),2)</f>
        <v>0</v>
      </c>
      <c r="S1938" s="54"/>
      <c r="T1938" s="36"/>
      <c r="XDA1938"/>
      <c r="XDB1938"/>
      <c r="XDC1938"/>
      <c r="XDD1938"/>
      <c r="XDE1938"/>
      <c r="XDF1938"/>
      <c r="XDG1938"/>
      <c r="XDH1938"/>
      <c r="XDI1938"/>
      <c r="XDJ1938"/>
      <c r="XDK1938"/>
      <c r="XDL1938"/>
      <c r="XDM1938"/>
      <c r="XDN1938"/>
      <c r="XDO1938"/>
      <c r="XDP1938"/>
      <c r="XDQ1938"/>
      <c r="XDR1938"/>
      <c r="XDS1938"/>
      <c r="XDT1938"/>
      <c r="XDU1938"/>
      <c r="XDV1938"/>
      <c r="XDW1938"/>
      <c r="XDX1938"/>
      <c r="XDY1938"/>
      <c r="XDZ1938"/>
      <c r="XEA1938"/>
      <c r="XEB1938"/>
      <c r="XEC1938"/>
      <c r="XED1938"/>
      <c r="XEE1938"/>
      <c r="XEF1938"/>
      <c r="XEG1938"/>
      <c r="XEH1938"/>
      <c r="XEI1938"/>
      <c r="XEJ1938"/>
      <c r="XEK1938"/>
      <c r="XEL1938"/>
      <c r="XEM1938"/>
      <c r="XEN1938"/>
      <c r="XEO1938"/>
      <c r="XEP1938"/>
      <c r="XEQ1938"/>
      <c r="XER1938"/>
      <c r="XES1938"/>
      <c r="XET1938"/>
      <c r="XEU1938"/>
      <c r="XEV1938"/>
      <c r="XEW1938"/>
      <c r="XEX1938"/>
      <c r="XEY1938"/>
      <c r="XEZ1938"/>
      <c r="XFA1938"/>
      <c r="XFB1938"/>
      <c r="XFC1938"/>
    </row>
    <row r="1939" spans="1:20 16329:16383" s="38" customFormat="1" ht="29.1" customHeight="1" outlineLevel="4" x14ac:dyDescent="0.25">
      <c r="A1939" s="49" t="s">
        <v>3262</v>
      </c>
      <c r="B1939" s="50"/>
      <c r="C1939" s="50"/>
      <c r="D1939" s="3" t="s">
        <v>3263</v>
      </c>
      <c r="E1939" s="3"/>
      <c r="F1939" s="51"/>
      <c r="G1939" s="50" t="s">
        <v>29</v>
      </c>
      <c r="H1939" s="52">
        <f>1</f>
        <v>1</v>
      </c>
      <c r="I1939" s="36"/>
      <c r="J1939" s="52">
        <v>1</v>
      </c>
      <c r="K1939" s="53">
        <f>0</f>
        <v>0</v>
      </c>
      <c r="L1939" s="53">
        <f>0</f>
        <v>0</v>
      </c>
      <c r="M1939" s="53">
        <f>0</f>
        <v>0</v>
      </c>
      <c r="N1939" s="54">
        <f>SUM(K1939:M1939)</f>
        <v>0</v>
      </c>
      <c r="O1939" s="54">
        <f>ROUND((H1939*K1939),2)</f>
        <v>0</v>
      </c>
      <c r="P1939" s="54">
        <f>ROUND((H1939*L1939),2)</f>
        <v>0</v>
      </c>
      <c r="Q1939" s="54">
        <f>ROUND((H1939*M1939),2)</f>
        <v>0</v>
      </c>
      <c r="R1939" s="54">
        <f>ROUND((H1939*N1939),2)</f>
        <v>0</v>
      </c>
      <c r="S1939" s="54"/>
      <c r="T1939" s="36"/>
      <c r="XDA1939"/>
      <c r="XDB1939"/>
      <c r="XDC1939"/>
      <c r="XDD1939"/>
      <c r="XDE1939"/>
      <c r="XDF1939"/>
      <c r="XDG1939"/>
      <c r="XDH1939"/>
      <c r="XDI1939"/>
      <c r="XDJ1939"/>
      <c r="XDK1939"/>
      <c r="XDL1939"/>
      <c r="XDM1939"/>
      <c r="XDN1939"/>
      <c r="XDO1939"/>
      <c r="XDP1939"/>
      <c r="XDQ1939"/>
      <c r="XDR1939"/>
      <c r="XDS1939"/>
      <c r="XDT1939"/>
      <c r="XDU1939"/>
      <c r="XDV1939"/>
      <c r="XDW1939"/>
      <c r="XDX1939"/>
      <c r="XDY1939"/>
      <c r="XDZ1939"/>
      <c r="XEA1939"/>
      <c r="XEB1939"/>
      <c r="XEC1939"/>
      <c r="XED1939"/>
      <c r="XEE1939"/>
      <c r="XEF1939"/>
      <c r="XEG1939"/>
      <c r="XEH1939"/>
      <c r="XEI1939"/>
      <c r="XEJ1939"/>
      <c r="XEK1939"/>
      <c r="XEL1939"/>
      <c r="XEM1939"/>
      <c r="XEN1939"/>
      <c r="XEO1939"/>
      <c r="XEP1939"/>
      <c r="XEQ1939"/>
      <c r="XER1939"/>
      <c r="XES1939"/>
      <c r="XET1939"/>
      <c r="XEU1939"/>
      <c r="XEV1939"/>
      <c r="XEW1939"/>
      <c r="XEX1939"/>
      <c r="XEY1939"/>
      <c r="XEZ1939"/>
      <c r="XFA1939"/>
      <c r="XFB1939"/>
      <c r="XFC1939"/>
    </row>
    <row r="1940" spans="1:20 16329:16383" s="38" customFormat="1" ht="29.1" customHeight="1" outlineLevel="3" x14ac:dyDescent="0.25">
      <c r="A1940" s="55" t="s">
        <v>3264</v>
      </c>
      <c r="B1940" s="56" t="s">
        <v>3265</v>
      </c>
      <c r="C1940" s="56"/>
      <c r="D1940" s="2" t="s">
        <v>3266</v>
      </c>
      <c r="E1940" s="2"/>
      <c r="F1940" s="57"/>
      <c r="G1940" s="56"/>
      <c r="H1940" s="58"/>
      <c r="I1940" s="36"/>
      <c r="J1940" s="58"/>
      <c r="K1940" s="59"/>
      <c r="L1940" s="59"/>
      <c r="M1940" s="59"/>
      <c r="N1940" s="59"/>
      <c r="O1940" s="59">
        <f>O1941</f>
        <v>0</v>
      </c>
      <c r="P1940" s="59">
        <f>P1941</f>
        <v>0</v>
      </c>
      <c r="Q1940" s="59">
        <f>Q1941</f>
        <v>0</v>
      </c>
      <c r="R1940" s="59">
        <f>R1941</f>
        <v>0</v>
      </c>
      <c r="S1940" s="59"/>
      <c r="T1940" s="36"/>
      <c r="XDA1940"/>
      <c r="XDB1940"/>
      <c r="XDC1940"/>
      <c r="XDD1940"/>
      <c r="XDE1940"/>
      <c r="XDF1940"/>
      <c r="XDG1940"/>
      <c r="XDH1940"/>
      <c r="XDI1940"/>
      <c r="XDJ1940"/>
      <c r="XDK1940"/>
      <c r="XDL1940"/>
      <c r="XDM1940"/>
      <c r="XDN1940"/>
      <c r="XDO1940"/>
      <c r="XDP1940"/>
      <c r="XDQ1940"/>
      <c r="XDR1940"/>
      <c r="XDS1940"/>
      <c r="XDT1940"/>
      <c r="XDU1940"/>
      <c r="XDV1940"/>
      <c r="XDW1940"/>
      <c r="XDX1940"/>
      <c r="XDY1940"/>
      <c r="XDZ1940"/>
      <c r="XEA1940"/>
      <c r="XEB1940"/>
      <c r="XEC1940"/>
      <c r="XED1940"/>
      <c r="XEE1940"/>
      <c r="XEF1940"/>
      <c r="XEG1940"/>
      <c r="XEH1940"/>
      <c r="XEI1940"/>
      <c r="XEJ1940"/>
      <c r="XEK1940"/>
      <c r="XEL1940"/>
      <c r="XEM1940"/>
      <c r="XEN1940"/>
      <c r="XEO1940"/>
      <c r="XEP1940"/>
      <c r="XEQ1940"/>
      <c r="XER1940"/>
      <c r="XES1940"/>
      <c r="XET1940"/>
      <c r="XEU1940"/>
      <c r="XEV1940"/>
      <c r="XEW1940"/>
      <c r="XEX1940"/>
      <c r="XEY1940"/>
      <c r="XEZ1940"/>
      <c r="XFA1940"/>
      <c r="XFB1940"/>
      <c r="XFC1940"/>
    </row>
    <row r="1941" spans="1:20 16329:16383" s="38" customFormat="1" ht="29.1" customHeight="1" outlineLevel="4" x14ac:dyDescent="0.25">
      <c r="A1941" s="49" t="s">
        <v>3267</v>
      </c>
      <c r="B1941" s="50"/>
      <c r="C1941" s="50"/>
      <c r="D1941" s="3" t="s">
        <v>3266</v>
      </c>
      <c r="E1941" s="3"/>
      <c r="F1941" s="51"/>
      <c r="G1941" s="50" t="s">
        <v>29</v>
      </c>
      <c r="H1941" s="52">
        <f>1</f>
        <v>1</v>
      </c>
      <c r="I1941" s="36"/>
      <c r="J1941" s="52">
        <v>1</v>
      </c>
      <c r="K1941" s="53">
        <f>0</f>
        <v>0</v>
      </c>
      <c r="L1941" s="53">
        <f>0</f>
        <v>0</v>
      </c>
      <c r="M1941" s="53">
        <f>0</f>
        <v>0</v>
      </c>
      <c r="N1941" s="54">
        <f>SUM(K1941:M1941)</f>
        <v>0</v>
      </c>
      <c r="O1941" s="54">
        <f>ROUND((H1941*K1941),2)</f>
        <v>0</v>
      </c>
      <c r="P1941" s="54">
        <f>ROUND((H1941*L1941),2)</f>
        <v>0</v>
      </c>
      <c r="Q1941" s="54">
        <f>ROUND((H1941*M1941),2)</f>
        <v>0</v>
      </c>
      <c r="R1941" s="54">
        <f>ROUND((H1941*N1941),2)</f>
        <v>0</v>
      </c>
      <c r="S1941" s="54"/>
      <c r="T1941" s="36"/>
      <c r="XDA1941"/>
      <c r="XDB1941"/>
      <c r="XDC1941"/>
      <c r="XDD1941"/>
      <c r="XDE1941"/>
      <c r="XDF1941"/>
      <c r="XDG1941"/>
      <c r="XDH1941"/>
      <c r="XDI1941"/>
      <c r="XDJ1941"/>
      <c r="XDK1941"/>
      <c r="XDL1941"/>
      <c r="XDM1941"/>
      <c r="XDN1941"/>
      <c r="XDO1941"/>
      <c r="XDP1941"/>
      <c r="XDQ1941"/>
      <c r="XDR1941"/>
      <c r="XDS1941"/>
      <c r="XDT1941"/>
      <c r="XDU1941"/>
      <c r="XDV1941"/>
      <c r="XDW1941"/>
      <c r="XDX1941"/>
      <c r="XDY1941"/>
      <c r="XDZ1941"/>
      <c r="XEA1941"/>
      <c r="XEB1941"/>
      <c r="XEC1941"/>
      <c r="XED1941"/>
      <c r="XEE1941"/>
      <c r="XEF1941"/>
      <c r="XEG1941"/>
      <c r="XEH1941"/>
      <c r="XEI1941"/>
      <c r="XEJ1941"/>
      <c r="XEK1941"/>
      <c r="XEL1941"/>
      <c r="XEM1941"/>
      <c r="XEN1941"/>
      <c r="XEO1941"/>
      <c r="XEP1941"/>
      <c r="XEQ1941"/>
      <c r="XER1941"/>
      <c r="XES1941"/>
      <c r="XET1941"/>
      <c r="XEU1941"/>
      <c r="XEV1941"/>
      <c r="XEW1941"/>
      <c r="XEX1941"/>
      <c r="XEY1941"/>
      <c r="XEZ1941"/>
      <c r="XFA1941"/>
      <c r="XFB1941"/>
      <c r="XFC1941"/>
    </row>
    <row r="1942" spans="1:20 16329:16383" s="38" customFormat="1" ht="29.1" customHeight="1" outlineLevel="1" x14ac:dyDescent="0.25">
      <c r="A1942" s="39" t="s">
        <v>3268</v>
      </c>
      <c r="B1942" s="40" t="s">
        <v>50</v>
      </c>
      <c r="C1942" s="40"/>
      <c r="D1942" s="5" t="s">
        <v>3269</v>
      </c>
      <c r="E1942" s="5"/>
      <c r="F1942" s="41"/>
      <c r="G1942" s="40"/>
      <c r="H1942" s="42"/>
      <c r="I1942" s="36"/>
      <c r="J1942" s="42"/>
      <c r="K1942" s="43"/>
      <c r="L1942" s="43"/>
      <c r="M1942" s="43"/>
      <c r="N1942" s="43"/>
      <c r="O1942" s="43">
        <f>O1943+O1951+O1959</f>
        <v>0</v>
      </c>
      <c r="P1942" s="43">
        <f>P1943+P1951+P1959</f>
        <v>0</v>
      </c>
      <c r="Q1942" s="43">
        <f>Q1943+Q1951+Q1959</f>
        <v>0</v>
      </c>
      <c r="R1942" s="43">
        <f>R1943+R1951+R1959</f>
        <v>0</v>
      </c>
      <c r="S1942" s="43"/>
      <c r="T1942" s="36"/>
      <c r="XDA1942"/>
      <c r="XDB1942"/>
      <c r="XDC1942"/>
      <c r="XDD1942"/>
      <c r="XDE1942"/>
      <c r="XDF1942"/>
      <c r="XDG1942"/>
      <c r="XDH1942"/>
      <c r="XDI1942"/>
      <c r="XDJ1942"/>
      <c r="XDK1942"/>
      <c r="XDL1942"/>
      <c r="XDM1942"/>
      <c r="XDN1942"/>
      <c r="XDO1942"/>
      <c r="XDP1942"/>
      <c r="XDQ1942"/>
      <c r="XDR1942"/>
      <c r="XDS1942"/>
      <c r="XDT1942"/>
      <c r="XDU1942"/>
      <c r="XDV1942"/>
      <c r="XDW1942"/>
      <c r="XDX1942"/>
      <c r="XDY1942"/>
      <c r="XDZ1942"/>
      <c r="XEA1942"/>
      <c r="XEB1942"/>
      <c r="XEC1942"/>
      <c r="XED1942"/>
      <c r="XEE1942"/>
      <c r="XEF1942"/>
      <c r="XEG1942"/>
      <c r="XEH1942"/>
      <c r="XEI1942"/>
      <c r="XEJ1942"/>
      <c r="XEK1942"/>
      <c r="XEL1942"/>
      <c r="XEM1942"/>
      <c r="XEN1942"/>
      <c r="XEO1942"/>
      <c r="XEP1942"/>
      <c r="XEQ1942"/>
      <c r="XER1942"/>
      <c r="XES1942"/>
      <c r="XET1942"/>
      <c r="XEU1942"/>
      <c r="XEV1942"/>
      <c r="XEW1942"/>
      <c r="XEX1942"/>
      <c r="XEY1942"/>
      <c r="XEZ1942"/>
      <c r="XFA1942"/>
      <c r="XFB1942"/>
      <c r="XFC1942"/>
    </row>
    <row r="1943" spans="1:20 16329:16383" s="38" customFormat="1" ht="29.1" customHeight="1" outlineLevel="2" x14ac:dyDescent="0.25">
      <c r="A1943" s="44" t="s">
        <v>3270</v>
      </c>
      <c r="B1943" s="45" t="s">
        <v>3271</v>
      </c>
      <c r="C1943" s="45" t="s">
        <v>3272</v>
      </c>
      <c r="D1943" s="4" t="s">
        <v>3273</v>
      </c>
      <c r="E1943" s="4"/>
      <c r="F1943" s="46"/>
      <c r="G1943" s="45" t="s">
        <v>134</v>
      </c>
      <c r="H1943" s="47"/>
      <c r="I1943" s="36"/>
      <c r="J1943" s="47"/>
      <c r="K1943" s="48"/>
      <c r="L1943" s="48"/>
      <c r="M1943" s="48"/>
      <c r="N1943" s="48"/>
      <c r="O1943" s="48">
        <f>O1944+O1947+O1949</f>
        <v>0</v>
      </c>
      <c r="P1943" s="48">
        <f>P1944+P1947+P1949</f>
        <v>0</v>
      </c>
      <c r="Q1943" s="48">
        <f>Q1944+Q1947+Q1949</f>
        <v>0</v>
      </c>
      <c r="R1943" s="48">
        <f>R1944+R1947+R1949</f>
        <v>0</v>
      </c>
      <c r="S1943" s="48"/>
      <c r="T1943" s="36"/>
      <c r="XDA1943"/>
      <c r="XDB1943"/>
      <c r="XDC1943"/>
      <c r="XDD1943"/>
      <c r="XDE1943"/>
      <c r="XDF1943"/>
      <c r="XDG1943"/>
      <c r="XDH1943"/>
      <c r="XDI1943"/>
      <c r="XDJ1943"/>
      <c r="XDK1943"/>
      <c r="XDL1943"/>
      <c r="XDM1943"/>
      <c r="XDN1943"/>
      <c r="XDO1943"/>
      <c r="XDP1943"/>
      <c r="XDQ1943"/>
      <c r="XDR1943"/>
      <c r="XDS1943"/>
      <c r="XDT1943"/>
      <c r="XDU1943"/>
      <c r="XDV1943"/>
      <c r="XDW1943"/>
      <c r="XDX1943"/>
      <c r="XDY1943"/>
      <c r="XDZ1943"/>
      <c r="XEA1943"/>
      <c r="XEB1943"/>
      <c r="XEC1943"/>
      <c r="XED1943"/>
      <c r="XEE1943"/>
      <c r="XEF1943"/>
      <c r="XEG1943"/>
      <c r="XEH1943"/>
      <c r="XEI1943"/>
      <c r="XEJ1943"/>
      <c r="XEK1943"/>
      <c r="XEL1943"/>
      <c r="XEM1943"/>
      <c r="XEN1943"/>
      <c r="XEO1943"/>
      <c r="XEP1943"/>
      <c r="XEQ1943"/>
      <c r="XER1943"/>
      <c r="XES1943"/>
      <c r="XET1943"/>
      <c r="XEU1943"/>
      <c r="XEV1943"/>
      <c r="XEW1943"/>
      <c r="XEX1943"/>
      <c r="XEY1943"/>
      <c r="XEZ1943"/>
      <c r="XFA1943"/>
      <c r="XFB1943"/>
      <c r="XFC1943"/>
    </row>
    <row r="1944" spans="1:20 16329:16383" s="38" customFormat="1" ht="29.1" customHeight="1" outlineLevel="3" x14ac:dyDescent="0.25">
      <c r="A1944" s="55" t="s">
        <v>3274</v>
      </c>
      <c r="B1944" s="56" t="s">
        <v>3275</v>
      </c>
      <c r="C1944" s="56" t="s">
        <v>3276</v>
      </c>
      <c r="D1944" s="2" t="s">
        <v>3273</v>
      </c>
      <c r="E1944" s="2"/>
      <c r="F1944" s="57"/>
      <c r="G1944" s="56" t="s">
        <v>134</v>
      </c>
      <c r="H1944" s="58"/>
      <c r="I1944" s="36"/>
      <c r="J1944" s="58"/>
      <c r="K1944" s="59"/>
      <c r="L1944" s="59"/>
      <c r="M1944" s="59"/>
      <c r="N1944" s="59"/>
      <c r="O1944" s="59">
        <f>O1945+O1946</f>
        <v>0</v>
      </c>
      <c r="P1944" s="59">
        <f>P1945+P1946</f>
        <v>0</v>
      </c>
      <c r="Q1944" s="59">
        <f>Q1945+Q1946</f>
        <v>0</v>
      </c>
      <c r="R1944" s="59">
        <f>R1945+R1946</f>
        <v>0</v>
      </c>
      <c r="S1944" s="59"/>
      <c r="T1944" s="36"/>
      <c r="XDA1944"/>
      <c r="XDB1944"/>
      <c r="XDC1944"/>
      <c r="XDD1944"/>
      <c r="XDE1944"/>
      <c r="XDF1944"/>
      <c r="XDG1944"/>
      <c r="XDH1944"/>
      <c r="XDI1944"/>
      <c r="XDJ1944"/>
      <c r="XDK1944"/>
      <c r="XDL1944"/>
      <c r="XDM1944"/>
      <c r="XDN1944"/>
      <c r="XDO1944"/>
      <c r="XDP1944"/>
      <c r="XDQ1944"/>
      <c r="XDR1944"/>
      <c r="XDS1944"/>
      <c r="XDT1944"/>
      <c r="XDU1944"/>
      <c r="XDV1944"/>
      <c r="XDW1944"/>
      <c r="XDX1944"/>
      <c r="XDY1944"/>
      <c r="XDZ1944"/>
      <c r="XEA1944"/>
      <c r="XEB1944"/>
      <c r="XEC1944"/>
      <c r="XED1944"/>
      <c r="XEE1944"/>
      <c r="XEF1944"/>
      <c r="XEG1944"/>
      <c r="XEH1944"/>
      <c r="XEI1944"/>
      <c r="XEJ1944"/>
      <c r="XEK1944"/>
      <c r="XEL1944"/>
      <c r="XEM1944"/>
      <c r="XEN1944"/>
      <c r="XEO1944"/>
      <c r="XEP1944"/>
      <c r="XEQ1944"/>
      <c r="XER1944"/>
      <c r="XES1944"/>
      <c r="XET1944"/>
      <c r="XEU1944"/>
      <c r="XEV1944"/>
      <c r="XEW1944"/>
      <c r="XEX1944"/>
      <c r="XEY1944"/>
      <c r="XEZ1944"/>
      <c r="XFA1944"/>
      <c r="XFB1944"/>
      <c r="XFC1944"/>
    </row>
    <row r="1945" spans="1:20 16329:16383" s="38" customFormat="1" ht="29.1" customHeight="1" outlineLevel="4" x14ac:dyDescent="0.25">
      <c r="A1945" s="49" t="s">
        <v>3277</v>
      </c>
      <c r="B1945" s="50"/>
      <c r="C1945" s="50"/>
      <c r="D1945" s="3" t="s">
        <v>3278</v>
      </c>
      <c r="E1945" s="3"/>
      <c r="F1945" s="51"/>
      <c r="G1945" s="50" t="s">
        <v>29</v>
      </c>
      <c r="H1945" s="52">
        <f>1</f>
        <v>1</v>
      </c>
      <c r="I1945" s="36"/>
      <c r="J1945" s="52">
        <v>1</v>
      </c>
      <c r="K1945" s="53">
        <f>0</f>
        <v>0</v>
      </c>
      <c r="L1945" s="53">
        <f>0</f>
        <v>0</v>
      </c>
      <c r="M1945" s="53">
        <f>0</f>
        <v>0</v>
      </c>
      <c r="N1945" s="54">
        <f>SUM(K1945:M1945)</f>
        <v>0</v>
      </c>
      <c r="O1945" s="54">
        <f>ROUND((H1945*K1945),2)</f>
        <v>0</v>
      </c>
      <c r="P1945" s="54">
        <f>ROUND((H1945*L1945),2)</f>
        <v>0</v>
      </c>
      <c r="Q1945" s="54">
        <f>ROUND((H1945*M1945),2)</f>
        <v>0</v>
      </c>
      <c r="R1945" s="54">
        <f>ROUND((H1945*N1945),2)</f>
        <v>0</v>
      </c>
      <c r="S1945" s="54"/>
      <c r="T1945" s="36"/>
      <c r="XDA1945"/>
      <c r="XDB1945"/>
      <c r="XDC1945"/>
      <c r="XDD1945"/>
      <c r="XDE1945"/>
      <c r="XDF1945"/>
      <c r="XDG1945"/>
      <c r="XDH1945"/>
      <c r="XDI1945"/>
      <c r="XDJ1945"/>
      <c r="XDK1945"/>
      <c r="XDL1945"/>
      <c r="XDM1945"/>
      <c r="XDN1945"/>
      <c r="XDO1945"/>
      <c r="XDP1945"/>
      <c r="XDQ1945"/>
      <c r="XDR1945"/>
      <c r="XDS1945"/>
      <c r="XDT1945"/>
      <c r="XDU1945"/>
      <c r="XDV1945"/>
      <c r="XDW1945"/>
      <c r="XDX1945"/>
      <c r="XDY1945"/>
      <c r="XDZ1945"/>
      <c r="XEA1945"/>
      <c r="XEB1945"/>
      <c r="XEC1945"/>
      <c r="XED1945"/>
      <c r="XEE1945"/>
      <c r="XEF1945"/>
      <c r="XEG1945"/>
      <c r="XEH1945"/>
      <c r="XEI1945"/>
      <c r="XEJ1945"/>
      <c r="XEK1945"/>
      <c r="XEL1945"/>
      <c r="XEM1945"/>
      <c r="XEN1945"/>
      <c r="XEO1945"/>
      <c r="XEP1945"/>
      <c r="XEQ1945"/>
      <c r="XER1945"/>
      <c r="XES1945"/>
      <c r="XET1945"/>
      <c r="XEU1945"/>
      <c r="XEV1945"/>
      <c r="XEW1945"/>
      <c r="XEX1945"/>
      <c r="XEY1945"/>
      <c r="XEZ1945"/>
      <c r="XFA1945"/>
      <c r="XFB1945"/>
      <c r="XFC1945"/>
    </row>
    <row r="1946" spans="1:20 16329:16383" s="38" customFormat="1" ht="29.1" customHeight="1" outlineLevel="4" x14ac:dyDescent="0.25">
      <c r="A1946" s="49" t="s">
        <v>3279</v>
      </c>
      <c r="B1946" s="50"/>
      <c r="C1946" s="50"/>
      <c r="D1946" s="3" t="s">
        <v>3280</v>
      </c>
      <c r="E1946" s="3"/>
      <c r="F1946" s="51"/>
      <c r="G1946" s="50" t="s">
        <v>29</v>
      </c>
      <c r="H1946" s="52">
        <f>1</f>
        <v>1</v>
      </c>
      <c r="I1946" s="36"/>
      <c r="J1946" s="52">
        <v>1</v>
      </c>
      <c r="K1946" s="53">
        <f>0</f>
        <v>0</v>
      </c>
      <c r="L1946" s="53">
        <f>0</f>
        <v>0</v>
      </c>
      <c r="M1946" s="53">
        <f>0</f>
        <v>0</v>
      </c>
      <c r="N1946" s="54">
        <f>SUM(K1946:M1946)</f>
        <v>0</v>
      </c>
      <c r="O1946" s="54">
        <f>ROUND((H1946*K1946),2)</f>
        <v>0</v>
      </c>
      <c r="P1946" s="54">
        <f>ROUND((H1946*L1946),2)</f>
        <v>0</v>
      </c>
      <c r="Q1946" s="54">
        <f>ROUND((H1946*M1946),2)</f>
        <v>0</v>
      </c>
      <c r="R1946" s="54">
        <f>ROUND((H1946*N1946),2)</f>
        <v>0</v>
      </c>
      <c r="S1946" s="54"/>
      <c r="T1946" s="36"/>
      <c r="XDA1946"/>
      <c r="XDB1946"/>
      <c r="XDC1946"/>
      <c r="XDD1946"/>
      <c r="XDE1946"/>
      <c r="XDF1946"/>
      <c r="XDG1946"/>
      <c r="XDH1946"/>
      <c r="XDI1946"/>
      <c r="XDJ1946"/>
      <c r="XDK1946"/>
      <c r="XDL1946"/>
      <c r="XDM1946"/>
      <c r="XDN1946"/>
      <c r="XDO1946"/>
      <c r="XDP1946"/>
      <c r="XDQ1946"/>
      <c r="XDR1946"/>
      <c r="XDS1946"/>
      <c r="XDT1946"/>
      <c r="XDU1946"/>
      <c r="XDV1946"/>
      <c r="XDW1946"/>
      <c r="XDX1946"/>
      <c r="XDY1946"/>
      <c r="XDZ1946"/>
      <c r="XEA1946"/>
      <c r="XEB1946"/>
      <c r="XEC1946"/>
      <c r="XED1946"/>
      <c r="XEE1946"/>
      <c r="XEF1946"/>
      <c r="XEG1946"/>
      <c r="XEH1946"/>
      <c r="XEI1946"/>
      <c r="XEJ1946"/>
      <c r="XEK1946"/>
      <c r="XEL1946"/>
      <c r="XEM1946"/>
      <c r="XEN1946"/>
      <c r="XEO1946"/>
      <c r="XEP1946"/>
      <c r="XEQ1946"/>
      <c r="XER1946"/>
      <c r="XES1946"/>
      <c r="XET1946"/>
      <c r="XEU1946"/>
      <c r="XEV1946"/>
      <c r="XEW1946"/>
      <c r="XEX1946"/>
      <c r="XEY1946"/>
      <c r="XEZ1946"/>
      <c r="XFA1946"/>
      <c r="XFB1946"/>
      <c r="XFC1946"/>
    </row>
    <row r="1947" spans="1:20 16329:16383" s="38" customFormat="1" ht="29.1" customHeight="1" outlineLevel="3" x14ac:dyDescent="0.25">
      <c r="A1947" s="55" t="s">
        <v>3281</v>
      </c>
      <c r="B1947" s="56" t="s">
        <v>3282</v>
      </c>
      <c r="C1947" s="56" t="s">
        <v>3283</v>
      </c>
      <c r="D1947" s="2" t="s">
        <v>3284</v>
      </c>
      <c r="E1947" s="2"/>
      <c r="F1947" s="57"/>
      <c r="G1947" s="56" t="s">
        <v>3285</v>
      </c>
      <c r="H1947" s="58"/>
      <c r="I1947" s="36"/>
      <c r="J1947" s="58"/>
      <c r="K1947" s="59"/>
      <c r="L1947" s="59"/>
      <c r="M1947" s="59"/>
      <c r="N1947" s="59"/>
      <c r="O1947" s="59">
        <f>O1948</f>
        <v>0</v>
      </c>
      <c r="P1947" s="59">
        <f>P1948</f>
        <v>0</v>
      </c>
      <c r="Q1947" s="59">
        <f>Q1948</f>
        <v>0</v>
      </c>
      <c r="R1947" s="59">
        <f>R1948</f>
        <v>0</v>
      </c>
      <c r="S1947" s="59"/>
      <c r="T1947" s="36"/>
      <c r="XDA1947"/>
      <c r="XDB1947"/>
      <c r="XDC1947"/>
      <c r="XDD1947"/>
      <c r="XDE1947"/>
      <c r="XDF1947"/>
      <c r="XDG1947"/>
      <c r="XDH1947"/>
      <c r="XDI1947"/>
      <c r="XDJ1947"/>
      <c r="XDK1947"/>
      <c r="XDL1947"/>
      <c r="XDM1947"/>
      <c r="XDN1947"/>
      <c r="XDO1947"/>
      <c r="XDP1947"/>
      <c r="XDQ1947"/>
      <c r="XDR1947"/>
      <c r="XDS1947"/>
      <c r="XDT1947"/>
      <c r="XDU1947"/>
      <c r="XDV1947"/>
      <c r="XDW1947"/>
      <c r="XDX1947"/>
      <c r="XDY1947"/>
      <c r="XDZ1947"/>
      <c r="XEA1947"/>
      <c r="XEB1947"/>
      <c r="XEC1947"/>
      <c r="XED1947"/>
      <c r="XEE1947"/>
      <c r="XEF1947"/>
      <c r="XEG1947"/>
      <c r="XEH1947"/>
      <c r="XEI1947"/>
      <c r="XEJ1947"/>
      <c r="XEK1947"/>
      <c r="XEL1947"/>
      <c r="XEM1947"/>
      <c r="XEN1947"/>
      <c r="XEO1947"/>
      <c r="XEP1947"/>
      <c r="XEQ1947"/>
      <c r="XER1947"/>
      <c r="XES1947"/>
      <c r="XET1947"/>
      <c r="XEU1947"/>
      <c r="XEV1947"/>
      <c r="XEW1947"/>
      <c r="XEX1947"/>
      <c r="XEY1947"/>
      <c r="XEZ1947"/>
      <c r="XFA1947"/>
      <c r="XFB1947"/>
      <c r="XFC1947"/>
    </row>
    <row r="1948" spans="1:20 16329:16383" s="38" customFormat="1" ht="29.1" customHeight="1" outlineLevel="4" x14ac:dyDescent="0.25">
      <c r="A1948" s="49" t="s">
        <v>3286</v>
      </c>
      <c r="B1948" s="50"/>
      <c r="C1948" s="50"/>
      <c r="D1948" s="3" t="s">
        <v>3284</v>
      </c>
      <c r="E1948" s="3"/>
      <c r="F1948" s="51"/>
      <c r="G1948" s="50" t="s">
        <v>29</v>
      </c>
      <c r="H1948" s="52">
        <f>1</f>
        <v>1</v>
      </c>
      <c r="I1948" s="36"/>
      <c r="J1948" s="52">
        <v>1</v>
      </c>
      <c r="K1948" s="53">
        <f>0</f>
        <v>0</v>
      </c>
      <c r="L1948" s="53">
        <f>0</f>
        <v>0</v>
      </c>
      <c r="M1948" s="53">
        <f>0</f>
        <v>0</v>
      </c>
      <c r="N1948" s="54">
        <f>SUM(K1948:M1948)</f>
        <v>0</v>
      </c>
      <c r="O1948" s="54">
        <f>ROUND((H1948*K1948),2)</f>
        <v>0</v>
      </c>
      <c r="P1948" s="54">
        <f>ROUND((H1948*L1948),2)</f>
        <v>0</v>
      </c>
      <c r="Q1948" s="54">
        <f>ROUND((H1948*M1948),2)</f>
        <v>0</v>
      </c>
      <c r="R1948" s="54">
        <f>ROUND((H1948*N1948),2)</f>
        <v>0</v>
      </c>
      <c r="S1948" s="54"/>
      <c r="T1948" s="36"/>
      <c r="XDA1948"/>
      <c r="XDB1948"/>
      <c r="XDC1948"/>
      <c r="XDD1948"/>
      <c r="XDE1948"/>
      <c r="XDF1948"/>
      <c r="XDG1948"/>
      <c r="XDH1948"/>
      <c r="XDI1948"/>
      <c r="XDJ1948"/>
      <c r="XDK1948"/>
      <c r="XDL1948"/>
      <c r="XDM1948"/>
      <c r="XDN1948"/>
      <c r="XDO1948"/>
      <c r="XDP1948"/>
      <c r="XDQ1948"/>
      <c r="XDR1948"/>
      <c r="XDS1948"/>
      <c r="XDT1948"/>
      <c r="XDU1948"/>
      <c r="XDV1948"/>
      <c r="XDW1948"/>
      <c r="XDX1948"/>
      <c r="XDY1948"/>
      <c r="XDZ1948"/>
      <c r="XEA1948"/>
      <c r="XEB1948"/>
      <c r="XEC1948"/>
      <c r="XED1948"/>
      <c r="XEE1948"/>
      <c r="XEF1948"/>
      <c r="XEG1948"/>
      <c r="XEH1948"/>
      <c r="XEI1948"/>
      <c r="XEJ1948"/>
      <c r="XEK1948"/>
      <c r="XEL1948"/>
      <c r="XEM1948"/>
      <c r="XEN1948"/>
      <c r="XEO1948"/>
      <c r="XEP1948"/>
      <c r="XEQ1948"/>
      <c r="XER1948"/>
      <c r="XES1948"/>
      <c r="XET1948"/>
      <c r="XEU1948"/>
      <c r="XEV1948"/>
      <c r="XEW1948"/>
      <c r="XEX1948"/>
      <c r="XEY1948"/>
      <c r="XEZ1948"/>
      <c r="XFA1948"/>
      <c r="XFB1948"/>
      <c r="XFC1948"/>
    </row>
    <row r="1949" spans="1:20 16329:16383" s="38" customFormat="1" ht="29.1" customHeight="1" outlineLevel="3" x14ac:dyDescent="0.25">
      <c r="A1949" s="55" t="s">
        <v>3287</v>
      </c>
      <c r="B1949" s="56" t="s">
        <v>3288</v>
      </c>
      <c r="C1949" s="56" t="s">
        <v>3289</v>
      </c>
      <c r="D1949" s="2" t="s">
        <v>3290</v>
      </c>
      <c r="E1949" s="2"/>
      <c r="F1949" s="57"/>
      <c r="G1949" s="56" t="s">
        <v>134</v>
      </c>
      <c r="H1949" s="58"/>
      <c r="I1949" s="36"/>
      <c r="J1949" s="58"/>
      <c r="K1949" s="59"/>
      <c r="L1949" s="59"/>
      <c r="M1949" s="59"/>
      <c r="N1949" s="59"/>
      <c r="O1949" s="59">
        <f>O1950</f>
        <v>0</v>
      </c>
      <c r="P1949" s="59">
        <f>P1950</f>
        <v>0</v>
      </c>
      <c r="Q1949" s="59">
        <f>Q1950</f>
        <v>0</v>
      </c>
      <c r="R1949" s="59">
        <f>R1950</f>
        <v>0</v>
      </c>
      <c r="S1949" s="59"/>
      <c r="T1949" s="36"/>
      <c r="XDA1949"/>
      <c r="XDB1949"/>
      <c r="XDC1949"/>
      <c r="XDD1949"/>
      <c r="XDE1949"/>
      <c r="XDF1949"/>
      <c r="XDG1949"/>
      <c r="XDH1949"/>
      <c r="XDI1949"/>
      <c r="XDJ1949"/>
      <c r="XDK1949"/>
      <c r="XDL1949"/>
      <c r="XDM1949"/>
      <c r="XDN1949"/>
      <c r="XDO1949"/>
      <c r="XDP1949"/>
      <c r="XDQ1949"/>
      <c r="XDR1949"/>
      <c r="XDS1949"/>
      <c r="XDT1949"/>
      <c r="XDU1949"/>
      <c r="XDV1949"/>
      <c r="XDW1949"/>
      <c r="XDX1949"/>
      <c r="XDY1949"/>
      <c r="XDZ1949"/>
      <c r="XEA1949"/>
      <c r="XEB1949"/>
      <c r="XEC1949"/>
      <c r="XED1949"/>
      <c r="XEE1949"/>
      <c r="XEF1949"/>
      <c r="XEG1949"/>
      <c r="XEH1949"/>
      <c r="XEI1949"/>
      <c r="XEJ1949"/>
      <c r="XEK1949"/>
      <c r="XEL1949"/>
      <c r="XEM1949"/>
      <c r="XEN1949"/>
      <c r="XEO1949"/>
      <c r="XEP1949"/>
      <c r="XEQ1949"/>
      <c r="XER1949"/>
      <c r="XES1949"/>
      <c r="XET1949"/>
      <c r="XEU1949"/>
      <c r="XEV1949"/>
      <c r="XEW1949"/>
      <c r="XEX1949"/>
      <c r="XEY1949"/>
      <c r="XEZ1949"/>
      <c r="XFA1949"/>
      <c r="XFB1949"/>
      <c r="XFC1949"/>
    </row>
    <row r="1950" spans="1:20 16329:16383" s="38" customFormat="1" ht="29.1" customHeight="1" outlineLevel="4" x14ac:dyDescent="0.25">
      <c r="A1950" s="49" t="s">
        <v>3291</v>
      </c>
      <c r="B1950" s="50"/>
      <c r="C1950" s="50"/>
      <c r="D1950" s="3" t="s">
        <v>3290</v>
      </c>
      <c r="E1950" s="3"/>
      <c r="F1950" s="51"/>
      <c r="G1950" s="50" t="s">
        <v>29</v>
      </c>
      <c r="H1950" s="52">
        <f>1</f>
        <v>1</v>
      </c>
      <c r="I1950" s="36"/>
      <c r="J1950" s="52">
        <v>1</v>
      </c>
      <c r="K1950" s="53">
        <f>0</f>
        <v>0</v>
      </c>
      <c r="L1950" s="53">
        <f>0</f>
        <v>0</v>
      </c>
      <c r="M1950" s="53">
        <f>0</f>
        <v>0</v>
      </c>
      <c r="N1950" s="54">
        <f>SUM(K1950:M1950)</f>
        <v>0</v>
      </c>
      <c r="O1950" s="54">
        <f>ROUND((H1950*K1950),2)</f>
        <v>0</v>
      </c>
      <c r="P1950" s="54">
        <f>ROUND((H1950*L1950),2)</f>
        <v>0</v>
      </c>
      <c r="Q1950" s="54">
        <f>ROUND((H1950*M1950),2)</f>
        <v>0</v>
      </c>
      <c r="R1950" s="54">
        <f>ROUND((H1950*N1950),2)</f>
        <v>0</v>
      </c>
      <c r="S1950" s="54"/>
      <c r="T1950" s="36"/>
      <c r="XDA1950"/>
      <c r="XDB1950"/>
      <c r="XDC1950"/>
      <c r="XDD1950"/>
      <c r="XDE1950"/>
      <c r="XDF1950"/>
      <c r="XDG1950"/>
      <c r="XDH1950"/>
      <c r="XDI1950"/>
      <c r="XDJ1950"/>
      <c r="XDK1950"/>
      <c r="XDL1950"/>
      <c r="XDM1950"/>
      <c r="XDN1950"/>
      <c r="XDO1950"/>
      <c r="XDP1950"/>
      <c r="XDQ1950"/>
      <c r="XDR1950"/>
      <c r="XDS1950"/>
      <c r="XDT1950"/>
      <c r="XDU1950"/>
      <c r="XDV1950"/>
      <c r="XDW1950"/>
      <c r="XDX1950"/>
      <c r="XDY1950"/>
      <c r="XDZ1950"/>
      <c r="XEA1950"/>
      <c r="XEB1950"/>
      <c r="XEC1950"/>
      <c r="XED1950"/>
      <c r="XEE1950"/>
      <c r="XEF1950"/>
      <c r="XEG1950"/>
      <c r="XEH1950"/>
      <c r="XEI1950"/>
      <c r="XEJ1950"/>
      <c r="XEK1950"/>
      <c r="XEL1950"/>
      <c r="XEM1950"/>
      <c r="XEN1950"/>
      <c r="XEO1950"/>
      <c r="XEP1950"/>
      <c r="XEQ1950"/>
      <c r="XER1950"/>
      <c r="XES1950"/>
      <c r="XET1950"/>
      <c r="XEU1950"/>
      <c r="XEV1950"/>
      <c r="XEW1950"/>
      <c r="XEX1950"/>
      <c r="XEY1950"/>
      <c r="XEZ1950"/>
      <c r="XFA1950"/>
      <c r="XFB1950"/>
      <c r="XFC1950"/>
    </row>
    <row r="1951" spans="1:20 16329:16383" s="38" customFormat="1" ht="29.1" customHeight="1" outlineLevel="2" x14ac:dyDescent="0.25">
      <c r="A1951" s="44" t="s">
        <v>3292</v>
      </c>
      <c r="B1951" s="45" t="s">
        <v>3293</v>
      </c>
      <c r="C1951" s="45" t="s">
        <v>3294</v>
      </c>
      <c r="D1951" s="4" t="s">
        <v>3295</v>
      </c>
      <c r="E1951" s="4"/>
      <c r="F1951" s="46"/>
      <c r="G1951" s="45" t="s">
        <v>29</v>
      </c>
      <c r="H1951" s="47"/>
      <c r="I1951" s="36"/>
      <c r="J1951" s="47"/>
      <c r="K1951" s="48"/>
      <c r="L1951" s="48"/>
      <c r="M1951" s="48"/>
      <c r="N1951" s="48"/>
      <c r="O1951" s="48">
        <f>O1952+O1955+O1957</f>
        <v>0</v>
      </c>
      <c r="P1951" s="48">
        <f>P1952+P1955+P1957</f>
        <v>0</v>
      </c>
      <c r="Q1951" s="48">
        <f>Q1952+Q1955+Q1957</f>
        <v>0</v>
      </c>
      <c r="R1951" s="48">
        <f>R1952+R1955+R1957</f>
        <v>0</v>
      </c>
      <c r="S1951" s="48"/>
      <c r="T1951" s="36"/>
      <c r="XDA1951"/>
      <c r="XDB1951"/>
      <c r="XDC1951"/>
      <c r="XDD1951"/>
      <c r="XDE1951"/>
      <c r="XDF1951"/>
      <c r="XDG1951"/>
      <c r="XDH1951"/>
      <c r="XDI1951"/>
      <c r="XDJ1951"/>
      <c r="XDK1951"/>
      <c r="XDL1951"/>
      <c r="XDM1951"/>
      <c r="XDN1951"/>
      <c r="XDO1951"/>
      <c r="XDP1951"/>
      <c r="XDQ1951"/>
      <c r="XDR1951"/>
      <c r="XDS1951"/>
      <c r="XDT1951"/>
      <c r="XDU1951"/>
      <c r="XDV1951"/>
      <c r="XDW1951"/>
      <c r="XDX1951"/>
      <c r="XDY1951"/>
      <c r="XDZ1951"/>
      <c r="XEA1951"/>
      <c r="XEB1951"/>
      <c r="XEC1951"/>
      <c r="XED1951"/>
      <c r="XEE1951"/>
      <c r="XEF1951"/>
      <c r="XEG1951"/>
      <c r="XEH1951"/>
      <c r="XEI1951"/>
      <c r="XEJ1951"/>
      <c r="XEK1951"/>
      <c r="XEL1951"/>
      <c r="XEM1951"/>
      <c r="XEN1951"/>
      <c r="XEO1951"/>
      <c r="XEP1951"/>
      <c r="XEQ1951"/>
      <c r="XER1951"/>
      <c r="XES1951"/>
      <c r="XET1951"/>
      <c r="XEU1951"/>
      <c r="XEV1951"/>
      <c r="XEW1951"/>
      <c r="XEX1951"/>
      <c r="XEY1951"/>
      <c r="XEZ1951"/>
      <c r="XFA1951"/>
      <c r="XFB1951"/>
      <c r="XFC1951"/>
    </row>
    <row r="1952" spans="1:20 16329:16383" s="38" customFormat="1" ht="29.1" customHeight="1" outlineLevel="3" x14ac:dyDescent="0.25">
      <c r="A1952" s="55" t="s">
        <v>3296</v>
      </c>
      <c r="B1952" s="56" t="s">
        <v>3297</v>
      </c>
      <c r="C1952" s="56" t="s">
        <v>3298</v>
      </c>
      <c r="D1952" s="2" t="s">
        <v>3299</v>
      </c>
      <c r="E1952" s="2"/>
      <c r="F1952" s="57"/>
      <c r="G1952" s="56" t="s">
        <v>134</v>
      </c>
      <c r="H1952" s="58"/>
      <c r="I1952" s="36"/>
      <c r="J1952" s="58"/>
      <c r="K1952" s="59"/>
      <c r="L1952" s="59"/>
      <c r="M1952" s="59"/>
      <c r="N1952" s="59"/>
      <c r="O1952" s="59">
        <f>O1953+O1954</f>
        <v>0</v>
      </c>
      <c r="P1952" s="59">
        <f>P1953+P1954</f>
        <v>0</v>
      </c>
      <c r="Q1952" s="59">
        <f>Q1953+Q1954</f>
        <v>0</v>
      </c>
      <c r="R1952" s="59">
        <f>R1953+R1954</f>
        <v>0</v>
      </c>
      <c r="S1952" s="59"/>
      <c r="T1952" s="36"/>
      <c r="XDA1952"/>
      <c r="XDB1952"/>
      <c r="XDC1952"/>
      <c r="XDD1952"/>
      <c r="XDE1952"/>
      <c r="XDF1952"/>
      <c r="XDG1952"/>
      <c r="XDH1952"/>
      <c r="XDI1952"/>
      <c r="XDJ1952"/>
      <c r="XDK1952"/>
      <c r="XDL1952"/>
      <c r="XDM1952"/>
      <c r="XDN1952"/>
      <c r="XDO1952"/>
      <c r="XDP1952"/>
      <c r="XDQ1952"/>
      <c r="XDR1952"/>
      <c r="XDS1952"/>
      <c r="XDT1952"/>
      <c r="XDU1952"/>
      <c r="XDV1952"/>
      <c r="XDW1952"/>
      <c r="XDX1952"/>
      <c r="XDY1952"/>
      <c r="XDZ1952"/>
      <c r="XEA1952"/>
      <c r="XEB1952"/>
      <c r="XEC1952"/>
      <c r="XED1952"/>
      <c r="XEE1952"/>
      <c r="XEF1952"/>
      <c r="XEG1952"/>
      <c r="XEH1952"/>
      <c r="XEI1952"/>
      <c r="XEJ1952"/>
      <c r="XEK1952"/>
      <c r="XEL1952"/>
      <c r="XEM1952"/>
      <c r="XEN1952"/>
      <c r="XEO1952"/>
      <c r="XEP1952"/>
      <c r="XEQ1952"/>
      <c r="XER1952"/>
      <c r="XES1952"/>
      <c r="XET1952"/>
      <c r="XEU1952"/>
      <c r="XEV1952"/>
      <c r="XEW1952"/>
      <c r="XEX1952"/>
      <c r="XEY1952"/>
      <c r="XEZ1952"/>
      <c r="XFA1952"/>
      <c r="XFB1952"/>
      <c r="XFC1952"/>
    </row>
    <row r="1953" spans="1:20 16329:16383" s="38" customFormat="1" ht="29.1" customHeight="1" outlineLevel="4" x14ac:dyDescent="0.25">
      <c r="A1953" s="49" t="s">
        <v>3300</v>
      </c>
      <c r="B1953" s="50"/>
      <c r="C1953" s="50"/>
      <c r="D1953" s="3" t="s">
        <v>3301</v>
      </c>
      <c r="E1953" s="3"/>
      <c r="F1953" s="51"/>
      <c r="G1953" s="50" t="s">
        <v>29</v>
      </c>
      <c r="H1953" s="52">
        <f>1</f>
        <v>1</v>
      </c>
      <c r="I1953" s="36"/>
      <c r="J1953" s="52">
        <v>1</v>
      </c>
      <c r="K1953" s="53">
        <f>0</f>
        <v>0</v>
      </c>
      <c r="L1953" s="53">
        <f>0</f>
        <v>0</v>
      </c>
      <c r="M1953" s="53">
        <f>0</f>
        <v>0</v>
      </c>
      <c r="N1953" s="54">
        <f>SUM(K1953:M1953)</f>
        <v>0</v>
      </c>
      <c r="O1953" s="54">
        <f>ROUND((H1953*K1953),2)</f>
        <v>0</v>
      </c>
      <c r="P1953" s="54">
        <f>ROUND((H1953*L1953),2)</f>
        <v>0</v>
      </c>
      <c r="Q1953" s="54">
        <f>ROUND((H1953*M1953),2)</f>
        <v>0</v>
      </c>
      <c r="R1953" s="54">
        <f>ROUND((H1953*N1953),2)</f>
        <v>0</v>
      </c>
      <c r="S1953" s="54"/>
      <c r="T1953" s="36"/>
      <c r="XDA1953"/>
      <c r="XDB1953"/>
      <c r="XDC1953"/>
      <c r="XDD1953"/>
      <c r="XDE1953"/>
      <c r="XDF1953"/>
      <c r="XDG1953"/>
      <c r="XDH1953"/>
      <c r="XDI1953"/>
      <c r="XDJ1953"/>
      <c r="XDK1953"/>
      <c r="XDL1953"/>
      <c r="XDM1953"/>
      <c r="XDN1953"/>
      <c r="XDO1953"/>
      <c r="XDP1953"/>
      <c r="XDQ1953"/>
      <c r="XDR1953"/>
      <c r="XDS1953"/>
      <c r="XDT1953"/>
      <c r="XDU1953"/>
      <c r="XDV1953"/>
      <c r="XDW1953"/>
      <c r="XDX1953"/>
      <c r="XDY1953"/>
      <c r="XDZ1953"/>
      <c r="XEA1953"/>
      <c r="XEB1953"/>
      <c r="XEC1953"/>
      <c r="XED1953"/>
      <c r="XEE1953"/>
      <c r="XEF1953"/>
      <c r="XEG1953"/>
      <c r="XEH1953"/>
      <c r="XEI1953"/>
      <c r="XEJ1953"/>
      <c r="XEK1953"/>
      <c r="XEL1953"/>
      <c r="XEM1953"/>
      <c r="XEN1953"/>
      <c r="XEO1953"/>
      <c r="XEP1953"/>
      <c r="XEQ1953"/>
      <c r="XER1953"/>
      <c r="XES1953"/>
      <c r="XET1953"/>
      <c r="XEU1953"/>
      <c r="XEV1953"/>
      <c r="XEW1953"/>
      <c r="XEX1953"/>
      <c r="XEY1953"/>
      <c r="XEZ1953"/>
      <c r="XFA1953"/>
      <c r="XFB1953"/>
      <c r="XFC1953"/>
    </row>
    <row r="1954" spans="1:20 16329:16383" s="38" customFormat="1" ht="29.1" customHeight="1" outlineLevel="4" x14ac:dyDescent="0.25">
      <c r="A1954" s="49" t="s">
        <v>3302</v>
      </c>
      <c r="B1954" s="50"/>
      <c r="C1954" s="50"/>
      <c r="D1954" s="3" t="s">
        <v>3303</v>
      </c>
      <c r="E1954" s="3"/>
      <c r="F1954" s="51"/>
      <c r="G1954" s="50" t="s">
        <v>29</v>
      </c>
      <c r="H1954" s="52">
        <f>1</f>
        <v>1</v>
      </c>
      <c r="I1954" s="36"/>
      <c r="J1954" s="52">
        <v>1</v>
      </c>
      <c r="K1954" s="53">
        <f>0</f>
        <v>0</v>
      </c>
      <c r="L1954" s="53">
        <f>0</f>
        <v>0</v>
      </c>
      <c r="M1954" s="53">
        <f>0</f>
        <v>0</v>
      </c>
      <c r="N1954" s="54">
        <f>SUM(K1954:M1954)</f>
        <v>0</v>
      </c>
      <c r="O1954" s="54">
        <f>ROUND((H1954*K1954),2)</f>
        <v>0</v>
      </c>
      <c r="P1954" s="54">
        <f>ROUND((H1954*L1954),2)</f>
        <v>0</v>
      </c>
      <c r="Q1954" s="54">
        <f>ROUND((H1954*M1954),2)</f>
        <v>0</v>
      </c>
      <c r="R1954" s="54">
        <f>ROUND((H1954*N1954),2)</f>
        <v>0</v>
      </c>
      <c r="S1954" s="54"/>
      <c r="T1954" s="36"/>
      <c r="XDA1954"/>
      <c r="XDB1954"/>
      <c r="XDC1954"/>
      <c r="XDD1954"/>
      <c r="XDE1954"/>
      <c r="XDF1954"/>
      <c r="XDG1954"/>
      <c r="XDH1954"/>
      <c r="XDI1954"/>
      <c r="XDJ1954"/>
      <c r="XDK1954"/>
      <c r="XDL1954"/>
      <c r="XDM1954"/>
      <c r="XDN1954"/>
      <c r="XDO1954"/>
      <c r="XDP1954"/>
      <c r="XDQ1954"/>
      <c r="XDR1954"/>
      <c r="XDS1954"/>
      <c r="XDT1954"/>
      <c r="XDU1954"/>
      <c r="XDV1954"/>
      <c r="XDW1954"/>
      <c r="XDX1954"/>
      <c r="XDY1954"/>
      <c r="XDZ1954"/>
      <c r="XEA1954"/>
      <c r="XEB1954"/>
      <c r="XEC1954"/>
      <c r="XED1954"/>
      <c r="XEE1954"/>
      <c r="XEF1954"/>
      <c r="XEG1954"/>
      <c r="XEH1954"/>
      <c r="XEI1954"/>
      <c r="XEJ1954"/>
      <c r="XEK1954"/>
      <c r="XEL1954"/>
      <c r="XEM1954"/>
      <c r="XEN1954"/>
      <c r="XEO1954"/>
      <c r="XEP1954"/>
      <c r="XEQ1954"/>
      <c r="XER1954"/>
      <c r="XES1954"/>
      <c r="XET1954"/>
      <c r="XEU1954"/>
      <c r="XEV1954"/>
      <c r="XEW1954"/>
      <c r="XEX1954"/>
      <c r="XEY1954"/>
      <c r="XEZ1954"/>
      <c r="XFA1954"/>
      <c r="XFB1954"/>
      <c r="XFC1954"/>
    </row>
    <row r="1955" spans="1:20 16329:16383" s="38" customFormat="1" ht="29.1" customHeight="1" outlineLevel="3" x14ac:dyDescent="0.25">
      <c r="A1955" s="55" t="s">
        <v>3304</v>
      </c>
      <c r="B1955" s="56" t="s">
        <v>3305</v>
      </c>
      <c r="C1955" s="56" t="s">
        <v>3306</v>
      </c>
      <c r="D1955" s="2" t="s">
        <v>3307</v>
      </c>
      <c r="E1955" s="2"/>
      <c r="F1955" s="57"/>
      <c r="G1955" s="56" t="s">
        <v>3285</v>
      </c>
      <c r="H1955" s="58"/>
      <c r="I1955" s="36"/>
      <c r="J1955" s="58"/>
      <c r="K1955" s="59"/>
      <c r="L1955" s="59"/>
      <c r="M1955" s="59"/>
      <c r="N1955" s="59"/>
      <c r="O1955" s="59">
        <f>O1956</f>
        <v>0</v>
      </c>
      <c r="P1955" s="59">
        <f>P1956</f>
        <v>0</v>
      </c>
      <c r="Q1955" s="59">
        <f>Q1956</f>
        <v>0</v>
      </c>
      <c r="R1955" s="59">
        <f>R1956</f>
        <v>0</v>
      </c>
      <c r="S1955" s="59"/>
      <c r="T1955" s="36"/>
      <c r="XDA1955"/>
      <c r="XDB1955"/>
      <c r="XDC1955"/>
      <c r="XDD1955"/>
      <c r="XDE1955"/>
      <c r="XDF1955"/>
      <c r="XDG1955"/>
      <c r="XDH1955"/>
      <c r="XDI1955"/>
      <c r="XDJ1955"/>
      <c r="XDK1955"/>
      <c r="XDL1955"/>
      <c r="XDM1955"/>
      <c r="XDN1955"/>
      <c r="XDO1955"/>
      <c r="XDP1955"/>
      <c r="XDQ1955"/>
      <c r="XDR1955"/>
      <c r="XDS1955"/>
      <c r="XDT1955"/>
      <c r="XDU1955"/>
      <c r="XDV1955"/>
      <c r="XDW1955"/>
      <c r="XDX1955"/>
      <c r="XDY1955"/>
      <c r="XDZ1955"/>
      <c r="XEA1955"/>
      <c r="XEB1955"/>
      <c r="XEC1955"/>
      <c r="XED1955"/>
      <c r="XEE1955"/>
      <c r="XEF1955"/>
      <c r="XEG1955"/>
      <c r="XEH1955"/>
      <c r="XEI1955"/>
      <c r="XEJ1955"/>
      <c r="XEK1955"/>
      <c r="XEL1955"/>
      <c r="XEM1955"/>
      <c r="XEN1955"/>
      <c r="XEO1955"/>
      <c r="XEP1955"/>
      <c r="XEQ1955"/>
      <c r="XER1955"/>
      <c r="XES1955"/>
      <c r="XET1955"/>
      <c r="XEU1955"/>
      <c r="XEV1955"/>
      <c r="XEW1955"/>
      <c r="XEX1955"/>
      <c r="XEY1955"/>
      <c r="XEZ1955"/>
      <c r="XFA1955"/>
      <c r="XFB1955"/>
      <c r="XFC1955"/>
    </row>
    <row r="1956" spans="1:20 16329:16383" s="38" customFormat="1" ht="29.1" customHeight="1" outlineLevel="4" x14ac:dyDescent="0.25">
      <c r="A1956" s="49" t="s">
        <v>3308</v>
      </c>
      <c r="B1956" s="50"/>
      <c r="C1956" s="50"/>
      <c r="D1956" s="3" t="s">
        <v>3307</v>
      </c>
      <c r="E1956" s="3"/>
      <c r="F1956" s="51"/>
      <c r="G1956" s="50" t="s">
        <v>29</v>
      </c>
      <c r="H1956" s="52">
        <f>1</f>
        <v>1</v>
      </c>
      <c r="I1956" s="36"/>
      <c r="J1956" s="52">
        <v>1</v>
      </c>
      <c r="K1956" s="53">
        <f>0</f>
        <v>0</v>
      </c>
      <c r="L1956" s="53">
        <f>0</f>
        <v>0</v>
      </c>
      <c r="M1956" s="53">
        <f>0</f>
        <v>0</v>
      </c>
      <c r="N1956" s="54">
        <f>SUM(K1956:M1956)</f>
        <v>0</v>
      </c>
      <c r="O1956" s="54">
        <f>ROUND((H1956*K1956),2)</f>
        <v>0</v>
      </c>
      <c r="P1956" s="54">
        <f>ROUND((H1956*L1956),2)</f>
        <v>0</v>
      </c>
      <c r="Q1956" s="54">
        <f>ROUND((H1956*M1956),2)</f>
        <v>0</v>
      </c>
      <c r="R1956" s="54">
        <f>ROUND((H1956*N1956),2)</f>
        <v>0</v>
      </c>
      <c r="S1956" s="54"/>
      <c r="T1956" s="36"/>
      <c r="XDA1956"/>
      <c r="XDB1956"/>
      <c r="XDC1956"/>
      <c r="XDD1956"/>
      <c r="XDE1956"/>
      <c r="XDF1956"/>
      <c r="XDG1956"/>
      <c r="XDH1956"/>
      <c r="XDI1956"/>
      <c r="XDJ1956"/>
      <c r="XDK1956"/>
      <c r="XDL1956"/>
      <c r="XDM1956"/>
      <c r="XDN1956"/>
      <c r="XDO1956"/>
      <c r="XDP1956"/>
      <c r="XDQ1956"/>
      <c r="XDR1956"/>
      <c r="XDS1956"/>
      <c r="XDT1956"/>
      <c r="XDU1956"/>
      <c r="XDV1956"/>
      <c r="XDW1956"/>
      <c r="XDX1956"/>
      <c r="XDY1956"/>
      <c r="XDZ1956"/>
      <c r="XEA1956"/>
      <c r="XEB1956"/>
      <c r="XEC1956"/>
      <c r="XED1956"/>
      <c r="XEE1956"/>
      <c r="XEF1956"/>
      <c r="XEG1956"/>
      <c r="XEH1956"/>
      <c r="XEI1956"/>
      <c r="XEJ1956"/>
      <c r="XEK1956"/>
      <c r="XEL1956"/>
      <c r="XEM1956"/>
      <c r="XEN1956"/>
      <c r="XEO1956"/>
      <c r="XEP1956"/>
      <c r="XEQ1956"/>
      <c r="XER1956"/>
      <c r="XES1956"/>
      <c r="XET1956"/>
      <c r="XEU1956"/>
      <c r="XEV1956"/>
      <c r="XEW1956"/>
      <c r="XEX1956"/>
      <c r="XEY1956"/>
      <c r="XEZ1956"/>
      <c r="XFA1956"/>
      <c r="XFB1956"/>
      <c r="XFC1956"/>
    </row>
    <row r="1957" spans="1:20 16329:16383" s="38" customFormat="1" ht="29.1" customHeight="1" outlineLevel="3" x14ac:dyDescent="0.25">
      <c r="A1957" s="55" t="s">
        <v>3309</v>
      </c>
      <c r="B1957" s="56" t="s">
        <v>3310</v>
      </c>
      <c r="C1957" s="56" t="s">
        <v>3311</v>
      </c>
      <c r="D1957" s="2" t="s">
        <v>3312</v>
      </c>
      <c r="E1957" s="2"/>
      <c r="F1957" s="57"/>
      <c r="G1957" s="56" t="s">
        <v>134</v>
      </c>
      <c r="H1957" s="58"/>
      <c r="I1957" s="36"/>
      <c r="J1957" s="58"/>
      <c r="K1957" s="59"/>
      <c r="L1957" s="59"/>
      <c r="M1957" s="59"/>
      <c r="N1957" s="59"/>
      <c r="O1957" s="59">
        <f>O1958</f>
        <v>0</v>
      </c>
      <c r="P1957" s="59">
        <f>P1958</f>
        <v>0</v>
      </c>
      <c r="Q1957" s="59">
        <f>Q1958</f>
        <v>0</v>
      </c>
      <c r="R1957" s="59">
        <f>R1958</f>
        <v>0</v>
      </c>
      <c r="S1957" s="59"/>
      <c r="T1957" s="36"/>
      <c r="XDA1957"/>
      <c r="XDB1957"/>
      <c r="XDC1957"/>
      <c r="XDD1957"/>
      <c r="XDE1957"/>
      <c r="XDF1957"/>
      <c r="XDG1957"/>
      <c r="XDH1957"/>
      <c r="XDI1957"/>
      <c r="XDJ1957"/>
      <c r="XDK1957"/>
      <c r="XDL1957"/>
      <c r="XDM1957"/>
      <c r="XDN1957"/>
      <c r="XDO1957"/>
      <c r="XDP1957"/>
      <c r="XDQ1957"/>
      <c r="XDR1957"/>
      <c r="XDS1957"/>
      <c r="XDT1957"/>
      <c r="XDU1957"/>
      <c r="XDV1957"/>
      <c r="XDW1957"/>
      <c r="XDX1957"/>
      <c r="XDY1957"/>
      <c r="XDZ1957"/>
      <c r="XEA1957"/>
      <c r="XEB1957"/>
      <c r="XEC1957"/>
      <c r="XED1957"/>
      <c r="XEE1957"/>
      <c r="XEF1957"/>
      <c r="XEG1957"/>
      <c r="XEH1957"/>
      <c r="XEI1957"/>
      <c r="XEJ1957"/>
      <c r="XEK1957"/>
      <c r="XEL1957"/>
      <c r="XEM1957"/>
      <c r="XEN1957"/>
      <c r="XEO1957"/>
      <c r="XEP1957"/>
      <c r="XEQ1957"/>
      <c r="XER1957"/>
      <c r="XES1957"/>
      <c r="XET1957"/>
      <c r="XEU1957"/>
      <c r="XEV1957"/>
      <c r="XEW1957"/>
      <c r="XEX1957"/>
      <c r="XEY1957"/>
      <c r="XEZ1957"/>
      <c r="XFA1957"/>
      <c r="XFB1957"/>
      <c r="XFC1957"/>
    </row>
    <row r="1958" spans="1:20 16329:16383" s="38" customFormat="1" ht="29.1" customHeight="1" outlineLevel="4" x14ac:dyDescent="0.25">
      <c r="A1958" s="49" t="s">
        <v>3313</v>
      </c>
      <c r="B1958" s="50"/>
      <c r="C1958" s="50"/>
      <c r="D1958" s="3" t="s">
        <v>3312</v>
      </c>
      <c r="E1958" s="3"/>
      <c r="F1958" s="51"/>
      <c r="G1958" s="50" t="s">
        <v>29</v>
      </c>
      <c r="H1958" s="52">
        <f>1</f>
        <v>1</v>
      </c>
      <c r="I1958" s="36"/>
      <c r="J1958" s="52">
        <v>1</v>
      </c>
      <c r="K1958" s="53">
        <f>0</f>
        <v>0</v>
      </c>
      <c r="L1958" s="53">
        <f>0</f>
        <v>0</v>
      </c>
      <c r="M1958" s="53">
        <f>0</f>
        <v>0</v>
      </c>
      <c r="N1958" s="54">
        <f>SUM(K1958:M1958)</f>
        <v>0</v>
      </c>
      <c r="O1958" s="54">
        <f>ROUND((H1958*K1958),2)</f>
        <v>0</v>
      </c>
      <c r="P1958" s="54">
        <f>ROUND((H1958*L1958),2)</f>
        <v>0</v>
      </c>
      <c r="Q1958" s="54">
        <f>ROUND((H1958*M1958),2)</f>
        <v>0</v>
      </c>
      <c r="R1958" s="54">
        <f>ROUND((H1958*N1958),2)</f>
        <v>0</v>
      </c>
      <c r="S1958" s="54"/>
      <c r="T1958" s="36"/>
      <c r="XDA1958"/>
      <c r="XDB1958"/>
      <c r="XDC1958"/>
      <c r="XDD1958"/>
      <c r="XDE1958"/>
      <c r="XDF1958"/>
      <c r="XDG1958"/>
      <c r="XDH1958"/>
      <c r="XDI1958"/>
      <c r="XDJ1958"/>
      <c r="XDK1958"/>
      <c r="XDL1958"/>
      <c r="XDM1958"/>
      <c r="XDN1958"/>
      <c r="XDO1958"/>
      <c r="XDP1958"/>
      <c r="XDQ1958"/>
      <c r="XDR1958"/>
      <c r="XDS1958"/>
      <c r="XDT1958"/>
      <c r="XDU1958"/>
      <c r="XDV1958"/>
      <c r="XDW1958"/>
      <c r="XDX1958"/>
      <c r="XDY1958"/>
      <c r="XDZ1958"/>
      <c r="XEA1958"/>
      <c r="XEB1958"/>
      <c r="XEC1958"/>
      <c r="XED1958"/>
      <c r="XEE1958"/>
      <c r="XEF1958"/>
      <c r="XEG1958"/>
      <c r="XEH1958"/>
      <c r="XEI1958"/>
      <c r="XEJ1958"/>
      <c r="XEK1958"/>
      <c r="XEL1958"/>
      <c r="XEM1958"/>
      <c r="XEN1958"/>
      <c r="XEO1958"/>
      <c r="XEP1958"/>
      <c r="XEQ1958"/>
      <c r="XER1958"/>
      <c r="XES1958"/>
      <c r="XET1958"/>
      <c r="XEU1958"/>
      <c r="XEV1958"/>
      <c r="XEW1958"/>
      <c r="XEX1958"/>
      <c r="XEY1958"/>
      <c r="XEZ1958"/>
      <c r="XFA1958"/>
      <c r="XFB1958"/>
      <c r="XFC1958"/>
    </row>
    <row r="1959" spans="1:20 16329:16383" s="38" customFormat="1" ht="29.1" customHeight="1" outlineLevel="2" x14ac:dyDescent="0.25">
      <c r="A1959" s="44" t="s">
        <v>3314</v>
      </c>
      <c r="B1959" s="45" t="s">
        <v>3315</v>
      </c>
      <c r="C1959" s="45"/>
      <c r="D1959" s="4" t="s">
        <v>3316</v>
      </c>
      <c r="E1959" s="4"/>
      <c r="F1959" s="46"/>
      <c r="G1959" s="45"/>
      <c r="H1959" s="47"/>
      <c r="I1959" s="36"/>
      <c r="J1959" s="47"/>
      <c r="K1959" s="48"/>
      <c r="L1959" s="48"/>
      <c r="M1959" s="48"/>
      <c r="N1959" s="48"/>
      <c r="O1959" s="48">
        <f>O1960+O2089</f>
        <v>0</v>
      </c>
      <c r="P1959" s="48">
        <f>P1960+P2089</f>
        <v>0</v>
      </c>
      <c r="Q1959" s="48">
        <f>Q1960+Q2089</f>
        <v>0</v>
      </c>
      <c r="R1959" s="48">
        <f>R1960+R2089</f>
        <v>0</v>
      </c>
      <c r="S1959" s="48"/>
      <c r="T1959" s="36"/>
      <c r="XDA1959"/>
      <c r="XDB1959"/>
      <c r="XDC1959"/>
      <c r="XDD1959"/>
      <c r="XDE1959"/>
      <c r="XDF1959"/>
      <c r="XDG1959"/>
      <c r="XDH1959"/>
      <c r="XDI1959"/>
      <c r="XDJ1959"/>
      <c r="XDK1959"/>
      <c r="XDL1959"/>
      <c r="XDM1959"/>
      <c r="XDN1959"/>
      <c r="XDO1959"/>
      <c r="XDP1959"/>
      <c r="XDQ1959"/>
      <c r="XDR1959"/>
      <c r="XDS1959"/>
      <c r="XDT1959"/>
      <c r="XDU1959"/>
      <c r="XDV1959"/>
      <c r="XDW1959"/>
      <c r="XDX1959"/>
      <c r="XDY1959"/>
      <c r="XDZ1959"/>
      <c r="XEA1959"/>
      <c r="XEB1959"/>
      <c r="XEC1959"/>
      <c r="XED1959"/>
      <c r="XEE1959"/>
      <c r="XEF1959"/>
      <c r="XEG1959"/>
      <c r="XEH1959"/>
      <c r="XEI1959"/>
      <c r="XEJ1959"/>
      <c r="XEK1959"/>
      <c r="XEL1959"/>
      <c r="XEM1959"/>
      <c r="XEN1959"/>
      <c r="XEO1959"/>
      <c r="XEP1959"/>
      <c r="XEQ1959"/>
      <c r="XER1959"/>
      <c r="XES1959"/>
      <c r="XET1959"/>
      <c r="XEU1959"/>
      <c r="XEV1959"/>
      <c r="XEW1959"/>
      <c r="XEX1959"/>
      <c r="XEY1959"/>
      <c r="XEZ1959"/>
      <c r="XFA1959"/>
      <c r="XFB1959"/>
      <c r="XFC1959"/>
    </row>
    <row r="1960" spans="1:20 16329:16383" s="38" customFormat="1" ht="29.1" customHeight="1" outlineLevel="3" x14ac:dyDescent="0.25">
      <c r="A1960" s="55" t="s">
        <v>3317</v>
      </c>
      <c r="B1960" s="56" t="s">
        <v>3318</v>
      </c>
      <c r="C1960" s="56" t="s">
        <v>3319</v>
      </c>
      <c r="D1960" s="2" t="s">
        <v>3320</v>
      </c>
      <c r="E1960" s="2"/>
      <c r="F1960" s="57"/>
      <c r="G1960" s="56" t="s">
        <v>102</v>
      </c>
      <c r="H1960" s="58"/>
      <c r="I1960" s="36"/>
      <c r="J1960" s="58"/>
      <c r="K1960" s="59"/>
      <c r="L1960" s="59"/>
      <c r="M1960" s="59"/>
      <c r="N1960" s="59"/>
      <c r="O1960" s="59">
        <f>O1961+O1982+O1999+O2014+O2033+O2043+O2058+O2067+O2077+O2087</f>
        <v>0</v>
      </c>
      <c r="P1960" s="59">
        <f>P1961+P1982+P1999+P2014+P2033+P2043+P2058+P2067+P2077+P2087</f>
        <v>0</v>
      </c>
      <c r="Q1960" s="59">
        <f>Q1961+Q1982+Q1999+Q2014+Q2033+Q2043+Q2058+Q2067+Q2077+Q2087</f>
        <v>0</v>
      </c>
      <c r="R1960" s="59">
        <f>R1961+R1982+R1999+R2014+R2033+R2043+R2058+R2067+R2077+R2087</f>
        <v>0</v>
      </c>
      <c r="S1960" s="59"/>
      <c r="T1960" s="36"/>
      <c r="XDA1960"/>
      <c r="XDB1960"/>
      <c r="XDC1960"/>
      <c r="XDD1960"/>
      <c r="XDE1960"/>
      <c r="XDF1960"/>
      <c r="XDG1960"/>
      <c r="XDH1960"/>
      <c r="XDI1960"/>
      <c r="XDJ1960"/>
      <c r="XDK1960"/>
      <c r="XDL1960"/>
      <c r="XDM1960"/>
      <c r="XDN1960"/>
      <c r="XDO1960"/>
      <c r="XDP1960"/>
      <c r="XDQ1960"/>
      <c r="XDR1960"/>
      <c r="XDS1960"/>
      <c r="XDT1960"/>
      <c r="XDU1960"/>
      <c r="XDV1960"/>
      <c r="XDW1960"/>
      <c r="XDX1960"/>
      <c r="XDY1960"/>
      <c r="XDZ1960"/>
      <c r="XEA1960"/>
      <c r="XEB1960"/>
      <c r="XEC1960"/>
      <c r="XED1960"/>
      <c r="XEE1960"/>
      <c r="XEF1960"/>
      <c r="XEG1960"/>
      <c r="XEH1960"/>
      <c r="XEI1960"/>
      <c r="XEJ1960"/>
      <c r="XEK1960"/>
      <c r="XEL1960"/>
      <c r="XEM1960"/>
      <c r="XEN1960"/>
      <c r="XEO1960"/>
      <c r="XEP1960"/>
      <c r="XEQ1960"/>
      <c r="XER1960"/>
      <c r="XES1960"/>
      <c r="XET1960"/>
      <c r="XEU1960"/>
      <c r="XEV1960"/>
      <c r="XEW1960"/>
      <c r="XEX1960"/>
      <c r="XEY1960"/>
      <c r="XEZ1960"/>
      <c r="XFA1960"/>
      <c r="XFB1960"/>
      <c r="XFC1960"/>
    </row>
    <row r="1961" spans="1:20 16329:16383" s="38" customFormat="1" ht="29.1" customHeight="1" outlineLevel="4" x14ac:dyDescent="0.25">
      <c r="A1961" s="60" t="s">
        <v>3321</v>
      </c>
      <c r="B1961" s="61" t="s">
        <v>3322</v>
      </c>
      <c r="C1961" s="61" t="s">
        <v>3323</v>
      </c>
      <c r="D1961" s="1" t="s">
        <v>3324</v>
      </c>
      <c r="E1961" s="1"/>
      <c r="F1961" s="62"/>
      <c r="G1961" s="61" t="s">
        <v>29</v>
      </c>
      <c r="H1961" s="63"/>
      <c r="I1961" s="36"/>
      <c r="J1961" s="63"/>
      <c r="K1961" s="64"/>
      <c r="L1961" s="64"/>
      <c r="M1961" s="64"/>
      <c r="N1961" s="64"/>
      <c r="O1961" s="64">
        <f>O1962+O1979</f>
        <v>0</v>
      </c>
      <c r="P1961" s="64">
        <f>P1962+P1979</f>
        <v>0</v>
      </c>
      <c r="Q1961" s="64">
        <f>Q1962+Q1979</f>
        <v>0</v>
      </c>
      <c r="R1961" s="64">
        <f>R1962+R1979</f>
        <v>0</v>
      </c>
      <c r="S1961" s="64"/>
      <c r="T1961" s="36"/>
      <c r="XDA1961"/>
      <c r="XDB1961"/>
      <c r="XDC1961"/>
      <c r="XDD1961"/>
      <c r="XDE1961"/>
      <c r="XDF1961"/>
      <c r="XDG1961"/>
      <c r="XDH1961"/>
      <c r="XDI1961"/>
      <c r="XDJ1961"/>
      <c r="XDK1961"/>
      <c r="XDL1961"/>
      <c r="XDM1961"/>
      <c r="XDN1961"/>
      <c r="XDO1961"/>
      <c r="XDP1961"/>
      <c r="XDQ1961"/>
      <c r="XDR1961"/>
      <c r="XDS1961"/>
      <c r="XDT1961"/>
      <c r="XDU1961"/>
      <c r="XDV1961"/>
      <c r="XDW1961"/>
      <c r="XDX1961"/>
      <c r="XDY1961"/>
      <c r="XDZ1961"/>
      <c r="XEA1961"/>
      <c r="XEB1961"/>
      <c r="XEC1961"/>
      <c r="XED1961"/>
      <c r="XEE1961"/>
      <c r="XEF1961"/>
      <c r="XEG1961"/>
      <c r="XEH1961"/>
      <c r="XEI1961"/>
      <c r="XEJ1961"/>
      <c r="XEK1961"/>
      <c r="XEL1961"/>
      <c r="XEM1961"/>
      <c r="XEN1961"/>
      <c r="XEO1961"/>
      <c r="XEP1961"/>
      <c r="XEQ1961"/>
      <c r="XER1961"/>
      <c r="XES1961"/>
      <c r="XET1961"/>
      <c r="XEU1961"/>
      <c r="XEV1961"/>
      <c r="XEW1961"/>
      <c r="XEX1961"/>
      <c r="XEY1961"/>
      <c r="XEZ1961"/>
      <c r="XFA1961"/>
      <c r="XFB1961"/>
      <c r="XFC1961"/>
    </row>
    <row r="1962" spans="1:20 16329:16383" s="38" customFormat="1" ht="29.1" customHeight="1" outlineLevel="5" x14ac:dyDescent="0.25">
      <c r="A1962" s="65" t="s">
        <v>3325</v>
      </c>
      <c r="B1962" s="66" t="s">
        <v>3326</v>
      </c>
      <c r="C1962" s="66" t="s">
        <v>3327</v>
      </c>
      <c r="D1962" s="98" t="s">
        <v>3328</v>
      </c>
      <c r="E1962" s="98"/>
      <c r="F1962" s="67"/>
      <c r="G1962" s="66" t="s">
        <v>3285</v>
      </c>
      <c r="H1962" s="68"/>
      <c r="I1962" s="36"/>
      <c r="J1962" s="68"/>
      <c r="K1962" s="69"/>
      <c r="L1962" s="69"/>
      <c r="M1962" s="69"/>
      <c r="N1962" s="69"/>
      <c r="O1962" s="69">
        <f>SUM(O1963:O1978)</f>
        <v>0</v>
      </c>
      <c r="P1962" s="69">
        <f>SUM(P1963:P1978)</f>
        <v>0</v>
      </c>
      <c r="Q1962" s="69">
        <f>SUM(Q1963:Q1978)</f>
        <v>0</v>
      </c>
      <c r="R1962" s="69">
        <f>SUM(R1963:R1978)</f>
        <v>0</v>
      </c>
      <c r="S1962" s="69"/>
      <c r="T1962" s="36"/>
      <c r="XDA1962"/>
      <c r="XDB1962"/>
      <c r="XDC1962"/>
      <c r="XDD1962"/>
      <c r="XDE1962"/>
      <c r="XDF1962"/>
      <c r="XDG1962"/>
      <c r="XDH1962"/>
      <c r="XDI1962"/>
      <c r="XDJ1962"/>
      <c r="XDK1962"/>
      <c r="XDL1962"/>
      <c r="XDM1962"/>
      <c r="XDN1962"/>
      <c r="XDO1962"/>
      <c r="XDP1962"/>
      <c r="XDQ1962"/>
      <c r="XDR1962"/>
      <c r="XDS1962"/>
      <c r="XDT1962"/>
      <c r="XDU1962"/>
      <c r="XDV1962"/>
      <c r="XDW1962"/>
      <c r="XDX1962"/>
      <c r="XDY1962"/>
      <c r="XDZ1962"/>
      <c r="XEA1962"/>
      <c r="XEB1962"/>
      <c r="XEC1962"/>
      <c r="XED1962"/>
      <c r="XEE1962"/>
      <c r="XEF1962"/>
      <c r="XEG1962"/>
      <c r="XEH1962"/>
      <c r="XEI1962"/>
      <c r="XEJ1962"/>
      <c r="XEK1962"/>
      <c r="XEL1962"/>
      <c r="XEM1962"/>
      <c r="XEN1962"/>
      <c r="XEO1962"/>
      <c r="XEP1962"/>
      <c r="XEQ1962"/>
      <c r="XER1962"/>
      <c r="XES1962"/>
      <c r="XET1962"/>
      <c r="XEU1962"/>
      <c r="XEV1962"/>
      <c r="XEW1962"/>
      <c r="XEX1962"/>
      <c r="XEY1962"/>
      <c r="XEZ1962"/>
      <c r="XFA1962"/>
      <c r="XFB1962"/>
      <c r="XFC1962"/>
    </row>
    <row r="1963" spans="1:20 16329:16383" s="38" customFormat="1" ht="29.1" customHeight="1" outlineLevel="6" x14ac:dyDescent="0.25">
      <c r="A1963" s="49" t="s">
        <v>3329</v>
      </c>
      <c r="B1963" s="50"/>
      <c r="C1963" s="50"/>
      <c r="D1963" s="3" t="s">
        <v>3330</v>
      </c>
      <c r="E1963" s="3"/>
      <c r="F1963" s="51"/>
      <c r="G1963" s="50" t="s">
        <v>29</v>
      </c>
      <c r="H1963" s="52">
        <f>1</f>
        <v>1</v>
      </c>
      <c r="I1963" s="36"/>
      <c r="J1963" s="52">
        <v>1</v>
      </c>
      <c r="K1963" s="53">
        <f>0</f>
        <v>0</v>
      </c>
      <c r="L1963" s="53">
        <f>0</f>
        <v>0</v>
      </c>
      <c r="M1963" s="53">
        <f>0</f>
        <v>0</v>
      </c>
      <c r="N1963" s="54">
        <f t="shared" ref="N1963:N1978" si="389">SUM(K1963:M1963)</f>
        <v>0</v>
      </c>
      <c r="O1963" s="54">
        <f t="shared" ref="O1963:O1978" si="390">ROUND((H1963*K1963),2)</f>
        <v>0</v>
      </c>
      <c r="P1963" s="54">
        <f t="shared" ref="P1963:P1978" si="391">ROUND((H1963*L1963),2)</f>
        <v>0</v>
      </c>
      <c r="Q1963" s="54">
        <f t="shared" ref="Q1963:Q1978" si="392">ROUND((H1963*M1963),2)</f>
        <v>0</v>
      </c>
      <c r="R1963" s="54">
        <f t="shared" ref="R1963:R1978" si="393">ROUND((H1963*N1963),2)</f>
        <v>0</v>
      </c>
      <c r="S1963" s="54"/>
      <c r="T1963" s="36"/>
      <c r="XDA1963"/>
      <c r="XDB1963"/>
      <c r="XDC1963"/>
      <c r="XDD1963"/>
      <c r="XDE1963"/>
      <c r="XDF1963"/>
      <c r="XDG1963"/>
      <c r="XDH1963"/>
      <c r="XDI1963"/>
      <c r="XDJ1963"/>
      <c r="XDK1963"/>
      <c r="XDL1963"/>
      <c r="XDM1963"/>
      <c r="XDN1963"/>
      <c r="XDO1963"/>
      <c r="XDP1963"/>
      <c r="XDQ1963"/>
      <c r="XDR1963"/>
      <c r="XDS1963"/>
      <c r="XDT1963"/>
      <c r="XDU1963"/>
      <c r="XDV1963"/>
      <c r="XDW1963"/>
      <c r="XDX1963"/>
      <c r="XDY1963"/>
      <c r="XDZ1963"/>
      <c r="XEA1963"/>
      <c r="XEB1963"/>
      <c r="XEC1963"/>
      <c r="XED1963"/>
      <c r="XEE1963"/>
      <c r="XEF1963"/>
      <c r="XEG1963"/>
      <c r="XEH1963"/>
      <c r="XEI1963"/>
      <c r="XEJ1963"/>
      <c r="XEK1963"/>
      <c r="XEL1963"/>
      <c r="XEM1963"/>
      <c r="XEN1963"/>
      <c r="XEO1963"/>
      <c r="XEP1963"/>
      <c r="XEQ1963"/>
      <c r="XER1963"/>
      <c r="XES1963"/>
      <c r="XET1963"/>
      <c r="XEU1963"/>
      <c r="XEV1963"/>
      <c r="XEW1963"/>
      <c r="XEX1963"/>
      <c r="XEY1963"/>
      <c r="XEZ1963"/>
      <c r="XFA1963"/>
      <c r="XFB1963"/>
      <c r="XFC1963"/>
    </row>
    <row r="1964" spans="1:20 16329:16383" s="38" customFormat="1" ht="29.1" customHeight="1" outlineLevel="6" x14ac:dyDescent="0.25">
      <c r="A1964" s="49" t="s">
        <v>3331</v>
      </c>
      <c r="B1964" s="50"/>
      <c r="C1964" s="50"/>
      <c r="D1964" s="3" t="s">
        <v>3332</v>
      </c>
      <c r="E1964" s="3"/>
      <c r="F1964" s="51"/>
      <c r="G1964" s="50" t="s">
        <v>29</v>
      </c>
      <c r="H1964" s="52">
        <f>1</f>
        <v>1</v>
      </c>
      <c r="I1964" s="36"/>
      <c r="J1964" s="52">
        <v>1</v>
      </c>
      <c r="K1964" s="53">
        <f>0</f>
        <v>0</v>
      </c>
      <c r="L1964" s="53">
        <f>0</f>
        <v>0</v>
      </c>
      <c r="M1964" s="53">
        <f>0</f>
        <v>0</v>
      </c>
      <c r="N1964" s="54">
        <f t="shared" si="389"/>
        <v>0</v>
      </c>
      <c r="O1964" s="54">
        <f t="shared" si="390"/>
        <v>0</v>
      </c>
      <c r="P1964" s="54">
        <f t="shared" si="391"/>
        <v>0</v>
      </c>
      <c r="Q1964" s="54">
        <f t="shared" si="392"/>
        <v>0</v>
      </c>
      <c r="R1964" s="54">
        <f t="shared" si="393"/>
        <v>0</v>
      </c>
      <c r="S1964" s="54"/>
      <c r="T1964" s="36"/>
      <c r="XDA1964"/>
      <c r="XDB1964"/>
      <c r="XDC1964"/>
      <c r="XDD1964"/>
      <c r="XDE1964"/>
      <c r="XDF1964"/>
      <c r="XDG1964"/>
      <c r="XDH1964"/>
      <c r="XDI1964"/>
      <c r="XDJ1964"/>
      <c r="XDK1964"/>
      <c r="XDL1964"/>
      <c r="XDM1964"/>
      <c r="XDN1964"/>
      <c r="XDO1964"/>
      <c r="XDP1964"/>
      <c r="XDQ1964"/>
      <c r="XDR1964"/>
      <c r="XDS1964"/>
      <c r="XDT1964"/>
      <c r="XDU1964"/>
      <c r="XDV1964"/>
      <c r="XDW1964"/>
      <c r="XDX1964"/>
      <c r="XDY1964"/>
      <c r="XDZ1964"/>
      <c r="XEA1964"/>
      <c r="XEB1964"/>
      <c r="XEC1964"/>
      <c r="XED1964"/>
      <c r="XEE1964"/>
      <c r="XEF1964"/>
      <c r="XEG1964"/>
      <c r="XEH1964"/>
      <c r="XEI1964"/>
      <c r="XEJ1964"/>
      <c r="XEK1964"/>
      <c r="XEL1964"/>
      <c r="XEM1964"/>
      <c r="XEN1964"/>
      <c r="XEO1964"/>
      <c r="XEP1964"/>
      <c r="XEQ1964"/>
      <c r="XER1964"/>
      <c r="XES1964"/>
      <c r="XET1964"/>
      <c r="XEU1964"/>
      <c r="XEV1964"/>
      <c r="XEW1964"/>
      <c r="XEX1964"/>
      <c r="XEY1964"/>
      <c r="XEZ1964"/>
      <c r="XFA1964"/>
      <c r="XFB1964"/>
      <c r="XFC1964"/>
    </row>
    <row r="1965" spans="1:20 16329:16383" s="38" customFormat="1" ht="29.1" customHeight="1" outlineLevel="6" x14ac:dyDescent="0.25">
      <c r="A1965" s="49" t="s">
        <v>3333</v>
      </c>
      <c r="B1965" s="50"/>
      <c r="C1965" s="50"/>
      <c r="D1965" s="3" t="s">
        <v>3334</v>
      </c>
      <c r="E1965" s="3"/>
      <c r="F1965" s="51"/>
      <c r="G1965" s="50" t="s">
        <v>29</v>
      </c>
      <c r="H1965" s="52">
        <f>1</f>
        <v>1</v>
      </c>
      <c r="I1965" s="36"/>
      <c r="J1965" s="52">
        <v>1</v>
      </c>
      <c r="K1965" s="53">
        <f>0</f>
        <v>0</v>
      </c>
      <c r="L1965" s="53">
        <f>0</f>
        <v>0</v>
      </c>
      <c r="M1965" s="53">
        <f>0</f>
        <v>0</v>
      </c>
      <c r="N1965" s="54">
        <f t="shared" si="389"/>
        <v>0</v>
      </c>
      <c r="O1965" s="54">
        <f t="shared" si="390"/>
        <v>0</v>
      </c>
      <c r="P1965" s="54">
        <f t="shared" si="391"/>
        <v>0</v>
      </c>
      <c r="Q1965" s="54">
        <f t="shared" si="392"/>
        <v>0</v>
      </c>
      <c r="R1965" s="54">
        <f t="shared" si="393"/>
        <v>0</v>
      </c>
      <c r="S1965" s="54"/>
      <c r="T1965" s="36"/>
      <c r="XDA1965"/>
      <c r="XDB1965"/>
      <c r="XDC1965"/>
      <c r="XDD1965"/>
      <c r="XDE1965"/>
      <c r="XDF1965"/>
      <c r="XDG1965"/>
      <c r="XDH1965"/>
      <c r="XDI1965"/>
      <c r="XDJ1965"/>
      <c r="XDK1965"/>
      <c r="XDL1965"/>
      <c r="XDM1965"/>
      <c r="XDN1965"/>
      <c r="XDO1965"/>
      <c r="XDP1965"/>
      <c r="XDQ1965"/>
      <c r="XDR1965"/>
      <c r="XDS1965"/>
      <c r="XDT1965"/>
      <c r="XDU1965"/>
      <c r="XDV1965"/>
      <c r="XDW1965"/>
      <c r="XDX1965"/>
      <c r="XDY1965"/>
      <c r="XDZ1965"/>
      <c r="XEA1965"/>
      <c r="XEB1965"/>
      <c r="XEC1965"/>
      <c r="XED1965"/>
      <c r="XEE1965"/>
      <c r="XEF1965"/>
      <c r="XEG1965"/>
      <c r="XEH1965"/>
      <c r="XEI1965"/>
      <c r="XEJ1965"/>
      <c r="XEK1965"/>
      <c r="XEL1965"/>
      <c r="XEM1965"/>
      <c r="XEN1965"/>
      <c r="XEO1965"/>
      <c r="XEP1965"/>
      <c r="XEQ1965"/>
      <c r="XER1965"/>
      <c r="XES1965"/>
      <c r="XET1965"/>
      <c r="XEU1965"/>
      <c r="XEV1965"/>
      <c r="XEW1965"/>
      <c r="XEX1965"/>
      <c r="XEY1965"/>
      <c r="XEZ1965"/>
      <c r="XFA1965"/>
      <c r="XFB1965"/>
      <c r="XFC1965"/>
    </row>
    <row r="1966" spans="1:20 16329:16383" s="38" customFormat="1" ht="29.1" customHeight="1" outlineLevel="6" x14ac:dyDescent="0.25">
      <c r="A1966" s="49" t="s">
        <v>3335</v>
      </c>
      <c r="B1966" s="50"/>
      <c r="C1966" s="50"/>
      <c r="D1966" s="3" t="s">
        <v>3336</v>
      </c>
      <c r="E1966" s="3"/>
      <c r="F1966" s="51"/>
      <c r="G1966" s="50" t="s">
        <v>29</v>
      </c>
      <c r="H1966" s="52">
        <f>1</f>
        <v>1</v>
      </c>
      <c r="I1966" s="36"/>
      <c r="J1966" s="52">
        <v>1</v>
      </c>
      <c r="K1966" s="53">
        <f>0</f>
        <v>0</v>
      </c>
      <c r="L1966" s="53">
        <f>0</f>
        <v>0</v>
      </c>
      <c r="M1966" s="53">
        <f>0</f>
        <v>0</v>
      </c>
      <c r="N1966" s="54">
        <f t="shared" si="389"/>
        <v>0</v>
      </c>
      <c r="O1966" s="54">
        <f t="shared" si="390"/>
        <v>0</v>
      </c>
      <c r="P1966" s="54">
        <f t="shared" si="391"/>
        <v>0</v>
      </c>
      <c r="Q1966" s="54">
        <f t="shared" si="392"/>
        <v>0</v>
      </c>
      <c r="R1966" s="54">
        <f t="shared" si="393"/>
        <v>0</v>
      </c>
      <c r="S1966" s="54"/>
      <c r="T1966" s="36"/>
      <c r="XDA1966"/>
      <c r="XDB1966"/>
      <c r="XDC1966"/>
      <c r="XDD1966"/>
      <c r="XDE1966"/>
      <c r="XDF1966"/>
      <c r="XDG1966"/>
      <c r="XDH1966"/>
      <c r="XDI1966"/>
      <c r="XDJ1966"/>
      <c r="XDK1966"/>
      <c r="XDL1966"/>
      <c r="XDM1966"/>
      <c r="XDN1966"/>
      <c r="XDO1966"/>
      <c r="XDP1966"/>
      <c r="XDQ1966"/>
      <c r="XDR1966"/>
      <c r="XDS1966"/>
      <c r="XDT1966"/>
      <c r="XDU1966"/>
      <c r="XDV1966"/>
      <c r="XDW1966"/>
      <c r="XDX1966"/>
      <c r="XDY1966"/>
      <c r="XDZ1966"/>
      <c r="XEA1966"/>
      <c r="XEB1966"/>
      <c r="XEC1966"/>
      <c r="XED1966"/>
      <c r="XEE1966"/>
      <c r="XEF1966"/>
      <c r="XEG1966"/>
      <c r="XEH1966"/>
      <c r="XEI1966"/>
      <c r="XEJ1966"/>
      <c r="XEK1966"/>
      <c r="XEL1966"/>
      <c r="XEM1966"/>
      <c r="XEN1966"/>
      <c r="XEO1966"/>
      <c r="XEP1966"/>
      <c r="XEQ1966"/>
      <c r="XER1966"/>
      <c r="XES1966"/>
      <c r="XET1966"/>
      <c r="XEU1966"/>
      <c r="XEV1966"/>
      <c r="XEW1966"/>
      <c r="XEX1966"/>
      <c r="XEY1966"/>
      <c r="XEZ1966"/>
      <c r="XFA1966"/>
      <c r="XFB1966"/>
      <c r="XFC1966"/>
    </row>
    <row r="1967" spans="1:20 16329:16383" s="38" customFormat="1" ht="29.1" customHeight="1" outlineLevel="6" x14ac:dyDescent="0.25">
      <c r="A1967" s="49" t="s">
        <v>3337</v>
      </c>
      <c r="B1967" s="50"/>
      <c r="C1967" s="50"/>
      <c r="D1967" s="3" t="s">
        <v>3338</v>
      </c>
      <c r="E1967" s="3"/>
      <c r="F1967" s="51"/>
      <c r="G1967" s="50" t="s">
        <v>29</v>
      </c>
      <c r="H1967" s="52">
        <f>1</f>
        <v>1</v>
      </c>
      <c r="I1967" s="36"/>
      <c r="J1967" s="52">
        <v>1</v>
      </c>
      <c r="K1967" s="53">
        <f>0</f>
        <v>0</v>
      </c>
      <c r="L1967" s="53">
        <f>0</f>
        <v>0</v>
      </c>
      <c r="M1967" s="53">
        <f>0</f>
        <v>0</v>
      </c>
      <c r="N1967" s="54">
        <f t="shared" si="389"/>
        <v>0</v>
      </c>
      <c r="O1967" s="54">
        <f t="shared" si="390"/>
        <v>0</v>
      </c>
      <c r="P1967" s="54">
        <f t="shared" si="391"/>
        <v>0</v>
      </c>
      <c r="Q1967" s="54">
        <f t="shared" si="392"/>
        <v>0</v>
      </c>
      <c r="R1967" s="54">
        <f t="shared" si="393"/>
        <v>0</v>
      </c>
      <c r="S1967" s="54"/>
      <c r="T1967" s="36"/>
      <c r="XDA1967"/>
      <c r="XDB1967"/>
      <c r="XDC1967"/>
      <c r="XDD1967"/>
      <c r="XDE1967"/>
      <c r="XDF1967"/>
      <c r="XDG1967"/>
      <c r="XDH1967"/>
      <c r="XDI1967"/>
      <c r="XDJ1967"/>
      <c r="XDK1967"/>
      <c r="XDL1967"/>
      <c r="XDM1967"/>
      <c r="XDN1967"/>
      <c r="XDO1967"/>
      <c r="XDP1967"/>
      <c r="XDQ1967"/>
      <c r="XDR1967"/>
      <c r="XDS1967"/>
      <c r="XDT1967"/>
      <c r="XDU1967"/>
      <c r="XDV1967"/>
      <c r="XDW1967"/>
      <c r="XDX1967"/>
      <c r="XDY1967"/>
      <c r="XDZ1967"/>
      <c r="XEA1967"/>
      <c r="XEB1967"/>
      <c r="XEC1967"/>
      <c r="XED1967"/>
      <c r="XEE1967"/>
      <c r="XEF1967"/>
      <c r="XEG1967"/>
      <c r="XEH1967"/>
      <c r="XEI1967"/>
      <c r="XEJ1967"/>
      <c r="XEK1967"/>
      <c r="XEL1967"/>
      <c r="XEM1967"/>
      <c r="XEN1967"/>
      <c r="XEO1967"/>
      <c r="XEP1967"/>
      <c r="XEQ1967"/>
      <c r="XER1967"/>
      <c r="XES1967"/>
      <c r="XET1967"/>
      <c r="XEU1967"/>
      <c r="XEV1967"/>
      <c r="XEW1967"/>
      <c r="XEX1967"/>
      <c r="XEY1967"/>
      <c r="XEZ1967"/>
      <c r="XFA1967"/>
      <c r="XFB1967"/>
      <c r="XFC1967"/>
    </row>
    <row r="1968" spans="1:20 16329:16383" s="38" customFormat="1" ht="29.1" customHeight="1" outlineLevel="6" x14ac:dyDescent="0.25">
      <c r="A1968" s="49" t="s">
        <v>3339</v>
      </c>
      <c r="B1968" s="50"/>
      <c r="C1968" s="50"/>
      <c r="D1968" s="3" t="s">
        <v>3340</v>
      </c>
      <c r="E1968" s="3"/>
      <c r="F1968" s="51"/>
      <c r="G1968" s="50" t="s">
        <v>29</v>
      </c>
      <c r="H1968" s="52">
        <f>1</f>
        <v>1</v>
      </c>
      <c r="I1968" s="36"/>
      <c r="J1968" s="52">
        <v>1</v>
      </c>
      <c r="K1968" s="53">
        <f>0</f>
        <v>0</v>
      </c>
      <c r="L1968" s="53">
        <f>0</f>
        <v>0</v>
      </c>
      <c r="M1968" s="53">
        <f>0</f>
        <v>0</v>
      </c>
      <c r="N1968" s="54">
        <f t="shared" si="389"/>
        <v>0</v>
      </c>
      <c r="O1968" s="54">
        <f t="shared" si="390"/>
        <v>0</v>
      </c>
      <c r="P1968" s="54">
        <f t="shared" si="391"/>
        <v>0</v>
      </c>
      <c r="Q1968" s="54">
        <f t="shared" si="392"/>
        <v>0</v>
      </c>
      <c r="R1968" s="54">
        <f t="shared" si="393"/>
        <v>0</v>
      </c>
      <c r="S1968" s="54"/>
      <c r="T1968" s="36"/>
      <c r="XDA1968"/>
      <c r="XDB1968"/>
      <c r="XDC1968"/>
      <c r="XDD1968"/>
      <c r="XDE1968"/>
      <c r="XDF1968"/>
      <c r="XDG1968"/>
      <c r="XDH1968"/>
      <c r="XDI1968"/>
      <c r="XDJ1968"/>
      <c r="XDK1968"/>
      <c r="XDL1968"/>
      <c r="XDM1968"/>
      <c r="XDN1968"/>
      <c r="XDO1968"/>
      <c r="XDP1968"/>
      <c r="XDQ1968"/>
      <c r="XDR1968"/>
      <c r="XDS1968"/>
      <c r="XDT1968"/>
      <c r="XDU1968"/>
      <c r="XDV1968"/>
      <c r="XDW1968"/>
      <c r="XDX1968"/>
      <c r="XDY1968"/>
      <c r="XDZ1968"/>
      <c r="XEA1968"/>
      <c r="XEB1968"/>
      <c r="XEC1968"/>
      <c r="XED1968"/>
      <c r="XEE1968"/>
      <c r="XEF1968"/>
      <c r="XEG1968"/>
      <c r="XEH1968"/>
      <c r="XEI1968"/>
      <c r="XEJ1968"/>
      <c r="XEK1968"/>
      <c r="XEL1968"/>
      <c r="XEM1968"/>
      <c r="XEN1968"/>
      <c r="XEO1968"/>
      <c r="XEP1968"/>
      <c r="XEQ1968"/>
      <c r="XER1968"/>
      <c r="XES1968"/>
      <c r="XET1968"/>
      <c r="XEU1968"/>
      <c r="XEV1968"/>
      <c r="XEW1968"/>
      <c r="XEX1968"/>
      <c r="XEY1968"/>
      <c r="XEZ1968"/>
      <c r="XFA1968"/>
      <c r="XFB1968"/>
      <c r="XFC1968"/>
    </row>
    <row r="1969" spans="1:20 16329:16383" s="38" customFormat="1" ht="29.1" customHeight="1" outlineLevel="6" x14ac:dyDescent="0.25">
      <c r="A1969" s="49" t="s">
        <v>3341</v>
      </c>
      <c r="B1969" s="50"/>
      <c r="C1969" s="50"/>
      <c r="D1969" s="3" t="s">
        <v>3342</v>
      </c>
      <c r="E1969" s="3"/>
      <c r="F1969" s="51"/>
      <c r="G1969" s="50" t="s">
        <v>29</v>
      </c>
      <c r="H1969" s="52">
        <f>1</f>
        <v>1</v>
      </c>
      <c r="I1969" s="36"/>
      <c r="J1969" s="52">
        <v>1</v>
      </c>
      <c r="K1969" s="53">
        <f>0</f>
        <v>0</v>
      </c>
      <c r="L1969" s="53">
        <f>0</f>
        <v>0</v>
      </c>
      <c r="M1969" s="53">
        <f>0</f>
        <v>0</v>
      </c>
      <c r="N1969" s="54">
        <f t="shared" si="389"/>
        <v>0</v>
      </c>
      <c r="O1969" s="54">
        <f t="shared" si="390"/>
        <v>0</v>
      </c>
      <c r="P1969" s="54">
        <f t="shared" si="391"/>
        <v>0</v>
      </c>
      <c r="Q1969" s="54">
        <f t="shared" si="392"/>
        <v>0</v>
      </c>
      <c r="R1969" s="54">
        <f t="shared" si="393"/>
        <v>0</v>
      </c>
      <c r="S1969" s="54"/>
      <c r="T1969" s="36"/>
      <c r="XDA1969"/>
      <c r="XDB1969"/>
      <c r="XDC1969"/>
      <c r="XDD1969"/>
      <c r="XDE1969"/>
      <c r="XDF1969"/>
      <c r="XDG1969"/>
      <c r="XDH1969"/>
      <c r="XDI1969"/>
      <c r="XDJ1969"/>
      <c r="XDK1969"/>
      <c r="XDL1969"/>
      <c r="XDM1969"/>
      <c r="XDN1969"/>
      <c r="XDO1969"/>
      <c r="XDP1969"/>
      <c r="XDQ1969"/>
      <c r="XDR1969"/>
      <c r="XDS1969"/>
      <c r="XDT1969"/>
      <c r="XDU1969"/>
      <c r="XDV1969"/>
      <c r="XDW1969"/>
      <c r="XDX1969"/>
      <c r="XDY1969"/>
      <c r="XDZ1969"/>
      <c r="XEA1969"/>
      <c r="XEB1969"/>
      <c r="XEC1969"/>
      <c r="XED1969"/>
      <c r="XEE1969"/>
      <c r="XEF1969"/>
      <c r="XEG1969"/>
      <c r="XEH1969"/>
      <c r="XEI1969"/>
      <c r="XEJ1969"/>
      <c r="XEK1969"/>
      <c r="XEL1969"/>
      <c r="XEM1969"/>
      <c r="XEN1969"/>
      <c r="XEO1969"/>
      <c r="XEP1969"/>
      <c r="XEQ1969"/>
      <c r="XER1969"/>
      <c r="XES1969"/>
      <c r="XET1969"/>
      <c r="XEU1969"/>
      <c r="XEV1969"/>
      <c r="XEW1969"/>
      <c r="XEX1969"/>
      <c r="XEY1969"/>
      <c r="XEZ1969"/>
      <c r="XFA1969"/>
      <c r="XFB1969"/>
      <c r="XFC1969"/>
    </row>
    <row r="1970" spans="1:20 16329:16383" s="38" customFormat="1" ht="29.1" customHeight="1" outlineLevel="6" x14ac:dyDescent="0.25">
      <c r="A1970" s="49" t="s">
        <v>3343</v>
      </c>
      <c r="B1970" s="50"/>
      <c r="C1970" s="50"/>
      <c r="D1970" s="3" t="s">
        <v>3344</v>
      </c>
      <c r="E1970" s="3"/>
      <c r="F1970" s="51"/>
      <c r="G1970" s="50" t="s">
        <v>29</v>
      </c>
      <c r="H1970" s="52">
        <f>1</f>
        <v>1</v>
      </c>
      <c r="I1970" s="36"/>
      <c r="J1970" s="52">
        <v>1</v>
      </c>
      <c r="K1970" s="53">
        <f>0</f>
        <v>0</v>
      </c>
      <c r="L1970" s="53">
        <f>0</f>
        <v>0</v>
      </c>
      <c r="M1970" s="53">
        <f>0</f>
        <v>0</v>
      </c>
      <c r="N1970" s="54">
        <f t="shared" si="389"/>
        <v>0</v>
      </c>
      <c r="O1970" s="54">
        <f t="shared" si="390"/>
        <v>0</v>
      </c>
      <c r="P1970" s="54">
        <f t="shared" si="391"/>
        <v>0</v>
      </c>
      <c r="Q1970" s="54">
        <f t="shared" si="392"/>
        <v>0</v>
      </c>
      <c r="R1970" s="54">
        <f t="shared" si="393"/>
        <v>0</v>
      </c>
      <c r="S1970" s="54"/>
      <c r="T1970" s="36"/>
      <c r="XDA1970"/>
      <c r="XDB1970"/>
      <c r="XDC1970"/>
      <c r="XDD1970"/>
      <c r="XDE1970"/>
      <c r="XDF1970"/>
      <c r="XDG1970"/>
      <c r="XDH1970"/>
      <c r="XDI1970"/>
      <c r="XDJ1970"/>
      <c r="XDK1970"/>
      <c r="XDL1970"/>
      <c r="XDM1970"/>
      <c r="XDN1970"/>
      <c r="XDO1970"/>
      <c r="XDP1970"/>
      <c r="XDQ1970"/>
      <c r="XDR1970"/>
      <c r="XDS1970"/>
      <c r="XDT1970"/>
      <c r="XDU1970"/>
      <c r="XDV1970"/>
      <c r="XDW1970"/>
      <c r="XDX1970"/>
      <c r="XDY1970"/>
      <c r="XDZ1970"/>
      <c r="XEA1970"/>
      <c r="XEB1970"/>
      <c r="XEC1970"/>
      <c r="XED1970"/>
      <c r="XEE1970"/>
      <c r="XEF1970"/>
      <c r="XEG1970"/>
      <c r="XEH1970"/>
      <c r="XEI1970"/>
      <c r="XEJ1970"/>
      <c r="XEK1970"/>
      <c r="XEL1970"/>
      <c r="XEM1970"/>
      <c r="XEN1970"/>
      <c r="XEO1970"/>
      <c r="XEP1970"/>
      <c r="XEQ1970"/>
      <c r="XER1970"/>
      <c r="XES1970"/>
      <c r="XET1970"/>
      <c r="XEU1970"/>
      <c r="XEV1970"/>
      <c r="XEW1970"/>
      <c r="XEX1970"/>
      <c r="XEY1970"/>
      <c r="XEZ1970"/>
      <c r="XFA1970"/>
      <c r="XFB1970"/>
      <c r="XFC1970"/>
    </row>
    <row r="1971" spans="1:20 16329:16383" s="38" customFormat="1" ht="29.1" customHeight="1" outlineLevel="6" x14ac:dyDescent="0.25">
      <c r="A1971" s="49" t="s">
        <v>3345</v>
      </c>
      <c r="B1971" s="50"/>
      <c r="C1971" s="50"/>
      <c r="D1971" s="3" t="s">
        <v>3346</v>
      </c>
      <c r="E1971" s="3"/>
      <c r="F1971" s="51"/>
      <c r="G1971" s="50" t="s">
        <v>29</v>
      </c>
      <c r="H1971" s="52">
        <f>1</f>
        <v>1</v>
      </c>
      <c r="I1971" s="36"/>
      <c r="J1971" s="52">
        <v>1</v>
      </c>
      <c r="K1971" s="53">
        <f>0</f>
        <v>0</v>
      </c>
      <c r="L1971" s="53">
        <f>0</f>
        <v>0</v>
      </c>
      <c r="M1971" s="53">
        <f>0</f>
        <v>0</v>
      </c>
      <c r="N1971" s="54">
        <f t="shared" si="389"/>
        <v>0</v>
      </c>
      <c r="O1971" s="54">
        <f t="shared" si="390"/>
        <v>0</v>
      </c>
      <c r="P1971" s="54">
        <f t="shared" si="391"/>
        <v>0</v>
      </c>
      <c r="Q1971" s="54">
        <f t="shared" si="392"/>
        <v>0</v>
      </c>
      <c r="R1971" s="54">
        <f t="shared" si="393"/>
        <v>0</v>
      </c>
      <c r="S1971" s="54"/>
      <c r="T1971" s="36"/>
      <c r="XDA1971"/>
      <c r="XDB1971"/>
      <c r="XDC1971"/>
      <c r="XDD1971"/>
      <c r="XDE1971"/>
      <c r="XDF1971"/>
      <c r="XDG1971"/>
      <c r="XDH1971"/>
      <c r="XDI1971"/>
      <c r="XDJ1971"/>
      <c r="XDK1971"/>
      <c r="XDL1971"/>
      <c r="XDM1971"/>
      <c r="XDN1971"/>
      <c r="XDO1971"/>
      <c r="XDP1971"/>
      <c r="XDQ1971"/>
      <c r="XDR1971"/>
      <c r="XDS1971"/>
      <c r="XDT1971"/>
      <c r="XDU1971"/>
      <c r="XDV1971"/>
      <c r="XDW1971"/>
      <c r="XDX1971"/>
      <c r="XDY1971"/>
      <c r="XDZ1971"/>
      <c r="XEA1971"/>
      <c r="XEB1971"/>
      <c r="XEC1971"/>
      <c r="XED1971"/>
      <c r="XEE1971"/>
      <c r="XEF1971"/>
      <c r="XEG1971"/>
      <c r="XEH1971"/>
      <c r="XEI1971"/>
      <c r="XEJ1971"/>
      <c r="XEK1971"/>
      <c r="XEL1971"/>
      <c r="XEM1971"/>
      <c r="XEN1971"/>
      <c r="XEO1971"/>
      <c r="XEP1971"/>
      <c r="XEQ1971"/>
      <c r="XER1971"/>
      <c r="XES1971"/>
      <c r="XET1971"/>
      <c r="XEU1971"/>
      <c r="XEV1971"/>
      <c r="XEW1971"/>
      <c r="XEX1971"/>
      <c r="XEY1971"/>
      <c r="XEZ1971"/>
      <c r="XFA1971"/>
      <c r="XFB1971"/>
      <c r="XFC1971"/>
    </row>
    <row r="1972" spans="1:20 16329:16383" s="38" customFormat="1" ht="29.1" customHeight="1" outlineLevel="6" x14ac:dyDescent="0.25">
      <c r="A1972" s="49" t="s">
        <v>3347</v>
      </c>
      <c r="B1972" s="50"/>
      <c r="C1972" s="50"/>
      <c r="D1972" s="3" t="s">
        <v>3348</v>
      </c>
      <c r="E1972" s="3"/>
      <c r="F1972" s="51"/>
      <c r="G1972" s="50" t="s">
        <v>29</v>
      </c>
      <c r="H1972" s="52">
        <f>1</f>
        <v>1</v>
      </c>
      <c r="I1972" s="36"/>
      <c r="J1972" s="52">
        <v>1</v>
      </c>
      <c r="K1972" s="53">
        <f>0</f>
        <v>0</v>
      </c>
      <c r="L1972" s="53">
        <f>0</f>
        <v>0</v>
      </c>
      <c r="M1972" s="53">
        <f>0</f>
        <v>0</v>
      </c>
      <c r="N1972" s="54">
        <f t="shared" si="389"/>
        <v>0</v>
      </c>
      <c r="O1972" s="54">
        <f t="shared" si="390"/>
        <v>0</v>
      </c>
      <c r="P1972" s="54">
        <f t="shared" si="391"/>
        <v>0</v>
      </c>
      <c r="Q1972" s="54">
        <f t="shared" si="392"/>
        <v>0</v>
      </c>
      <c r="R1972" s="54">
        <f t="shared" si="393"/>
        <v>0</v>
      </c>
      <c r="S1972" s="54"/>
      <c r="T1972" s="36"/>
      <c r="XDA1972"/>
      <c r="XDB1972"/>
      <c r="XDC1972"/>
      <c r="XDD1972"/>
      <c r="XDE1972"/>
      <c r="XDF1972"/>
      <c r="XDG1972"/>
      <c r="XDH1972"/>
      <c r="XDI1972"/>
      <c r="XDJ1972"/>
      <c r="XDK1972"/>
      <c r="XDL1972"/>
      <c r="XDM1972"/>
      <c r="XDN1972"/>
      <c r="XDO1972"/>
      <c r="XDP1972"/>
      <c r="XDQ1972"/>
      <c r="XDR1972"/>
      <c r="XDS1972"/>
      <c r="XDT1972"/>
      <c r="XDU1972"/>
      <c r="XDV1972"/>
      <c r="XDW1972"/>
      <c r="XDX1972"/>
      <c r="XDY1972"/>
      <c r="XDZ1972"/>
      <c r="XEA1972"/>
      <c r="XEB1972"/>
      <c r="XEC1972"/>
      <c r="XED1972"/>
      <c r="XEE1972"/>
      <c r="XEF1972"/>
      <c r="XEG1972"/>
      <c r="XEH1972"/>
      <c r="XEI1972"/>
      <c r="XEJ1972"/>
      <c r="XEK1972"/>
      <c r="XEL1972"/>
      <c r="XEM1972"/>
      <c r="XEN1972"/>
      <c r="XEO1972"/>
      <c r="XEP1972"/>
      <c r="XEQ1972"/>
      <c r="XER1972"/>
      <c r="XES1972"/>
      <c r="XET1972"/>
      <c r="XEU1972"/>
      <c r="XEV1972"/>
      <c r="XEW1972"/>
      <c r="XEX1972"/>
      <c r="XEY1972"/>
      <c r="XEZ1972"/>
      <c r="XFA1972"/>
      <c r="XFB1972"/>
      <c r="XFC1972"/>
    </row>
    <row r="1973" spans="1:20 16329:16383" s="38" customFormat="1" ht="29.1" customHeight="1" outlineLevel="6" x14ac:dyDescent="0.25">
      <c r="A1973" s="49" t="s">
        <v>3349</v>
      </c>
      <c r="B1973" s="50"/>
      <c r="C1973" s="50"/>
      <c r="D1973" s="3" t="s">
        <v>3350</v>
      </c>
      <c r="E1973" s="3"/>
      <c r="F1973" s="51"/>
      <c r="G1973" s="50" t="s">
        <v>29</v>
      </c>
      <c r="H1973" s="52">
        <f>1</f>
        <v>1</v>
      </c>
      <c r="I1973" s="36"/>
      <c r="J1973" s="52">
        <v>1</v>
      </c>
      <c r="K1973" s="53">
        <f>0</f>
        <v>0</v>
      </c>
      <c r="L1973" s="53">
        <f>0</f>
        <v>0</v>
      </c>
      <c r="M1973" s="53">
        <f>0</f>
        <v>0</v>
      </c>
      <c r="N1973" s="54">
        <f t="shared" si="389"/>
        <v>0</v>
      </c>
      <c r="O1973" s="54">
        <f t="shared" si="390"/>
        <v>0</v>
      </c>
      <c r="P1973" s="54">
        <f t="shared" si="391"/>
        <v>0</v>
      </c>
      <c r="Q1973" s="54">
        <f t="shared" si="392"/>
        <v>0</v>
      </c>
      <c r="R1973" s="54">
        <f t="shared" si="393"/>
        <v>0</v>
      </c>
      <c r="S1973" s="54"/>
      <c r="T1973" s="36"/>
      <c r="XDA1973"/>
      <c r="XDB1973"/>
      <c r="XDC1973"/>
      <c r="XDD1973"/>
      <c r="XDE1973"/>
      <c r="XDF1973"/>
      <c r="XDG1973"/>
      <c r="XDH1973"/>
      <c r="XDI1973"/>
      <c r="XDJ1973"/>
      <c r="XDK1973"/>
      <c r="XDL1973"/>
      <c r="XDM1973"/>
      <c r="XDN1973"/>
      <c r="XDO1973"/>
      <c r="XDP1973"/>
      <c r="XDQ1973"/>
      <c r="XDR1973"/>
      <c r="XDS1973"/>
      <c r="XDT1973"/>
      <c r="XDU1973"/>
      <c r="XDV1973"/>
      <c r="XDW1973"/>
      <c r="XDX1973"/>
      <c r="XDY1973"/>
      <c r="XDZ1973"/>
      <c r="XEA1973"/>
      <c r="XEB1973"/>
      <c r="XEC1973"/>
      <c r="XED1973"/>
      <c r="XEE1973"/>
      <c r="XEF1973"/>
      <c r="XEG1973"/>
      <c r="XEH1973"/>
      <c r="XEI1973"/>
      <c r="XEJ1973"/>
      <c r="XEK1973"/>
      <c r="XEL1973"/>
      <c r="XEM1973"/>
      <c r="XEN1973"/>
      <c r="XEO1973"/>
      <c r="XEP1973"/>
      <c r="XEQ1973"/>
      <c r="XER1973"/>
      <c r="XES1973"/>
      <c r="XET1973"/>
      <c r="XEU1973"/>
      <c r="XEV1973"/>
      <c r="XEW1973"/>
      <c r="XEX1973"/>
      <c r="XEY1973"/>
      <c r="XEZ1973"/>
      <c r="XFA1973"/>
      <c r="XFB1973"/>
      <c r="XFC1973"/>
    </row>
    <row r="1974" spans="1:20 16329:16383" s="38" customFormat="1" ht="29.1" customHeight="1" outlineLevel="6" x14ac:dyDescent="0.25">
      <c r="A1974" s="49" t="s">
        <v>3351</v>
      </c>
      <c r="B1974" s="50"/>
      <c r="C1974" s="50"/>
      <c r="D1974" s="3" t="s">
        <v>3352</v>
      </c>
      <c r="E1974" s="3"/>
      <c r="F1974" s="51"/>
      <c r="G1974" s="50" t="s">
        <v>29</v>
      </c>
      <c r="H1974" s="52">
        <f>1</f>
        <v>1</v>
      </c>
      <c r="I1974" s="36"/>
      <c r="J1974" s="52">
        <v>1</v>
      </c>
      <c r="K1974" s="53">
        <f>0</f>
        <v>0</v>
      </c>
      <c r="L1974" s="53">
        <f>0</f>
        <v>0</v>
      </c>
      <c r="M1974" s="53">
        <f>0</f>
        <v>0</v>
      </c>
      <c r="N1974" s="54">
        <f t="shared" si="389"/>
        <v>0</v>
      </c>
      <c r="O1974" s="54">
        <f t="shared" si="390"/>
        <v>0</v>
      </c>
      <c r="P1974" s="54">
        <f t="shared" si="391"/>
        <v>0</v>
      </c>
      <c r="Q1974" s="54">
        <f t="shared" si="392"/>
        <v>0</v>
      </c>
      <c r="R1974" s="54">
        <f t="shared" si="393"/>
        <v>0</v>
      </c>
      <c r="S1974" s="54"/>
      <c r="T1974" s="36"/>
      <c r="XDA1974"/>
      <c r="XDB1974"/>
      <c r="XDC1974"/>
      <c r="XDD1974"/>
      <c r="XDE1974"/>
      <c r="XDF1974"/>
      <c r="XDG1974"/>
      <c r="XDH1974"/>
      <c r="XDI1974"/>
      <c r="XDJ1974"/>
      <c r="XDK1974"/>
      <c r="XDL1974"/>
      <c r="XDM1974"/>
      <c r="XDN1974"/>
      <c r="XDO1974"/>
      <c r="XDP1974"/>
      <c r="XDQ1974"/>
      <c r="XDR1974"/>
      <c r="XDS1974"/>
      <c r="XDT1974"/>
      <c r="XDU1974"/>
      <c r="XDV1974"/>
      <c r="XDW1974"/>
      <c r="XDX1974"/>
      <c r="XDY1974"/>
      <c r="XDZ1974"/>
      <c r="XEA1974"/>
      <c r="XEB1974"/>
      <c r="XEC1974"/>
      <c r="XED1974"/>
      <c r="XEE1974"/>
      <c r="XEF1974"/>
      <c r="XEG1974"/>
      <c r="XEH1974"/>
      <c r="XEI1974"/>
      <c r="XEJ1974"/>
      <c r="XEK1974"/>
      <c r="XEL1974"/>
      <c r="XEM1974"/>
      <c r="XEN1974"/>
      <c r="XEO1974"/>
      <c r="XEP1974"/>
      <c r="XEQ1974"/>
      <c r="XER1974"/>
      <c r="XES1974"/>
      <c r="XET1974"/>
      <c r="XEU1974"/>
      <c r="XEV1974"/>
      <c r="XEW1974"/>
      <c r="XEX1974"/>
      <c r="XEY1974"/>
      <c r="XEZ1974"/>
      <c r="XFA1974"/>
      <c r="XFB1974"/>
      <c r="XFC1974"/>
    </row>
    <row r="1975" spans="1:20 16329:16383" s="38" customFormat="1" ht="29.1" customHeight="1" outlineLevel="6" x14ac:dyDescent="0.25">
      <c r="A1975" s="49" t="s">
        <v>3353</v>
      </c>
      <c r="B1975" s="50"/>
      <c r="C1975" s="50"/>
      <c r="D1975" s="3" t="s">
        <v>3354</v>
      </c>
      <c r="E1975" s="3"/>
      <c r="F1975" s="51"/>
      <c r="G1975" s="50" t="s">
        <v>29</v>
      </c>
      <c r="H1975" s="52">
        <f>1</f>
        <v>1</v>
      </c>
      <c r="I1975" s="36"/>
      <c r="J1975" s="52">
        <v>1</v>
      </c>
      <c r="K1975" s="53">
        <f>0</f>
        <v>0</v>
      </c>
      <c r="L1975" s="53">
        <f>0</f>
        <v>0</v>
      </c>
      <c r="M1975" s="53">
        <f>0</f>
        <v>0</v>
      </c>
      <c r="N1975" s="54">
        <f t="shared" si="389"/>
        <v>0</v>
      </c>
      <c r="O1975" s="54">
        <f t="shared" si="390"/>
        <v>0</v>
      </c>
      <c r="P1975" s="54">
        <f t="shared" si="391"/>
        <v>0</v>
      </c>
      <c r="Q1975" s="54">
        <f t="shared" si="392"/>
        <v>0</v>
      </c>
      <c r="R1975" s="54">
        <f t="shared" si="393"/>
        <v>0</v>
      </c>
      <c r="S1975" s="54"/>
      <c r="T1975" s="36"/>
      <c r="XDA1975"/>
      <c r="XDB1975"/>
      <c r="XDC1975"/>
      <c r="XDD1975"/>
      <c r="XDE1975"/>
      <c r="XDF1975"/>
      <c r="XDG1975"/>
      <c r="XDH1975"/>
      <c r="XDI1975"/>
      <c r="XDJ1975"/>
      <c r="XDK1975"/>
      <c r="XDL1975"/>
      <c r="XDM1975"/>
      <c r="XDN1975"/>
      <c r="XDO1975"/>
      <c r="XDP1975"/>
      <c r="XDQ1975"/>
      <c r="XDR1975"/>
      <c r="XDS1975"/>
      <c r="XDT1975"/>
      <c r="XDU1975"/>
      <c r="XDV1975"/>
      <c r="XDW1975"/>
      <c r="XDX1975"/>
      <c r="XDY1975"/>
      <c r="XDZ1975"/>
      <c r="XEA1975"/>
      <c r="XEB1975"/>
      <c r="XEC1975"/>
      <c r="XED1975"/>
      <c r="XEE1975"/>
      <c r="XEF1975"/>
      <c r="XEG1975"/>
      <c r="XEH1975"/>
      <c r="XEI1975"/>
      <c r="XEJ1975"/>
      <c r="XEK1975"/>
      <c r="XEL1975"/>
      <c r="XEM1975"/>
      <c r="XEN1975"/>
      <c r="XEO1975"/>
      <c r="XEP1975"/>
      <c r="XEQ1975"/>
      <c r="XER1975"/>
      <c r="XES1975"/>
      <c r="XET1975"/>
      <c r="XEU1975"/>
      <c r="XEV1975"/>
      <c r="XEW1975"/>
      <c r="XEX1975"/>
      <c r="XEY1975"/>
      <c r="XEZ1975"/>
      <c r="XFA1975"/>
      <c r="XFB1975"/>
      <c r="XFC1975"/>
    </row>
    <row r="1976" spans="1:20 16329:16383" s="38" customFormat="1" ht="29.1" customHeight="1" outlineLevel="6" x14ac:dyDescent="0.25">
      <c r="A1976" s="49" t="s">
        <v>3355</v>
      </c>
      <c r="B1976" s="50"/>
      <c r="C1976" s="50"/>
      <c r="D1976" s="3" t="s">
        <v>3356</v>
      </c>
      <c r="E1976" s="3"/>
      <c r="F1976" s="51"/>
      <c r="G1976" s="50" t="s">
        <v>29</v>
      </c>
      <c r="H1976" s="52">
        <f>1</f>
        <v>1</v>
      </c>
      <c r="I1976" s="36"/>
      <c r="J1976" s="52">
        <v>1</v>
      </c>
      <c r="K1976" s="53">
        <f>0</f>
        <v>0</v>
      </c>
      <c r="L1976" s="53">
        <f>0</f>
        <v>0</v>
      </c>
      <c r="M1976" s="53">
        <f>0</f>
        <v>0</v>
      </c>
      <c r="N1976" s="54">
        <f t="shared" si="389"/>
        <v>0</v>
      </c>
      <c r="O1976" s="54">
        <f t="shared" si="390"/>
        <v>0</v>
      </c>
      <c r="P1976" s="54">
        <f t="shared" si="391"/>
        <v>0</v>
      </c>
      <c r="Q1976" s="54">
        <f t="shared" si="392"/>
        <v>0</v>
      </c>
      <c r="R1976" s="54">
        <f t="shared" si="393"/>
        <v>0</v>
      </c>
      <c r="S1976" s="54"/>
      <c r="T1976" s="36"/>
      <c r="XDA1976"/>
      <c r="XDB1976"/>
      <c r="XDC1976"/>
      <c r="XDD1976"/>
      <c r="XDE1976"/>
      <c r="XDF1976"/>
      <c r="XDG1976"/>
      <c r="XDH1976"/>
      <c r="XDI1976"/>
      <c r="XDJ1976"/>
      <c r="XDK1976"/>
      <c r="XDL1976"/>
      <c r="XDM1976"/>
      <c r="XDN1976"/>
      <c r="XDO1976"/>
      <c r="XDP1976"/>
      <c r="XDQ1976"/>
      <c r="XDR1976"/>
      <c r="XDS1976"/>
      <c r="XDT1976"/>
      <c r="XDU1976"/>
      <c r="XDV1976"/>
      <c r="XDW1976"/>
      <c r="XDX1976"/>
      <c r="XDY1976"/>
      <c r="XDZ1976"/>
      <c r="XEA1976"/>
      <c r="XEB1976"/>
      <c r="XEC1976"/>
      <c r="XED1976"/>
      <c r="XEE1976"/>
      <c r="XEF1976"/>
      <c r="XEG1976"/>
      <c r="XEH1976"/>
      <c r="XEI1976"/>
      <c r="XEJ1976"/>
      <c r="XEK1976"/>
      <c r="XEL1976"/>
      <c r="XEM1976"/>
      <c r="XEN1976"/>
      <c r="XEO1976"/>
      <c r="XEP1976"/>
      <c r="XEQ1976"/>
      <c r="XER1976"/>
      <c r="XES1976"/>
      <c r="XET1976"/>
      <c r="XEU1976"/>
      <c r="XEV1976"/>
      <c r="XEW1976"/>
      <c r="XEX1976"/>
      <c r="XEY1976"/>
      <c r="XEZ1976"/>
      <c r="XFA1976"/>
      <c r="XFB1976"/>
      <c r="XFC1976"/>
    </row>
    <row r="1977" spans="1:20 16329:16383" s="38" customFormat="1" ht="29.1" customHeight="1" outlineLevel="6" x14ac:dyDescent="0.25">
      <c r="A1977" s="49" t="s">
        <v>3357</v>
      </c>
      <c r="B1977" s="50"/>
      <c r="C1977" s="50"/>
      <c r="D1977" s="3" t="s">
        <v>3358</v>
      </c>
      <c r="E1977" s="3"/>
      <c r="F1977" s="51"/>
      <c r="G1977" s="50" t="s">
        <v>29</v>
      </c>
      <c r="H1977" s="52">
        <f>1</f>
        <v>1</v>
      </c>
      <c r="I1977" s="36"/>
      <c r="J1977" s="52">
        <v>1</v>
      </c>
      <c r="K1977" s="53">
        <f>0</f>
        <v>0</v>
      </c>
      <c r="L1977" s="53">
        <f>0</f>
        <v>0</v>
      </c>
      <c r="M1977" s="53">
        <f>0</f>
        <v>0</v>
      </c>
      <c r="N1977" s="54">
        <f t="shared" si="389"/>
        <v>0</v>
      </c>
      <c r="O1977" s="54">
        <f t="shared" si="390"/>
        <v>0</v>
      </c>
      <c r="P1977" s="54">
        <f t="shared" si="391"/>
        <v>0</v>
      </c>
      <c r="Q1977" s="54">
        <f t="shared" si="392"/>
        <v>0</v>
      </c>
      <c r="R1977" s="54">
        <f t="shared" si="393"/>
        <v>0</v>
      </c>
      <c r="S1977" s="54"/>
      <c r="T1977" s="36"/>
      <c r="XDA1977"/>
      <c r="XDB1977"/>
      <c r="XDC1977"/>
      <c r="XDD1977"/>
      <c r="XDE1977"/>
      <c r="XDF1977"/>
      <c r="XDG1977"/>
      <c r="XDH1977"/>
      <c r="XDI1977"/>
      <c r="XDJ1977"/>
      <c r="XDK1977"/>
      <c r="XDL1977"/>
      <c r="XDM1977"/>
      <c r="XDN1977"/>
      <c r="XDO1977"/>
      <c r="XDP1977"/>
      <c r="XDQ1977"/>
      <c r="XDR1977"/>
      <c r="XDS1977"/>
      <c r="XDT1977"/>
      <c r="XDU1977"/>
      <c r="XDV1977"/>
      <c r="XDW1977"/>
      <c r="XDX1977"/>
      <c r="XDY1977"/>
      <c r="XDZ1977"/>
      <c r="XEA1977"/>
      <c r="XEB1977"/>
      <c r="XEC1977"/>
      <c r="XED1977"/>
      <c r="XEE1977"/>
      <c r="XEF1977"/>
      <c r="XEG1977"/>
      <c r="XEH1977"/>
      <c r="XEI1977"/>
      <c r="XEJ1977"/>
      <c r="XEK1977"/>
      <c r="XEL1977"/>
      <c r="XEM1977"/>
      <c r="XEN1977"/>
      <c r="XEO1977"/>
      <c r="XEP1977"/>
      <c r="XEQ1977"/>
      <c r="XER1977"/>
      <c r="XES1977"/>
      <c r="XET1977"/>
      <c r="XEU1977"/>
      <c r="XEV1977"/>
      <c r="XEW1977"/>
      <c r="XEX1977"/>
      <c r="XEY1977"/>
      <c r="XEZ1977"/>
      <c r="XFA1977"/>
      <c r="XFB1977"/>
      <c r="XFC1977"/>
    </row>
    <row r="1978" spans="1:20 16329:16383" s="38" customFormat="1" ht="29.1" customHeight="1" outlineLevel="6" x14ac:dyDescent="0.25">
      <c r="A1978" s="49" t="s">
        <v>3359</v>
      </c>
      <c r="B1978" s="50"/>
      <c r="C1978" s="50"/>
      <c r="D1978" s="3" t="s">
        <v>3360</v>
      </c>
      <c r="E1978" s="3"/>
      <c r="F1978" s="51"/>
      <c r="G1978" s="50" t="s">
        <v>29</v>
      </c>
      <c r="H1978" s="52">
        <f>1</f>
        <v>1</v>
      </c>
      <c r="I1978" s="36"/>
      <c r="J1978" s="52">
        <v>1</v>
      </c>
      <c r="K1978" s="53">
        <f>0</f>
        <v>0</v>
      </c>
      <c r="L1978" s="53">
        <f>0</f>
        <v>0</v>
      </c>
      <c r="M1978" s="53">
        <f>0</f>
        <v>0</v>
      </c>
      <c r="N1978" s="54">
        <f t="shared" si="389"/>
        <v>0</v>
      </c>
      <c r="O1978" s="54">
        <f t="shared" si="390"/>
        <v>0</v>
      </c>
      <c r="P1978" s="54">
        <f t="shared" si="391"/>
        <v>0</v>
      </c>
      <c r="Q1978" s="54">
        <f t="shared" si="392"/>
        <v>0</v>
      </c>
      <c r="R1978" s="54">
        <f t="shared" si="393"/>
        <v>0</v>
      </c>
      <c r="S1978" s="54"/>
      <c r="T1978" s="36"/>
      <c r="XDA1978"/>
      <c r="XDB1978"/>
      <c r="XDC1978"/>
      <c r="XDD1978"/>
      <c r="XDE1978"/>
      <c r="XDF1978"/>
      <c r="XDG1978"/>
      <c r="XDH1978"/>
      <c r="XDI1978"/>
      <c r="XDJ1978"/>
      <c r="XDK1978"/>
      <c r="XDL1978"/>
      <c r="XDM1978"/>
      <c r="XDN1978"/>
      <c r="XDO1978"/>
      <c r="XDP1978"/>
      <c r="XDQ1978"/>
      <c r="XDR1978"/>
      <c r="XDS1978"/>
      <c r="XDT1978"/>
      <c r="XDU1978"/>
      <c r="XDV1978"/>
      <c r="XDW1978"/>
      <c r="XDX1978"/>
      <c r="XDY1978"/>
      <c r="XDZ1978"/>
      <c r="XEA1978"/>
      <c r="XEB1978"/>
      <c r="XEC1978"/>
      <c r="XED1978"/>
      <c r="XEE1978"/>
      <c r="XEF1978"/>
      <c r="XEG1978"/>
      <c r="XEH1978"/>
      <c r="XEI1978"/>
      <c r="XEJ1978"/>
      <c r="XEK1978"/>
      <c r="XEL1978"/>
      <c r="XEM1978"/>
      <c r="XEN1978"/>
      <c r="XEO1978"/>
      <c r="XEP1978"/>
      <c r="XEQ1978"/>
      <c r="XER1978"/>
      <c r="XES1978"/>
      <c r="XET1978"/>
      <c r="XEU1978"/>
      <c r="XEV1978"/>
      <c r="XEW1978"/>
      <c r="XEX1978"/>
      <c r="XEY1978"/>
      <c r="XEZ1978"/>
      <c r="XFA1978"/>
      <c r="XFB1978"/>
      <c r="XFC1978"/>
    </row>
    <row r="1979" spans="1:20 16329:16383" s="38" customFormat="1" ht="29.1" customHeight="1" outlineLevel="5" x14ac:dyDescent="0.25">
      <c r="A1979" s="65" t="s">
        <v>3361</v>
      </c>
      <c r="B1979" s="66" t="s">
        <v>3362</v>
      </c>
      <c r="C1979" s="66" t="s">
        <v>3363</v>
      </c>
      <c r="D1979" s="98" t="s">
        <v>3364</v>
      </c>
      <c r="E1979" s="98"/>
      <c r="F1979" s="67"/>
      <c r="G1979" s="66" t="s">
        <v>134</v>
      </c>
      <c r="H1979" s="68"/>
      <c r="I1979" s="36"/>
      <c r="J1979" s="68"/>
      <c r="K1979" s="69"/>
      <c r="L1979" s="69"/>
      <c r="M1979" s="69"/>
      <c r="N1979" s="69"/>
      <c r="O1979" s="69">
        <f>O1980+O1981</f>
        <v>0</v>
      </c>
      <c r="P1979" s="69">
        <f>P1980+P1981</f>
        <v>0</v>
      </c>
      <c r="Q1979" s="69">
        <f>Q1980+Q1981</f>
        <v>0</v>
      </c>
      <c r="R1979" s="69">
        <f>R1980+R1981</f>
        <v>0</v>
      </c>
      <c r="S1979" s="69"/>
      <c r="T1979" s="36"/>
      <c r="XDA1979"/>
      <c r="XDB1979"/>
      <c r="XDC1979"/>
      <c r="XDD1979"/>
      <c r="XDE1979"/>
      <c r="XDF1979"/>
      <c r="XDG1979"/>
      <c r="XDH1979"/>
      <c r="XDI1979"/>
      <c r="XDJ1979"/>
      <c r="XDK1979"/>
      <c r="XDL1979"/>
      <c r="XDM1979"/>
      <c r="XDN1979"/>
      <c r="XDO1979"/>
      <c r="XDP1979"/>
      <c r="XDQ1979"/>
      <c r="XDR1979"/>
      <c r="XDS1979"/>
      <c r="XDT1979"/>
      <c r="XDU1979"/>
      <c r="XDV1979"/>
      <c r="XDW1979"/>
      <c r="XDX1979"/>
      <c r="XDY1979"/>
      <c r="XDZ1979"/>
      <c r="XEA1979"/>
      <c r="XEB1979"/>
      <c r="XEC1979"/>
      <c r="XED1979"/>
      <c r="XEE1979"/>
      <c r="XEF1979"/>
      <c r="XEG1979"/>
      <c r="XEH1979"/>
      <c r="XEI1979"/>
      <c r="XEJ1979"/>
      <c r="XEK1979"/>
      <c r="XEL1979"/>
      <c r="XEM1979"/>
      <c r="XEN1979"/>
      <c r="XEO1979"/>
      <c r="XEP1979"/>
      <c r="XEQ1979"/>
      <c r="XER1979"/>
      <c r="XES1979"/>
      <c r="XET1979"/>
      <c r="XEU1979"/>
      <c r="XEV1979"/>
      <c r="XEW1979"/>
      <c r="XEX1979"/>
      <c r="XEY1979"/>
      <c r="XEZ1979"/>
      <c r="XFA1979"/>
      <c r="XFB1979"/>
      <c r="XFC1979"/>
    </row>
    <row r="1980" spans="1:20 16329:16383" s="38" customFormat="1" ht="29.1" customHeight="1" outlineLevel="6" x14ac:dyDescent="0.25">
      <c r="A1980" s="49" t="s">
        <v>3365</v>
      </c>
      <c r="B1980" s="50"/>
      <c r="C1980" s="50"/>
      <c r="D1980" s="3" t="s">
        <v>3366</v>
      </c>
      <c r="E1980" s="3"/>
      <c r="F1980" s="51"/>
      <c r="G1980" s="50" t="s">
        <v>29</v>
      </c>
      <c r="H1980" s="52">
        <f>1</f>
        <v>1</v>
      </c>
      <c r="I1980" s="36"/>
      <c r="J1980" s="52">
        <v>1</v>
      </c>
      <c r="K1980" s="53">
        <f>0</f>
        <v>0</v>
      </c>
      <c r="L1980" s="53">
        <f>0</f>
        <v>0</v>
      </c>
      <c r="M1980" s="53">
        <f>0</f>
        <v>0</v>
      </c>
      <c r="N1980" s="54">
        <f>SUM(K1980:M1980)</f>
        <v>0</v>
      </c>
      <c r="O1980" s="54">
        <f>ROUND((H1980*K1980),2)</f>
        <v>0</v>
      </c>
      <c r="P1980" s="54">
        <f>ROUND((H1980*L1980),2)</f>
        <v>0</v>
      </c>
      <c r="Q1980" s="54">
        <f>ROUND((H1980*M1980),2)</f>
        <v>0</v>
      </c>
      <c r="R1980" s="54">
        <f>ROUND((H1980*N1980),2)</f>
        <v>0</v>
      </c>
      <c r="S1980" s="54"/>
      <c r="T1980" s="36"/>
      <c r="XDA1980"/>
      <c r="XDB1980"/>
      <c r="XDC1980"/>
      <c r="XDD1980"/>
      <c r="XDE1980"/>
      <c r="XDF1980"/>
      <c r="XDG1980"/>
      <c r="XDH1980"/>
      <c r="XDI1980"/>
      <c r="XDJ1980"/>
      <c r="XDK1980"/>
      <c r="XDL1980"/>
      <c r="XDM1980"/>
      <c r="XDN1980"/>
      <c r="XDO1980"/>
      <c r="XDP1980"/>
      <c r="XDQ1980"/>
      <c r="XDR1980"/>
      <c r="XDS1980"/>
      <c r="XDT1980"/>
      <c r="XDU1980"/>
      <c r="XDV1980"/>
      <c r="XDW1980"/>
      <c r="XDX1980"/>
      <c r="XDY1980"/>
      <c r="XDZ1980"/>
      <c r="XEA1980"/>
      <c r="XEB1980"/>
      <c r="XEC1980"/>
      <c r="XED1980"/>
      <c r="XEE1980"/>
      <c r="XEF1980"/>
      <c r="XEG1980"/>
      <c r="XEH1980"/>
      <c r="XEI1980"/>
      <c r="XEJ1980"/>
      <c r="XEK1980"/>
      <c r="XEL1980"/>
      <c r="XEM1980"/>
      <c r="XEN1980"/>
      <c r="XEO1980"/>
      <c r="XEP1980"/>
      <c r="XEQ1980"/>
      <c r="XER1980"/>
      <c r="XES1980"/>
      <c r="XET1980"/>
      <c r="XEU1980"/>
      <c r="XEV1980"/>
      <c r="XEW1980"/>
      <c r="XEX1980"/>
      <c r="XEY1980"/>
      <c r="XEZ1980"/>
      <c r="XFA1980"/>
      <c r="XFB1980"/>
      <c r="XFC1980"/>
    </row>
    <row r="1981" spans="1:20 16329:16383" s="38" customFormat="1" ht="29.1" customHeight="1" outlineLevel="6" x14ac:dyDescent="0.25">
      <c r="A1981" s="49" t="s">
        <v>3367</v>
      </c>
      <c r="B1981" s="50"/>
      <c r="C1981" s="50"/>
      <c r="D1981" s="3" t="s">
        <v>3368</v>
      </c>
      <c r="E1981" s="3"/>
      <c r="F1981" s="51"/>
      <c r="G1981" s="50" t="s">
        <v>29</v>
      </c>
      <c r="H1981" s="52">
        <f>1</f>
        <v>1</v>
      </c>
      <c r="I1981" s="36"/>
      <c r="J1981" s="52">
        <v>1</v>
      </c>
      <c r="K1981" s="53">
        <f>0</f>
        <v>0</v>
      </c>
      <c r="L1981" s="53">
        <f>0</f>
        <v>0</v>
      </c>
      <c r="M1981" s="53">
        <f>0</f>
        <v>0</v>
      </c>
      <c r="N1981" s="54">
        <f>SUM(K1981:M1981)</f>
        <v>0</v>
      </c>
      <c r="O1981" s="54">
        <f>ROUND((H1981*K1981),2)</f>
        <v>0</v>
      </c>
      <c r="P1981" s="54">
        <f>ROUND((H1981*L1981),2)</f>
        <v>0</v>
      </c>
      <c r="Q1981" s="54">
        <f>ROUND((H1981*M1981),2)</f>
        <v>0</v>
      </c>
      <c r="R1981" s="54">
        <f>ROUND((H1981*N1981),2)</f>
        <v>0</v>
      </c>
      <c r="S1981" s="54"/>
      <c r="T1981" s="36"/>
      <c r="XDA1981"/>
      <c r="XDB1981"/>
      <c r="XDC1981"/>
      <c r="XDD1981"/>
      <c r="XDE1981"/>
      <c r="XDF1981"/>
      <c r="XDG1981"/>
      <c r="XDH1981"/>
      <c r="XDI1981"/>
      <c r="XDJ1981"/>
      <c r="XDK1981"/>
      <c r="XDL1981"/>
      <c r="XDM1981"/>
      <c r="XDN1981"/>
      <c r="XDO1981"/>
      <c r="XDP1981"/>
      <c r="XDQ1981"/>
      <c r="XDR1981"/>
      <c r="XDS1981"/>
      <c r="XDT1981"/>
      <c r="XDU1981"/>
      <c r="XDV1981"/>
      <c r="XDW1981"/>
      <c r="XDX1981"/>
      <c r="XDY1981"/>
      <c r="XDZ1981"/>
      <c r="XEA1981"/>
      <c r="XEB1981"/>
      <c r="XEC1981"/>
      <c r="XED1981"/>
      <c r="XEE1981"/>
      <c r="XEF1981"/>
      <c r="XEG1981"/>
      <c r="XEH1981"/>
      <c r="XEI1981"/>
      <c r="XEJ1981"/>
      <c r="XEK1981"/>
      <c r="XEL1981"/>
      <c r="XEM1981"/>
      <c r="XEN1981"/>
      <c r="XEO1981"/>
      <c r="XEP1981"/>
      <c r="XEQ1981"/>
      <c r="XER1981"/>
      <c r="XES1981"/>
      <c r="XET1981"/>
      <c r="XEU1981"/>
      <c r="XEV1981"/>
      <c r="XEW1981"/>
      <c r="XEX1981"/>
      <c r="XEY1981"/>
      <c r="XEZ1981"/>
      <c r="XFA1981"/>
      <c r="XFB1981"/>
      <c r="XFC1981"/>
    </row>
    <row r="1982" spans="1:20 16329:16383" s="38" customFormat="1" ht="29.1" customHeight="1" outlineLevel="4" x14ac:dyDescent="0.25">
      <c r="A1982" s="60" t="s">
        <v>3369</v>
      </c>
      <c r="B1982" s="61" t="s">
        <v>3370</v>
      </c>
      <c r="C1982" s="61" t="s">
        <v>3371</v>
      </c>
      <c r="D1982" s="1" t="s">
        <v>3372</v>
      </c>
      <c r="E1982" s="1"/>
      <c r="F1982" s="62"/>
      <c r="G1982" s="61" t="s">
        <v>29</v>
      </c>
      <c r="H1982" s="63"/>
      <c r="I1982" s="36"/>
      <c r="J1982" s="63"/>
      <c r="K1982" s="64"/>
      <c r="L1982" s="64"/>
      <c r="M1982" s="64"/>
      <c r="N1982" s="64"/>
      <c r="O1982" s="64">
        <f>O1983+O1995</f>
        <v>0</v>
      </c>
      <c r="P1982" s="64">
        <f>P1983+P1995</f>
        <v>0</v>
      </c>
      <c r="Q1982" s="64">
        <f>Q1983+Q1995</f>
        <v>0</v>
      </c>
      <c r="R1982" s="64">
        <f>R1983+R1995</f>
        <v>0</v>
      </c>
      <c r="S1982" s="64"/>
      <c r="T1982" s="36"/>
      <c r="XDA1982"/>
      <c r="XDB1982"/>
      <c r="XDC1982"/>
      <c r="XDD1982"/>
      <c r="XDE1982"/>
      <c r="XDF1982"/>
      <c r="XDG1982"/>
      <c r="XDH1982"/>
      <c r="XDI1982"/>
      <c r="XDJ1982"/>
      <c r="XDK1982"/>
      <c r="XDL1982"/>
      <c r="XDM1982"/>
      <c r="XDN1982"/>
      <c r="XDO1982"/>
      <c r="XDP1982"/>
      <c r="XDQ1982"/>
      <c r="XDR1982"/>
      <c r="XDS1982"/>
      <c r="XDT1982"/>
      <c r="XDU1982"/>
      <c r="XDV1982"/>
      <c r="XDW1982"/>
      <c r="XDX1982"/>
      <c r="XDY1982"/>
      <c r="XDZ1982"/>
      <c r="XEA1982"/>
      <c r="XEB1982"/>
      <c r="XEC1982"/>
      <c r="XED1982"/>
      <c r="XEE1982"/>
      <c r="XEF1982"/>
      <c r="XEG1982"/>
      <c r="XEH1982"/>
      <c r="XEI1982"/>
      <c r="XEJ1982"/>
      <c r="XEK1982"/>
      <c r="XEL1982"/>
      <c r="XEM1982"/>
      <c r="XEN1982"/>
      <c r="XEO1982"/>
      <c r="XEP1982"/>
      <c r="XEQ1982"/>
      <c r="XER1982"/>
      <c r="XES1982"/>
      <c r="XET1982"/>
      <c r="XEU1982"/>
      <c r="XEV1982"/>
      <c r="XEW1982"/>
      <c r="XEX1982"/>
      <c r="XEY1982"/>
      <c r="XEZ1982"/>
      <c r="XFA1982"/>
      <c r="XFB1982"/>
      <c r="XFC1982"/>
    </row>
    <row r="1983" spans="1:20 16329:16383" s="38" customFormat="1" ht="29.1" customHeight="1" outlineLevel="5" x14ac:dyDescent="0.25">
      <c r="A1983" s="65" t="s">
        <v>3373</v>
      </c>
      <c r="B1983" s="66" t="s">
        <v>3374</v>
      </c>
      <c r="C1983" s="66" t="s">
        <v>3375</v>
      </c>
      <c r="D1983" s="98" t="s">
        <v>3376</v>
      </c>
      <c r="E1983" s="98"/>
      <c r="F1983" s="67"/>
      <c r="G1983" s="66" t="s">
        <v>3285</v>
      </c>
      <c r="H1983" s="68"/>
      <c r="I1983" s="36"/>
      <c r="J1983" s="68"/>
      <c r="K1983" s="69"/>
      <c r="L1983" s="69"/>
      <c r="M1983" s="69"/>
      <c r="N1983" s="69"/>
      <c r="O1983" s="69">
        <f>SUM(O1984:O1994)</f>
        <v>0</v>
      </c>
      <c r="P1983" s="69">
        <f>SUM(P1984:P1994)</f>
        <v>0</v>
      </c>
      <c r="Q1983" s="69">
        <f>SUM(Q1984:Q1994)</f>
        <v>0</v>
      </c>
      <c r="R1983" s="69">
        <f>SUM(R1984:R1994)</f>
        <v>0</v>
      </c>
      <c r="S1983" s="69"/>
      <c r="T1983" s="36"/>
      <c r="XDA1983"/>
      <c r="XDB1983"/>
      <c r="XDC1983"/>
      <c r="XDD1983"/>
      <c r="XDE1983"/>
      <c r="XDF1983"/>
      <c r="XDG1983"/>
      <c r="XDH1983"/>
      <c r="XDI1983"/>
      <c r="XDJ1983"/>
      <c r="XDK1983"/>
      <c r="XDL1983"/>
      <c r="XDM1983"/>
      <c r="XDN1983"/>
      <c r="XDO1983"/>
      <c r="XDP1983"/>
      <c r="XDQ1983"/>
      <c r="XDR1983"/>
      <c r="XDS1983"/>
      <c r="XDT1983"/>
      <c r="XDU1983"/>
      <c r="XDV1983"/>
      <c r="XDW1983"/>
      <c r="XDX1983"/>
      <c r="XDY1983"/>
      <c r="XDZ1983"/>
      <c r="XEA1983"/>
      <c r="XEB1983"/>
      <c r="XEC1983"/>
      <c r="XED1983"/>
      <c r="XEE1983"/>
      <c r="XEF1983"/>
      <c r="XEG1983"/>
      <c r="XEH1983"/>
      <c r="XEI1983"/>
      <c r="XEJ1983"/>
      <c r="XEK1983"/>
      <c r="XEL1983"/>
      <c r="XEM1983"/>
      <c r="XEN1983"/>
      <c r="XEO1983"/>
      <c r="XEP1983"/>
      <c r="XEQ1983"/>
      <c r="XER1983"/>
      <c r="XES1983"/>
      <c r="XET1983"/>
      <c r="XEU1983"/>
      <c r="XEV1983"/>
      <c r="XEW1983"/>
      <c r="XEX1983"/>
      <c r="XEY1983"/>
      <c r="XEZ1983"/>
      <c r="XFA1983"/>
      <c r="XFB1983"/>
      <c r="XFC1983"/>
    </row>
    <row r="1984" spans="1:20 16329:16383" s="38" customFormat="1" ht="29.1" customHeight="1" outlineLevel="6" x14ac:dyDescent="0.25">
      <c r="A1984" s="49" t="s">
        <v>3377</v>
      </c>
      <c r="B1984" s="50"/>
      <c r="C1984" s="50"/>
      <c r="D1984" s="3" t="s">
        <v>3378</v>
      </c>
      <c r="E1984" s="3"/>
      <c r="F1984" s="51"/>
      <c r="G1984" s="50" t="s">
        <v>29</v>
      </c>
      <c r="H1984" s="52">
        <f>1</f>
        <v>1</v>
      </c>
      <c r="I1984" s="36"/>
      <c r="J1984" s="52">
        <v>1</v>
      </c>
      <c r="K1984" s="53">
        <f>0</f>
        <v>0</v>
      </c>
      <c r="L1984" s="53">
        <f>0</f>
        <v>0</v>
      </c>
      <c r="M1984" s="53">
        <f>0</f>
        <v>0</v>
      </c>
      <c r="N1984" s="54">
        <f t="shared" ref="N1984:N1994" si="394">SUM(K1984:M1984)</f>
        <v>0</v>
      </c>
      <c r="O1984" s="54">
        <f t="shared" ref="O1984:O1994" si="395">ROUND((H1984*K1984),2)</f>
        <v>0</v>
      </c>
      <c r="P1984" s="54">
        <f t="shared" ref="P1984:P1994" si="396">ROUND((H1984*L1984),2)</f>
        <v>0</v>
      </c>
      <c r="Q1984" s="54">
        <f t="shared" ref="Q1984:Q1994" si="397">ROUND((H1984*M1984),2)</f>
        <v>0</v>
      </c>
      <c r="R1984" s="54">
        <f t="shared" ref="R1984:R1994" si="398">ROUND((H1984*N1984),2)</f>
        <v>0</v>
      </c>
      <c r="S1984" s="54"/>
      <c r="T1984" s="36"/>
      <c r="XDA1984"/>
      <c r="XDB1984"/>
      <c r="XDC1984"/>
      <c r="XDD1984"/>
      <c r="XDE1984"/>
      <c r="XDF1984"/>
      <c r="XDG1984"/>
      <c r="XDH1984"/>
      <c r="XDI1984"/>
      <c r="XDJ1984"/>
      <c r="XDK1984"/>
      <c r="XDL1984"/>
      <c r="XDM1984"/>
      <c r="XDN1984"/>
      <c r="XDO1984"/>
      <c r="XDP1984"/>
      <c r="XDQ1984"/>
      <c r="XDR1984"/>
      <c r="XDS1984"/>
      <c r="XDT1984"/>
      <c r="XDU1984"/>
      <c r="XDV1984"/>
      <c r="XDW1984"/>
      <c r="XDX1984"/>
      <c r="XDY1984"/>
      <c r="XDZ1984"/>
      <c r="XEA1984"/>
      <c r="XEB1984"/>
      <c r="XEC1984"/>
      <c r="XED1984"/>
      <c r="XEE1984"/>
      <c r="XEF1984"/>
      <c r="XEG1984"/>
      <c r="XEH1984"/>
      <c r="XEI1984"/>
      <c r="XEJ1984"/>
      <c r="XEK1984"/>
      <c r="XEL1984"/>
      <c r="XEM1984"/>
      <c r="XEN1984"/>
      <c r="XEO1984"/>
      <c r="XEP1984"/>
      <c r="XEQ1984"/>
      <c r="XER1984"/>
      <c r="XES1984"/>
      <c r="XET1984"/>
      <c r="XEU1984"/>
      <c r="XEV1984"/>
      <c r="XEW1984"/>
      <c r="XEX1984"/>
      <c r="XEY1984"/>
      <c r="XEZ1984"/>
      <c r="XFA1984"/>
      <c r="XFB1984"/>
      <c r="XFC1984"/>
    </row>
    <row r="1985" spans="1:20 16329:16383" s="38" customFormat="1" ht="29.1" customHeight="1" outlineLevel="6" x14ac:dyDescent="0.25">
      <c r="A1985" s="49" t="s">
        <v>3379</v>
      </c>
      <c r="B1985" s="50"/>
      <c r="C1985" s="50"/>
      <c r="D1985" s="3" t="s">
        <v>3380</v>
      </c>
      <c r="E1985" s="3"/>
      <c r="F1985" s="51"/>
      <c r="G1985" s="50" t="s">
        <v>29</v>
      </c>
      <c r="H1985" s="52">
        <f>1</f>
        <v>1</v>
      </c>
      <c r="I1985" s="36"/>
      <c r="J1985" s="52">
        <v>1</v>
      </c>
      <c r="K1985" s="53">
        <f>0</f>
        <v>0</v>
      </c>
      <c r="L1985" s="53">
        <f>0</f>
        <v>0</v>
      </c>
      <c r="M1985" s="53">
        <f>0</f>
        <v>0</v>
      </c>
      <c r="N1985" s="54">
        <f t="shared" si="394"/>
        <v>0</v>
      </c>
      <c r="O1985" s="54">
        <f t="shared" si="395"/>
        <v>0</v>
      </c>
      <c r="P1985" s="54">
        <f t="shared" si="396"/>
        <v>0</v>
      </c>
      <c r="Q1985" s="54">
        <f t="shared" si="397"/>
        <v>0</v>
      </c>
      <c r="R1985" s="54">
        <f t="shared" si="398"/>
        <v>0</v>
      </c>
      <c r="S1985" s="54"/>
      <c r="T1985" s="36"/>
      <c r="XDA1985"/>
      <c r="XDB1985"/>
      <c r="XDC1985"/>
      <c r="XDD1985"/>
      <c r="XDE1985"/>
      <c r="XDF1985"/>
      <c r="XDG1985"/>
      <c r="XDH1985"/>
      <c r="XDI1985"/>
      <c r="XDJ1985"/>
      <c r="XDK1985"/>
      <c r="XDL1985"/>
      <c r="XDM1985"/>
      <c r="XDN1985"/>
      <c r="XDO1985"/>
      <c r="XDP1985"/>
      <c r="XDQ1985"/>
      <c r="XDR1985"/>
      <c r="XDS1985"/>
      <c r="XDT1985"/>
      <c r="XDU1985"/>
      <c r="XDV1985"/>
      <c r="XDW1985"/>
      <c r="XDX1985"/>
      <c r="XDY1985"/>
      <c r="XDZ1985"/>
      <c r="XEA1985"/>
      <c r="XEB1985"/>
      <c r="XEC1985"/>
      <c r="XED1985"/>
      <c r="XEE1985"/>
      <c r="XEF1985"/>
      <c r="XEG1985"/>
      <c r="XEH1985"/>
      <c r="XEI1985"/>
      <c r="XEJ1985"/>
      <c r="XEK1985"/>
      <c r="XEL1985"/>
      <c r="XEM1985"/>
      <c r="XEN1985"/>
      <c r="XEO1985"/>
      <c r="XEP1985"/>
      <c r="XEQ1985"/>
      <c r="XER1985"/>
      <c r="XES1985"/>
      <c r="XET1985"/>
      <c r="XEU1985"/>
      <c r="XEV1985"/>
      <c r="XEW1985"/>
      <c r="XEX1985"/>
      <c r="XEY1985"/>
      <c r="XEZ1985"/>
      <c r="XFA1985"/>
      <c r="XFB1985"/>
      <c r="XFC1985"/>
    </row>
    <row r="1986" spans="1:20 16329:16383" s="38" customFormat="1" ht="29.1" customHeight="1" outlineLevel="6" x14ac:dyDescent="0.25">
      <c r="A1986" s="49" t="s">
        <v>3381</v>
      </c>
      <c r="B1986" s="50"/>
      <c r="C1986" s="50"/>
      <c r="D1986" s="3" t="s">
        <v>3382</v>
      </c>
      <c r="E1986" s="3"/>
      <c r="F1986" s="51"/>
      <c r="G1986" s="50" t="s">
        <v>29</v>
      </c>
      <c r="H1986" s="52">
        <f>1</f>
        <v>1</v>
      </c>
      <c r="I1986" s="36"/>
      <c r="J1986" s="52">
        <v>1</v>
      </c>
      <c r="K1986" s="53">
        <f>0</f>
        <v>0</v>
      </c>
      <c r="L1986" s="53">
        <f>0</f>
        <v>0</v>
      </c>
      <c r="M1986" s="53">
        <f>0</f>
        <v>0</v>
      </c>
      <c r="N1986" s="54">
        <f t="shared" si="394"/>
        <v>0</v>
      </c>
      <c r="O1986" s="54">
        <f t="shared" si="395"/>
        <v>0</v>
      </c>
      <c r="P1986" s="54">
        <f t="shared" si="396"/>
        <v>0</v>
      </c>
      <c r="Q1986" s="54">
        <f t="shared" si="397"/>
        <v>0</v>
      </c>
      <c r="R1986" s="54">
        <f t="shared" si="398"/>
        <v>0</v>
      </c>
      <c r="S1986" s="54"/>
      <c r="T1986" s="36"/>
      <c r="XDA1986"/>
      <c r="XDB1986"/>
      <c r="XDC1986"/>
      <c r="XDD1986"/>
      <c r="XDE1986"/>
      <c r="XDF1986"/>
      <c r="XDG1986"/>
      <c r="XDH1986"/>
      <c r="XDI1986"/>
      <c r="XDJ1986"/>
      <c r="XDK1986"/>
      <c r="XDL1986"/>
      <c r="XDM1986"/>
      <c r="XDN1986"/>
      <c r="XDO1986"/>
      <c r="XDP1986"/>
      <c r="XDQ1986"/>
      <c r="XDR1986"/>
      <c r="XDS1986"/>
      <c r="XDT1986"/>
      <c r="XDU1986"/>
      <c r="XDV1986"/>
      <c r="XDW1986"/>
      <c r="XDX1986"/>
      <c r="XDY1986"/>
      <c r="XDZ1986"/>
      <c r="XEA1986"/>
      <c r="XEB1986"/>
      <c r="XEC1986"/>
      <c r="XED1986"/>
      <c r="XEE1986"/>
      <c r="XEF1986"/>
      <c r="XEG1986"/>
      <c r="XEH1986"/>
      <c r="XEI1986"/>
      <c r="XEJ1986"/>
      <c r="XEK1986"/>
      <c r="XEL1986"/>
      <c r="XEM1986"/>
      <c r="XEN1986"/>
      <c r="XEO1986"/>
      <c r="XEP1986"/>
      <c r="XEQ1986"/>
      <c r="XER1986"/>
      <c r="XES1986"/>
      <c r="XET1986"/>
      <c r="XEU1986"/>
      <c r="XEV1986"/>
      <c r="XEW1986"/>
      <c r="XEX1986"/>
      <c r="XEY1986"/>
      <c r="XEZ1986"/>
      <c r="XFA1986"/>
      <c r="XFB1986"/>
      <c r="XFC1986"/>
    </row>
    <row r="1987" spans="1:20 16329:16383" s="38" customFormat="1" ht="29.1" customHeight="1" outlineLevel="6" x14ac:dyDescent="0.25">
      <c r="A1987" s="49" t="s">
        <v>3383</v>
      </c>
      <c r="B1987" s="50"/>
      <c r="C1987" s="50"/>
      <c r="D1987" s="3" t="s">
        <v>3384</v>
      </c>
      <c r="E1987" s="3"/>
      <c r="F1987" s="51"/>
      <c r="G1987" s="50" t="s">
        <v>29</v>
      </c>
      <c r="H1987" s="52">
        <f>1</f>
        <v>1</v>
      </c>
      <c r="I1987" s="36"/>
      <c r="J1987" s="52">
        <v>1</v>
      </c>
      <c r="K1987" s="53">
        <f>0</f>
        <v>0</v>
      </c>
      <c r="L1987" s="53">
        <f>0</f>
        <v>0</v>
      </c>
      <c r="M1987" s="53">
        <f>0</f>
        <v>0</v>
      </c>
      <c r="N1987" s="54">
        <f t="shared" si="394"/>
        <v>0</v>
      </c>
      <c r="O1987" s="54">
        <f t="shared" si="395"/>
        <v>0</v>
      </c>
      <c r="P1987" s="54">
        <f t="shared" si="396"/>
        <v>0</v>
      </c>
      <c r="Q1987" s="54">
        <f t="shared" si="397"/>
        <v>0</v>
      </c>
      <c r="R1987" s="54">
        <f t="shared" si="398"/>
        <v>0</v>
      </c>
      <c r="S1987" s="54"/>
      <c r="T1987" s="36"/>
      <c r="XDA1987"/>
      <c r="XDB1987"/>
      <c r="XDC1987"/>
      <c r="XDD1987"/>
      <c r="XDE1987"/>
      <c r="XDF1987"/>
      <c r="XDG1987"/>
      <c r="XDH1987"/>
      <c r="XDI1987"/>
      <c r="XDJ1987"/>
      <c r="XDK1987"/>
      <c r="XDL1987"/>
      <c r="XDM1987"/>
      <c r="XDN1987"/>
      <c r="XDO1987"/>
      <c r="XDP1987"/>
      <c r="XDQ1987"/>
      <c r="XDR1987"/>
      <c r="XDS1987"/>
      <c r="XDT1987"/>
      <c r="XDU1987"/>
      <c r="XDV1987"/>
      <c r="XDW1987"/>
      <c r="XDX1987"/>
      <c r="XDY1987"/>
      <c r="XDZ1987"/>
      <c r="XEA1987"/>
      <c r="XEB1987"/>
      <c r="XEC1987"/>
      <c r="XED1987"/>
      <c r="XEE1987"/>
      <c r="XEF1987"/>
      <c r="XEG1987"/>
      <c r="XEH1987"/>
      <c r="XEI1987"/>
      <c r="XEJ1987"/>
      <c r="XEK1987"/>
      <c r="XEL1987"/>
      <c r="XEM1987"/>
      <c r="XEN1987"/>
      <c r="XEO1987"/>
      <c r="XEP1987"/>
      <c r="XEQ1987"/>
      <c r="XER1987"/>
      <c r="XES1987"/>
      <c r="XET1987"/>
      <c r="XEU1987"/>
      <c r="XEV1987"/>
      <c r="XEW1987"/>
      <c r="XEX1987"/>
      <c r="XEY1987"/>
      <c r="XEZ1987"/>
      <c r="XFA1987"/>
      <c r="XFB1987"/>
      <c r="XFC1987"/>
    </row>
    <row r="1988" spans="1:20 16329:16383" s="38" customFormat="1" ht="29.1" customHeight="1" outlineLevel="6" x14ac:dyDescent="0.25">
      <c r="A1988" s="49" t="s">
        <v>3385</v>
      </c>
      <c r="B1988" s="50"/>
      <c r="C1988" s="50"/>
      <c r="D1988" s="3" t="s">
        <v>3386</v>
      </c>
      <c r="E1988" s="3"/>
      <c r="F1988" s="51"/>
      <c r="G1988" s="50" t="s">
        <v>29</v>
      </c>
      <c r="H1988" s="52">
        <f>1</f>
        <v>1</v>
      </c>
      <c r="I1988" s="36"/>
      <c r="J1988" s="52">
        <v>1</v>
      </c>
      <c r="K1988" s="53">
        <f>0</f>
        <v>0</v>
      </c>
      <c r="L1988" s="53">
        <f>0</f>
        <v>0</v>
      </c>
      <c r="M1988" s="53">
        <f>0</f>
        <v>0</v>
      </c>
      <c r="N1988" s="54">
        <f t="shared" si="394"/>
        <v>0</v>
      </c>
      <c r="O1988" s="54">
        <f t="shared" si="395"/>
        <v>0</v>
      </c>
      <c r="P1988" s="54">
        <f t="shared" si="396"/>
        <v>0</v>
      </c>
      <c r="Q1988" s="54">
        <f t="shared" si="397"/>
        <v>0</v>
      </c>
      <c r="R1988" s="54">
        <f t="shared" si="398"/>
        <v>0</v>
      </c>
      <c r="S1988" s="54"/>
      <c r="T1988" s="36"/>
      <c r="XDA1988"/>
      <c r="XDB1988"/>
      <c r="XDC1988"/>
      <c r="XDD1988"/>
      <c r="XDE1988"/>
      <c r="XDF1988"/>
      <c r="XDG1988"/>
      <c r="XDH1988"/>
      <c r="XDI1988"/>
      <c r="XDJ1988"/>
      <c r="XDK1988"/>
      <c r="XDL1988"/>
      <c r="XDM1988"/>
      <c r="XDN1988"/>
      <c r="XDO1988"/>
      <c r="XDP1988"/>
      <c r="XDQ1988"/>
      <c r="XDR1988"/>
      <c r="XDS1988"/>
      <c r="XDT1988"/>
      <c r="XDU1988"/>
      <c r="XDV1988"/>
      <c r="XDW1988"/>
      <c r="XDX1988"/>
      <c r="XDY1988"/>
      <c r="XDZ1988"/>
      <c r="XEA1988"/>
      <c r="XEB1988"/>
      <c r="XEC1988"/>
      <c r="XED1988"/>
      <c r="XEE1988"/>
      <c r="XEF1988"/>
      <c r="XEG1988"/>
      <c r="XEH1988"/>
      <c r="XEI1988"/>
      <c r="XEJ1988"/>
      <c r="XEK1988"/>
      <c r="XEL1988"/>
      <c r="XEM1988"/>
      <c r="XEN1988"/>
      <c r="XEO1988"/>
      <c r="XEP1988"/>
      <c r="XEQ1988"/>
      <c r="XER1988"/>
      <c r="XES1988"/>
      <c r="XET1988"/>
      <c r="XEU1988"/>
      <c r="XEV1988"/>
      <c r="XEW1988"/>
      <c r="XEX1988"/>
      <c r="XEY1988"/>
      <c r="XEZ1988"/>
      <c r="XFA1988"/>
      <c r="XFB1988"/>
      <c r="XFC1988"/>
    </row>
    <row r="1989" spans="1:20 16329:16383" s="38" customFormat="1" ht="29.1" customHeight="1" outlineLevel="6" x14ac:dyDescent="0.25">
      <c r="A1989" s="49" t="s">
        <v>3387</v>
      </c>
      <c r="B1989" s="50"/>
      <c r="C1989" s="50"/>
      <c r="D1989" s="3" t="s">
        <v>3388</v>
      </c>
      <c r="E1989" s="3"/>
      <c r="F1989" s="51"/>
      <c r="G1989" s="50" t="s">
        <v>29</v>
      </c>
      <c r="H1989" s="52">
        <f>1</f>
        <v>1</v>
      </c>
      <c r="I1989" s="36"/>
      <c r="J1989" s="52">
        <v>1</v>
      </c>
      <c r="K1989" s="53">
        <f>0</f>
        <v>0</v>
      </c>
      <c r="L1989" s="53">
        <f>0</f>
        <v>0</v>
      </c>
      <c r="M1989" s="53">
        <f>0</f>
        <v>0</v>
      </c>
      <c r="N1989" s="54">
        <f t="shared" si="394"/>
        <v>0</v>
      </c>
      <c r="O1989" s="54">
        <f t="shared" si="395"/>
        <v>0</v>
      </c>
      <c r="P1989" s="54">
        <f t="shared" si="396"/>
        <v>0</v>
      </c>
      <c r="Q1989" s="54">
        <f t="shared" si="397"/>
        <v>0</v>
      </c>
      <c r="R1989" s="54">
        <f t="shared" si="398"/>
        <v>0</v>
      </c>
      <c r="S1989" s="54"/>
      <c r="T1989" s="36"/>
      <c r="XDA1989"/>
      <c r="XDB1989"/>
      <c r="XDC1989"/>
      <c r="XDD1989"/>
      <c r="XDE1989"/>
      <c r="XDF1989"/>
      <c r="XDG1989"/>
      <c r="XDH1989"/>
      <c r="XDI1989"/>
      <c r="XDJ1989"/>
      <c r="XDK1989"/>
      <c r="XDL1989"/>
      <c r="XDM1989"/>
      <c r="XDN1989"/>
      <c r="XDO1989"/>
      <c r="XDP1989"/>
      <c r="XDQ1989"/>
      <c r="XDR1989"/>
      <c r="XDS1989"/>
      <c r="XDT1989"/>
      <c r="XDU1989"/>
      <c r="XDV1989"/>
      <c r="XDW1989"/>
      <c r="XDX1989"/>
      <c r="XDY1989"/>
      <c r="XDZ1989"/>
      <c r="XEA1989"/>
      <c r="XEB1989"/>
      <c r="XEC1989"/>
      <c r="XED1989"/>
      <c r="XEE1989"/>
      <c r="XEF1989"/>
      <c r="XEG1989"/>
      <c r="XEH1989"/>
      <c r="XEI1989"/>
      <c r="XEJ1989"/>
      <c r="XEK1989"/>
      <c r="XEL1989"/>
      <c r="XEM1989"/>
      <c r="XEN1989"/>
      <c r="XEO1989"/>
      <c r="XEP1989"/>
      <c r="XEQ1989"/>
      <c r="XER1989"/>
      <c r="XES1989"/>
      <c r="XET1989"/>
      <c r="XEU1989"/>
      <c r="XEV1989"/>
      <c r="XEW1989"/>
      <c r="XEX1989"/>
      <c r="XEY1989"/>
      <c r="XEZ1989"/>
      <c r="XFA1989"/>
      <c r="XFB1989"/>
      <c r="XFC1989"/>
    </row>
    <row r="1990" spans="1:20 16329:16383" s="38" customFormat="1" ht="29.1" customHeight="1" outlineLevel="6" x14ac:dyDescent="0.25">
      <c r="A1990" s="49" t="s">
        <v>3389</v>
      </c>
      <c r="B1990" s="50"/>
      <c r="C1990" s="50"/>
      <c r="D1990" s="3" t="s">
        <v>3390</v>
      </c>
      <c r="E1990" s="3"/>
      <c r="F1990" s="51"/>
      <c r="G1990" s="50" t="s">
        <v>29</v>
      </c>
      <c r="H1990" s="52">
        <f>1</f>
        <v>1</v>
      </c>
      <c r="I1990" s="36"/>
      <c r="J1990" s="52">
        <v>1</v>
      </c>
      <c r="K1990" s="53">
        <f>0</f>
        <v>0</v>
      </c>
      <c r="L1990" s="53">
        <f>0</f>
        <v>0</v>
      </c>
      <c r="M1990" s="53">
        <f>0</f>
        <v>0</v>
      </c>
      <c r="N1990" s="54">
        <f t="shared" si="394"/>
        <v>0</v>
      </c>
      <c r="O1990" s="54">
        <f t="shared" si="395"/>
        <v>0</v>
      </c>
      <c r="P1990" s="54">
        <f t="shared" si="396"/>
        <v>0</v>
      </c>
      <c r="Q1990" s="54">
        <f t="shared" si="397"/>
        <v>0</v>
      </c>
      <c r="R1990" s="54">
        <f t="shared" si="398"/>
        <v>0</v>
      </c>
      <c r="S1990" s="54"/>
      <c r="T1990" s="36"/>
      <c r="XDA1990"/>
      <c r="XDB1990"/>
      <c r="XDC1990"/>
      <c r="XDD1990"/>
      <c r="XDE1990"/>
      <c r="XDF1990"/>
      <c r="XDG1990"/>
      <c r="XDH1990"/>
      <c r="XDI1990"/>
      <c r="XDJ1990"/>
      <c r="XDK1990"/>
      <c r="XDL1990"/>
      <c r="XDM1990"/>
      <c r="XDN1990"/>
      <c r="XDO1990"/>
      <c r="XDP1990"/>
      <c r="XDQ1990"/>
      <c r="XDR1990"/>
      <c r="XDS1990"/>
      <c r="XDT1990"/>
      <c r="XDU1990"/>
      <c r="XDV1990"/>
      <c r="XDW1990"/>
      <c r="XDX1990"/>
      <c r="XDY1990"/>
      <c r="XDZ1990"/>
      <c r="XEA1990"/>
      <c r="XEB1990"/>
      <c r="XEC1990"/>
      <c r="XED1990"/>
      <c r="XEE1990"/>
      <c r="XEF1990"/>
      <c r="XEG1990"/>
      <c r="XEH1990"/>
      <c r="XEI1990"/>
      <c r="XEJ1990"/>
      <c r="XEK1990"/>
      <c r="XEL1990"/>
      <c r="XEM1990"/>
      <c r="XEN1990"/>
      <c r="XEO1990"/>
      <c r="XEP1990"/>
      <c r="XEQ1990"/>
      <c r="XER1990"/>
      <c r="XES1990"/>
      <c r="XET1990"/>
      <c r="XEU1990"/>
      <c r="XEV1990"/>
      <c r="XEW1990"/>
      <c r="XEX1990"/>
      <c r="XEY1990"/>
      <c r="XEZ1990"/>
      <c r="XFA1990"/>
      <c r="XFB1990"/>
      <c r="XFC1990"/>
    </row>
    <row r="1991" spans="1:20 16329:16383" s="38" customFormat="1" ht="29.1" customHeight="1" outlineLevel="6" x14ac:dyDescent="0.25">
      <c r="A1991" s="49" t="s">
        <v>3391</v>
      </c>
      <c r="B1991" s="50"/>
      <c r="C1991" s="50"/>
      <c r="D1991" s="3" t="s">
        <v>3392</v>
      </c>
      <c r="E1991" s="3"/>
      <c r="F1991" s="51"/>
      <c r="G1991" s="50" t="s">
        <v>29</v>
      </c>
      <c r="H1991" s="52">
        <f>1</f>
        <v>1</v>
      </c>
      <c r="I1991" s="36"/>
      <c r="J1991" s="52">
        <v>1</v>
      </c>
      <c r="K1991" s="53">
        <f>0</f>
        <v>0</v>
      </c>
      <c r="L1991" s="53">
        <f>0</f>
        <v>0</v>
      </c>
      <c r="M1991" s="53">
        <f>0</f>
        <v>0</v>
      </c>
      <c r="N1991" s="54">
        <f t="shared" si="394"/>
        <v>0</v>
      </c>
      <c r="O1991" s="54">
        <f t="shared" si="395"/>
        <v>0</v>
      </c>
      <c r="P1991" s="54">
        <f t="shared" si="396"/>
        <v>0</v>
      </c>
      <c r="Q1991" s="54">
        <f t="shared" si="397"/>
        <v>0</v>
      </c>
      <c r="R1991" s="54">
        <f t="shared" si="398"/>
        <v>0</v>
      </c>
      <c r="S1991" s="54"/>
      <c r="T1991" s="36"/>
      <c r="XDA1991"/>
      <c r="XDB1991"/>
      <c r="XDC1991"/>
      <c r="XDD1991"/>
      <c r="XDE1991"/>
      <c r="XDF1991"/>
      <c r="XDG1991"/>
      <c r="XDH1991"/>
      <c r="XDI1991"/>
      <c r="XDJ1991"/>
      <c r="XDK1991"/>
      <c r="XDL1991"/>
      <c r="XDM1991"/>
      <c r="XDN1991"/>
      <c r="XDO1991"/>
      <c r="XDP1991"/>
      <c r="XDQ1991"/>
      <c r="XDR1991"/>
      <c r="XDS1991"/>
      <c r="XDT1991"/>
      <c r="XDU1991"/>
      <c r="XDV1991"/>
      <c r="XDW1991"/>
      <c r="XDX1991"/>
      <c r="XDY1991"/>
      <c r="XDZ1991"/>
      <c r="XEA1991"/>
      <c r="XEB1991"/>
      <c r="XEC1991"/>
      <c r="XED1991"/>
      <c r="XEE1991"/>
      <c r="XEF1991"/>
      <c r="XEG1991"/>
      <c r="XEH1991"/>
      <c r="XEI1991"/>
      <c r="XEJ1991"/>
      <c r="XEK1991"/>
      <c r="XEL1991"/>
      <c r="XEM1991"/>
      <c r="XEN1991"/>
      <c r="XEO1991"/>
      <c r="XEP1991"/>
      <c r="XEQ1991"/>
      <c r="XER1991"/>
      <c r="XES1991"/>
      <c r="XET1991"/>
      <c r="XEU1991"/>
      <c r="XEV1991"/>
      <c r="XEW1991"/>
      <c r="XEX1991"/>
      <c r="XEY1991"/>
      <c r="XEZ1991"/>
      <c r="XFA1991"/>
      <c r="XFB1991"/>
      <c r="XFC1991"/>
    </row>
    <row r="1992" spans="1:20 16329:16383" s="38" customFormat="1" ht="29.1" customHeight="1" outlineLevel="6" x14ac:dyDescent="0.25">
      <c r="A1992" s="49" t="s">
        <v>3393</v>
      </c>
      <c r="B1992" s="50"/>
      <c r="C1992" s="50"/>
      <c r="D1992" s="3" t="s">
        <v>3394</v>
      </c>
      <c r="E1992" s="3"/>
      <c r="F1992" s="51"/>
      <c r="G1992" s="50" t="s">
        <v>29</v>
      </c>
      <c r="H1992" s="52">
        <f>1</f>
        <v>1</v>
      </c>
      <c r="I1992" s="36"/>
      <c r="J1992" s="52">
        <v>1</v>
      </c>
      <c r="K1992" s="53">
        <f>0</f>
        <v>0</v>
      </c>
      <c r="L1992" s="53">
        <f>0</f>
        <v>0</v>
      </c>
      <c r="M1992" s="53">
        <f>0</f>
        <v>0</v>
      </c>
      <c r="N1992" s="54">
        <f t="shared" si="394"/>
        <v>0</v>
      </c>
      <c r="O1992" s="54">
        <f t="shared" si="395"/>
        <v>0</v>
      </c>
      <c r="P1992" s="54">
        <f t="shared" si="396"/>
        <v>0</v>
      </c>
      <c r="Q1992" s="54">
        <f t="shared" si="397"/>
        <v>0</v>
      </c>
      <c r="R1992" s="54">
        <f t="shared" si="398"/>
        <v>0</v>
      </c>
      <c r="S1992" s="54"/>
      <c r="T1992" s="36"/>
      <c r="XDA1992"/>
      <c r="XDB1992"/>
      <c r="XDC1992"/>
      <c r="XDD1992"/>
      <c r="XDE1992"/>
      <c r="XDF1992"/>
      <c r="XDG1992"/>
      <c r="XDH1992"/>
      <c r="XDI1992"/>
      <c r="XDJ1992"/>
      <c r="XDK1992"/>
      <c r="XDL1992"/>
      <c r="XDM1992"/>
      <c r="XDN1992"/>
      <c r="XDO1992"/>
      <c r="XDP1992"/>
      <c r="XDQ1992"/>
      <c r="XDR1992"/>
      <c r="XDS1992"/>
      <c r="XDT1992"/>
      <c r="XDU1992"/>
      <c r="XDV1992"/>
      <c r="XDW1992"/>
      <c r="XDX1992"/>
      <c r="XDY1992"/>
      <c r="XDZ1992"/>
      <c r="XEA1992"/>
      <c r="XEB1992"/>
      <c r="XEC1992"/>
      <c r="XED1992"/>
      <c r="XEE1992"/>
      <c r="XEF1992"/>
      <c r="XEG1992"/>
      <c r="XEH1992"/>
      <c r="XEI1992"/>
      <c r="XEJ1992"/>
      <c r="XEK1992"/>
      <c r="XEL1992"/>
      <c r="XEM1992"/>
      <c r="XEN1992"/>
      <c r="XEO1992"/>
      <c r="XEP1992"/>
      <c r="XEQ1992"/>
      <c r="XER1992"/>
      <c r="XES1992"/>
      <c r="XET1992"/>
      <c r="XEU1992"/>
      <c r="XEV1992"/>
      <c r="XEW1992"/>
      <c r="XEX1992"/>
      <c r="XEY1992"/>
      <c r="XEZ1992"/>
      <c r="XFA1992"/>
      <c r="XFB1992"/>
      <c r="XFC1992"/>
    </row>
    <row r="1993" spans="1:20 16329:16383" s="38" customFormat="1" ht="29.1" customHeight="1" outlineLevel="6" x14ac:dyDescent="0.25">
      <c r="A1993" s="49" t="s">
        <v>3395</v>
      </c>
      <c r="B1993" s="50"/>
      <c r="C1993" s="50"/>
      <c r="D1993" s="3" t="s">
        <v>3396</v>
      </c>
      <c r="E1993" s="3"/>
      <c r="F1993" s="51"/>
      <c r="G1993" s="50" t="s">
        <v>29</v>
      </c>
      <c r="H1993" s="52">
        <f>1</f>
        <v>1</v>
      </c>
      <c r="I1993" s="36"/>
      <c r="J1993" s="52">
        <v>1</v>
      </c>
      <c r="K1993" s="53">
        <f>0</f>
        <v>0</v>
      </c>
      <c r="L1993" s="53">
        <f>0</f>
        <v>0</v>
      </c>
      <c r="M1993" s="53">
        <f>0</f>
        <v>0</v>
      </c>
      <c r="N1993" s="54">
        <f t="shared" si="394"/>
        <v>0</v>
      </c>
      <c r="O1993" s="54">
        <f t="shared" si="395"/>
        <v>0</v>
      </c>
      <c r="P1993" s="54">
        <f t="shared" si="396"/>
        <v>0</v>
      </c>
      <c r="Q1993" s="54">
        <f t="shared" si="397"/>
        <v>0</v>
      </c>
      <c r="R1993" s="54">
        <f t="shared" si="398"/>
        <v>0</v>
      </c>
      <c r="S1993" s="54"/>
      <c r="T1993" s="36"/>
      <c r="XDA1993"/>
      <c r="XDB1993"/>
      <c r="XDC1993"/>
      <c r="XDD1993"/>
      <c r="XDE1993"/>
      <c r="XDF1993"/>
      <c r="XDG1993"/>
      <c r="XDH1993"/>
      <c r="XDI1993"/>
      <c r="XDJ1993"/>
      <c r="XDK1993"/>
      <c r="XDL1993"/>
      <c r="XDM1993"/>
      <c r="XDN1993"/>
      <c r="XDO1993"/>
      <c r="XDP1993"/>
      <c r="XDQ1993"/>
      <c r="XDR1993"/>
      <c r="XDS1993"/>
      <c r="XDT1993"/>
      <c r="XDU1993"/>
      <c r="XDV1993"/>
      <c r="XDW1993"/>
      <c r="XDX1993"/>
      <c r="XDY1993"/>
      <c r="XDZ1993"/>
      <c r="XEA1993"/>
      <c r="XEB1993"/>
      <c r="XEC1993"/>
      <c r="XED1993"/>
      <c r="XEE1993"/>
      <c r="XEF1993"/>
      <c r="XEG1993"/>
      <c r="XEH1993"/>
      <c r="XEI1993"/>
      <c r="XEJ1993"/>
      <c r="XEK1993"/>
      <c r="XEL1993"/>
      <c r="XEM1993"/>
      <c r="XEN1993"/>
      <c r="XEO1993"/>
      <c r="XEP1993"/>
      <c r="XEQ1993"/>
      <c r="XER1993"/>
      <c r="XES1993"/>
      <c r="XET1993"/>
      <c r="XEU1993"/>
      <c r="XEV1993"/>
      <c r="XEW1993"/>
      <c r="XEX1993"/>
      <c r="XEY1993"/>
      <c r="XEZ1993"/>
      <c r="XFA1993"/>
      <c r="XFB1993"/>
      <c r="XFC1993"/>
    </row>
    <row r="1994" spans="1:20 16329:16383" s="38" customFormat="1" ht="29.1" customHeight="1" outlineLevel="6" x14ac:dyDescent="0.25">
      <c r="A1994" s="49" t="s">
        <v>3397</v>
      </c>
      <c r="B1994" s="50"/>
      <c r="C1994" s="50"/>
      <c r="D1994" s="3" t="s">
        <v>3398</v>
      </c>
      <c r="E1994" s="3"/>
      <c r="F1994" s="51"/>
      <c r="G1994" s="50" t="s">
        <v>29</v>
      </c>
      <c r="H1994" s="52">
        <f>1</f>
        <v>1</v>
      </c>
      <c r="I1994" s="36"/>
      <c r="J1994" s="52">
        <v>1</v>
      </c>
      <c r="K1994" s="53">
        <f>0</f>
        <v>0</v>
      </c>
      <c r="L1994" s="53">
        <f>0</f>
        <v>0</v>
      </c>
      <c r="M1994" s="53">
        <f>0</f>
        <v>0</v>
      </c>
      <c r="N1994" s="54">
        <f t="shared" si="394"/>
        <v>0</v>
      </c>
      <c r="O1994" s="54">
        <f t="shared" si="395"/>
        <v>0</v>
      </c>
      <c r="P1994" s="54">
        <f t="shared" si="396"/>
        <v>0</v>
      </c>
      <c r="Q1994" s="54">
        <f t="shared" si="397"/>
        <v>0</v>
      </c>
      <c r="R1994" s="54">
        <f t="shared" si="398"/>
        <v>0</v>
      </c>
      <c r="S1994" s="54"/>
      <c r="T1994" s="36"/>
      <c r="XDA1994"/>
      <c r="XDB1994"/>
      <c r="XDC1994"/>
      <c r="XDD1994"/>
      <c r="XDE1994"/>
      <c r="XDF1994"/>
      <c r="XDG1994"/>
      <c r="XDH1994"/>
      <c r="XDI1994"/>
      <c r="XDJ1994"/>
      <c r="XDK1994"/>
      <c r="XDL1994"/>
      <c r="XDM1994"/>
      <c r="XDN1994"/>
      <c r="XDO1994"/>
      <c r="XDP1994"/>
      <c r="XDQ1994"/>
      <c r="XDR1994"/>
      <c r="XDS1994"/>
      <c r="XDT1994"/>
      <c r="XDU1994"/>
      <c r="XDV1994"/>
      <c r="XDW1994"/>
      <c r="XDX1994"/>
      <c r="XDY1994"/>
      <c r="XDZ1994"/>
      <c r="XEA1994"/>
      <c r="XEB1994"/>
      <c r="XEC1994"/>
      <c r="XED1994"/>
      <c r="XEE1994"/>
      <c r="XEF1994"/>
      <c r="XEG1994"/>
      <c r="XEH1994"/>
      <c r="XEI1994"/>
      <c r="XEJ1994"/>
      <c r="XEK1994"/>
      <c r="XEL1994"/>
      <c r="XEM1994"/>
      <c r="XEN1994"/>
      <c r="XEO1994"/>
      <c r="XEP1994"/>
      <c r="XEQ1994"/>
      <c r="XER1994"/>
      <c r="XES1994"/>
      <c r="XET1994"/>
      <c r="XEU1994"/>
      <c r="XEV1994"/>
      <c r="XEW1994"/>
      <c r="XEX1994"/>
      <c r="XEY1994"/>
      <c r="XEZ1994"/>
      <c r="XFA1994"/>
      <c r="XFB1994"/>
      <c r="XFC1994"/>
    </row>
    <row r="1995" spans="1:20 16329:16383" s="38" customFormat="1" ht="29.1" customHeight="1" outlineLevel="5" x14ac:dyDescent="0.25">
      <c r="A1995" s="65" t="s">
        <v>3399</v>
      </c>
      <c r="B1995" s="66" t="s">
        <v>3400</v>
      </c>
      <c r="C1995" s="66" t="s">
        <v>3401</v>
      </c>
      <c r="D1995" s="98" t="s">
        <v>3402</v>
      </c>
      <c r="E1995" s="98"/>
      <c r="F1995" s="67"/>
      <c r="G1995" s="66" t="s">
        <v>29</v>
      </c>
      <c r="H1995" s="68"/>
      <c r="I1995" s="36"/>
      <c r="J1995" s="68"/>
      <c r="K1995" s="69"/>
      <c r="L1995" s="69"/>
      <c r="M1995" s="69"/>
      <c r="N1995" s="69"/>
      <c r="O1995" s="69">
        <f>SUM(O1996:O1998)</f>
        <v>0</v>
      </c>
      <c r="P1995" s="69">
        <f>SUM(P1996:P1998)</f>
        <v>0</v>
      </c>
      <c r="Q1995" s="69">
        <f>SUM(Q1996:Q1998)</f>
        <v>0</v>
      </c>
      <c r="R1995" s="69">
        <f>SUM(R1996:R1998)</f>
        <v>0</v>
      </c>
      <c r="S1995" s="69"/>
      <c r="T1995" s="36"/>
      <c r="XDA1995"/>
      <c r="XDB1995"/>
      <c r="XDC1995"/>
      <c r="XDD1995"/>
      <c r="XDE1995"/>
      <c r="XDF1995"/>
      <c r="XDG1995"/>
      <c r="XDH1995"/>
      <c r="XDI1995"/>
      <c r="XDJ1995"/>
      <c r="XDK1995"/>
      <c r="XDL1995"/>
      <c r="XDM1995"/>
      <c r="XDN1995"/>
      <c r="XDO1995"/>
      <c r="XDP1995"/>
      <c r="XDQ1995"/>
      <c r="XDR1995"/>
      <c r="XDS1995"/>
      <c r="XDT1995"/>
      <c r="XDU1995"/>
      <c r="XDV1995"/>
      <c r="XDW1995"/>
      <c r="XDX1995"/>
      <c r="XDY1995"/>
      <c r="XDZ1995"/>
      <c r="XEA1995"/>
      <c r="XEB1995"/>
      <c r="XEC1995"/>
      <c r="XED1995"/>
      <c r="XEE1995"/>
      <c r="XEF1995"/>
      <c r="XEG1995"/>
      <c r="XEH1995"/>
      <c r="XEI1995"/>
      <c r="XEJ1995"/>
      <c r="XEK1995"/>
      <c r="XEL1995"/>
      <c r="XEM1995"/>
      <c r="XEN1995"/>
      <c r="XEO1995"/>
      <c r="XEP1995"/>
      <c r="XEQ1995"/>
      <c r="XER1995"/>
      <c r="XES1995"/>
      <c r="XET1995"/>
      <c r="XEU1995"/>
      <c r="XEV1995"/>
      <c r="XEW1995"/>
      <c r="XEX1995"/>
      <c r="XEY1995"/>
      <c r="XEZ1995"/>
      <c r="XFA1995"/>
      <c r="XFB1995"/>
      <c r="XFC1995"/>
    </row>
    <row r="1996" spans="1:20 16329:16383" s="38" customFormat="1" ht="29.1" customHeight="1" outlineLevel="6" x14ac:dyDescent="0.25">
      <c r="A1996" s="49" t="s">
        <v>3403</v>
      </c>
      <c r="B1996" s="50"/>
      <c r="C1996" s="50"/>
      <c r="D1996" s="3" t="s">
        <v>3404</v>
      </c>
      <c r="E1996" s="3"/>
      <c r="F1996" s="51"/>
      <c r="G1996" s="50" t="s">
        <v>29</v>
      </c>
      <c r="H1996" s="52">
        <f>1</f>
        <v>1</v>
      </c>
      <c r="I1996" s="36"/>
      <c r="J1996" s="52">
        <v>1</v>
      </c>
      <c r="K1996" s="53">
        <f>0</f>
        <v>0</v>
      </c>
      <c r="L1996" s="53">
        <f>0</f>
        <v>0</v>
      </c>
      <c r="M1996" s="53">
        <f>0</f>
        <v>0</v>
      </c>
      <c r="N1996" s="54">
        <f>SUM(K1996:M1996)</f>
        <v>0</v>
      </c>
      <c r="O1996" s="54">
        <f>ROUND((H1996*K1996),2)</f>
        <v>0</v>
      </c>
      <c r="P1996" s="54">
        <f>ROUND((H1996*L1996),2)</f>
        <v>0</v>
      </c>
      <c r="Q1996" s="54">
        <f>ROUND((H1996*M1996),2)</f>
        <v>0</v>
      </c>
      <c r="R1996" s="54">
        <f>ROUND((H1996*N1996),2)</f>
        <v>0</v>
      </c>
      <c r="S1996" s="54"/>
      <c r="T1996" s="36"/>
      <c r="XDA1996"/>
      <c r="XDB1996"/>
      <c r="XDC1996"/>
      <c r="XDD1996"/>
      <c r="XDE1996"/>
      <c r="XDF1996"/>
      <c r="XDG1996"/>
      <c r="XDH1996"/>
      <c r="XDI1996"/>
      <c r="XDJ1996"/>
      <c r="XDK1996"/>
      <c r="XDL1996"/>
      <c r="XDM1996"/>
      <c r="XDN1996"/>
      <c r="XDO1996"/>
      <c r="XDP1996"/>
      <c r="XDQ1996"/>
      <c r="XDR1996"/>
      <c r="XDS1996"/>
      <c r="XDT1996"/>
      <c r="XDU1996"/>
      <c r="XDV1996"/>
      <c r="XDW1996"/>
      <c r="XDX1996"/>
      <c r="XDY1996"/>
      <c r="XDZ1996"/>
      <c r="XEA1996"/>
      <c r="XEB1996"/>
      <c r="XEC1996"/>
      <c r="XED1996"/>
      <c r="XEE1996"/>
      <c r="XEF1996"/>
      <c r="XEG1996"/>
      <c r="XEH1996"/>
      <c r="XEI1996"/>
      <c r="XEJ1996"/>
      <c r="XEK1996"/>
      <c r="XEL1996"/>
      <c r="XEM1996"/>
      <c r="XEN1996"/>
      <c r="XEO1996"/>
      <c r="XEP1996"/>
      <c r="XEQ1996"/>
      <c r="XER1996"/>
      <c r="XES1996"/>
      <c r="XET1996"/>
      <c r="XEU1996"/>
      <c r="XEV1996"/>
      <c r="XEW1996"/>
      <c r="XEX1996"/>
      <c r="XEY1996"/>
      <c r="XEZ1996"/>
      <c r="XFA1996"/>
      <c r="XFB1996"/>
      <c r="XFC1996"/>
    </row>
    <row r="1997" spans="1:20 16329:16383" s="38" customFormat="1" ht="29.1" customHeight="1" outlineLevel="6" x14ac:dyDescent="0.25">
      <c r="A1997" s="49" t="s">
        <v>3405</v>
      </c>
      <c r="B1997" s="50"/>
      <c r="C1997" s="50"/>
      <c r="D1997" s="3" t="s">
        <v>3406</v>
      </c>
      <c r="E1997" s="3"/>
      <c r="F1997" s="51"/>
      <c r="G1997" s="50" t="s">
        <v>29</v>
      </c>
      <c r="H1997" s="52">
        <f>1</f>
        <v>1</v>
      </c>
      <c r="I1997" s="36"/>
      <c r="J1997" s="52">
        <v>1</v>
      </c>
      <c r="K1997" s="53">
        <f>0</f>
        <v>0</v>
      </c>
      <c r="L1997" s="53">
        <f>0</f>
        <v>0</v>
      </c>
      <c r="M1997" s="53">
        <f>0</f>
        <v>0</v>
      </c>
      <c r="N1997" s="54">
        <f>SUM(K1997:M1997)</f>
        <v>0</v>
      </c>
      <c r="O1997" s="54">
        <f>ROUND((H1997*K1997),2)</f>
        <v>0</v>
      </c>
      <c r="P1997" s="54">
        <f>ROUND((H1997*L1997),2)</f>
        <v>0</v>
      </c>
      <c r="Q1997" s="54">
        <f>ROUND((H1997*M1997),2)</f>
        <v>0</v>
      </c>
      <c r="R1997" s="54">
        <f>ROUND((H1997*N1997),2)</f>
        <v>0</v>
      </c>
      <c r="S1997" s="54"/>
      <c r="T1997" s="36"/>
      <c r="XDA1997"/>
      <c r="XDB1997"/>
      <c r="XDC1997"/>
      <c r="XDD1997"/>
      <c r="XDE1997"/>
      <c r="XDF1997"/>
      <c r="XDG1997"/>
      <c r="XDH1997"/>
      <c r="XDI1997"/>
      <c r="XDJ1997"/>
      <c r="XDK1997"/>
      <c r="XDL1997"/>
      <c r="XDM1997"/>
      <c r="XDN1997"/>
      <c r="XDO1997"/>
      <c r="XDP1997"/>
      <c r="XDQ1997"/>
      <c r="XDR1997"/>
      <c r="XDS1997"/>
      <c r="XDT1997"/>
      <c r="XDU1997"/>
      <c r="XDV1997"/>
      <c r="XDW1997"/>
      <c r="XDX1997"/>
      <c r="XDY1997"/>
      <c r="XDZ1997"/>
      <c r="XEA1997"/>
      <c r="XEB1997"/>
      <c r="XEC1997"/>
      <c r="XED1997"/>
      <c r="XEE1997"/>
      <c r="XEF1997"/>
      <c r="XEG1997"/>
      <c r="XEH1997"/>
      <c r="XEI1997"/>
      <c r="XEJ1997"/>
      <c r="XEK1997"/>
      <c r="XEL1997"/>
      <c r="XEM1997"/>
      <c r="XEN1997"/>
      <c r="XEO1997"/>
      <c r="XEP1997"/>
      <c r="XEQ1997"/>
      <c r="XER1997"/>
      <c r="XES1997"/>
      <c r="XET1997"/>
      <c r="XEU1997"/>
      <c r="XEV1997"/>
      <c r="XEW1997"/>
      <c r="XEX1997"/>
      <c r="XEY1997"/>
      <c r="XEZ1997"/>
      <c r="XFA1997"/>
      <c r="XFB1997"/>
      <c r="XFC1997"/>
    </row>
    <row r="1998" spans="1:20 16329:16383" s="38" customFormat="1" ht="29.1" customHeight="1" outlineLevel="6" x14ac:dyDescent="0.25">
      <c r="A1998" s="49" t="s">
        <v>3407</v>
      </c>
      <c r="B1998" s="50"/>
      <c r="C1998" s="50"/>
      <c r="D1998" s="3" t="s">
        <v>3408</v>
      </c>
      <c r="E1998" s="3"/>
      <c r="F1998" s="51"/>
      <c r="G1998" s="50" t="s">
        <v>29</v>
      </c>
      <c r="H1998" s="52">
        <f>1</f>
        <v>1</v>
      </c>
      <c r="I1998" s="36"/>
      <c r="J1998" s="52">
        <v>1</v>
      </c>
      <c r="K1998" s="53">
        <f>0</f>
        <v>0</v>
      </c>
      <c r="L1998" s="53">
        <f>0</f>
        <v>0</v>
      </c>
      <c r="M1998" s="53">
        <f>0</f>
        <v>0</v>
      </c>
      <c r="N1998" s="54">
        <f>SUM(K1998:M1998)</f>
        <v>0</v>
      </c>
      <c r="O1998" s="54">
        <f>ROUND((H1998*K1998),2)</f>
        <v>0</v>
      </c>
      <c r="P1998" s="54">
        <f>ROUND((H1998*L1998),2)</f>
        <v>0</v>
      </c>
      <c r="Q1998" s="54">
        <f>ROUND((H1998*M1998),2)</f>
        <v>0</v>
      </c>
      <c r="R1998" s="54">
        <f>ROUND((H1998*N1998),2)</f>
        <v>0</v>
      </c>
      <c r="S1998" s="54"/>
      <c r="T1998" s="36"/>
      <c r="XDA1998"/>
      <c r="XDB1998"/>
      <c r="XDC1998"/>
      <c r="XDD1998"/>
      <c r="XDE1998"/>
      <c r="XDF1998"/>
      <c r="XDG1998"/>
      <c r="XDH1998"/>
      <c r="XDI1998"/>
      <c r="XDJ1998"/>
      <c r="XDK1998"/>
      <c r="XDL1998"/>
      <c r="XDM1998"/>
      <c r="XDN1998"/>
      <c r="XDO1998"/>
      <c r="XDP1998"/>
      <c r="XDQ1998"/>
      <c r="XDR1998"/>
      <c r="XDS1998"/>
      <c r="XDT1998"/>
      <c r="XDU1998"/>
      <c r="XDV1998"/>
      <c r="XDW1998"/>
      <c r="XDX1998"/>
      <c r="XDY1998"/>
      <c r="XDZ1998"/>
      <c r="XEA1998"/>
      <c r="XEB1998"/>
      <c r="XEC1998"/>
      <c r="XED1998"/>
      <c r="XEE1998"/>
      <c r="XEF1998"/>
      <c r="XEG1998"/>
      <c r="XEH1998"/>
      <c r="XEI1998"/>
      <c r="XEJ1998"/>
      <c r="XEK1998"/>
      <c r="XEL1998"/>
      <c r="XEM1998"/>
      <c r="XEN1998"/>
      <c r="XEO1998"/>
      <c r="XEP1998"/>
      <c r="XEQ1998"/>
      <c r="XER1998"/>
      <c r="XES1998"/>
      <c r="XET1998"/>
      <c r="XEU1998"/>
      <c r="XEV1998"/>
      <c r="XEW1998"/>
      <c r="XEX1998"/>
      <c r="XEY1998"/>
      <c r="XEZ1998"/>
      <c r="XFA1998"/>
      <c r="XFB1998"/>
      <c r="XFC1998"/>
    </row>
    <row r="1999" spans="1:20 16329:16383" s="38" customFormat="1" ht="29.1" customHeight="1" outlineLevel="4" x14ac:dyDescent="0.25">
      <c r="A1999" s="60" t="s">
        <v>3409</v>
      </c>
      <c r="B1999" s="61" t="s">
        <v>3410</v>
      </c>
      <c r="C1999" s="61" t="s">
        <v>3411</v>
      </c>
      <c r="D1999" s="1" t="s">
        <v>3412</v>
      </c>
      <c r="E1999" s="1"/>
      <c r="F1999" s="62"/>
      <c r="G1999" s="61" t="s">
        <v>29</v>
      </c>
      <c r="H1999" s="63"/>
      <c r="I1999" s="36"/>
      <c r="J1999" s="63"/>
      <c r="K1999" s="64"/>
      <c r="L1999" s="64"/>
      <c r="M1999" s="64"/>
      <c r="N1999" s="64"/>
      <c r="O1999" s="64">
        <f>O2000+O2012</f>
        <v>0</v>
      </c>
      <c r="P1999" s="64">
        <f>P2000+P2012</f>
        <v>0</v>
      </c>
      <c r="Q1999" s="64">
        <f>Q2000+Q2012</f>
        <v>0</v>
      </c>
      <c r="R1999" s="64">
        <f>R2000+R2012</f>
        <v>0</v>
      </c>
      <c r="S1999" s="64"/>
      <c r="T1999" s="36"/>
      <c r="XDA1999"/>
      <c r="XDB1999"/>
      <c r="XDC1999"/>
      <c r="XDD1999"/>
      <c r="XDE1999"/>
      <c r="XDF1999"/>
      <c r="XDG1999"/>
      <c r="XDH1999"/>
      <c r="XDI1999"/>
      <c r="XDJ1999"/>
      <c r="XDK1999"/>
      <c r="XDL1999"/>
      <c r="XDM1999"/>
      <c r="XDN1999"/>
      <c r="XDO1999"/>
      <c r="XDP1999"/>
      <c r="XDQ1999"/>
      <c r="XDR1999"/>
      <c r="XDS1999"/>
      <c r="XDT1999"/>
      <c r="XDU1999"/>
      <c r="XDV1999"/>
      <c r="XDW1999"/>
      <c r="XDX1999"/>
      <c r="XDY1999"/>
      <c r="XDZ1999"/>
      <c r="XEA1999"/>
      <c r="XEB1999"/>
      <c r="XEC1999"/>
      <c r="XED1999"/>
      <c r="XEE1999"/>
      <c r="XEF1999"/>
      <c r="XEG1999"/>
      <c r="XEH1999"/>
      <c r="XEI1999"/>
      <c r="XEJ1999"/>
      <c r="XEK1999"/>
      <c r="XEL1999"/>
      <c r="XEM1999"/>
      <c r="XEN1999"/>
      <c r="XEO1999"/>
      <c r="XEP1999"/>
      <c r="XEQ1999"/>
      <c r="XER1999"/>
      <c r="XES1999"/>
      <c r="XET1999"/>
      <c r="XEU1999"/>
      <c r="XEV1999"/>
      <c r="XEW1999"/>
      <c r="XEX1999"/>
      <c r="XEY1999"/>
      <c r="XEZ1999"/>
      <c r="XFA1999"/>
      <c r="XFB1999"/>
      <c r="XFC1999"/>
    </row>
    <row r="2000" spans="1:20 16329:16383" s="38" customFormat="1" ht="29.1" customHeight="1" outlineLevel="5" x14ac:dyDescent="0.25">
      <c r="A2000" s="65" t="s">
        <v>3413</v>
      </c>
      <c r="B2000" s="66" t="s">
        <v>3414</v>
      </c>
      <c r="C2000" s="66" t="s">
        <v>3415</v>
      </c>
      <c r="D2000" s="98" t="s">
        <v>3416</v>
      </c>
      <c r="E2000" s="98"/>
      <c r="F2000" s="67"/>
      <c r="G2000" s="66" t="s">
        <v>3285</v>
      </c>
      <c r="H2000" s="68"/>
      <c r="I2000" s="36"/>
      <c r="J2000" s="68"/>
      <c r="K2000" s="69"/>
      <c r="L2000" s="69"/>
      <c r="M2000" s="69"/>
      <c r="N2000" s="69"/>
      <c r="O2000" s="69">
        <f>SUM(O2001:O2011)</f>
        <v>0</v>
      </c>
      <c r="P2000" s="69">
        <f>SUM(P2001:P2011)</f>
        <v>0</v>
      </c>
      <c r="Q2000" s="69">
        <f>SUM(Q2001:Q2011)</f>
        <v>0</v>
      </c>
      <c r="R2000" s="69">
        <f>SUM(R2001:R2011)</f>
        <v>0</v>
      </c>
      <c r="S2000" s="69"/>
      <c r="T2000" s="36"/>
      <c r="XDA2000"/>
      <c r="XDB2000"/>
      <c r="XDC2000"/>
      <c r="XDD2000"/>
      <c r="XDE2000"/>
      <c r="XDF2000"/>
      <c r="XDG2000"/>
      <c r="XDH2000"/>
      <c r="XDI2000"/>
      <c r="XDJ2000"/>
      <c r="XDK2000"/>
      <c r="XDL2000"/>
      <c r="XDM2000"/>
      <c r="XDN2000"/>
      <c r="XDO2000"/>
      <c r="XDP2000"/>
      <c r="XDQ2000"/>
      <c r="XDR2000"/>
      <c r="XDS2000"/>
      <c r="XDT2000"/>
      <c r="XDU2000"/>
      <c r="XDV2000"/>
      <c r="XDW2000"/>
      <c r="XDX2000"/>
      <c r="XDY2000"/>
      <c r="XDZ2000"/>
      <c r="XEA2000"/>
      <c r="XEB2000"/>
      <c r="XEC2000"/>
      <c r="XED2000"/>
      <c r="XEE2000"/>
      <c r="XEF2000"/>
      <c r="XEG2000"/>
      <c r="XEH2000"/>
      <c r="XEI2000"/>
      <c r="XEJ2000"/>
      <c r="XEK2000"/>
      <c r="XEL2000"/>
      <c r="XEM2000"/>
      <c r="XEN2000"/>
      <c r="XEO2000"/>
      <c r="XEP2000"/>
      <c r="XEQ2000"/>
      <c r="XER2000"/>
      <c r="XES2000"/>
      <c r="XET2000"/>
      <c r="XEU2000"/>
      <c r="XEV2000"/>
      <c r="XEW2000"/>
      <c r="XEX2000"/>
      <c r="XEY2000"/>
      <c r="XEZ2000"/>
      <c r="XFA2000"/>
      <c r="XFB2000"/>
      <c r="XFC2000"/>
    </row>
    <row r="2001" spans="1:20 16329:16383" s="38" customFormat="1" ht="29.1" customHeight="1" outlineLevel="6" x14ac:dyDescent="0.25">
      <c r="A2001" s="49" t="s">
        <v>3417</v>
      </c>
      <c r="B2001" s="50"/>
      <c r="C2001" s="50"/>
      <c r="D2001" s="3" t="s">
        <v>3418</v>
      </c>
      <c r="E2001" s="3"/>
      <c r="F2001" s="51"/>
      <c r="G2001" s="50" t="s">
        <v>29</v>
      </c>
      <c r="H2001" s="52">
        <f>1</f>
        <v>1</v>
      </c>
      <c r="I2001" s="36"/>
      <c r="J2001" s="52">
        <v>1</v>
      </c>
      <c r="K2001" s="53">
        <f>0</f>
        <v>0</v>
      </c>
      <c r="L2001" s="53">
        <f>0</f>
        <v>0</v>
      </c>
      <c r="M2001" s="53">
        <f>0</f>
        <v>0</v>
      </c>
      <c r="N2001" s="54">
        <f t="shared" ref="N2001:N2011" si="399">SUM(K2001:M2001)</f>
        <v>0</v>
      </c>
      <c r="O2001" s="54">
        <f t="shared" ref="O2001:O2011" si="400">ROUND((H2001*K2001),2)</f>
        <v>0</v>
      </c>
      <c r="P2001" s="54">
        <f t="shared" ref="P2001:P2011" si="401">ROUND((H2001*L2001),2)</f>
        <v>0</v>
      </c>
      <c r="Q2001" s="54">
        <f t="shared" ref="Q2001:Q2011" si="402">ROUND((H2001*M2001),2)</f>
        <v>0</v>
      </c>
      <c r="R2001" s="54">
        <f t="shared" ref="R2001:R2011" si="403">ROUND((H2001*N2001),2)</f>
        <v>0</v>
      </c>
      <c r="S2001" s="54"/>
      <c r="T2001" s="36"/>
      <c r="XDA2001"/>
      <c r="XDB2001"/>
      <c r="XDC2001"/>
      <c r="XDD2001"/>
      <c r="XDE2001"/>
      <c r="XDF2001"/>
      <c r="XDG2001"/>
      <c r="XDH2001"/>
      <c r="XDI2001"/>
      <c r="XDJ2001"/>
      <c r="XDK2001"/>
      <c r="XDL2001"/>
      <c r="XDM2001"/>
      <c r="XDN2001"/>
      <c r="XDO2001"/>
      <c r="XDP2001"/>
      <c r="XDQ2001"/>
      <c r="XDR2001"/>
      <c r="XDS2001"/>
      <c r="XDT2001"/>
      <c r="XDU2001"/>
      <c r="XDV2001"/>
      <c r="XDW2001"/>
      <c r="XDX2001"/>
      <c r="XDY2001"/>
      <c r="XDZ2001"/>
      <c r="XEA2001"/>
      <c r="XEB2001"/>
      <c r="XEC2001"/>
      <c r="XED2001"/>
      <c r="XEE2001"/>
      <c r="XEF2001"/>
      <c r="XEG2001"/>
      <c r="XEH2001"/>
      <c r="XEI2001"/>
      <c r="XEJ2001"/>
      <c r="XEK2001"/>
      <c r="XEL2001"/>
      <c r="XEM2001"/>
      <c r="XEN2001"/>
      <c r="XEO2001"/>
      <c r="XEP2001"/>
      <c r="XEQ2001"/>
      <c r="XER2001"/>
      <c r="XES2001"/>
      <c r="XET2001"/>
      <c r="XEU2001"/>
      <c r="XEV2001"/>
      <c r="XEW2001"/>
      <c r="XEX2001"/>
      <c r="XEY2001"/>
      <c r="XEZ2001"/>
      <c r="XFA2001"/>
      <c r="XFB2001"/>
      <c r="XFC2001"/>
    </row>
    <row r="2002" spans="1:20 16329:16383" s="38" customFormat="1" ht="29.1" customHeight="1" outlineLevel="6" x14ac:dyDescent="0.25">
      <c r="A2002" s="49" t="s">
        <v>3419</v>
      </c>
      <c r="B2002" s="50"/>
      <c r="C2002" s="50"/>
      <c r="D2002" s="3" t="s">
        <v>3420</v>
      </c>
      <c r="E2002" s="3"/>
      <c r="F2002" s="51"/>
      <c r="G2002" s="50" t="s">
        <v>29</v>
      </c>
      <c r="H2002" s="52">
        <f>1</f>
        <v>1</v>
      </c>
      <c r="I2002" s="36"/>
      <c r="J2002" s="52">
        <v>1</v>
      </c>
      <c r="K2002" s="53">
        <f>0</f>
        <v>0</v>
      </c>
      <c r="L2002" s="53">
        <f>0</f>
        <v>0</v>
      </c>
      <c r="M2002" s="53">
        <f>0</f>
        <v>0</v>
      </c>
      <c r="N2002" s="54">
        <f t="shared" si="399"/>
        <v>0</v>
      </c>
      <c r="O2002" s="54">
        <f t="shared" si="400"/>
        <v>0</v>
      </c>
      <c r="P2002" s="54">
        <f t="shared" si="401"/>
        <v>0</v>
      </c>
      <c r="Q2002" s="54">
        <f t="shared" si="402"/>
        <v>0</v>
      </c>
      <c r="R2002" s="54">
        <f t="shared" si="403"/>
        <v>0</v>
      </c>
      <c r="S2002" s="54"/>
      <c r="T2002" s="36"/>
      <c r="XDA2002"/>
      <c r="XDB2002"/>
      <c r="XDC2002"/>
      <c r="XDD2002"/>
      <c r="XDE2002"/>
      <c r="XDF2002"/>
      <c r="XDG2002"/>
      <c r="XDH2002"/>
      <c r="XDI2002"/>
      <c r="XDJ2002"/>
      <c r="XDK2002"/>
      <c r="XDL2002"/>
      <c r="XDM2002"/>
      <c r="XDN2002"/>
      <c r="XDO2002"/>
      <c r="XDP2002"/>
      <c r="XDQ2002"/>
      <c r="XDR2002"/>
      <c r="XDS2002"/>
      <c r="XDT2002"/>
      <c r="XDU2002"/>
      <c r="XDV2002"/>
      <c r="XDW2002"/>
      <c r="XDX2002"/>
      <c r="XDY2002"/>
      <c r="XDZ2002"/>
      <c r="XEA2002"/>
      <c r="XEB2002"/>
      <c r="XEC2002"/>
      <c r="XED2002"/>
      <c r="XEE2002"/>
      <c r="XEF2002"/>
      <c r="XEG2002"/>
      <c r="XEH2002"/>
      <c r="XEI2002"/>
      <c r="XEJ2002"/>
      <c r="XEK2002"/>
      <c r="XEL2002"/>
      <c r="XEM2002"/>
      <c r="XEN2002"/>
      <c r="XEO2002"/>
      <c r="XEP2002"/>
      <c r="XEQ2002"/>
      <c r="XER2002"/>
      <c r="XES2002"/>
      <c r="XET2002"/>
      <c r="XEU2002"/>
      <c r="XEV2002"/>
      <c r="XEW2002"/>
      <c r="XEX2002"/>
      <c r="XEY2002"/>
      <c r="XEZ2002"/>
      <c r="XFA2002"/>
      <c r="XFB2002"/>
      <c r="XFC2002"/>
    </row>
    <row r="2003" spans="1:20 16329:16383" s="38" customFormat="1" ht="29.1" customHeight="1" outlineLevel="6" x14ac:dyDescent="0.25">
      <c r="A2003" s="49" t="s">
        <v>3421</v>
      </c>
      <c r="B2003" s="50"/>
      <c r="C2003" s="50"/>
      <c r="D2003" s="3" t="s">
        <v>3422</v>
      </c>
      <c r="E2003" s="3"/>
      <c r="F2003" s="51"/>
      <c r="G2003" s="50" t="s">
        <v>29</v>
      </c>
      <c r="H2003" s="52">
        <f>1</f>
        <v>1</v>
      </c>
      <c r="I2003" s="36"/>
      <c r="J2003" s="52">
        <v>1</v>
      </c>
      <c r="K2003" s="53">
        <f>0</f>
        <v>0</v>
      </c>
      <c r="L2003" s="53">
        <f>0</f>
        <v>0</v>
      </c>
      <c r="M2003" s="53">
        <f>0</f>
        <v>0</v>
      </c>
      <c r="N2003" s="54">
        <f t="shared" si="399"/>
        <v>0</v>
      </c>
      <c r="O2003" s="54">
        <f t="shared" si="400"/>
        <v>0</v>
      </c>
      <c r="P2003" s="54">
        <f t="shared" si="401"/>
        <v>0</v>
      </c>
      <c r="Q2003" s="54">
        <f t="shared" si="402"/>
        <v>0</v>
      </c>
      <c r="R2003" s="54">
        <f t="shared" si="403"/>
        <v>0</v>
      </c>
      <c r="S2003" s="54"/>
      <c r="T2003" s="36"/>
      <c r="XDA2003"/>
      <c r="XDB2003"/>
      <c r="XDC2003"/>
      <c r="XDD2003"/>
      <c r="XDE2003"/>
      <c r="XDF2003"/>
      <c r="XDG2003"/>
      <c r="XDH2003"/>
      <c r="XDI2003"/>
      <c r="XDJ2003"/>
      <c r="XDK2003"/>
      <c r="XDL2003"/>
      <c r="XDM2003"/>
      <c r="XDN2003"/>
      <c r="XDO2003"/>
      <c r="XDP2003"/>
      <c r="XDQ2003"/>
      <c r="XDR2003"/>
      <c r="XDS2003"/>
      <c r="XDT2003"/>
      <c r="XDU2003"/>
      <c r="XDV2003"/>
      <c r="XDW2003"/>
      <c r="XDX2003"/>
      <c r="XDY2003"/>
      <c r="XDZ2003"/>
      <c r="XEA2003"/>
      <c r="XEB2003"/>
      <c r="XEC2003"/>
      <c r="XED2003"/>
      <c r="XEE2003"/>
      <c r="XEF2003"/>
      <c r="XEG2003"/>
      <c r="XEH2003"/>
      <c r="XEI2003"/>
      <c r="XEJ2003"/>
      <c r="XEK2003"/>
      <c r="XEL2003"/>
      <c r="XEM2003"/>
      <c r="XEN2003"/>
      <c r="XEO2003"/>
      <c r="XEP2003"/>
      <c r="XEQ2003"/>
      <c r="XER2003"/>
      <c r="XES2003"/>
      <c r="XET2003"/>
      <c r="XEU2003"/>
      <c r="XEV2003"/>
      <c r="XEW2003"/>
      <c r="XEX2003"/>
      <c r="XEY2003"/>
      <c r="XEZ2003"/>
      <c r="XFA2003"/>
      <c r="XFB2003"/>
      <c r="XFC2003"/>
    </row>
    <row r="2004" spans="1:20 16329:16383" s="38" customFormat="1" ht="29.1" customHeight="1" outlineLevel="6" x14ac:dyDescent="0.25">
      <c r="A2004" s="49" t="s">
        <v>3423</v>
      </c>
      <c r="B2004" s="50"/>
      <c r="C2004" s="50"/>
      <c r="D2004" s="3" t="s">
        <v>3424</v>
      </c>
      <c r="E2004" s="3"/>
      <c r="F2004" s="51"/>
      <c r="G2004" s="50" t="s">
        <v>29</v>
      </c>
      <c r="H2004" s="52">
        <f>1</f>
        <v>1</v>
      </c>
      <c r="I2004" s="36"/>
      <c r="J2004" s="52">
        <v>1</v>
      </c>
      <c r="K2004" s="53">
        <f>0</f>
        <v>0</v>
      </c>
      <c r="L2004" s="53">
        <f>0</f>
        <v>0</v>
      </c>
      <c r="M2004" s="53">
        <f>0</f>
        <v>0</v>
      </c>
      <c r="N2004" s="54">
        <f t="shared" si="399"/>
        <v>0</v>
      </c>
      <c r="O2004" s="54">
        <f t="shared" si="400"/>
        <v>0</v>
      </c>
      <c r="P2004" s="54">
        <f t="shared" si="401"/>
        <v>0</v>
      </c>
      <c r="Q2004" s="54">
        <f t="shared" si="402"/>
        <v>0</v>
      </c>
      <c r="R2004" s="54">
        <f t="shared" si="403"/>
        <v>0</v>
      </c>
      <c r="S2004" s="54"/>
      <c r="T2004" s="36"/>
      <c r="XDA2004"/>
      <c r="XDB2004"/>
      <c r="XDC2004"/>
      <c r="XDD2004"/>
      <c r="XDE2004"/>
      <c r="XDF2004"/>
      <c r="XDG2004"/>
      <c r="XDH2004"/>
      <c r="XDI2004"/>
      <c r="XDJ2004"/>
      <c r="XDK2004"/>
      <c r="XDL2004"/>
      <c r="XDM2004"/>
      <c r="XDN2004"/>
      <c r="XDO2004"/>
      <c r="XDP2004"/>
      <c r="XDQ2004"/>
      <c r="XDR2004"/>
      <c r="XDS2004"/>
      <c r="XDT2004"/>
      <c r="XDU2004"/>
      <c r="XDV2004"/>
      <c r="XDW2004"/>
      <c r="XDX2004"/>
      <c r="XDY2004"/>
      <c r="XDZ2004"/>
      <c r="XEA2004"/>
      <c r="XEB2004"/>
      <c r="XEC2004"/>
      <c r="XED2004"/>
      <c r="XEE2004"/>
      <c r="XEF2004"/>
      <c r="XEG2004"/>
      <c r="XEH2004"/>
      <c r="XEI2004"/>
      <c r="XEJ2004"/>
      <c r="XEK2004"/>
      <c r="XEL2004"/>
      <c r="XEM2004"/>
      <c r="XEN2004"/>
      <c r="XEO2004"/>
      <c r="XEP2004"/>
      <c r="XEQ2004"/>
      <c r="XER2004"/>
      <c r="XES2004"/>
      <c r="XET2004"/>
      <c r="XEU2004"/>
      <c r="XEV2004"/>
      <c r="XEW2004"/>
      <c r="XEX2004"/>
      <c r="XEY2004"/>
      <c r="XEZ2004"/>
      <c r="XFA2004"/>
      <c r="XFB2004"/>
      <c r="XFC2004"/>
    </row>
    <row r="2005" spans="1:20 16329:16383" s="38" customFormat="1" ht="29.1" customHeight="1" outlineLevel="6" x14ac:dyDescent="0.25">
      <c r="A2005" s="49" t="s">
        <v>3425</v>
      </c>
      <c r="B2005" s="50"/>
      <c r="C2005" s="50"/>
      <c r="D2005" s="3" t="s">
        <v>3426</v>
      </c>
      <c r="E2005" s="3"/>
      <c r="F2005" s="51"/>
      <c r="G2005" s="50" t="s">
        <v>29</v>
      </c>
      <c r="H2005" s="52">
        <f>1</f>
        <v>1</v>
      </c>
      <c r="I2005" s="36"/>
      <c r="J2005" s="52">
        <v>1</v>
      </c>
      <c r="K2005" s="53">
        <f>0</f>
        <v>0</v>
      </c>
      <c r="L2005" s="53">
        <f>0</f>
        <v>0</v>
      </c>
      <c r="M2005" s="53">
        <f>0</f>
        <v>0</v>
      </c>
      <c r="N2005" s="54">
        <f t="shared" si="399"/>
        <v>0</v>
      </c>
      <c r="O2005" s="54">
        <f t="shared" si="400"/>
        <v>0</v>
      </c>
      <c r="P2005" s="54">
        <f t="shared" si="401"/>
        <v>0</v>
      </c>
      <c r="Q2005" s="54">
        <f t="shared" si="402"/>
        <v>0</v>
      </c>
      <c r="R2005" s="54">
        <f t="shared" si="403"/>
        <v>0</v>
      </c>
      <c r="S2005" s="54"/>
      <c r="T2005" s="36"/>
      <c r="XDA2005"/>
      <c r="XDB2005"/>
      <c r="XDC2005"/>
      <c r="XDD2005"/>
      <c r="XDE2005"/>
      <c r="XDF2005"/>
      <c r="XDG2005"/>
      <c r="XDH2005"/>
      <c r="XDI2005"/>
      <c r="XDJ2005"/>
      <c r="XDK2005"/>
      <c r="XDL2005"/>
      <c r="XDM2005"/>
      <c r="XDN2005"/>
      <c r="XDO2005"/>
      <c r="XDP2005"/>
      <c r="XDQ2005"/>
      <c r="XDR2005"/>
      <c r="XDS2005"/>
      <c r="XDT2005"/>
      <c r="XDU2005"/>
      <c r="XDV2005"/>
      <c r="XDW2005"/>
      <c r="XDX2005"/>
      <c r="XDY2005"/>
      <c r="XDZ2005"/>
      <c r="XEA2005"/>
      <c r="XEB2005"/>
      <c r="XEC2005"/>
      <c r="XED2005"/>
      <c r="XEE2005"/>
      <c r="XEF2005"/>
      <c r="XEG2005"/>
      <c r="XEH2005"/>
      <c r="XEI2005"/>
      <c r="XEJ2005"/>
      <c r="XEK2005"/>
      <c r="XEL2005"/>
      <c r="XEM2005"/>
      <c r="XEN2005"/>
      <c r="XEO2005"/>
      <c r="XEP2005"/>
      <c r="XEQ2005"/>
      <c r="XER2005"/>
      <c r="XES2005"/>
      <c r="XET2005"/>
      <c r="XEU2005"/>
      <c r="XEV2005"/>
      <c r="XEW2005"/>
      <c r="XEX2005"/>
      <c r="XEY2005"/>
      <c r="XEZ2005"/>
      <c r="XFA2005"/>
      <c r="XFB2005"/>
      <c r="XFC2005"/>
    </row>
    <row r="2006" spans="1:20 16329:16383" s="38" customFormat="1" ht="29.1" customHeight="1" outlineLevel="6" x14ac:dyDescent="0.25">
      <c r="A2006" s="49" t="s">
        <v>3427</v>
      </c>
      <c r="B2006" s="50"/>
      <c r="C2006" s="50"/>
      <c r="D2006" s="3" t="s">
        <v>3428</v>
      </c>
      <c r="E2006" s="3"/>
      <c r="F2006" s="51"/>
      <c r="G2006" s="50" t="s">
        <v>29</v>
      </c>
      <c r="H2006" s="52">
        <f>1</f>
        <v>1</v>
      </c>
      <c r="I2006" s="36"/>
      <c r="J2006" s="52">
        <v>1</v>
      </c>
      <c r="K2006" s="53">
        <f>0</f>
        <v>0</v>
      </c>
      <c r="L2006" s="53">
        <f>0</f>
        <v>0</v>
      </c>
      <c r="M2006" s="53">
        <f>0</f>
        <v>0</v>
      </c>
      <c r="N2006" s="54">
        <f t="shared" si="399"/>
        <v>0</v>
      </c>
      <c r="O2006" s="54">
        <f t="shared" si="400"/>
        <v>0</v>
      </c>
      <c r="P2006" s="54">
        <f t="shared" si="401"/>
        <v>0</v>
      </c>
      <c r="Q2006" s="54">
        <f t="shared" si="402"/>
        <v>0</v>
      </c>
      <c r="R2006" s="54">
        <f t="shared" si="403"/>
        <v>0</v>
      </c>
      <c r="S2006" s="54"/>
      <c r="T2006" s="36"/>
      <c r="XDA2006"/>
      <c r="XDB2006"/>
      <c r="XDC2006"/>
      <c r="XDD2006"/>
      <c r="XDE2006"/>
      <c r="XDF2006"/>
      <c r="XDG2006"/>
      <c r="XDH2006"/>
      <c r="XDI2006"/>
      <c r="XDJ2006"/>
      <c r="XDK2006"/>
      <c r="XDL2006"/>
      <c r="XDM2006"/>
      <c r="XDN2006"/>
      <c r="XDO2006"/>
      <c r="XDP2006"/>
      <c r="XDQ2006"/>
      <c r="XDR2006"/>
      <c r="XDS2006"/>
      <c r="XDT2006"/>
      <c r="XDU2006"/>
      <c r="XDV2006"/>
      <c r="XDW2006"/>
      <c r="XDX2006"/>
      <c r="XDY2006"/>
      <c r="XDZ2006"/>
      <c r="XEA2006"/>
      <c r="XEB2006"/>
      <c r="XEC2006"/>
      <c r="XED2006"/>
      <c r="XEE2006"/>
      <c r="XEF2006"/>
      <c r="XEG2006"/>
      <c r="XEH2006"/>
      <c r="XEI2006"/>
      <c r="XEJ2006"/>
      <c r="XEK2006"/>
      <c r="XEL2006"/>
      <c r="XEM2006"/>
      <c r="XEN2006"/>
      <c r="XEO2006"/>
      <c r="XEP2006"/>
      <c r="XEQ2006"/>
      <c r="XER2006"/>
      <c r="XES2006"/>
      <c r="XET2006"/>
      <c r="XEU2006"/>
      <c r="XEV2006"/>
      <c r="XEW2006"/>
      <c r="XEX2006"/>
      <c r="XEY2006"/>
      <c r="XEZ2006"/>
      <c r="XFA2006"/>
      <c r="XFB2006"/>
      <c r="XFC2006"/>
    </row>
    <row r="2007" spans="1:20 16329:16383" s="38" customFormat="1" ht="29.1" customHeight="1" outlineLevel="6" x14ac:dyDescent="0.25">
      <c r="A2007" s="49" t="s">
        <v>3429</v>
      </c>
      <c r="B2007" s="50"/>
      <c r="C2007" s="50"/>
      <c r="D2007" s="3" t="s">
        <v>3430</v>
      </c>
      <c r="E2007" s="3"/>
      <c r="F2007" s="51"/>
      <c r="G2007" s="50" t="s">
        <v>29</v>
      </c>
      <c r="H2007" s="52">
        <f>1</f>
        <v>1</v>
      </c>
      <c r="I2007" s="36"/>
      <c r="J2007" s="52">
        <v>1</v>
      </c>
      <c r="K2007" s="53">
        <f>0</f>
        <v>0</v>
      </c>
      <c r="L2007" s="53">
        <f>0</f>
        <v>0</v>
      </c>
      <c r="M2007" s="53">
        <f>0</f>
        <v>0</v>
      </c>
      <c r="N2007" s="54">
        <f t="shared" si="399"/>
        <v>0</v>
      </c>
      <c r="O2007" s="54">
        <f t="shared" si="400"/>
        <v>0</v>
      </c>
      <c r="P2007" s="54">
        <f t="shared" si="401"/>
        <v>0</v>
      </c>
      <c r="Q2007" s="54">
        <f t="shared" si="402"/>
        <v>0</v>
      </c>
      <c r="R2007" s="54">
        <f t="shared" si="403"/>
        <v>0</v>
      </c>
      <c r="S2007" s="54"/>
      <c r="T2007" s="36"/>
      <c r="XDA2007"/>
      <c r="XDB2007"/>
      <c r="XDC2007"/>
      <c r="XDD2007"/>
      <c r="XDE2007"/>
      <c r="XDF2007"/>
      <c r="XDG2007"/>
      <c r="XDH2007"/>
      <c r="XDI2007"/>
      <c r="XDJ2007"/>
      <c r="XDK2007"/>
      <c r="XDL2007"/>
      <c r="XDM2007"/>
      <c r="XDN2007"/>
      <c r="XDO2007"/>
      <c r="XDP2007"/>
      <c r="XDQ2007"/>
      <c r="XDR2007"/>
      <c r="XDS2007"/>
      <c r="XDT2007"/>
      <c r="XDU2007"/>
      <c r="XDV2007"/>
      <c r="XDW2007"/>
      <c r="XDX2007"/>
      <c r="XDY2007"/>
      <c r="XDZ2007"/>
      <c r="XEA2007"/>
      <c r="XEB2007"/>
      <c r="XEC2007"/>
      <c r="XED2007"/>
      <c r="XEE2007"/>
      <c r="XEF2007"/>
      <c r="XEG2007"/>
      <c r="XEH2007"/>
      <c r="XEI2007"/>
      <c r="XEJ2007"/>
      <c r="XEK2007"/>
      <c r="XEL2007"/>
      <c r="XEM2007"/>
      <c r="XEN2007"/>
      <c r="XEO2007"/>
      <c r="XEP2007"/>
      <c r="XEQ2007"/>
      <c r="XER2007"/>
      <c r="XES2007"/>
      <c r="XET2007"/>
      <c r="XEU2007"/>
      <c r="XEV2007"/>
      <c r="XEW2007"/>
      <c r="XEX2007"/>
      <c r="XEY2007"/>
      <c r="XEZ2007"/>
      <c r="XFA2007"/>
      <c r="XFB2007"/>
      <c r="XFC2007"/>
    </row>
    <row r="2008" spans="1:20 16329:16383" s="38" customFormat="1" ht="29.1" customHeight="1" outlineLevel="6" x14ac:dyDescent="0.25">
      <c r="A2008" s="49" t="s">
        <v>3431</v>
      </c>
      <c r="B2008" s="50"/>
      <c r="C2008" s="50"/>
      <c r="D2008" s="3" t="s">
        <v>3432</v>
      </c>
      <c r="E2008" s="3"/>
      <c r="F2008" s="51"/>
      <c r="G2008" s="50" t="s">
        <v>29</v>
      </c>
      <c r="H2008" s="52">
        <f>1</f>
        <v>1</v>
      </c>
      <c r="I2008" s="36"/>
      <c r="J2008" s="52">
        <v>1</v>
      </c>
      <c r="K2008" s="53">
        <f>0</f>
        <v>0</v>
      </c>
      <c r="L2008" s="53">
        <f>0</f>
        <v>0</v>
      </c>
      <c r="M2008" s="53">
        <f>0</f>
        <v>0</v>
      </c>
      <c r="N2008" s="54">
        <f t="shared" si="399"/>
        <v>0</v>
      </c>
      <c r="O2008" s="54">
        <f t="shared" si="400"/>
        <v>0</v>
      </c>
      <c r="P2008" s="54">
        <f t="shared" si="401"/>
        <v>0</v>
      </c>
      <c r="Q2008" s="54">
        <f t="shared" si="402"/>
        <v>0</v>
      </c>
      <c r="R2008" s="54">
        <f t="shared" si="403"/>
        <v>0</v>
      </c>
      <c r="S2008" s="54"/>
      <c r="T2008" s="36"/>
      <c r="XDA2008"/>
      <c r="XDB2008"/>
      <c r="XDC2008"/>
      <c r="XDD2008"/>
      <c r="XDE2008"/>
      <c r="XDF2008"/>
      <c r="XDG2008"/>
      <c r="XDH2008"/>
      <c r="XDI2008"/>
      <c r="XDJ2008"/>
      <c r="XDK2008"/>
      <c r="XDL2008"/>
      <c r="XDM2008"/>
      <c r="XDN2008"/>
      <c r="XDO2008"/>
      <c r="XDP2008"/>
      <c r="XDQ2008"/>
      <c r="XDR2008"/>
      <c r="XDS2008"/>
      <c r="XDT2008"/>
      <c r="XDU2008"/>
      <c r="XDV2008"/>
      <c r="XDW2008"/>
      <c r="XDX2008"/>
      <c r="XDY2008"/>
      <c r="XDZ2008"/>
      <c r="XEA2008"/>
      <c r="XEB2008"/>
      <c r="XEC2008"/>
      <c r="XED2008"/>
      <c r="XEE2008"/>
      <c r="XEF2008"/>
      <c r="XEG2008"/>
      <c r="XEH2008"/>
      <c r="XEI2008"/>
      <c r="XEJ2008"/>
      <c r="XEK2008"/>
      <c r="XEL2008"/>
      <c r="XEM2008"/>
      <c r="XEN2008"/>
      <c r="XEO2008"/>
      <c r="XEP2008"/>
      <c r="XEQ2008"/>
      <c r="XER2008"/>
      <c r="XES2008"/>
      <c r="XET2008"/>
      <c r="XEU2008"/>
      <c r="XEV2008"/>
      <c r="XEW2008"/>
      <c r="XEX2008"/>
      <c r="XEY2008"/>
      <c r="XEZ2008"/>
      <c r="XFA2008"/>
      <c r="XFB2008"/>
      <c r="XFC2008"/>
    </row>
    <row r="2009" spans="1:20 16329:16383" s="38" customFormat="1" ht="29.1" customHeight="1" outlineLevel="6" x14ac:dyDescent="0.25">
      <c r="A2009" s="49" t="s">
        <v>3433</v>
      </c>
      <c r="B2009" s="50"/>
      <c r="C2009" s="50"/>
      <c r="D2009" s="3" t="s">
        <v>3434</v>
      </c>
      <c r="E2009" s="3"/>
      <c r="F2009" s="51"/>
      <c r="G2009" s="50" t="s">
        <v>29</v>
      </c>
      <c r="H2009" s="52">
        <f>1</f>
        <v>1</v>
      </c>
      <c r="I2009" s="36"/>
      <c r="J2009" s="52">
        <v>1</v>
      </c>
      <c r="K2009" s="53">
        <f>0</f>
        <v>0</v>
      </c>
      <c r="L2009" s="53">
        <f>0</f>
        <v>0</v>
      </c>
      <c r="M2009" s="53">
        <f>0</f>
        <v>0</v>
      </c>
      <c r="N2009" s="54">
        <f t="shared" si="399"/>
        <v>0</v>
      </c>
      <c r="O2009" s="54">
        <f t="shared" si="400"/>
        <v>0</v>
      </c>
      <c r="P2009" s="54">
        <f t="shared" si="401"/>
        <v>0</v>
      </c>
      <c r="Q2009" s="54">
        <f t="shared" si="402"/>
        <v>0</v>
      </c>
      <c r="R2009" s="54">
        <f t="shared" si="403"/>
        <v>0</v>
      </c>
      <c r="S2009" s="54"/>
      <c r="T2009" s="36"/>
      <c r="XDA2009"/>
      <c r="XDB2009"/>
      <c r="XDC2009"/>
      <c r="XDD2009"/>
      <c r="XDE2009"/>
      <c r="XDF2009"/>
      <c r="XDG2009"/>
      <c r="XDH2009"/>
      <c r="XDI2009"/>
      <c r="XDJ2009"/>
      <c r="XDK2009"/>
      <c r="XDL2009"/>
      <c r="XDM2009"/>
      <c r="XDN2009"/>
      <c r="XDO2009"/>
      <c r="XDP2009"/>
      <c r="XDQ2009"/>
      <c r="XDR2009"/>
      <c r="XDS2009"/>
      <c r="XDT2009"/>
      <c r="XDU2009"/>
      <c r="XDV2009"/>
      <c r="XDW2009"/>
      <c r="XDX2009"/>
      <c r="XDY2009"/>
      <c r="XDZ2009"/>
      <c r="XEA2009"/>
      <c r="XEB2009"/>
      <c r="XEC2009"/>
      <c r="XED2009"/>
      <c r="XEE2009"/>
      <c r="XEF2009"/>
      <c r="XEG2009"/>
      <c r="XEH2009"/>
      <c r="XEI2009"/>
      <c r="XEJ2009"/>
      <c r="XEK2009"/>
      <c r="XEL2009"/>
      <c r="XEM2009"/>
      <c r="XEN2009"/>
      <c r="XEO2009"/>
      <c r="XEP2009"/>
      <c r="XEQ2009"/>
      <c r="XER2009"/>
      <c r="XES2009"/>
      <c r="XET2009"/>
      <c r="XEU2009"/>
      <c r="XEV2009"/>
      <c r="XEW2009"/>
      <c r="XEX2009"/>
      <c r="XEY2009"/>
      <c r="XEZ2009"/>
      <c r="XFA2009"/>
      <c r="XFB2009"/>
      <c r="XFC2009"/>
    </row>
    <row r="2010" spans="1:20 16329:16383" s="38" customFormat="1" ht="29.1" customHeight="1" outlineLevel="6" x14ac:dyDescent="0.25">
      <c r="A2010" s="49" t="s">
        <v>3435</v>
      </c>
      <c r="B2010" s="50"/>
      <c r="C2010" s="50"/>
      <c r="D2010" s="3" t="s">
        <v>3436</v>
      </c>
      <c r="E2010" s="3"/>
      <c r="F2010" s="51"/>
      <c r="G2010" s="50" t="s">
        <v>29</v>
      </c>
      <c r="H2010" s="52">
        <f>1</f>
        <v>1</v>
      </c>
      <c r="I2010" s="36"/>
      <c r="J2010" s="52">
        <v>1</v>
      </c>
      <c r="K2010" s="53">
        <f>0</f>
        <v>0</v>
      </c>
      <c r="L2010" s="53">
        <f>0</f>
        <v>0</v>
      </c>
      <c r="M2010" s="53">
        <f>0</f>
        <v>0</v>
      </c>
      <c r="N2010" s="54">
        <f t="shared" si="399"/>
        <v>0</v>
      </c>
      <c r="O2010" s="54">
        <f t="shared" si="400"/>
        <v>0</v>
      </c>
      <c r="P2010" s="54">
        <f t="shared" si="401"/>
        <v>0</v>
      </c>
      <c r="Q2010" s="54">
        <f t="shared" si="402"/>
        <v>0</v>
      </c>
      <c r="R2010" s="54">
        <f t="shared" si="403"/>
        <v>0</v>
      </c>
      <c r="S2010" s="54"/>
      <c r="T2010" s="36"/>
      <c r="XDA2010"/>
      <c r="XDB2010"/>
      <c r="XDC2010"/>
      <c r="XDD2010"/>
      <c r="XDE2010"/>
      <c r="XDF2010"/>
      <c r="XDG2010"/>
      <c r="XDH2010"/>
      <c r="XDI2010"/>
      <c r="XDJ2010"/>
      <c r="XDK2010"/>
      <c r="XDL2010"/>
      <c r="XDM2010"/>
      <c r="XDN2010"/>
      <c r="XDO2010"/>
      <c r="XDP2010"/>
      <c r="XDQ2010"/>
      <c r="XDR2010"/>
      <c r="XDS2010"/>
      <c r="XDT2010"/>
      <c r="XDU2010"/>
      <c r="XDV2010"/>
      <c r="XDW2010"/>
      <c r="XDX2010"/>
      <c r="XDY2010"/>
      <c r="XDZ2010"/>
      <c r="XEA2010"/>
      <c r="XEB2010"/>
      <c r="XEC2010"/>
      <c r="XED2010"/>
      <c r="XEE2010"/>
      <c r="XEF2010"/>
      <c r="XEG2010"/>
      <c r="XEH2010"/>
      <c r="XEI2010"/>
      <c r="XEJ2010"/>
      <c r="XEK2010"/>
      <c r="XEL2010"/>
      <c r="XEM2010"/>
      <c r="XEN2010"/>
      <c r="XEO2010"/>
      <c r="XEP2010"/>
      <c r="XEQ2010"/>
      <c r="XER2010"/>
      <c r="XES2010"/>
      <c r="XET2010"/>
      <c r="XEU2010"/>
      <c r="XEV2010"/>
      <c r="XEW2010"/>
      <c r="XEX2010"/>
      <c r="XEY2010"/>
      <c r="XEZ2010"/>
      <c r="XFA2010"/>
      <c r="XFB2010"/>
      <c r="XFC2010"/>
    </row>
    <row r="2011" spans="1:20 16329:16383" s="38" customFormat="1" ht="29.1" customHeight="1" outlineLevel="6" x14ac:dyDescent="0.25">
      <c r="A2011" s="49" t="s">
        <v>3437</v>
      </c>
      <c r="B2011" s="50"/>
      <c r="C2011" s="50"/>
      <c r="D2011" s="3" t="s">
        <v>3438</v>
      </c>
      <c r="E2011" s="3"/>
      <c r="F2011" s="51"/>
      <c r="G2011" s="50" t="s">
        <v>29</v>
      </c>
      <c r="H2011" s="52">
        <f>1</f>
        <v>1</v>
      </c>
      <c r="I2011" s="36"/>
      <c r="J2011" s="52">
        <v>1</v>
      </c>
      <c r="K2011" s="53">
        <f>0</f>
        <v>0</v>
      </c>
      <c r="L2011" s="53">
        <f>0</f>
        <v>0</v>
      </c>
      <c r="M2011" s="53">
        <f>0</f>
        <v>0</v>
      </c>
      <c r="N2011" s="54">
        <f t="shared" si="399"/>
        <v>0</v>
      </c>
      <c r="O2011" s="54">
        <f t="shared" si="400"/>
        <v>0</v>
      </c>
      <c r="P2011" s="54">
        <f t="shared" si="401"/>
        <v>0</v>
      </c>
      <c r="Q2011" s="54">
        <f t="shared" si="402"/>
        <v>0</v>
      </c>
      <c r="R2011" s="54">
        <f t="shared" si="403"/>
        <v>0</v>
      </c>
      <c r="S2011" s="54"/>
      <c r="T2011" s="36"/>
      <c r="XDA2011"/>
      <c r="XDB2011"/>
      <c r="XDC2011"/>
      <c r="XDD2011"/>
      <c r="XDE2011"/>
      <c r="XDF2011"/>
      <c r="XDG2011"/>
      <c r="XDH2011"/>
      <c r="XDI2011"/>
      <c r="XDJ2011"/>
      <c r="XDK2011"/>
      <c r="XDL2011"/>
      <c r="XDM2011"/>
      <c r="XDN2011"/>
      <c r="XDO2011"/>
      <c r="XDP2011"/>
      <c r="XDQ2011"/>
      <c r="XDR2011"/>
      <c r="XDS2011"/>
      <c r="XDT2011"/>
      <c r="XDU2011"/>
      <c r="XDV2011"/>
      <c r="XDW2011"/>
      <c r="XDX2011"/>
      <c r="XDY2011"/>
      <c r="XDZ2011"/>
      <c r="XEA2011"/>
      <c r="XEB2011"/>
      <c r="XEC2011"/>
      <c r="XED2011"/>
      <c r="XEE2011"/>
      <c r="XEF2011"/>
      <c r="XEG2011"/>
      <c r="XEH2011"/>
      <c r="XEI2011"/>
      <c r="XEJ2011"/>
      <c r="XEK2011"/>
      <c r="XEL2011"/>
      <c r="XEM2011"/>
      <c r="XEN2011"/>
      <c r="XEO2011"/>
      <c r="XEP2011"/>
      <c r="XEQ2011"/>
      <c r="XER2011"/>
      <c r="XES2011"/>
      <c r="XET2011"/>
      <c r="XEU2011"/>
      <c r="XEV2011"/>
      <c r="XEW2011"/>
      <c r="XEX2011"/>
      <c r="XEY2011"/>
      <c r="XEZ2011"/>
      <c r="XFA2011"/>
      <c r="XFB2011"/>
      <c r="XFC2011"/>
    </row>
    <row r="2012" spans="1:20 16329:16383" s="38" customFormat="1" ht="29.1" customHeight="1" outlineLevel="5" x14ac:dyDescent="0.25">
      <c r="A2012" s="65" t="s">
        <v>3439</v>
      </c>
      <c r="B2012" s="66" t="s">
        <v>3440</v>
      </c>
      <c r="C2012" s="66" t="s">
        <v>3441</v>
      </c>
      <c r="D2012" s="98" t="s">
        <v>3442</v>
      </c>
      <c r="E2012" s="98"/>
      <c r="F2012" s="67"/>
      <c r="G2012" s="66" t="s">
        <v>134</v>
      </c>
      <c r="H2012" s="68"/>
      <c r="I2012" s="36"/>
      <c r="J2012" s="68"/>
      <c r="K2012" s="69"/>
      <c r="L2012" s="69"/>
      <c r="M2012" s="69"/>
      <c r="N2012" s="69"/>
      <c r="O2012" s="69">
        <f>O2013</f>
        <v>0</v>
      </c>
      <c r="P2012" s="69">
        <f>P2013</f>
        <v>0</v>
      </c>
      <c r="Q2012" s="69">
        <f>Q2013</f>
        <v>0</v>
      </c>
      <c r="R2012" s="69">
        <f>R2013</f>
        <v>0</v>
      </c>
      <c r="S2012" s="69"/>
      <c r="T2012" s="36"/>
      <c r="XDA2012"/>
      <c r="XDB2012"/>
      <c r="XDC2012"/>
      <c r="XDD2012"/>
      <c r="XDE2012"/>
      <c r="XDF2012"/>
      <c r="XDG2012"/>
      <c r="XDH2012"/>
      <c r="XDI2012"/>
      <c r="XDJ2012"/>
      <c r="XDK2012"/>
      <c r="XDL2012"/>
      <c r="XDM2012"/>
      <c r="XDN2012"/>
      <c r="XDO2012"/>
      <c r="XDP2012"/>
      <c r="XDQ2012"/>
      <c r="XDR2012"/>
      <c r="XDS2012"/>
      <c r="XDT2012"/>
      <c r="XDU2012"/>
      <c r="XDV2012"/>
      <c r="XDW2012"/>
      <c r="XDX2012"/>
      <c r="XDY2012"/>
      <c r="XDZ2012"/>
      <c r="XEA2012"/>
      <c r="XEB2012"/>
      <c r="XEC2012"/>
      <c r="XED2012"/>
      <c r="XEE2012"/>
      <c r="XEF2012"/>
      <c r="XEG2012"/>
      <c r="XEH2012"/>
      <c r="XEI2012"/>
      <c r="XEJ2012"/>
      <c r="XEK2012"/>
      <c r="XEL2012"/>
      <c r="XEM2012"/>
      <c r="XEN2012"/>
      <c r="XEO2012"/>
      <c r="XEP2012"/>
      <c r="XEQ2012"/>
      <c r="XER2012"/>
      <c r="XES2012"/>
      <c r="XET2012"/>
      <c r="XEU2012"/>
      <c r="XEV2012"/>
      <c r="XEW2012"/>
      <c r="XEX2012"/>
      <c r="XEY2012"/>
      <c r="XEZ2012"/>
      <c r="XFA2012"/>
      <c r="XFB2012"/>
      <c r="XFC2012"/>
    </row>
    <row r="2013" spans="1:20 16329:16383" s="38" customFormat="1" ht="29.1" customHeight="1" outlineLevel="6" x14ac:dyDescent="0.25">
      <c r="A2013" s="49" t="s">
        <v>3443</v>
      </c>
      <c r="B2013" s="50"/>
      <c r="C2013" s="50"/>
      <c r="D2013" s="3" t="s">
        <v>3444</v>
      </c>
      <c r="E2013" s="3"/>
      <c r="F2013" s="51"/>
      <c r="G2013" s="50" t="s">
        <v>29</v>
      </c>
      <c r="H2013" s="52">
        <f>1</f>
        <v>1</v>
      </c>
      <c r="I2013" s="36"/>
      <c r="J2013" s="52">
        <v>1</v>
      </c>
      <c r="K2013" s="53">
        <f>0</f>
        <v>0</v>
      </c>
      <c r="L2013" s="53">
        <f>0</f>
        <v>0</v>
      </c>
      <c r="M2013" s="53">
        <f>0</f>
        <v>0</v>
      </c>
      <c r="N2013" s="54">
        <f>SUM(K2013:M2013)</f>
        <v>0</v>
      </c>
      <c r="O2013" s="54">
        <f>ROUND((H2013*K2013),2)</f>
        <v>0</v>
      </c>
      <c r="P2013" s="54">
        <f>ROUND((H2013*L2013),2)</f>
        <v>0</v>
      </c>
      <c r="Q2013" s="54">
        <f>ROUND((H2013*M2013),2)</f>
        <v>0</v>
      </c>
      <c r="R2013" s="54">
        <f>ROUND((H2013*N2013),2)</f>
        <v>0</v>
      </c>
      <c r="S2013" s="54"/>
      <c r="T2013" s="36"/>
      <c r="XDA2013"/>
      <c r="XDB2013"/>
      <c r="XDC2013"/>
      <c r="XDD2013"/>
      <c r="XDE2013"/>
      <c r="XDF2013"/>
      <c r="XDG2013"/>
      <c r="XDH2013"/>
      <c r="XDI2013"/>
      <c r="XDJ2013"/>
      <c r="XDK2013"/>
      <c r="XDL2013"/>
      <c r="XDM2013"/>
      <c r="XDN2013"/>
      <c r="XDO2013"/>
      <c r="XDP2013"/>
      <c r="XDQ2013"/>
      <c r="XDR2013"/>
      <c r="XDS2013"/>
      <c r="XDT2013"/>
      <c r="XDU2013"/>
      <c r="XDV2013"/>
      <c r="XDW2013"/>
      <c r="XDX2013"/>
      <c r="XDY2013"/>
      <c r="XDZ2013"/>
      <c r="XEA2013"/>
      <c r="XEB2013"/>
      <c r="XEC2013"/>
      <c r="XED2013"/>
      <c r="XEE2013"/>
      <c r="XEF2013"/>
      <c r="XEG2013"/>
      <c r="XEH2013"/>
      <c r="XEI2013"/>
      <c r="XEJ2013"/>
      <c r="XEK2013"/>
      <c r="XEL2013"/>
      <c r="XEM2013"/>
      <c r="XEN2013"/>
      <c r="XEO2013"/>
      <c r="XEP2013"/>
      <c r="XEQ2013"/>
      <c r="XER2013"/>
      <c r="XES2013"/>
      <c r="XET2013"/>
      <c r="XEU2013"/>
      <c r="XEV2013"/>
      <c r="XEW2013"/>
      <c r="XEX2013"/>
      <c r="XEY2013"/>
      <c r="XEZ2013"/>
      <c r="XFA2013"/>
      <c r="XFB2013"/>
      <c r="XFC2013"/>
    </row>
    <row r="2014" spans="1:20 16329:16383" s="38" customFormat="1" ht="29.1" customHeight="1" outlineLevel="4" x14ac:dyDescent="0.25">
      <c r="A2014" s="60" t="s">
        <v>3445</v>
      </c>
      <c r="B2014" s="61" t="s">
        <v>3446</v>
      </c>
      <c r="C2014" s="61" t="s">
        <v>3447</v>
      </c>
      <c r="D2014" s="1" t="s">
        <v>3448</v>
      </c>
      <c r="E2014" s="1"/>
      <c r="F2014" s="62"/>
      <c r="G2014" s="61" t="s">
        <v>29</v>
      </c>
      <c r="H2014" s="63"/>
      <c r="I2014" s="36"/>
      <c r="J2014" s="63"/>
      <c r="K2014" s="64"/>
      <c r="L2014" s="64"/>
      <c r="M2014" s="64"/>
      <c r="N2014" s="64"/>
      <c r="O2014" s="64">
        <f>O2015+O2019+O2023</f>
        <v>0</v>
      </c>
      <c r="P2014" s="64">
        <f>P2015+P2019+P2023</f>
        <v>0</v>
      </c>
      <c r="Q2014" s="64">
        <f>Q2015+Q2019+Q2023</f>
        <v>0</v>
      </c>
      <c r="R2014" s="64">
        <f>R2015+R2019+R2023</f>
        <v>0</v>
      </c>
      <c r="S2014" s="64"/>
      <c r="T2014" s="36"/>
      <c r="XDA2014"/>
      <c r="XDB2014"/>
      <c r="XDC2014"/>
      <c r="XDD2014"/>
      <c r="XDE2014"/>
      <c r="XDF2014"/>
      <c r="XDG2014"/>
      <c r="XDH2014"/>
      <c r="XDI2014"/>
      <c r="XDJ2014"/>
      <c r="XDK2014"/>
      <c r="XDL2014"/>
      <c r="XDM2014"/>
      <c r="XDN2014"/>
      <c r="XDO2014"/>
      <c r="XDP2014"/>
      <c r="XDQ2014"/>
      <c r="XDR2014"/>
      <c r="XDS2014"/>
      <c r="XDT2014"/>
      <c r="XDU2014"/>
      <c r="XDV2014"/>
      <c r="XDW2014"/>
      <c r="XDX2014"/>
      <c r="XDY2014"/>
      <c r="XDZ2014"/>
      <c r="XEA2014"/>
      <c r="XEB2014"/>
      <c r="XEC2014"/>
      <c r="XED2014"/>
      <c r="XEE2014"/>
      <c r="XEF2014"/>
      <c r="XEG2014"/>
      <c r="XEH2014"/>
      <c r="XEI2014"/>
      <c r="XEJ2014"/>
      <c r="XEK2014"/>
      <c r="XEL2014"/>
      <c r="XEM2014"/>
      <c r="XEN2014"/>
      <c r="XEO2014"/>
      <c r="XEP2014"/>
      <c r="XEQ2014"/>
      <c r="XER2014"/>
      <c r="XES2014"/>
      <c r="XET2014"/>
      <c r="XEU2014"/>
      <c r="XEV2014"/>
      <c r="XEW2014"/>
      <c r="XEX2014"/>
      <c r="XEY2014"/>
      <c r="XEZ2014"/>
      <c r="XFA2014"/>
      <c r="XFB2014"/>
      <c r="XFC2014"/>
    </row>
    <row r="2015" spans="1:20 16329:16383" s="38" customFormat="1" ht="29.1" customHeight="1" outlineLevel="5" x14ac:dyDescent="0.25">
      <c r="A2015" s="65" t="s">
        <v>3449</v>
      </c>
      <c r="B2015" s="66" t="s">
        <v>3450</v>
      </c>
      <c r="C2015" s="66" t="s">
        <v>3451</v>
      </c>
      <c r="D2015" s="98" t="s">
        <v>3452</v>
      </c>
      <c r="E2015" s="98"/>
      <c r="F2015" s="67"/>
      <c r="G2015" s="66" t="s">
        <v>3285</v>
      </c>
      <c r="H2015" s="68"/>
      <c r="I2015" s="36"/>
      <c r="J2015" s="68"/>
      <c r="K2015" s="69"/>
      <c r="L2015" s="69"/>
      <c r="M2015" s="69"/>
      <c r="N2015" s="69"/>
      <c r="O2015" s="69">
        <f>SUM(O2016:O2018)</f>
        <v>0</v>
      </c>
      <c r="P2015" s="69">
        <f>SUM(P2016:P2018)</f>
        <v>0</v>
      </c>
      <c r="Q2015" s="69">
        <f>SUM(Q2016:Q2018)</f>
        <v>0</v>
      </c>
      <c r="R2015" s="69">
        <f>SUM(R2016:R2018)</f>
        <v>0</v>
      </c>
      <c r="S2015" s="69"/>
      <c r="T2015" s="36"/>
      <c r="XDA2015"/>
      <c r="XDB2015"/>
      <c r="XDC2015"/>
      <c r="XDD2015"/>
      <c r="XDE2015"/>
      <c r="XDF2015"/>
      <c r="XDG2015"/>
      <c r="XDH2015"/>
      <c r="XDI2015"/>
      <c r="XDJ2015"/>
      <c r="XDK2015"/>
      <c r="XDL2015"/>
      <c r="XDM2015"/>
      <c r="XDN2015"/>
      <c r="XDO2015"/>
      <c r="XDP2015"/>
      <c r="XDQ2015"/>
      <c r="XDR2015"/>
      <c r="XDS2015"/>
      <c r="XDT2015"/>
      <c r="XDU2015"/>
      <c r="XDV2015"/>
      <c r="XDW2015"/>
      <c r="XDX2015"/>
      <c r="XDY2015"/>
      <c r="XDZ2015"/>
      <c r="XEA2015"/>
      <c r="XEB2015"/>
      <c r="XEC2015"/>
      <c r="XED2015"/>
      <c r="XEE2015"/>
      <c r="XEF2015"/>
      <c r="XEG2015"/>
      <c r="XEH2015"/>
      <c r="XEI2015"/>
      <c r="XEJ2015"/>
      <c r="XEK2015"/>
      <c r="XEL2015"/>
      <c r="XEM2015"/>
      <c r="XEN2015"/>
      <c r="XEO2015"/>
      <c r="XEP2015"/>
      <c r="XEQ2015"/>
      <c r="XER2015"/>
      <c r="XES2015"/>
      <c r="XET2015"/>
      <c r="XEU2015"/>
      <c r="XEV2015"/>
      <c r="XEW2015"/>
      <c r="XEX2015"/>
      <c r="XEY2015"/>
      <c r="XEZ2015"/>
      <c r="XFA2015"/>
      <c r="XFB2015"/>
      <c r="XFC2015"/>
    </row>
    <row r="2016" spans="1:20 16329:16383" s="38" customFormat="1" ht="29.1" customHeight="1" outlineLevel="6" x14ac:dyDescent="0.25">
      <c r="A2016" s="49" t="s">
        <v>3453</v>
      </c>
      <c r="B2016" s="50"/>
      <c r="C2016" s="50"/>
      <c r="D2016" s="3" t="s">
        <v>3454</v>
      </c>
      <c r="E2016" s="3"/>
      <c r="F2016" s="51"/>
      <c r="G2016" s="50" t="s">
        <v>29</v>
      </c>
      <c r="H2016" s="52">
        <f>1</f>
        <v>1</v>
      </c>
      <c r="I2016" s="36"/>
      <c r="J2016" s="52">
        <v>1</v>
      </c>
      <c r="K2016" s="53">
        <f>0</f>
        <v>0</v>
      </c>
      <c r="L2016" s="53">
        <f>0</f>
        <v>0</v>
      </c>
      <c r="M2016" s="53">
        <f>0</f>
        <v>0</v>
      </c>
      <c r="N2016" s="54">
        <f>SUM(K2016:M2016)</f>
        <v>0</v>
      </c>
      <c r="O2016" s="54">
        <f>ROUND((H2016*K2016),2)</f>
        <v>0</v>
      </c>
      <c r="P2016" s="54">
        <f>ROUND((H2016*L2016),2)</f>
        <v>0</v>
      </c>
      <c r="Q2016" s="54">
        <f>ROUND((H2016*M2016),2)</f>
        <v>0</v>
      </c>
      <c r="R2016" s="54">
        <f>ROUND((H2016*N2016),2)</f>
        <v>0</v>
      </c>
      <c r="S2016" s="54"/>
      <c r="T2016" s="36"/>
      <c r="XDA2016"/>
      <c r="XDB2016"/>
      <c r="XDC2016"/>
      <c r="XDD2016"/>
      <c r="XDE2016"/>
      <c r="XDF2016"/>
      <c r="XDG2016"/>
      <c r="XDH2016"/>
      <c r="XDI2016"/>
      <c r="XDJ2016"/>
      <c r="XDK2016"/>
      <c r="XDL2016"/>
      <c r="XDM2016"/>
      <c r="XDN2016"/>
      <c r="XDO2016"/>
      <c r="XDP2016"/>
      <c r="XDQ2016"/>
      <c r="XDR2016"/>
      <c r="XDS2016"/>
      <c r="XDT2016"/>
      <c r="XDU2016"/>
      <c r="XDV2016"/>
      <c r="XDW2016"/>
      <c r="XDX2016"/>
      <c r="XDY2016"/>
      <c r="XDZ2016"/>
      <c r="XEA2016"/>
      <c r="XEB2016"/>
      <c r="XEC2016"/>
      <c r="XED2016"/>
      <c r="XEE2016"/>
      <c r="XEF2016"/>
      <c r="XEG2016"/>
      <c r="XEH2016"/>
      <c r="XEI2016"/>
      <c r="XEJ2016"/>
      <c r="XEK2016"/>
      <c r="XEL2016"/>
      <c r="XEM2016"/>
      <c r="XEN2016"/>
      <c r="XEO2016"/>
      <c r="XEP2016"/>
      <c r="XEQ2016"/>
      <c r="XER2016"/>
      <c r="XES2016"/>
      <c r="XET2016"/>
      <c r="XEU2016"/>
      <c r="XEV2016"/>
      <c r="XEW2016"/>
      <c r="XEX2016"/>
      <c r="XEY2016"/>
      <c r="XEZ2016"/>
      <c r="XFA2016"/>
      <c r="XFB2016"/>
      <c r="XFC2016"/>
    </row>
    <row r="2017" spans="1:20 16329:16383" s="38" customFormat="1" ht="29.1" customHeight="1" outlineLevel="6" x14ac:dyDescent="0.25">
      <c r="A2017" s="49" t="s">
        <v>3455</v>
      </c>
      <c r="B2017" s="50"/>
      <c r="C2017" s="50"/>
      <c r="D2017" s="3" t="s">
        <v>3456</v>
      </c>
      <c r="E2017" s="3"/>
      <c r="F2017" s="51"/>
      <c r="G2017" s="50" t="s">
        <v>29</v>
      </c>
      <c r="H2017" s="52">
        <f>1</f>
        <v>1</v>
      </c>
      <c r="I2017" s="36"/>
      <c r="J2017" s="52">
        <v>1</v>
      </c>
      <c r="K2017" s="53">
        <f>0</f>
        <v>0</v>
      </c>
      <c r="L2017" s="53">
        <f>0</f>
        <v>0</v>
      </c>
      <c r="M2017" s="53">
        <f>0</f>
        <v>0</v>
      </c>
      <c r="N2017" s="54">
        <f>SUM(K2017:M2017)</f>
        <v>0</v>
      </c>
      <c r="O2017" s="54">
        <f>ROUND((H2017*K2017),2)</f>
        <v>0</v>
      </c>
      <c r="P2017" s="54">
        <f>ROUND((H2017*L2017),2)</f>
        <v>0</v>
      </c>
      <c r="Q2017" s="54">
        <f>ROUND((H2017*M2017),2)</f>
        <v>0</v>
      </c>
      <c r="R2017" s="54">
        <f>ROUND((H2017*N2017),2)</f>
        <v>0</v>
      </c>
      <c r="S2017" s="54"/>
      <c r="T2017" s="36"/>
      <c r="XDA2017"/>
      <c r="XDB2017"/>
      <c r="XDC2017"/>
      <c r="XDD2017"/>
      <c r="XDE2017"/>
      <c r="XDF2017"/>
      <c r="XDG2017"/>
      <c r="XDH2017"/>
      <c r="XDI2017"/>
      <c r="XDJ2017"/>
      <c r="XDK2017"/>
      <c r="XDL2017"/>
      <c r="XDM2017"/>
      <c r="XDN2017"/>
      <c r="XDO2017"/>
      <c r="XDP2017"/>
      <c r="XDQ2017"/>
      <c r="XDR2017"/>
      <c r="XDS2017"/>
      <c r="XDT2017"/>
      <c r="XDU2017"/>
      <c r="XDV2017"/>
      <c r="XDW2017"/>
      <c r="XDX2017"/>
      <c r="XDY2017"/>
      <c r="XDZ2017"/>
      <c r="XEA2017"/>
      <c r="XEB2017"/>
      <c r="XEC2017"/>
      <c r="XED2017"/>
      <c r="XEE2017"/>
      <c r="XEF2017"/>
      <c r="XEG2017"/>
      <c r="XEH2017"/>
      <c r="XEI2017"/>
      <c r="XEJ2017"/>
      <c r="XEK2017"/>
      <c r="XEL2017"/>
      <c r="XEM2017"/>
      <c r="XEN2017"/>
      <c r="XEO2017"/>
      <c r="XEP2017"/>
      <c r="XEQ2017"/>
      <c r="XER2017"/>
      <c r="XES2017"/>
      <c r="XET2017"/>
      <c r="XEU2017"/>
      <c r="XEV2017"/>
      <c r="XEW2017"/>
      <c r="XEX2017"/>
      <c r="XEY2017"/>
      <c r="XEZ2017"/>
      <c r="XFA2017"/>
      <c r="XFB2017"/>
      <c r="XFC2017"/>
    </row>
    <row r="2018" spans="1:20 16329:16383" s="38" customFormat="1" ht="29.1" customHeight="1" outlineLevel="6" x14ac:dyDescent="0.25">
      <c r="A2018" s="49" t="s">
        <v>3457</v>
      </c>
      <c r="B2018" s="50"/>
      <c r="C2018" s="50"/>
      <c r="D2018" s="3" t="s">
        <v>3458</v>
      </c>
      <c r="E2018" s="3"/>
      <c r="F2018" s="51"/>
      <c r="G2018" s="50" t="s">
        <v>29</v>
      </c>
      <c r="H2018" s="52">
        <f>1</f>
        <v>1</v>
      </c>
      <c r="I2018" s="36"/>
      <c r="J2018" s="52">
        <v>1</v>
      </c>
      <c r="K2018" s="53">
        <f>0</f>
        <v>0</v>
      </c>
      <c r="L2018" s="53">
        <f>0</f>
        <v>0</v>
      </c>
      <c r="M2018" s="53">
        <f>0</f>
        <v>0</v>
      </c>
      <c r="N2018" s="54">
        <f>SUM(K2018:M2018)</f>
        <v>0</v>
      </c>
      <c r="O2018" s="54">
        <f>ROUND((H2018*K2018),2)</f>
        <v>0</v>
      </c>
      <c r="P2018" s="54">
        <f>ROUND((H2018*L2018),2)</f>
        <v>0</v>
      </c>
      <c r="Q2018" s="54">
        <f>ROUND((H2018*M2018),2)</f>
        <v>0</v>
      </c>
      <c r="R2018" s="54">
        <f>ROUND((H2018*N2018),2)</f>
        <v>0</v>
      </c>
      <c r="S2018" s="54"/>
      <c r="T2018" s="36"/>
      <c r="XDA2018"/>
      <c r="XDB2018"/>
      <c r="XDC2018"/>
      <c r="XDD2018"/>
      <c r="XDE2018"/>
      <c r="XDF2018"/>
      <c r="XDG2018"/>
      <c r="XDH2018"/>
      <c r="XDI2018"/>
      <c r="XDJ2018"/>
      <c r="XDK2018"/>
      <c r="XDL2018"/>
      <c r="XDM2018"/>
      <c r="XDN2018"/>
      <c r="XDO2018"/>
      <c r="XDP2018"/>
      <c r="XDQ2018"/>
      <c r="XDR2018"/>
      <c r="XDS2018"/>
      <c r="XDT2018"/>
      <c r="XDU2018"/>
      <c r="XDV2018"/>
      <c r="XDW2018"/>
      <c r="XDX2018"/>
      <c r="XDY2018"/>
      <c r="XDZ2018"/>
      <c r="XEA2018"/>
      <c r="XEB2018"/>
      <c r="XEC2018"/>
      <c r="XED2018"/>
      <c r="XEE2018"/>
      <c r="XEF2018"/>
      <c r="XEG2018"/>
      <c r="XEH2018"/>
      <c r="XEI2018"/>
      <c r="XEJ2018"/>
      <c r="XEK2018"/>
      <c r="XEL2018"/>
      <c r="XEM2018"/>
      <c r="XEN2018"/>
      <c r="XEO2018"/>
      <c r="XEP2018"/>
      <c r="XEQ2018"/>
      <c r="XER2018"/>
      <c r="XES2018"/>
      <c r="XET2018"/>
      <c r="XEU2018"/>
      <c r="XEV2018"/>
      <c r="XEW2018"/>
      <c r="XEX2018"/>
      <c r="XEY2018"/>
      <c r="XEZ2018"/>
      <c r="XFA2018"/>
      <c r="XFB2018"/>
      <c r="XFC2018"/>
    </row>
    <row r="2019" spans="1:20 16329:16383" s="38" customFormat="1" ht="29.1" customHeight="1" outlineLevel="5" x14ac:dyDescent="0.25">
      <c r="A2019" s="65" t="s">
        <v>3459</v>
      </c>
      <c r="B2019" s="66" t="s">
        <v>3460</v>
      </c>
      <c r="C2019" s="66" t="s">
        <v>3461</v>
      </c>
      <c r="D2019" s="98" t="s">
        <v>3462</v>
      </c>
      <c r="E2019" s="98"/>
      <c r="F2019" s="67"/>
      <c r="G2019" s="66" t="s">
        <v>134</v>
      </c>
      <c r="H2019" s="68"/>
      <c r="I2019" s="36"/>
      <c r="J2019" s="68"/>
      <c r="K2019" s="69"/>
      <c r="L2019" s="69"/>
      <c r="M2019" s="69"/>
      <c r="N2019" s="69"/>
      <c r="O2019" s="69">
        <f>SUM(O2020:O2022)</f>
        <v>0</v>
      </c>
      <c r="P2019" s="69">
        <f>SUM(P2020:P2022)</f>
        <v>0</v>
      </c>
      <c r="Q2019" s="69">
        <f>SUM(Q2020:Q2022)</f>
        <v>0</v>
      </c>
      <c r="R2019" s="69">
        <f>SUM(R2020:R2022)</f>
        <v>0</v>
      </c>
      <c r="S2019" s="69"/>
      <c r="T2019" s="36"/>
      <c r="XDA2019"/>
      <c r="XDB2019"/>
      <c r="XDC2019"/>
      <c r="XDD2019"/>
      <c r="XDE2019"/>
      <c r="XDF2019"/>
      <c r="XDG2019"/>
      <c r="XDH2019"/>
      <c r="XDI2019"/>
      <c r="XDJ2019"/>
      <c r="XDK2019"/>
      <c r="XDL2019"/>
      <c r="XDM2019"/>
      <c r="XDN2019"/>
      <c r="XDO2019"/>
      <c r="XDP2019"/>
      <c r="XDQ2019"/>
      <c r="XDR2019"/>
      <c r="XDS2019"/>
      <c r="XDT2019"/>
      <c r="XDU2019"/>
      <c r="XDV2019"/>
      <c r="XDW2019"/>
      <c r="XDX2019"/>
      <c r="XDY2019"/>
      <c r="XDZ2019"/>
      <c r="XEA2019"/>
      <c r="XEB2019"/>
      <c r="XEC2019"/>
      <c r="XED2019"/>
      <c r="XEE2019"/>
      <c r="XEF2019"/>
      <c r="XEG2019"/>
      <c r="XEH2019"/>
      <c r="XEI2019"/>
      <c r="XEJ2019"/>
      <c r="XEK2019"/>
      <c r="XEL2019"/>
      <c r="XEM2019"/>
      <c r="XEN2019"/>
      <c r="XEO2019"/>
      <c r="XEP2019"/>
      <c r="XEQ2019"/>
      <c r="XER2019"/>
      <c r="XES2019"/>
      <c r="XET2019"/>
      <c r="XEU2019"/>
      <c r="XEV2019"/>
      <c r="XEW2019"/>
      <c r="XEX2019"/>
      <c r="XEY2019"/>
      <c r="XEZ2019"/>
      <c r="XFA2019"/>
      <c r="XFB2019"/>
      <c r="XFC2019"/>
    </row>
    <row r="2020" spans="1:20 16329:16383" s="38" customFormat="1" ht="29.1" customHeight="1" outlineLevel="6" x14ac:dyDescent="0.25">
      <c r="A2020" s="49" t="s">
        <v>3463</v>
      </c>
      <c r="B2020" s="50"/>
      <c r="C2020" s="50"/>
      <c r="D2020" s="3" t="s">
        <v>3464</v>
      </c>
      <c r="E2020" s="3"/>
      <c r="F2020" s="51"/>
      <c r="G2020" s="50" t="s">
        <v>29</v>
      </c>
      <c r="H2020" s="52">
        <f>1</f>
        <v>1</v>
      </c>
      <c r="I2020" s="36"/>
      <c r="J2020" s="52">
        <v>1</v>
      </c>
      <c r="K2020" s="53">
        <f>0</f>
        <v>0</v>
      </c>
      <c r="L2020" s="53">
        <f>0</f>
        <v>0</v>
      </c>
      <c r="M2020" s="53">
        <f>0</f>
        <v>0</v>
      </c>
      <c r="N2020" s="54">
        <f>SUM(K2020:M2020)</f>
        <v>0</v>
      </c>
      <c r="O2020" s="54">
        <f>ROUND((H2020*K2020),2)</f>
        <v>0</v>
      </c>
      <c r="P2020" s="54">
        <f>ROUND((H2020*L2020),2)</f>
        <v>0</v>
      </c>
      <c r="Q2020" s="54">
        <f>ROUND((H2020*M2020),2)</f>
        <v>0</v>
      </c>
      <c r="R2020" s="54">
        <f>ROUND((H2020*N2020),2)</f>
        <v>0</v>
      </c>
      <c r="S2020" s="54"/>
      <c r="T2020" s="36"/>
      <c r="XDA2020"/>
      <c r="XDB2020"/>
      <c r="XDC2020"/>
      <c r="XDD2020"/>
      <c r="XDE2020"/>
      <c r="XDF2020"/>
      <c r="XDG2020"/>
      <c r="XDH2020"/>
      <c r="XDI2020"/>
      <c r="XDJ2020"/>
      <c r="XDK2020"/>
      <c r="XDL2020"/>
      <c r="XDM2020"/>
      <c r="XDN2020"/>
      <c r="XDO2020"/>
      <c r="XDP2020"/>
      <c r="XDQ2020"/>
      <c r="XDR2020"/>
      <c r="XDS2020"/>
      <c r="XDT2020"/>
      <c r="XDU2020"/>
      <c r="XDV2020"/>
      <c r="XDW2020"/>
      <c r="XDX2020"/>
      <c r="XDY2020"/>
      <c r="XDZ2020"/>
      <c r="XEA2020"/>
      <c r="XEB2020"/>
      <c r="XEC2020"/>
      <c r="XED2020"/>
      <c r="XEE2020"/>
      <c r="XEF2020"/>
      <c r="XEG2020"/>
      <c r="XEH2020"/>
      <c r="XEI2020"/>
      <c r="XEJ2020"/>
      <c r="XEK2020"/>
      <c r="XEL2020"/>
      <c r="XEM2020"/>
      <c r="XEN2020"/>
      <c r="XEO2020"/>
      <c r="XEP2020"/>
      <c r="XEQ2020"/>
      <c r="XER2020"/>
      <c r="XES2020"/>
      <c r="XET2020"/>
      <c r="XEU2020"/>
      <c r="XEV2020"/>
      <c r="XEW2020"/>
      <c r="XEX2020"/>
      <c r="XEY2020"/>
      <c r="XEZ2020"/>
      <c r="XFA2020"/>
      <c r="XFB2020"/>
      <c r="XFC2020"/>
    </row>
    <row r="2021" spans="1:20 16329:16383" s="38" customFormat="1" ht="29.1" customHeight="1" outlineLevel="6" x14ac:dyDescent="0.25">
      <c r="A2021" s="49" t="s">
        <v>3465</v>
      </c>
      <c r="B2021" s="50"/>
      <c r="C2021" s="50"/>
      <c r="D2021" s="3" t="s">
        <v>3466</v>
      </c>
      <c r="E2021" s="3"/>
      <c r="F2021" s="51"/>
      <c r="G2021" s="50" t="s">
        <v>29</v>
      </c>
      <c r="H2021" s="52">
        <f>1</f>
        <v>1</v>
      </c>
      <c r="I2021" s="36"/>
      <c r="J2021" s="52">
        <v>1</v>
      </c>
      <c r="K2021" s="53">
        <f>0</f>
        <v>0</v>
      </c>
      <c r="L2021" s="53">
        <f>0</f>
        <v>0</v>
      </c>
      <c r="M2021" s="53">
        <f>0</f>
        <v>0</v>
      </c>
      <c r="N2021" s="54">
        <f>SUM(K2021:M2021)</f>
        <v>0</v>
      </c>
      <c r="O2021" s="54">
        <f>ROUND((H2021*K2021),2)</f>
        <v>0</v>
      </c>
      <c r="P2021" s="54">
        <f>ROUND((H2021*L2021),2)</f>
        <v>0</v>
      </c>
      <c r="Q2021" s="54">
        <f>ROUND((H2021*M2021),2)</f>
        <v>0</v>
      </c>
      <c r="R2021" s="54">
        <f>ROUND((H2021*N2021),2)</f>
        <v>0</v>
      </c>
      <c r="S2021" s="54"/>
      <c r="T2021" s="36"/>
      <c r="XDA2021"/>
      <c r="XDB2021"/>
      <c r="XDC2021"/>
      <c r="XDD2021"/>
      <c r="XDE2021"/>
      <c r="XDF2021"/>
      <c r="XDG2021"/>
      <c r="XDH2021"/>
      <c r="XDI2021"/>
      <c r="XDJ2021"/>
      <c r="XDK2021"/>
      <c r="XDL2021"/>
      <c r="XDM2021"/>
      <c r="XDN2021"/>
      <c r="XDO2021"/>
      <c r="XDP2021"/>
      <c r="XDQ2021"/>
      <c r="XDR2021"/>
      <c r="XDS2021"/>
      <c r="XDT2021"/>
      <c r="XDU2021"/>
      <c r="XDV2021"/>
      <c r="XDW2021"/>
      <c r="XDX2021"/>
      <c r="XDY2021"/>
      <c r="XDZ2021"/>
      <c r="XEA2021"/>
      <c r="XEB2021"/>
      <c r="XEC2021"/>
      <c r="XED2021"/>
      <c r="XEE2021"/>
      <c r="XEF2021"/>
      <c r="XEG2021"/>
      <c r="XEH2021"/>
      <c r="XEI2021"/>
      <c r="XEJ2021"/>
      <c r="XEK2021"/>
      <c r="XEL2021"/>
      <c r="XEM2021"/>
      <c r="XEN2021"/>
      <c r="XEO2021"/>
      <c r="XEP2021"/>
      <c r="XEQ2021"/>
      <c r="XER2021"/>
      <c r="XES2021"/>
      <c r="XET2021"/>
      <c r="XEU2021"/>
      <c r="XEV2021"/>
      <c r="XEW2021"/>
      <c r="XEX2021"/>
      <c r="XEY2021"/>
      <c r="XEZ2021"/>
      <c r="XFA2021"/>
      <c r="XFB2021"/>
      <c r="XFC2021"/>
    </row>
    <row r="2022" spans="1:20 16329:16383" s="38" customFormat="1" ht="29.1" customHeight="1" outlineLevel="6" x14ac:dyDescent="0.25">
      <c r="A2022" s="49" t="s">
        <v>3467</v>
      </c>
      <c r="B2022" s="50"/>
      <c r="C2022" s="50"/>
      <c r="D2022" s="3" t="s">
        <v>3468</v>
      </c>
      <c r="E2022" s="3"/>
      <c r="F2022" s="51"/>
      <c r="G2022" s="50" t="s">
        <v>29</v>
      </c>
      <c r="H2022" s="52">
        <f>1</f>
        <v>1</v>
      </c>
      <c r="I2022" s="36"/>
      <c r="J2022" s="52">
        <v>1</v>
      </c>
      <c r="K2022" s="53">
        <f>0</f>
        <v>0</v>
      </c>
      <c r="L2022" s="53">
        <f>0</f>
        <v>0</v>
      </c>
      <c r="M2022" s="53">
        <f>0</f>
        <v>0</v>
      </c>
      <c r="N2022" s="54">
        <f>SUM(K2022:M2022)</f>
        <v>0</v>
      </c>
      <c r="O2022" s="54">
        <f>ROUND((H2022*K2022),2)</f>
        <v>0</v>
      </c>
      <c r="P2022" s="54">
        <f>ROUND((H2022*L2022),2)</f>
        <v>0</v>
      </c>
      <c r="Q2022" s="54">
        <f>ROUND((H2022*M2022),2)</f>
        <v>0</v>
      </c>
      <c r="R2022" s="54">
        <f>ROUND((H2022*N2022),2)</f>
        <v>0</v>
      </c>
      <c r="S2022" s="54"/>
      <c r="T2022" s="36"/>
      <c r="XDA2022"/>
      <c r="XDB2022"/>
      <c r="XDC2022"/>
      <c r="XDD2022"/>
      <c r="XDE2022"/>
      <c r="XDF2022"/>
      <c r="XDG2022"/>
      <c r="XDH2022"/>
      <c r="XDI2022"/>
      <c r="XDJ2022"/>
      <c r="XDK2022"/>
      <c r="XDL2022"/>
      <c r="XDM2022"/>
      <c r="XDN2022"/>
      <c r="XDO2022"/>
      <c r="XDP2022"/>
      <c r="XDQ2022"/>
      <c r="XDR2022"/>
      <c r="XDS2022"/>
      <c r="XDT2022"/>
      <c r="XDU2022"/>
      <c r="XDV2022"/>
      <c r="XDW2022"/>
      <c r="XDX2022"/>
      <c r="XDY2022"/>
      <c r="XDZ2022"/>
      <c r="XEA2022"/>
      <c r="XEB2022"/>
      <c r="XEC2022"/>
      <c r="XED2022"/>
      <c r="XEE2022"/>
      <c r="XEF2022"/>
      <c r="XEG2022"/>
      <c r="XEH2022"/>
      <c r="XEI2022"/>
      <c r="XEJ2022"/>
      <c r="XEK2022"/>
      <c r="XEL2022"/>
      <c r="XEM2022"/>
      <c r="XEN2022"/>
      <c r="XEO2022"/>
      <c r="XEP2022"/>
      <c r="XEQ2022"/>
      <c r="XER2022"/>
      <c r="XES2022"/>
      <c r="XET2022"/>
      <c r="XEU2022"/>
      <c r="XEV2022"/>
      <c r="XEW2022"/>
      <c r="XEX2022"/>
      <c r="XEY2022"/>
      <c r="XEZ2022"/>
      <c r="XFA2022"/>
      <c r="XFB2022"/>
      <c r="XFC2022"/>
    </row>
    <row r="2023" spans="1:20 16329:16383" s="38" customFormat="1" ht="29.1" customHeight="1" outlineLevel="5" x14ac:dyDescent="0.25">
      <c r="A2023" s="65" t="s">
        <v>3469</v>
      </c>
      <c r="B2023" s="66" t="s">
        <v>3470</v>
      </c>
      <c r="C2023" s="66" t="s">
        <v>3471</v>
      </c>
      <c r="D2023" s="98" t="s">
        <v>3472</v>
      </c>
      <c r="E2023" s="98"/>
      <c r="F2023" s="67"/>
      <c r="G2023" s="66" t="s">
        <v>134</v>
      </c>
      <c r="H2023" s="68"/>
      <c r="I2023" s="36"/>
      <c r="J2023" s="68"/>
      <c r="K2023" s="69"/>
      <c r="L2023" s="69"/>
      <c r="M2023" s="69"/>
      <c r="N2023" s="69"/>
      <c r="O2023" s="69">
        <f>SUM(O2024:O2032)</f>
        <v>0</v>
      </c>
      <c r="P2023" s="69">
        <f>SUM(P2024:P2032)</f>
        <v>0</v>
      </c>
      <c r="Q2023" s="69">
        <f>SUM(Q2024:Q2032)</f>
        <v>0</v>
      </c>
      <c r="R2023" s="69">
        <f>SUM(R2024:R2032)</f>
        <v>0</v>
      </c>
      <c r="S2023" s="69"/>
      <c r="T2023" s="36"/>
      <c r="XDA2023"/>
      <c r="XDB2023"/>
      <c r="XDC2023"/>
      <c r="XDD2023"/>
      <c r="XDE2023"/>
      <c r="XDF2023"/>
      <c r="XDG2023"/>
      <c r="XDH2023"/>
      <c r="XDI2023"/>
      <c r="XDJ2023"/>
      <c r="XDK2023"/>
      <c r="XDL2023"/>
      <c r="XDM2023"/>
      <c r="XDN2023"/>
      <c r="XDO2023"/>
      <c r="XDP2023"/>
      <c r="XDQ2023"/>
      <c r="XDR2023"/>
      <c r="XDS2023"/>
      <c r="XDT2023"/>
      <c r="XDU2023"/>
      <c r="XDV2023"/>
      <c r="XDW2023"/>
      <c r="XDX2023"/>
      <c r="XDY2023"/>
      <c r="XDZ2023"/>
      <c r="XEA2023"/>
      <c r="XEB2023"/>
      <c r="XEC2023"/>
      <c r="XED2023"/>
      <c r="XEE2023"/>
      <c r="XEF2023"/>
      <c r="XEG2023"/>
      <c r="XEH2023"/>
      <c r="XEI2023"/>
      <c r="XEJ2023"/>
      <c r="XEK2023"/>
      <c r="XEL2023"/>
      <c r="XEM2023"/>
      <c r="XEN2023"/>
      <c r="XEO2023"/>
      <c r="XEP2023"/>
      <c r="XEQ2023"/>
      <c r="XER2023"/>
      <c r="XES2023"/>
      <c r="XET2023"/>
      <c r="XEU2023"/>
      <c r="XEV2023"/>
      <c r="XEW2023"/>
      <c r="XEX2023"/>
      <c r="XEY2023"/>
      <c r="XEZ2023"/>
      <c r="XFA2023"/>
      <c r="XFB2023"/>
      <c r="XFC2023"/>
    </row>
    <row r="2024" spans="1:20 16329:16383" s="38" customFormat="1" ht="29.1" customHeight="1" outlineLevel="6" x14ac:dyDescent="0.25">
      <c r="A2024" s="49" t="s">
        <v>3473</v>
      </c>
      <c r="B2024" s="50"/>
      <c r="C2024" s="50"/>
      <c r="D2024" s="3" t="s">
        <v>3474</v>
      </c>
      <c r="E2024" s="3"/>
      <c r="F2024" s="51"/>
      <c r="G2024" s="50" t="s">
        <v>29</v>
      </c>
      <c r="H2024" s="52">
        <f>1</f>
        <v>1</v>
      </c>
      <c r="I2024" s="36"/>
      <c r="J2024" s="52">
        <v>1</v>
      </c>
      <c r="K2024" s="53">
        <f>0</f>
        <v>0</v>
      </c>
      <c r="L2024" s="53">
        <f>0</f>
        <v>0</v>
      </c>
      <c r="M2024" s="53">
        <f>0</f>
        <v>0</v>
      </c>
      <c r="N2024" s="54">
        <f t="shared" ref="N2024:N2032" si="404">SUM(K2024:M2024)</f>
        <v>0</v>
      </c>
      <c r="O2024" s="54">
        <f t="shared" ref="O2024:O2032" si="405">ROUND((H2024*K2024),2)</f>
        <v>0</v>
      </c>
      <c r="P2024" s="54">
        <f t="shared" ref="P2024:P2032" si="406">ROUND((H2024*L2024),2)</f>
        <v>0</v>
      </c>
      <c r="Q2024" s="54">
        <f t="shared" ref="Q2024:Q2032" si="407">ROUND((H2024*M2024),2)</f>
        <v>0</v>
      </c>
      <c r="R2024" s="54">
        <f t="shared" ref="R2024:R2032" si="408">ROUND((H2024*N2024),2)</f>
        <v>0</v>
      </c>
      <c r="S2024" s="54"/>
      <c r="T2024" s="36"/>
      <c r="XDA2024"/>
      <c r="XDB2024"/>
      <c r="XDC2024"/>
      <c r="XDD2024"/>
      <c r="XDE2024"/>
      <c r="XDF2024"/>
      <c r="XDG2024"/>
      <c r="XDH2024"/>
      <c r="XDI2024"/>
      <c r="XDJ2024"/>
      <c r="XDK2024"/>
      <c r="XDL2024"/>
      <c r="XDM2024"/>
      <c r="XDN2024"/>
      <c r="XDO2024"/>
      <c r="XDP2024"/>
      <c r="XDQ2024"/>
      <c r="XDR2024"/>
      <c r="XDS2024"/>
      <c r="XDT2024"/>
      <c r="XDU2024"/>
      <c r="XDV2024"/>
      <c r="XDW2024"/>
      <c r="XDX2024"/>
      <c r="XDY2024"/>
      <c r="XDZ2024"/>
      <c r="XEA2024"/>
      <c r="XEB2024"/>
      <c r="XEC2024"/>
      <c r="XED2024"/>
      <c r="XEE2024"/>
      <c r="XEF2024"/>
      <c r="XEG2024"/>
      <c r="XEH2024"/>
      <c r="XEI2024"/>
      <c r="XEJ2024"/>
      <c r="XEK2024"/>
      <c r="XEL2024"/>
      <c r="XEM2024"/>
      <c r="XEN2024"/>
      <c r="XEO2024"/>
      <c r="XEP2024"/>
      <c r="XEQ2024"/>
      <c r="XER2024"/>
      <c r="XES2024"/>
      <c r="XET2024"/>
      <c r="XEU2024"/>
      <c r="XEV2024"/>
      <c r="XEW2024"/>
      <c r="XEX2024"/>
      <c r="XEY2024"/>
      <c r="XEZ2024"/>
      <c r="XFA2024"/>
      <c r="XFB2024"/>
      <c r="XFC2024"/>
    </row>
    <row r="2025" spans="1:20 16329:16383" s="38" customFormat="1" ht="29.1" customHeight="1" outlineLevel="6" x14ac:dyDescent="0.25">
      <c r="A2025" s="49" t="s">
        <v>3475</v>
      </c>
      <c r="B2025" s="50"/>
      <c r="C2025" s="50"/>
      <c r="D2025" s="3" t="s">
        <v>3476</v>
      </c>
      <c r="E2025" s="3"/>
      <c r="F2025" s="51"/>
      <c r="G2025" s="50" t="s">
        <v>29</v>
      </c>
      <c r="H2025" s="52">
        <f>1</f>
        <v>1</v>
      </c>
      <c r="I2025" s="36"/>
      <c r="J2025" s="52">
        <v>1</v>
      </c>
      <c r="K2025" s="53">
        <f>0</f>
        <v>0</v>
      </c>
      <c r="L2025" s="53">
        <f>0</f>
        <v>0</v>
      </c>
      <c r="M2025" s="53">
        <f>0</f>
        <v>0</v>
      </c>
      <c r="N2025" s="54">
        <f t="shared" si="404"/>
        <v>0</v>
      </c>
      <c r="O2025" s="54">
        <f t="shared" si="405"/>
        <v>0</v>
      </c>
      <c r="P2025" s="54">
        <f t="shared" si="406"/>
        <v>0</v>
      </c>
      <c r="Q2025" s="54">
        <f t="shared" si="407"/>
        <v>0</v>
      </c>
      <c r="R2025" s="54">
        <f t="shared" si="408"/>
        <v>0</v>
      </c>
      <c r="S2025" s="54"/>
      <c r="T2025" s="36"/>
      <c r="XDA2025"/>
      <c r="XDB2025"/>
      <c r="XDC2025"/>
      <c r="XDD2025"/>
      <c r="XDE2025"/>
      <c r="XDF2025"/>
      <c r="XDG2025"/>
      <c r="XDH2025"/>
      <c r="XDI2025"/>
      <c r="XDJ2025"/>
      <c r="XDK2025"/>
      <c r="XDL2025"/>
      <c r="XDM2025"/>
      <c r="XDN2025"/>
      <c r="XDO2025"/>
      <c r="XDP2025"/>
      <c r="XDQ2025"/>
      <c r="XDR2025"/>
      <c r="XDS2025"/>
      <c r="XDT2025"/>
      <c r="XDU2025"/>
      <c r="XDV2025"/>
      <c r="XDW2025"/>
      <c r="XDX2025"/>
      <c r="XDY2025"/>
      <c r="XDZ2025"/>
      <c r="XEA2025"/>
      <c r="XEB2025"/>
      <c r="XEC2025"/>
      <c r="XED2025"/>
      <c r="XEE2025"/>
      <c r="XEF2025"/>
      <c r="XEG2025"/>
      <c r="XEH2025"/>
      <c r="XEI2025"/>
      <c r="XEJ2025"/>
      <c r="XEK2025"/>
      <c r="XEL2025"/>
      <c r="XEM2025"/>
      <c r="XEN2025"/>
      <c r="XEO2025"/>
      <c r="XEP2025"/>
      <c r="XEQ2025"/>
      <c r="XER2025"/>
      <c r="XES2025"/>
      <c r="XET2025"/>
      <c r="XEU2025"/>
      <c r="XEV2025"/>
      <c r="XEW2025"/>
      <c r="XEX2025"/>
      <c r="XEY2025"/>
      <c r="XEZ2025"/>
      <c r="XFA2025"/>
      <c r="XFB2025"/>
      <c r="XFC2025"/>
    </row>
    <row r="2026" spans="1:20 16329:16383" s="38" customFormat="1" ht="29.1" customHeight="1" outlineLevel="6" x14ac:dyDescent="0.25">
      <c r="A2026" s="49" t="s">
        <v>3477</v>
      </c>
      <c r="B2026" s="50"/>
      <c r="C2026" s="50"/>
      <c r="D2026" s="3" t="s">
        <v>3478</v>
      </c>
      <c r="E2026" s="3"/>
      <c r="F2026" s="51"/>
      <c r="G2026" s="50" t="s">
        <v>29</v>
      </c>
      <c r="H2026" s="52">
        <f>1</f>
        <v>1</v>
      </c>
      <c r="I2026" s="36"/>
      <c r="J2026" s="52">
        <v>1</v>
      </c>
      <c r="K2026" s="53">
        <f>0</f>
        <v>0</v>
      </c>
      <c r="L2026" s="53">
        <f>0</f>
        <v>0</v>
      </c>
      <c r="M2026" s="53">
        <f>0</f>
        <v>0</v>
      </c>
      <c r="N2026" s="54">
        <f t="shared" si="404"/>
        <v>0</v>
      </c>
      <c r="O2026" s="54">
        <f t="shared" si="405"/>
        <v>0</v>
      </c>
      <c r="P2026" s="54">
        <f t="shared" si="406"/>
        <v>0</v>
      </c>
      <c r="Q2026" s="54">
        <f t="shared" si="407"/>
        <v>0</v>
      </c>
      <c r="R2026" s="54">
        <f t="shared" si="408"/>
        <v>0</v>
      </c>
      <c r="S2026" s="54"/>
      <c r="T2026" s="36"/>
      <c r="XDA2026"/>
      <c r="XDB2026"/>
      <c r="XDC2026"/>
      <c r="XDD2026"/>
      <c r="XDE2026"/>
      <c r="XDF2026"/>
      <c r="XDG2026"/>
      <c r="XDH2026"/>
      <c r="XDI2026"/>
      <c r="XDJ2026"/>
      <c r="XDK2026"/>
      <c r="XDL2026"/>
      <c r="XDM2026"/>
      <c r="XDN2026"/>
      <c r="XDO2026"/>
      <c r="XDP2026"/>
      <c r="XDQ2026"/>
      <c r="XDR2026"/>
      <c r="XDS2026"/>
      <c r="XDT2026"/>
      <c r="XDU2026"/>
      <c r="XDV2026"/>
      <c r="XDW2026"/>
      <c r="XDX2026"/>
      <c r="XDY2026"/>
      <c r="XDZ2026"/>
      <c r="XEA2026"/>
      <c r="XEB2026"/>
      <c r="XEC2026"/>
      <c r="XED2026"/>
      <c r="XEE2026"/>
      <c r="XEF2026"/>
      <c r="XEG2026"/>
      <c r="XEH2026"/>
      <c r="XEI2026"/>
      <c r="XEJ2026"/>
      <c r="XEK2026"/>
      <c r="XEL2026"/>
      <c r="XEM2026"/>
      <c r="XEN2026"/>
      <c r="XEO2026"/>
      <c r="XEP2026"/>
      <c r="XEQ2026"/>
      <c r="XER2026"/>
      <c r="XES2026"/>
      <c r="XET2026"/>
      <c r="XEU2026"/>
      <c r="XEV2026"/>
      <c r="XEW2026"/>
      <c r="XEX2026"/>
      <c r="XEY2026"/>
      <c r="XEZ2026"/>
      <c r="XFA2026"/>
      <c r="XFB2026"/>
      <c r="XFC2026"/>
    </row>
    <row r="2027" spans="1:20 16329:16383" s="38" customFormat="1" ht="29.1" customHeight="1" outlineLevel="6" x14ac:dyDescent="0.25">
      <c r="A2027" s="49" t="s">
        <v>3479</v>
      </c>
      <c r="B2027" s="50"/>
      <c r="C2027" s="50"/>
      <c r="D2027" s="3" t="s">
        <v>3480</v>
      </c>
      <c r="E2027" s="3"/>
      <c r="F2027" s="51"/>
      <c r="G2027" s="50" t="s">
        <v>29</v>
      </c>
      <c r="H2027" s="52">
        <f>1</f>
        <v>1</v>
      </c>
      <c r="I2027" s="36"/>
      <c r="J2027" s="52">
        <v>1</v>
      </c>
      <c r="K2027" s="53">
        <f>0</f>
        <v>0</v>
      </c>
      <c r="L2027" s="53">
        <f>0</f>
        <v>0</v>
      </c>
      <c r="M2027" s="53">
        <f>0</f>
        <v>0</v>
      </c>
      <c r="N2027" s="54">
        <f t="shared" si="404"/>
        <v>0</v>
      </c>
      <c r="O2027" s="54">
        <f t="shared" si="405"/>
        <v>0</v>
      </c>
      <c r="P2027" s="54">
        <f t="shared" si="406"/>
        <v>0</v>
      </c>
      <c r="Q2027" s="54">
        <f t="shared" si="407"/>
        <v>0</v>
      </c>
      <c r="R2027" s="54">
        <f t="shared" si="408"/>
        <v>0</v>
      </c>
      <c r="S2027" s="54"/>
      <c r="T2027" s="36"/>
      <c r="XDA2027"/>
      <c r="XDB2027"/>
      <c r="XDC2027"/>
      <c r="XDD2027"/>
      <c r="XDE2027"/>
      <c r="XDF2027"/>
      <c r="XDG2027"/>
      <c r="XDH2027"/>
      <c r="XDI2027"/>
      <c r="XDJ2027"/>
      <c r="XDK2027"/>
      <c r="XDL2027"/>
      <c r="XDM2027"/>
      <c r="XDN2027"/>
      <c r="XDO2027"/>
      <c r="XDP2027"/>
      <c r="XDQ2027"/>
      <c r="XDR2027"/>
      <c r="XDS2027"/>
      <c r="XDT2027"/>
      <c r="XDU2027"/>
      <c r="XDV2027"/>
      <c r="XDW2027"/>
      <c r="XDX2027"/>
      <c r="XDY2027"/>
      <c r="XDZ2027"/>
      <c r="XEA2027"/>
      <c r="XEB2027"/>
      <c r="XEC2027"/>
      <c r="XED2027"/>
      <c r="XEE2027"/>
      <c r="XEF2027"/>
      <c r="XEG2027"/>
      <c r="XEH2027"/>
      <c r="XEI2027"/>
      <c r="XEJ2027"/>
      <c r="XEK2027"/>
      <c r="XEL2027"/>
      <c r="XEM2027"/>
      <c r="XEN2027"/>
      <c r="XEO2027"/>
      <c r="XEP2027"/>
      <c r="XEQ2027"/>
      <c r="XER2027"/>
      <c r="XES2027"/>
      <c r="XET2027"/>
      <c r="XEU2027"/>
      <c r="XEV2027"/>
      <c r="XEW2027"/>
      <c r="XEX2027"/>
      <c r="XEY2027"/>
      <c r="XEZ2027"/>
      <c r="XFA2027"/>
      <c r="XFB2027"/>
      <c r="XFC2027"/>
    </row>
    <row r="2028" spans="1:20 16329:16383" s="38" customFormat="1" ht="29.1" customHeight="1" outlineLevel="6" x14ac:dyDescent="0.25">
      <c r="A2028" s="49" t="s">
        <v>3481</v>
      </c>
      <c r="B2028" s="50"/>
      <c r="C2028" s="50"/>
      <c r="D2028" s="3" t="s">
        <v>3482</v>
      </c>
      <c r="E2028" s="3"/>
      <c r="F2028" s="51"/>
      <c r="G2028" s="50" t="s">
        <v>29</v>
      </c>
      <c r="H2028" s="52">
        <f>1</f>
        <v>1</v>
      </c>
      <c r="I2028" s="36"/>
      <c r="J2028" s="52">
        <v>1</v>
      </c>
      <c r="K2028" s="53">
        <f>0</f>
        <v>0</v>
      </c>
      <c r="L2028" s="53">
        <f>0</f>
        <v>0</v>
      </c>
      <c r="M2028" s="53">
        <f>0</f>
        <v>0</v>
      </c>
      <c r="N2028" s="54">
        <f t="shared" si="404"/>
        <v>0</v>
      </c>
      <c r="O2028" s="54">
        <f t="shared" si="405"/>
        <v>0</v>
      </c>
      <c r="P2028" s="54">
        <f t="shared" si="406"/>
        <v>0</v>
      </c>
      <c r="Q2028" s="54">
        <f t="shared" si="407"/>
        <v>0</v>
      </c>
      <c r="R2028" s="54">
        <f t="shared" si="408"/>
        <v>0</v>
      </c>
      <c r="S2028" s="54"/>
      <c r="T2028" s="36"/>
      <c r="XDA2028"/>
      <c r="XDB2028"/>
      <c r="XDC2028"/>
      <c r="XDD2028"/>
      <c r="XDE2028"/>
      <c r="XDF2028"/>
      <c r="XDG2028"/>
      <c r="XDH2028"/>
      <c r="XDI2028"/>
      <c r="XDJ2028"/>
      <c r="XDK2028"/>
      <c r="XDL2028"/>
      <c r="XDM2028"/>
      <c r="XDN2028"/>
      <c r="XDO2028"/>
      <c r="XDP2028"/>
      <c r="XDQ2028"/>
      <c r="XDR2028"/>
      <c r="XDS2028"/>
      <c r="XDT2028"/>
      <c r="XDU2028"/>
      <c r="XDV2028"/>
      <c r="XDW2028"/>
      <c r="XDX2028"/>
      <c r="XDY2028"/>
      <c r="XDZ2028"/>
      <c r="XEA2028"/>
      <c r="XEB2028"/>
      <c r="XEC2028"/>
      <c r="XED2028"/>
      <c r="XEE2028"/>
      <c r="XEF2028"/>
      <c r="XEG2028"/>
      <c r="XEH2028"/>
      <c r="XEI2028"/>
      <c r="XEJ2028"/>
      <c r="XEK2028"/>
      <c r="XEL2028"/>
      <c r="XEM2028"/>
      <c r="XEN2028"/>
      <c r="XEO2028"/>
      <c r="XEP2028"/>
      <c r="XEQ2028"/>
      <c r="XER2028"/>
      <c r="XES2028"/>
      <c r="XET2028"/>
      <c r="XEU2028"/>
      <c r="XEV2028"/>
      <c r="XEW2028"/>
      <c r="XEX2028"/>
      <c r="XEY2028"/>
      <c r="XEZ2028"/>
      <c r="XFA2028"/>
      <c r="XFB2028"/>
      <c r="XFC2028"/>
    </row>
    <row r="2029" spans="1:20 16329:16383" s="38" customFormat="1" ht="29.1" customHeight="1" outlineLevel="6" x14ac:dyDescent="0.25">
      <c r="A2029" s="49" t="s">
        <v>3483</v>
      </c>
      <c r="B2029" s="50"/>
      <c r="C2029" s="50"/>
      <c r="D2029" s="3" t="s">
        <v>3484</v>
      </c>
      <c r="E2029" s="3"/>
      <c r="F2029" s="51"/>
      <c r="G2029" s="50" t="s">
        <v>29</v>
      </c>
      <c r="H2029" s="52">
        <f>1</f>
        <v>1</v>
      </c>
      <c r="I2029" s="36"/>
      <c r="J2029" s="52">
        <v>1</v>
      </c>
      <c r="K2029" s="53">
        <f>0</f>
        <v>0</v>
      </c>
      <c r="L2029" s="53">
        <f>0</f>
        <v>0</v>
      </c>
      <c r="M2029" s="53">
        <f>0</f>
        <v>0</v>
      </c>
      <c r="N2029" s="54">
        <f t="shared" si="404"/>
        <v>0</v>
      </c>
      <c r="O2029" s="54">
        <f t="shared" si="405"/>
        <v>0</v>
      </c>
      <c r="P2029" s="54">
        <f t="shared" si="406"/>
        <v>0</v>
      </c>
      <c r="Q2029" s="54">
        <f t="shared" si="407"/>
        <v>0</v>
      </c>
      <c r="R2029" s="54">
        <f t="shared" si="408"/>
        <v>0</v>
      </c>
      <c r="S2029" s="54"/>
      <c r="T2029" s="36"/>
      <c r="XDA2029"/>
      <c r="XDB2029"/>
      <c r="XDC2029"/>
      <c r="XDD2029"/>
      <c r="XDE2029"/>
      <c r="XDF2029"/>
      <c r="XDG2029"/>
      <c r="XDH2029"/>
      <c r="XDI2029"/>
      <c r="XDJ2029"/>
      <c r="XDK2029"/>
      <c r="XDL2029"/>
      <c r="XDM2029"/>
      <c r="XDN2029"/>
      <c r="XDO2029"/>
      <c r="XDP2029"/>
      <c r="XDQ2029"/>
      <c r="XDR2029"/>
      <c r="XDS2029"/>
      <c r="XDT2029"/>
      <c r="XDU2029"/>
      <c r="XDV2029"/>
      <c r="XDW2029"/>
      <c r="XDX2029"/>
      <c r="XDY2029"/>
      <c r="XDZ2029"/>
      <c r="XEA2029"/>
      <c r="XEB2029"/>
      <c r="XEC2029"/>
      <c r="XED2029"/>
      <c r="XEE2029"/>
      <c r="XEF2029"/>
      <c r="XEG2029"/>
      <c r="XEH2029"/>
      <c r="XEI2029"/>
      <c r="XEJ2029"/>
      <c r="XEK2029"/>
      <c r="XEL2029"/>
      <c r="XEM2029"/>
      <c r="XEN2029"/>
      <c r="XEO2029"/>
      <c r="XEP2029"/>
      <c r="XEQ2029"/>
      <c r="XER2029"/>
      <c r="XES2029"/>
      <c r="XET2029"/>
      <c r="XEU2029"/>
      <c r="XEV2029"/>
      <c r="XEW2029"/>
      <c r="XEX2029"/>
      <c r="XEY2029"/>
      <c r="XEZ2029"/>
      <c r="XFA2029"/>
      <c r="XFB2029"/>
      <c r="XFC2029"/>
    </row>
    <row r="2030" spans="1:20 16329:16383" s="38" customFormat="1" ht="29.1" customHeight="1" outlineLevel="6" x14ac:dyDescent="0.25">
      <c r="A2030" s="49" t="s">
        <v>3485</v>
      </c>
      <c r="B2030" s="50"/>
      <c r="C2030" s="50"/>
      <c r="D2030" s="3" t="s">
        <v>3486</v>
      </c>
      <c r="E2030" s="3"/>
      <c r="F2030" s="51"/>
      <c r="G2030" s="50" t="s">
        <v>29</v>
      </c>
      <c r="H2030" s="52">
        <f>1</f>
        <v>1</v>
      </c>
      <c r="I2030" s="36"/>
      <c r="J2030" s="52">
        <v>1</v>
      </c>
      <c r="K2030" s="53">
        <f>0</f>
        <v>0</v>
      </c>
      <c r="L2030" s="53">
        <f>0</f>
        <v>0</v>
      </c>
      <c r="M2030" s="53">
        <f>0</f>
        <v>0</v>
      </c>
      <c r="N2030" s="54">
        <f t="shared" si="404"/>
        <v>0</v>
      </c>
      <c r="O2030" s="54">
        <f t="shared" si="405"/>
        <v>0</v>
      </c>
      <c r="P2030" s="54">
        <f t="shared" si="406"/>
        <v>0</v>
      </c>
      <c r="Q2030" s="54">
        <f t="shared" si="407"/>
        <v>0</v>
      </c>
      <c r="R2030" s="54">
        <f t="shared" si="408"/>
        <v>0</v>
      </c>
      <c r="S2030" s="54"/>
      <c r="T2030" s="36"/>
      <c r="XDA2030"/>
      <c r="XDB2030"/>
      <c r="XDC2030"/>
      <c r="XDD2030"/>
      <c r="XDE2030"/>
      <c r="XDF2030"/>
      <c r="XDG2030"/>
      <c r="XDH2030"/>
      <c r="XDI2030"/>
      <c r="XDJ2030"/>
      <c r="XDK2030"/>
      <c r="XDL2030"/>
      <c r="XDM2030"/>
      <c r="XDN2030"/>
      <c r="XDO2030"/>
      <c r="XDP2030"/>
      <c r="XDQ2030"/>
      <c r="XDR2030"/>
      <c r="XDS2030"/>
      <c r="XDT2030"/>
      <c r="XDU2030"/>
      <c r="XDV2030"/>
      <c r="XDW2030"/>
      <c r="XDX2030"/>
      <c r="XDY2030"/>
      <c r="XDZ2030"/>
      <c r="XEA2030"/>
      <c r="XEB2030"/>
      <c r="XEC2030"/>
      <c r="XED2030"/>
      <c r="XEE2030"/>
      <c r="XEF2030"/>
      <c r="XEG2030"/>
      <c r="XEH2030"/>
      <c r="XEI2030"/>
      <c r="XEJ2030"/>
      <c r="XEK2030"/>
      <c r="XEL2030"/>
      <c r="XEM2030"/>
      <c r="XEN2030"/>
      <c r="XEO2030"/>
      <c r="XEP2030"/>
      <c r="XEQ2030"/>
      <c r="XER2030"/>
      <c r="XES2030"/>
      <c r="XET2030"/>
      <c r="XEU2030"/>
      <c r="XEV2030"/>
      <c r="XEW2030"/>
      <c r="XEX2030"/>
      <c r="XEY2030"/>
      <c r="XEZ2030"/>
      <c r="XFA2030"/>
      <c r="XFB2030"/>
      <c r="XFC2030"/>
    </row>
    <row r="2031" spans="1:20 16329:16383" s="38" customFormat="1" ht="29.1" customHeight="1" outlineLevel="6" x14ac:dyDescent="0.25">
      <c r="A2031" s="49" t="s">
        <v>3487</v>
      </c>
      <c r="B2031" s="50"/>
      <c r="C2031" s="50"/>
      <c r="D2031" s="3" t="s">
        <v>3488</v>
      </c>
      <c r="E2031" s="3"/>
      <c r="F2031" s="51"/>
      <c r="G2031" s="50" t="s">
        <v>29</v>
      </c>
      <c r="H2031" s="52">
        <f>1</f>
        <v>1</v>
      </c>
      <c r="I2031" s="36"/>
      <c r="J2031" s="52">
        <v>1</v>
      </c>
      <c r="K2031" s="53">
        <f>0</f>
        <v>0</v>
      </c>
      <c r="L2031" s="53">
        <f>0</f>
        <v>0</v>
      </c>
      <c r="M2031" s="53">
        <f>0</f>
        <v>0</v>
      </c>
      <c r="N2031" s="54">
        <f t="shared" si="404"/>
        <v>0</v>
      </c>
      <c r="O2031" s="54">
        <f t="shared" si="405"/>
        <v>0</v>
      </c>
      <c r="P2031" s="54">
        <f t="shared" si="406"/>
        <v>0</v>
      </c>
      <c r="Q2031" s="54">
        <f t="shared" si="407"/>
        <v>0</v>
      </c>
      <c r="R2031" s="54">
        <f t="shared" si="408"/>
        <v>0</v>
      </c>
      <c r="S2031" s="54"/>
      <c r="T2031" s="36"/>
      <c r="XDA2031"/>
      <c r="XDB2031"/>
      <c r="XDC2031"/>
      <c r="XDD2031"/>
      <c r="XDE2031"/>
      <c r="XDF2031"/>
      <c r="XDG2031"/>
      <c r="XDH2031"/>
      <c r="XDI2031"/>
      <c r="XDJ2031"/>
      <c r="XDK2031"/>
      <c r="XDL2031"/>
      <c r="XDM2031"/>
      <c r="XDN2031"/>
      <c r="XDO2031"/>
      <c r="XDP2031"/>
      <c r="XDQ2031"/>
      <c r="XDR2031"/>
      <c r="XDS2031"/>
      <c r="XDT2031"/>
      <c r="XDU2031"/>
      <c r="XDV2031"/>
      <c r="XDW2031"/>
      <c r="XDX2031"/>
      <c r="XDY2031"/>
      <c r="XDZ2031"/>
      <c r="XEA2031"/>
      <c r="XEB2031"/>
      <c r="XEC2031"/>
      <c r="XED2031"/>
      <c r="XEE2031"/>
      <c r="XEF2031"/>
      <c r="XEG2031"/>
      <c r="XEH2031"/>
      <c r="XEI2031"/>
      <c r="XEJ2031"/>
      <c r="XEK2031"/>
      <c r="XEL2031"/>
      <c r="XEM2031"/>
      <c r="XEN2031"/>
      <c r="XEO2031"/>
      <c r="XEP2031"/>
      <c r="XEQ2031"/>
      <c r="XER2031"/>
      <c r="XES2031"/>
      <c r="XET2031"/>
      <c r="XEU2031"/>
      <c r="XEV2031"/>
      <c r="XEW2031"/>
      <c r="XEX2031"/>
      <c r="XEY2031"/>
      <c r="XEZ2031"/>
      <c r="XFA2031"/>
      <c r="XFB2031"/>
      <c r="XFC2031"/>
    </row>
    <row r="2032" spans="1:20 16329:16383" s="38" customFormat="1" ht="29.1" customHeight="1" outlineLevel="6" x14ac:dyDescent="0.25">
      <c r="A2032" s="49" t="s">
        <v>3489</v>
      </c>
      <c r="B2032" s="50"/>
      <c r="C2032" s="50"/>
      <c r="D2032" s="3" t="s">
        <v>3490</v>
      </c>
      <c r="E2032" s="3"/>
      <c r="F2032" s="51"/>
      <c r="G2032" s="50" t="s">
        <v>29</v>
      </c>
      <c r="H2032" s="52">
        <f>1</f>
        <v>1</v>
      </c>
      <c r="I2032" s="36"/>
      <c r="J2032" s="52">
        <v>1</v>
      </c>
      <c r="K2032" s="53">
        <f>0</f>
        <v>0</v>
      </c>
      <c r="L2032" s="53">
        <f>0</f>
        <v>0</v>
      </c>
      <c r="M2032" s="53">
        <f>0</f>
        <v>0</v>
      </c>
      <c r="N2032" s="54">
        <f t="shared" si="404"/>
        <v>0</v>
      </c>
      <c r="O2032" s="54">
        <f t="shared" si="405"/>
        <v>0</v>
      </c>
      <c r="P2032" s="54">
        <f t="shared" si="406"/>
        <v>0</v>
      </c>
      <c r="Q2032" s="54">
        <f t="shared" si="407"/>
        <v>0</v>
      </c>
      <c r="R2032" s="54">
        <f t="shared" si="408"/>
        <v>0</v>
      </c>
      <c r="S2032" s="54"/>
      <c r="T2032" s="36"/>
      <c r="XDA2032"/>
      <c r="XDB2032"/>
      <c r="XDC2032"/>
      <c r="XDD2032"/>
      <c r="XDE2032"/>
      <c r="XDF2032"/>
      <c r="XDG2032"/>
      <c r="XDH2032"/>
      <c r="XDI2032"/>
      <c r="XDJ2032"/>
      <c r="XDK2032"/>
      <c r="XDL2032"/>
      <c r="XDM2032"/>
      <c r="XDN2032"/>
      <c r="XDO2032"/>
      <c r="XDP2032"/>
      <c r="XDQ2032"/>
      <c r="XDR2032"/>
      <c r="XDS2032"/>
      <c r="XDT2032"/>
      <c r="XDU2032"/>
      <c r="XDV2032"/>
      <c r="XDW2032"/>
      <c r="XDX2032"/>
      <c r="XDY2032"/>
      <c r="XDZ2032"/>
      <c r="XEA2032"/>
      <c r="XEB2032"/>
      <c r="XEC2032"/>
      <c r="XED2032"/>
      <c r="XEE2032"/>
      <c r="XEF2032"/>
      <c r="XEG2032"/>
      <c r="XEH2032"/>
      <c r="XEI2032"/>
      <c r="XEJ2032"/>
      <c r="XEK2032"/>
      <c r="XEL2032"/>
      <c r="XEM2032"/>
      <c r="XEN2032"/>
      <c r="XEO2032"/>
      <c r="XEP2032"/>
      <c r="XEQ2032"/>
      <c r="XER2032"/>
      <c r="XES2032"/>
      <c r="XET2032"/>
      <c r="XEU2032"/>
      <c r="XEV2032"/>
      <c r="XEW2032"/>
      <c r="XEX2032"/>
      <c r="XEY2032"/>
      <c r="XEZ2032"/>
      <c r="XFA2032"/>
      <c r="XFB2032"/>
      <c r="XFC2032"/>
    </row>
    <row r="2033" spans="1:20 16329:16383" s="38" customFormat="1" ht="29.1" customHeight="1" outlineLevel="4" x14ac:dyDescent="0.25">
      <c r="A2033" s="60" t="s">
        <v>3491</v>
      </c>
      <c r="B2033" s="61" t="s">
        <v>3492</v>
      </c>
      <c r="C2033" s="61" t="s">
        <v>3493</v>
      </c>
      <c r="D2033" s="1" t="s">
        <v>3494</v>
      </c>
      <c r="E2033" s="1"/>
      <c r="F2033" s="62"/>
      <c r="G2033" s="61" t="s">
        <v>29</v>
      </c>
      <c r="H2033" s="63"/>
      <c r="I2033" s="36"/>
      <c r="J2033" s="63"/>
      <c r="K2033" s="64"/>
      <c r="L2033" s="64"/>
      <c r="M2033" s="64"/>
      <c r="N2033" s="64"/>
      <c r="O2033" s="64">
        <f>O2034+O2037+O2040</f>
        <v>0</v>
      </c>
      <c r="P2033" s="64">
        <f>P2034+P2037+P2040</f>
        <v>0</v>
      </c>
      <c r="Q2033" s="64">
        <f>Q2034+Q2037+Q2040</f>
        <v>0</v>
      </c>
      <c r="R2033" s="64">
        <f>R2034+R2037+R2040</f>
        <v>0</v>
      </c>
      <c r="S2033" s="64"/>
      <c r="T2033" s="36"/>
      <c r="XDA2033"/>
      <c r="XDB2033"/>
      <c r="XDC2033"/>
      <c r="XDD2033"/>
      <c r="XDE2033"/>
      <c r="XDF2033"/>
      <c r="XDG2033"/>
      <c r="XDH2033"/>
      <c r="XDI2033"/>
      <c r="XDJ2033"/>
      <c r="XDK2033"/>
      <c r="XDL2033"/>
      <c r="XDM2033"/>
      <c r="XDN2033"/>
      <c r="XDO2033"/>
      <c r="XDP2033"/>
      <c r="XDQ2033"/>
      <c r="XDR2033"/>
      <c r="XDS2033"/>
      <c r="XDT2033"/>
      <c r="XDU2033"/>
      <c r="XDV2033"/>
      <c r="XDW2033"/>
      <c r="XDX2033"/>
      <c r="XDY2033"/>
      <c r="XDZ2033"/>
      <c r="XEA2033"/>
      <c r="XEB2033"/>
      <c r="XEC2033"/>
      <c r="XED2033"/>
      <c r="XEE2033"/>
      <c r="XEF2033"/>
      <c r="XEG2033"/>
      <c r="XEH2033"/>
      <c r="XEI2033"/>
      <c r="XEJ2033"/>
      <c r="XEK2033"/>
      <c r="XEL2033"/>
      <c r="XEM2033"/>
      <c r="XEN2033"/>
      <c r="XEO2033"/>
      <c r="XEP2033"/>
      <c r="XEQ2033"/>
      <c r="XER2033"/>
      <c r="XES2033"/>
      <c r="XET2033"/>
      <c r="XEU2033"/>
      <c r="XEV2033"/>
      <c r="XEW2033"/>
      <c r="XEX2033"/>
      <c r="XEY2033"/>
      <c r="XEZ2033"/>
      <c r="XFA2033"/>
      <c r="XFB2033"/>
      <c r="XFC2033"/>
    </row>
    <row r="2034" spans="1:20 16329:16383" s="38" customFormat="1" ht="29.1" customHeight="1" outlineLevel="5" x14ac:dyDescent="0.25">
      <c r="A2034" s="65" t="s">
        <v>3495</v>
      </c>
      <c r="B2034" s="66" t="s">
        <v>3496</v>
      </c>
      <c r="C2034" s="66" t="s">
        <v>3497</v>
      </c>
      <c r="D2034" s="98" t="s">
        <v>3498</v>
      </c>
      <c r="E2034" s="98"/>
      <c r="F2034" s="67"/>
      <c r="G2034" s="66" t="s">
        <v>3285</v>
      </c>
      <c r="H2034" s="68"/>
      <c r="I2034" s="36"/>
      <c r="J2034" s="68"/>
      <c r="K2034" s="69"/>
      <c r="L2034" s="69"/>
      <c r="M2034" s="69"/>
      <c r="N2034" s="69"/>
      <c r="O2034" s="69">
        <f>O2035+O2036</f>
        <v>0</v>
      </c>
      <c r="P2034" s="69">
        <f>P2035+P2036</f>
        <v>0</v>
      </c>
      <c r="Q2034" s="69">
        <f>Q2035+Q2036</f>
        <v>0</v>
      </c>
      <c r="R2034" s="69">
        <f>R2035+R2036</f>
        <v>0</v>
      </c>
      <c r="S2034" s="69"/>
      <c r="T2034" s="36"/>
      <c r="XDA2034"/>
      <c r="XDB2034"/>
      <c r="XDC2034"/>
      <c r="XDD2034"/>
      <c r="XDE2034"/>
      <c r="XDF2034"/>
      <c r="XDG2034"/>
      <c r="XDH2034"/>
      <c r="XDI2034"/>
      <c r="XDJ2034"/>
      <c r="XDK2034"/>
      <c r="XDL2034"/>
      <c r="XDM2034"/>
      <c r="XDN2034"/>
      <c r="XDO2034"/>
      <c r="XDP2034"/>
      <c r="XDQ2034"/>
      <c r="XDR2034"/>
      <c r="XDS2034"/>
      <c r="XDT2034"/>
      <c r="XDU2034"/>
      <c r="XDV2034"/>
      <c r="XDW2034"/>
      <c r="XDX2034"/>
      <c r="XDY2034"/>
      <c r="XDZ2034"/>
      <c r="XEA2034"/>
      <c r="XEB2034"/>
      <c r="XEC2034"/>
      <c r="XED2034"/>
      <c r="XEE2034"/>
      <c r="XEF2034"/>
      <c r="XEG2034"/>
      <c r="XEH2034"/>
      <c r="XEI2034"/>
      <c r="XEJ2034"/>
      <c r="XEK2034"/>
      <c r="XEL2034"/>
      <c r="XEM2034"/>
      <c r="XEN2034"/>
      <c r="XEO2034"/>
      <c r="XEP2034"/>
      <c r="XEQ2034"/>
      <c r="XER2034"/>
      <c r="XES2034"/>
      <c r="XET2034"/>
      <c r="XEU2034"/>
      <c r="XEV2034"/>
      <c r="XEW2034"/>
      <c r="XEX2034"/>
      <c r="XEY2034"/>
      <c r="XEZ2034"/>
      <c r="XFA2034"/>
      <c r="XFB2034"/>
      <c r="XFC2034"/>
    </row>
    <row r="2035" spans="1:20 16329:16383" s="38" customFormat="1" ht="29.1" customHeight="1" outlineLevel="6" x14ac:dyDescent="0.25">
      <c r="A2035" s="49" t="s">
        <v>3499</v>
      </c>
      <c r="B2035" s="50"/>
      <c r="C2035" s="50"/>
      <c r="D2035" s="3" t="s">
        <v>3500</v>
      </c>
      <c r="E2035" s="3"/>
      <c r="F2035" s="51"/>
      <c r="G2035" s="50" t="s">
        <v>29</v>
      </c>
      <c r="H2035" s="52">
        <f>1</f>
        <v>1</v>
      </c>
      <c r="I2035" s="36"/>
      <c r="J2035" s="52">
        <v>1</v>
      </c>
      <c r="K2035" s="53">
        <f>0</f>
        <v>0</v>
      </c>
      <c r="L2035" s="53">
        <f>0</f>
        <v>0</v>
      </c>
      <c r="M2035" s="53">
        <f>0</f>
        <v>0</v>
      </c>
      <c r="N2035" s="54">
        <f>SUM(K2035:M2035)</f>
        <v>0</v>
      </c>
      <c r="O2035" s="54">
        <f>ROUND((H2035*K2035),2)</f>
        <v>0</v>
      </c>
      <c r="P2035" s="54">
        <f>ROUND((H2035*L2035),2)</f>
        <v>0</v>
      </c>
      <c r="Q2035" s="54">
        <f>ROUND((H2035*M2035),2)</f>
        <v>0</v>
      </c>
      <c r="R2035" s="54">
        <f>ROUND((H2035*N2035),2)</f>
        <v>0</v>
      </c>
      <c r="S2035" s="54"/>
      <c r="T2035" s="36"/>
      <c r="XDA2035"/>
      <c r="XDB2035"/>
      <c r="XDC2035"/>
      <c r="XDD2035"/>
      <c r="XDE2035"/>
      <c r="XDF2035"/>
      <c r="XDG2035"/>
      <c r="XDH2035"/>
      <c r="XDI2035"/>
      <c r="XDJ2035"/>
      <c r="XDK2035"/>
      <c r="XDL2035"/>
      <c r="XDM2035"/>
      <c r="XDN2035"/>
      <c r="XDO2035"/>
      <c r="XDP2035"/>
      <c r="XDQ2035"/>
      <c r="XDR2035"/>
      <c r="XDS2035"/>
      <c r="XDT2035"/>
      <c r="XDU2035"/>
      <c r="XDV2035"/>
      <c r="XDW2035"/>
      <c r="XDX2035"/>
      <c r="XDY2035"/>
      <c r="XDZ2035"/>
      <c r="XEA2035"/>
      <c r="XEB2035"/>
      <c r="XEC2035"/>
      <c r="XED2035"/>
      <c r="XEE2035"/>
      <c r="XEF2035"/>
      <c r="XEG2035"/>
      <c r="XEH2035"/>
      <c r="XEI2035"/>
      <c r="XEJ2035"/>
      <c r="XEK2035"/>
      <c r="XEL2035"/>
      <c r="XEM2035"/>
      <c r="XEN2035"/>
      <c r="XEO2035"/>
      <c r="XEP2035"/>
      <c r="XEQ2035"/>
      <c r="XER2035"/>
      <c r="XES2035"/>
      <c r="XET2035"/>
      <c r="XEU2035"/>
      <c r="XEV2035"/>
      <c r="XEW2035"/>
      <c r="XEX2035"/>
      <c r="XEY2035"/>
      <c r="XEZ2035"/>
      <c r="XFA2035"/>
      <c r="XFB2035"/>
      <c r="XFC2035"/>
    </row>
    <row r="2036" spans="1:20 16329:16383" s="38" customFormat="1" ht="29.1" customHeight="1" outlineLevel="6" x14ac:dyDescent="0.25">
      <c r="A2036" s="49" t="s">
        <v>3501</v>
      </c>
      <c r="B2036" s="50"/>
      <c r="C2036" s="50"/>
      <c r="D2036" s="3" t="s">
        <v>3502</v>
      </c>
      <c r="E2036" s="3"/>
      <c r="F2036" s="51"/>
      <c r="G2036" s="50" t="s">
        <v>29</v>
      </c>
      <c r="H2036" s="52">
        <f>1</f>
        <v>1</v>
      </c>
      <c r="I2036" s="36"/>
      <c r="J2036" s="52">
        <v>1</v>
      </c>
      <c r="K2036" s="53">
        <f>0</f>
        <v>0</v>
      </c>
      <c r="L2036" s="53">
        <f>0</f>
        <v>0</v>
      </c>
      <c r="M2036" s="53">
        <f>0</f>
        <v>0</v>
      </c>
      <c r="N2036" s="54">
        <f>SUM(K2036:M2036)</f>
        <v>0</v>
      </c>
      <c r="O2036" s="54">
        <f>ROUND((H2036*K2036),2)</f>
        <v>0</v>
      </c>
      <c r="P2036" s="54">
        <f>ROUND((H2036*L2036),2)</f>
        <v>0</v>
      </c>
      <c r="Q2036" s="54">
        <f>ROUND((H2036*M2036),2)</f>
        <v>0</v>
      </c>
      <c r="R2036" s="54">
        <f>ROUND((H2036*N2036),2)</f>
        <v>0</v>
      </c>
      <c r="S2036" s="54"/>
      <c r="T2036" s="36"/>
      <c r="XDA2036"/>
      <c r="XDB2036"/>
      <c r="XDC2036"/>
      <c r="XDD2036"/>
      <c r="XDE2036"/>
      <c r="XDF2036"/>
      <c r="XDG2036"/>
      <c r="XDH2036"/>
      <c r="XDI2036"/>
      <c r="XDJ2036"/>
      <c r="XDK2036"/>
      <c r="XDL2036"/>
      <c r="XDM2036"/>
      <c r="XDN2036"/>
      <c r="XDO2036"/>
      <c r="XDP2036"/>
      <c r="XDQ2036"/>
      <c r="XDR2036"/>
      <c r="XDS2036"/>
      <c r="XDT2036"/>
      <c r="XDU2036"/>
      <c r="XDV2036"/>
      <c r="XDW2036"/>
      <c r="XDX2036"/>
      <c r="XDY2036"/>
      <c r="XDZ2036"/>
      <c r="XEA2036"/>
      <c r="XEB2036"/>
      <c r="XEC2036"/>
      <c r="XED2036"/>
      <c r="XEE2036"/>
      <c r="XEF2036"/>
      <c r="XEG2036"/>
      <c r="XEH2036"/>
      <c r="XEI2036"/>
      <c r="XEJ2036"/>
      <c r="XEK2036"/>
      <c r="XEL2036"/>
      <c r="XEM2036"/>
      <c r="XEN2036"/>
      <c r="XEO2036"/>
      <c r="XEP2036"/>
      <c r="XEQ2036"/>
      <c r="XER2036"/>
      <c r="XES2036"/>
      <c r="XET2036"/>
      <c r="XEU2036"/>
      <c r="XEV2036"/>
      <c r="XEW2036"/>
      <c r="XEX2036"/>
      <c r="XEY2036"/>
      <c r="XEZ2036"/>
      <c r="XFA2036"/>
      <c r="XFB2036"/>
      <c r="XFC2036"/>
    </row>
    <row r="2037" spans="1:20 16329:16383" s="38" customFormat="1" ht="29.1" customHeight="1" outlineLevel="5" x14ac:dyDescent="0.25">
      <c r="A2037" s="65" t="s">
        <v>3503</v>
      </c>
      <c r="B2037" s="66" t="s">
        <v>3504</v>
      </c>
      <c r="C2037" s="66" t="s">
        <v>3505</v>
      </c>
      <c r="D2037" s="98" t="s">
        <v>3506</v>
      </c>
      <c r="E2037" s="98"/>
      <c r="F2037" s="67"/>
      <c r="G2037" s="66" t="s">
        <v>134</v>
      </c>
      <c r="H2037" s="68"/>
      <c r="I2037" s="36"/>
      <c r="J2037" s="68"/>
      <c r="K2037" s="69"/>
      <c r="L2037" s="69"/>
      <c r="M2037" s="69"/>
      <c r="N2037" s="69"/>
      <c r="O2037" s="69">
        <f>O2038+O2039</f>
        <v>0</v>
      </c>
      <c r="P2037" s="69">
        <f>P2038+P2039</f>
        <v>0</v>
      </c>
      <c r="Q2037" s="69">
        <f>Q2038+Q2039</f>
        <v>0</v>
      </c>
      <c r="R2037" s="69">
        <f>R2038+R2039</f>
        <v>0</v>
      </c>
      <c r="S2037" s="69"/>
      <c r="T2037" s="36"/>
      <c r="XDA2037"/>
      <c r="XDB2037"/>
      <c r="XDC2037"/>
      <c r="XDD2037"/>
      <c r="XDE2037"/>
      <c r="XDF2037"/>
      <c r="XDG2037"/>
      <c r="XDH2037"/>
      <c r="XDI2037"/>
      <c r="XDJ2037"/>
      <c r="XDK2037"/>
      <c r="XDL2037"/>
      <c r="XDM2037"/>
      <c r="XDN2037"/>
      <c r="XDO2037"/>
      <c r="XDP2037"/>
      <c r="XDQ2037"/>
      <c r="XDR2037"/>
      <c r="XDS2037"/>
      <c r="XDT2037"/>
      <c r="XDU2037"/>
      <c r="XDV2037"/>
      <c r="XDW2037"/>
      <c r="XDX2037"/>
      <c r="XDY2037"/>
      <c r="XDZ2037"/>
      <c r="XEA2037"/>
      <c r="XEB2037"/>
      <c r="XEC2037"/>
      <c r="XED2037"/>
      <c r="XEE2037"/>
      <c r="XEF2037"/>
      <c r="XEG2037"/>
      <c r="XEH2037"/>
      <c r="XEI2037"/>
      <c r="XEJ2037"/>
      <c r="XEK2037"/>
      <c r="XEL2037"/>
      <c r="XEM2037"/>
      <c r="XEN2037"/>
      <c r="XEO2037"/>
      <c r="XEP2037"/>
      <c r="XEQ2037"/>
      <c r="XER2037"/>
      <c r="XES2037"/>
      <c r="XET2037"/>
      <c r="XEU2037"/>
      <c r="XEV2037"/>
      <c r="XEW2037"/>
      <c r="XEX2037"/>
      <c r="XEY2037"/>
      <c r="XEZ2037"/>
      <c r="XFA2037"/>
      <c r="XFB2037"/>
      <c r="XFC2037"/>
    </row>
    <row r="2038" spans="1:20 16329:16383" s="38" customFormat="1" ht="29.1" customHeight="1" outlineLevel="6" x14ac:dyDescent="0.25">
      <c r="A2038" s="49" t="s">
        <v>3507</v>
      </c>
      <c r="B2038" s="50"/>
      <c r="C2038" s="50"/>
      <c r="D2038" s="3" t="s">
        <v>3508</v>
      </c>
      <c r="E2038" s="3"/>
      <c r="F2038" s="51"/>
      <c r="G2038" s="50" t="s">
        <v>29</v>
      </c>
      <c r="H2038" s="52">
        <f>1</f>
        <v>1</v>
      </c>
      <c r="I2038" s="36"/>
      <c r="J2038" s="52">
        <v>1</v>
      </c>
      <c r="K2038" s="53">
        <f>0</f>
        <v>0</v>
      </c>
      <c r="L2038" s="53">
        <f>0</f>
        <v>0</v>
      </c>
      <c r="M2038" s="53">
        <f>0</f>
        <v>0</v>
      </c>
      <c r="N2038" s="54">
        <f>SUM(K2038:M2038)</f>
        <v>0</v>
      </c>
      <c r="O2038" s="54">
        <f>ROUND((H2038*K2038),2)</f>
        <v>0</v>
      </c>
      <c r="P2038" s="54">
        <f>ROUND((H2038*L2038),2)</f>
        <v>0</v>
      </c>
      <c r="Q2038" s="54">
        <f>ROUND((H2038*M2038),2)</f>
        <v>0</v>
      </c>
      <c r="R2038" s="54">
        <f>ROUND((H2038*N2038),2)</f>
        <v>0</v>
      </c>
      <c r="S2038" s="54"/>
      <c r="T2038" s="36"/>
      <c r="XDA2038"/>
      <c r="XDB2038"/>
      <c r="XDC2038"/>
      <c r="XDD2038"/>
      <c r="XDE2038"/>
      <c r="XDF2038"/>
      <c r="XDG2038"/>
      <c r="XDH2038"/>
      <c r="XDI2038"/>
      <c r="XDJ2038"/>
      <c r="XDK2038"/>
      <c r="XDL2038"/>
      <c r="XDM2038"/>
      <c r="XDN2038"/>
      <c r="XDO2038"/>
      <c r="XDP2038"/>
      <c r="XDQ2038"/>
      <c r="XDR2038"/>
      <c r="XDS2038"/>
      <c r="XDT2038"/>
      <c r="XDU2038"/>
      <c r="XDV2038"/>
      <c r="XDW2038"/>
      <c r="XDX2038"/>
      <c r="XDY2038"/>
      <c r="XDZ2038"/>
      <c r="XEA2038"/>
      <c r="XEB2038"/>
      <c r="XEC2038"/>
      <c r="XED2038"/>
      <c r="XEE2038"/>
      <c r="XEF2038"/>
      <c r="XEG2038"/>
      <c r="XEH2038"/>
      <c r="XEI2038"/>
      <c r="XEJ2038"/>
      <c r="XEK2038"/>
      <c r="XEL2038"/>
      <c r="XEM2038"/>
      <c r="XEN2038"/>
      <c r="XEO2038"/>
      <c r="XEP2038"/>
      <c r="XEQ2038"/>
      <c r="XER2038"/>
      <c r="XES2038"/>
      <c r="XET2038"/>
      <c r="XEU2038"/>
      <c r="XEV2038"/>
      <c r="XEW2038"/>
      <c r="XEX2038"/>
      <c r="XEY2038"/>
      <c r="XEZ2038"/>
      <c r="XFA2038"/>
      <c r="XFB2038"/>
      <c r="XFC2038"/>
    </row>
    <row r="2039" spans="1:20 16329:16383" s="38" customFormat="1" ht="29.1" customHeight="1" outlineLevel="6" x14ac:dyDescent="0.25">
      <c r="A2039" s="49" t="s">
        <v>3509</v>
      </c>
      <c r="B2039" s="50"/>
      <c r="C2039" s="50"/>
      <c r="D2039" s="3" t="s">
        <v>3510</v>
      </c>
      <c r="E2039" s="3"/>
      <c r="F2039" s="51"/>
      <c r="G2039" s="50" t="s">
        <v>29</v>
      </c>
      <c r="H2039" s="52">
        <f>1</f>
        <v>1</v>
      </c>
      <c r="I2039" s="36"/>
      <c r="J2039" s="52">
        <v>1</v>
      </c>
      <c r="K2039" s="53">
        <f>0</f>
        <v>0</v>
      </c>
      <c r="L2039" s="53">
        <f>0</f>
        <v>0</v>
      </c>
      <c r="M2039" s="53">
        <f>0</f>
        <v>0</v>
      </c>
      <c r="N2039" s="54">
        <f>SUM(K2039:M2039)</f>
        <v>0</v>
      </c>
      <c r="O2039" s="54">
        <f>ROUND((H2039*K2039),2)</f>
        <v>0</v>
      </c>
      <c r="P2039" s="54">
        <f>ROUND((H2039*L2039),2)</f>
        <v>0</v>
      </c>
      <c r="Q2039" s="54">
        <f>ROUND((H2039*M2039),2)</f>
        <v>0</v>
      </c>
      <c r="R2039" s="54">
        <f>ROUND((H2039*N2039),2)</f>
        <v>0</v>
      </c>
      <c r="S2039" s="54"/>
      <c r="T2039" s="36"/>
      <c r="XDA2039"/>
      <c r="XDB2039"/>
      <c r="XDC2039"/>
      <c r="XDD2039"/>
      <c r="XDE2039"/>
      <c r="XDF2039"/>
      <c r="XDG2039"/>
      <c r="XDH2039"/>
      <c r="XDI2039"/>
      <c r="XDJ2039"/>
      <c r="XDK2039"/>
      <c r="XDL2039"/>
      <c r="XDM2039"/>
      <c r="XDN2039"/>
      <c r="XDO2039"/>
      <c r="XDP2039"/>
      <c r="XDQ2039"/>
      <c r="XDR2039"/>
      <c r="XDS2039"/>
      <c r="XDT2039"/>
      <c r="XDU2039"/>
      <c r="XDV2039"/>
      <c r="XDW2039"/>
      <c r="XDX2039"/>
      <c r="XDY2039"/>
      <c r="XDZ2039"/>
      <c r="XEA2039"/>
      <c r="XEB2039"/>
      <c r="XEC2039"/>
      <c r="XED2039"/>
      <c r="XEE2039"/>
      <c r="XEF2039"/>
      <c r="XEG2039"/>
      <c r="XEH2039"/>
      <c r="XEI2039"/>
      <c r="XEJ2039"/>
      <c r="XEK2039"/>
      <c r="XEL2039"/>
      <c r="XEM2039"/>
      <c r="XEN2039"/>
      <c r="XEO2039"/>
      <c r="XEP2039"/>
      <c r="XEQ2039"/>
      <c r="XER2039"/>
      <c r="XES2039"/>
      <c r="XET2039"/>
      <c r="XEU2039"/>
      <c r="XEV2039"/>
      <c r="XEW2039"/>
      <c r="XEX2039"/>
      <c r="XEY2039"/>
      <c r="XEZ2039"/>
      <c r="XFA2039"/>
      <c r="XFB2039"/>
      <c r="XFC2039"/>
    </row>
    <row r="2040" spans="1:20 16329:16383" s="38" customFormat="1" ht="29.1" customHeight="1" outlineLevel="5" x14ac:dyDescent="0.25">
      <c r="A2040" s="65" t="s">
        <v>3511</v>
      </c>
      <c r="B2040" s="66" t="s">
        <v>3512</v>
      </c>
      <c r="C2040" s="66" t="s">
        <v>3513</v>
      </c>
      <c r="D2040" s="98" t="s">
        <v>3514</v>
      </c>
      <c r="E2040" s="98"/>
      <c r="F2040" s="67"/>
      <c r="G2040" s="66" t="s">
        <v>134</v>
      </c>
      <c r="H2040" s="68"/>
      <c r="I2040" s="36"/>
      <c r="J2040" s="68"/>
      <c r="K2040" s="69"/>
      <c r="L2040" s="69"/>
      <c r="M2040" s="69"/>
      <c r="N2040" s="69"/>
      <c r="O2040" s="69">
        <f>O2041+O2042</f>
        <v>0</v>
      </c>
      <c r="P2040" s="69">
        <f>P2041+P2042</f>
        <v>0</v>
      </c>
      <c r="Q2040" s="69">
        <f>Q2041+Q2042</f>
        <v>0</v>
      </c>
      <c r="R2040" s="69">
        <f>R2041+R2042</f>
        <v>0</v>
      </c>
      <c r="S2040" s="69"/>
      <c r="T2040" s="36"/>
      <c r="XDA2040"/>
      <c r="XDB2040"/>
      <c r="XDC2040"/>
      <c r="XDD2040"/>
      <c r="XDE2040"/>
      <c r="XDF2040"/>
      <c r="XDG2040"/>
      <c r="XDH2040"/>
      <c r="XDI2040"/>
      <c r="XDJ2040"/>
      <c r="XDK2040"/>
      <c r="XDL2040"/>
      <c r="XDM2040"/>
      <c r="XDN2040"/>
      <c r="XDO2040"/>
      <c r="XDP2040"/>
      <c r="XDQ2040"/>
      <c r="XDR2040"/>
      <c r="XDS2040"/>
      <c r="XDT2040"/>
      <c r="XDU2040"/>
      <c r="XDV2040"/>
      <c r="XDW2040"/>
      <c r="XDX2040"/>
      <c r="XDY2040"/>
      <c r="XDZ2040"/>
      <c r="XEA2040"/>
      <c r="XEB2040"/>
      <c r="XEC2040"/>
      <c r="XED2040"/>
      <c r="XEE2040"/>
      <c r="XEF2040"/>
      <c r="XEG2040"/>
      <c r="XEH2040"/>
      <c r="XEI2040"/>
      <c r="XEJ2040"/>
      <c r="XEK2040"/>
      <c r="XEL2040"/>
      <c r="XEM2040"/>
      <c r="XEN2040"/>
      <c r="XEO2040"/>
      <c r="XEP2040"/>
      <c r="XEQ2040"/>
      <c r="XER2040"/>
      <c r="XES2040"/>
      <c r="XET2040"/>
      <c r="XEU2040"/>
      <c r="XEV2040"/>
      <c r="XEW2040"/>
      <c r="XEX2040"/>
      <c r="XEY2040"/>
      <c r="XEZ2040"/>
      <c r="XFA2040"/>
      <c r="XFB2040"/>
      <c r="XFC2040"/>
    </row>
    <row r="2041" spans="1:20 16329:16383" s="38" customFormat="1" ht="29.1" customHeight="1" outlineLevel="6" x14ac:dyDescent="0.25">
      <c r="A2041" s="49" t="s">
        <v>3515</v>
      </c>
      <c r="B2041" s="50"/>
      <c r="C2041" s="50"/>
      <c r="D2041" s="3" t="s">
        <v>3516</v>
      </c>
      <c r="E2041" s="3"/>
      <c r="F2041" s="51"/>
      <c r="G2041" s="50" t="s">
        <v>29</v>
      </c>
      <c r="H2041" s="52">
        <f>1</f>
        <v>1</v>
      </c>
      <c r="I2041" s="36"/>
      <c r="J2041" s="52">
        <v>1</v>
      </c>
      <c r="K2041" s="53">
        <f>0</f>
        <v>0</v>
      </c>
      <c r="L2041" s="53">
        <f>0</f>
        <v>0</v>
      </c>
      <c r="M2041" s="53">
        <f>0</f>
        <v>0</v>
      </c>
      <c r="N2041" s="54">
        <f>SUM(K2041:M2041)</f>
        <v>0</v>
      </c>
      <c r="O2041" s="54">
        <f>ROUND((H2041*K2041),2)</f>
        <v>0</v>
      </c>
      <c r="P2041" s="54">
        <f>ROUND((H2041*L2041),2)</f>
        <v>0</v>
      </c>
      <c r="Q2041" s="54">
        <f>ROUND((H2041*M2041),2)</f>
        <v>0</v>
      </c>
      <c r="R2041" s="54">
        <f>ROUND((H2041*N2041),2)</f>
        <v>0</v>
      </c>
      <c r="S2041" s="54"/>
      <c r="T2041" s="36"/>
      <c r="XDA2041"/>
      <c r="XDB2041"/>
      <c r="XDC2041"/>
      <c r="XDD2041"/>
      <c r="XDE2041"/>
      <c r="XDF2041"/>
      <c r="XDG2041"/>
      <c r="XDH2041"/>
      <c r="XDI2041"/>
      <c r="XDJ2041"/>
      <c r="XDK2041"/>
      <c r="XDL2041"/>
      <c r="XDM2041"/>
      <c r="XDN2041"/>
      <c r="XDO2041"/>
      <c r="XDP2041"/>
      <c r="XDQ2041"/>
      <c r="XDR2041"/>
      <c r="XDS2041"/>
      <c r="XDT2041"/>
      <c r="XDU2041"/>
      <c r="XDV2041"/>
      <c r="XDW2041"/>
      <c r="XDX2041"/>
      <c r="XDY2041"/>
      <c r="XDZ2041"/>
      <c r="XEA2041"/>
      <c r="XEB2041"/>
      <c r="XEC2041"/>
      <c r="XED2041"/>
      <c r="XEE2041"/>
      <c r="XEF2041"/>
      <c r="XEG2041"/>
      <c r="XEH2041"/>
      <c r="XEI2041"/>
      <c r="XEJ2041"/>
      <c r="XEK2041"/>
      <c r="XEL2041"/>
      <c r="XEM2041"/>
      <c r="XEN2041"/>
      <c r="XEO2041"/>
      <c r="XEP2041"/>
      <c r="XEQ2041"/>
      <c r="XER2041"/>
      <c r="XES2041"/>
      <c r="XET2041"/>
      <c r="XEU2041"/>
      <c r="XEV2041"/>
      <c r="XEW2041"/>
      <c r="XEX2041"/>
      <c r="XEY2041"/>
      <c r="XEZ2041"/>
      <c r="XFA2041"/>
      <c r="XFB2041"/>
      <c r="XFC2041"/>
    </row>
    <row r="2042" spans="1:20 16329:16383" s="38" customFormat="1" ht="29.1" customHeight="1" outlineLevel="6" x14ac:dyDescent="0.25">
      <c r="A2042" s="49" t="s">
        <v>3517</v>
      </c>
      <c r="B2042" s="50"/>
      <c r="C2042" s="50"/>
      <c r="D2042" s="3" t="s">
        <v>3518</v>
      </c>
      <c r="E2042" s="3"/>
      <c r="F2042" s="51"/>
      <c r="G2042" s="50" t="s">
        <v>29</v>
      </c>
      <c r="H2042" s="52">
        <f>1</f>
        <v>1</v>
      </c>
      <c r="I2042" s="36"/>
      <c r="J2042" s="52">
        <v>1</v>
      </c>
      <c r="K2042" s="53">
        <f>0</f>
        <v>0</v>
      </c>
      <c r="L2042" s="53">
        <f>0</f>
        <v>0</v>
      </c>
      <c r="M2042" s="53">
        <f>0</f>
        <v>0</v>
      </c>
      <c r="N2042" s="54">
        <f>SUM(K2042:M2042)</f>
        <v>0</v>
      </c>
      <c r="O2042" s="54">
        <f>ROUND((H2042*K2042),2)</f>
        <v>0</v>
      </c>
      <c r="P2042" s="54">
        <f>ROUND((H2042*L2042),2)</f>
        <v>0</v>
      </c>
      <c r="Q2042" s="54">
        <f>ROUND((H2042*M2042),2)</f>
        <v>0</v>
      </c>
      <c r="R2042" s="54">
        <f>ROUND((H2042*N2042),2)</f>
        <v>0</v>
      </c>
      <c r="S2042" s="54"/>
      <c r="T2042" s="36"/>
      <c r="XDA2042"/>
      <c r="XDB2042"/>
      <c r="XDC2042"/>
      <c r="XDD2042"/>
      <c r="XDE2042"/>
      <c r="XDF2042"/>
      <c r="XDG2042"/>
      <c r="XDH2042"/>
      <c r="XDI2042"/>
      <c r="XDJ2042"/>
      <c r="XDK2042"/>
      <c r="XDL2042"/>
      <c r="XDM2042"/>
      <c r="XDN2042"/>
      <c r="XDO2042"/>
      <c r="XDP2042"/>
      <c r="XDQ2042"/>
      <c r="XDR2042"/>
      <c r="XDS2042"/>
      <c r="XDT2042"/>
      <c r="XDU2042"/>
      <c r="XDV2042"/>
      <c r="XDW2042"/>
      <c r="XDX2042"/>
      <c r="XDY2042"/>
      <c r="XDZ2042"/>
      <c r="XEA2042"/>
      <c r="XEB2042"/>
      <c r="XEC2042"/>
      <c r="XED2042"/>
      <c r="XEE2042"/>
      <c r="XEF2042"/>
      <c r="XEG2042"/>
      <c r="XEH2042"/>
      <c r="XEI2042"/>
      <c r="XEJ2042"/>
      <c r="XEK2042"/>
      <c r="XEL2042"/>
      <c r="XEM2042"/>
      <c r="XEN2042"/>
      <c r="XEO2042"/>
      <c r="XEP2042"/>
      <c r="XEQ2042"/>
      <c r="XER2042"/>
      <c r="XES2042"/>
      <c r="XET2042"/>
      <c r="XEU2042"/>
      <c r="XEV2042"/>
      <c r="XEW2042"/>
      <c r="XEX2042"/>
      <c r="XEY2042"/>
      <c r="XEZ2042"/>
      <c r="XFA2042"/>
      <c r="XFB2042"/>
      <c r="XFC2042"/>
    </row>
    <row r="2043" spans="1:20 16329:16383" s="38" customFormat="1" ht="29.1" customHeight="1" outlineLevel="4" x14ac:dyDescent="0.25">
      <c r="A2043" s="60" t="s">
        <v>3519</v>
      </c>
      <c r="B2043" s="61" t="s">
        <v>3520</v>
      </c>
      <c r="C2043" s="61" t="s">
        <v>3493</v>
      </c>
      <c r="D2043" s="1" t="s">
        <v>3521</v>
      </c>
      <c r="E2043" s="1"/>
      <c r="F2043" s="62"/>
      <c r="G2043" s="61" t="s">
        <v>29</v>
      </c>
      <c r="H2043" s="63"/>
      <c r="I2043" s="36"/>
      <c r="J2043" s="63"/>
      <c r="K2043" s="64"/>
      <c r="L2043" s="64"/>
      <c r="M2043" s="64"/>
      <c r="N2043" s="64"/>
      <c r="O2043" s="64">
        <f>O2044+O2047+O2053</f>
        <v>0</v>
      </c>
      <c r="P2043" s="64">
        <f>P2044+P2047+P2053</f>
        <v>0</v>
      </c>
      <c r="Q2043" s="64">
        <f>Q2044+Q2047+Q2053</f>
        <v>0</v>
      </c>
      <c r="R2043" s="64">
        <f>R2044+R2047+R2053</f>
        <v>0</v>
      </c>
      <c r="S2043" s="64"/>
      <c r="T2043" s="36"/>
      <c r="XDA2043"/>
      <c r="XDB2043"/>
      <c r="XDC2043"/>
      <c r="XDD2043"/>
      <c r="XDE2043"/>
      <c r="XDF2043"/>
      <c r="XDG2043"/>
      <c r="XDH2043"/>
      <c r="XDI2043"/>
      <c r="XDJ2043"/>
      <c r="XDK2043"/>
      <c r="XDL2043"/>
      <c r="XDM2043"/>
      <c r="XDN2043"/>
      <c r="XDO2043"/>
      <c r="XDP2043"/>
      <c r="XDQ2043"/>
      <c r="XDR2043"/>
      <c r="XDS2043"/>
      <c r="XDT2043"/>
      <c r="XDU2043"/>
      <c r="XDV2043"/>
      <c r="XDW2043"/>
      <c r="XDX2043"/>
      <c r="XDY2043"/>
      <c r="XDZ2043"/>
      <c r="XEA2043"/>
      <c r="XEB2043"/>
      <c r="XEC2043"/>
      <c r="XED2043"/>
      <c r="XEE2043"/>
      <c r="XEF2043"/>
      <c r="XEG2043"/>
      <c r="XEH2043"/>
      <c r="XEI2043"/>
      <c r="XEJ2043"/>
      <c r="XEK2043"/>
      <c r="XEL2043"/>
      <c r="XEM2043"/>
      <c r="XEN2043"/>
      <c r="XEO2043"/>
      <c r="XEP2043"/>
      <c r="XEQ2043"/>
      <c r="XER2043"/>
      <c r="XES2043"/>
      <c r="XET2043"/>
      <c r="XEU2043"/>
      <c r="XEV2043"/>
      <c r="XEW2043"/>
      <c r="XEX2043"/>
      <c r="XEY2043"/>
      <c r="XEZ2043"/>
      <c r="XFA2043"/>
      <c r="XFB2043"/>
      <c r="XFC2043"/>
    </row>
    <row r="2044" spans="1:20 16329:16383" s="38" customFormat="1" ht="29.1" customHeight="1" outlineLevel="5" x14ac:dyDescent="0.25">
      <c r="A2044" s="65" t="s">
        <v>3522</v>
      </c>
      <c r="B2044" s="66" t="s">
        <v>3523</v>
      </c>
      <c r="C2044" s="66" t="s">
        <v>3497</v>
      </c>
      <c r="D2044" s="98" t="s">
        <v>3498</v>
      </c>
      <c r="E2044" s="98"/>
      <c r="F2044" s="67"/>
      <c r="G2044" s="66" t="s">
        <v>3285</v>
      </c>
      <c r="H2044" s="68"/>
      <c r="I2044" s="36"/>
      <c r="J2044" s="68"/>
      <c r="K2044" s="69"/>
      <c r="L2044" s="69"/>
      <c r="M2044" s="69"/>
      <c r="N2044" s="69"/>
      <c r="O2044" s="69">
        <f>O2045+O2046</f>
        <v>0</v>
      </c>
      <c r="P2044" s="69">
        <f>P2045+P2046</f>
        <v>0</v>
      </c>
      <c r="Q2044" s="69">
        <f>Q2045+Q2046</f>
        <v>0</v>
      </c>
      <c r="R2044" s="69">
        <f>R2045+R2046</f>
        <v>0</v>
      </c>
      <c r="S2044" s="69"/>
      <c r="T2044" s="36"/>
      <c r="XDA2044"/>
      <c r="XDB2044"/>
      <c r="XDC2044"/>
      <c r="XDD2044"/>
      <c r="XDE2044"/>
      <c r="XDF2044"/>
      <c r="XDG2044"/>
      <c r="XDH2044"/>
      <c r="XDI2044"/>
      <c r="XDJ2044"/>
      <c r="XDK2044"/>
      <c r="XDL2044"/>
      <c r="XDM2044"/>
      <c r="XDN2044"/>
      <c r="XDO2044"/>
      <c r="XDP2044"/>
      <c r="XDQ2044"/>
      <c r="XDR2044"/>
      <c r="XDS2044"/>
      <c r="XDT2044"/>
      <c r="XDU2044"/>
      <c r="XDV2044"/>
      <c r="XDW2044"/>
      <c r="XDX2044"/>
      <c r="XDY2044"/>
      <c r="XDZ2044"/>
      <c r="XEA2044"/>
      <c r="XEB2044"/>
      <c r="XEC2044"/>
      <c r="XED2044"/>
      <c r="XEE2044"/>
      <c r="XEF2044"/>
      <c r="XEG2044"/>
      <c r="XEH2044"/>
      <c r="XEI2044"/>
      <c r="XEJ2044"/>
      <c r="XEK2044"/>
      <c r="XEL2044"/>
      <c r="XEM2044"/>
      <c r="XEN2044"/>
      <c r="XEO2044"/>
      <c r="XEP2044"/>
      <c r="XEQ2044"/>
      <c r="XER2044"/>
      <c r="XES2044"/>
      <c r="XET2044"/>
      <c r="XEU2044"/>
      <c r="XEV2044"/>
      <c r="XEW2044"/>
      <c r="XEX2044"/>
      <c r="XEY2044"/>
      <c r="XEZ2044"/>
      <c r="XFA2044"/>
      <c r="XFB2044"/>
      <c r="XFC2044"/>
    </row>
    <row r="2045" spans="1:20 16329:16383" s="38" customFormat="1" ht="29.1" customHeight="1" outlineLevel="6" x14ac:dyDescent="0.25">
      <c r="A2045" s="49" t="s">
        <v>3524</v>
      </c>
      <c r="B2045" s="50"/>
      <c r="C2045" s="50"/>
      <c r="D2045" s="3" t="s">
        <v>3525</v>
      </c>
      <c r="E2045" s="3"/>
      <c r="F2045" s="51"/>
      <c r="G2045" s="50" t="s">
        <v>29</v>
      </c>
      <c r="H2045" s="52">
        <f>1</f>
        <v>1</v>
      </c>
      <c r="I2045" s="36"/>
      <c r="J2045" s="52">
        <v>1</v>
      </c>
      <c r="K2045" s="53">
        <f>0</f>
        <v>0</v>
      </c>
      <c r="L2045" s="53">
        <f>0</f>
        <v>0</v>
      </c>
      <c r="M2045" s="53">
        <f>0</f>
        <v>0</v>
      </c>
      <c r="N2045" s="54">
        <f>SUM(K2045:M2045)</f>
        <v>0</v>
      </c>
      <c r="O2045" s="54">
        <f>ROUND((H2045*K2045),2)</f>
        <v>0</v>
      </c>
      <c r="P2045" s="54">
        <f>ROUND((H2045*L2045),2)</f>
        <v>0</v>
      </c>
      <c r="Q2045" s="54">
        <f>ROUND((H2045*M2045),2)</f>
        <v>0</v>
      </c>
      <c r="R2045" s="54">
        <f>ROUND((H2045*N2045),2)</f>
        <v>0</v>
      </c>
      <c r="S2045" s="54"/>
      <c r="T2045" s="36"/>
      <c r="XDA2045"/>
      <c r="XDB2045"/>
      <c r="XDC2045"/>
      <c r="XDD2045"/>
      <c r="XDE2045"/>
      <c r="XDF2045"/>
      <c r="XDG2045"/>
      <c r="XDH2045"/>
      <c r="XDI2045"/>
      <c r="XDJ2045"/>
      <c r="XDK2045"/>
      <c r="XDL2045"/>
      <c r="XDM2045"/>
      <c r="XDN2045"/>
      <c r="XDO2045"/>
      <c r="XDP2045"/>
      <c r="XDQ2045"/>
      <c r="XDR2045"/>
      <c r="XDS2045"/>
      <c r="XDT2045"/>
      <c r="XDU2045"/>
      <c r="XDV2045"/>
      <c r="XDW2045"/>
      <c r="XDX2045"/>
      <c r="XDY2045"/>
      <c r="XDZ2045"/>
      <c r="XEA2045"/>
      <c r="XEB2045"/>
      <c r="XEC2045"/>
      <c r="XED2045"/>
      <c r="XEE2045"/>
      <c r="XEF2045"/>
      <c r="XEG2045"/>
      <c r="XEH2045"/>
      <c r="XEI2045"/>
      <c r="XEJ2045"/>
      <c r="XEK2045"/>
      <c r="XEL2045"/>
      <c r="XEM2045"/>
      <c r="XEN2045"/>
      <c r="XEO2045"/>
      <c r="XEP2045"/>
      <c r="XEQ2045"/>
      <c r="XER2045"/>
      <c r="XES2045"/>
      <c r="XET2045"/>
      <c r="XEU2045"/>
      <c r="XEV2045"/>
      <c r="XEW2045"/>
      <c r="XEX2045"/>
      <c r="XEY2045"/>
      <c r="XEZ2045"/>
      <c r="XFA2045"/>
      <c r="XFB2045"/>
      <c r="XFC2045"/>
    </row>
    <row r="2046" spans="1:20 16329:16383" s="38" customFormat="1" ht="29.1" customHeight="1" outlineLevel="6" x14ac:dyDescent="0.25">
      <c r="A2046" s="49" t="s">
        <v>3526</v>
      </c>
      <c r="B2046" s="50"/>
      <c r="C2046" s="50"/>
      <c r="D2046" s="3" t="s">
        <v>3527</v>
      </c>
      <c r="E2046" s="3"/>
      <c r="F2046" s="51"/>
      <c r="G2046" s="50" t="s">
        <v>29</v>
      </c>
      <c r="H2046" s="52">
        <f>1</f>
        <v>1</v>
      </c>
      <c r="I2046" s="36"/>
      <c r="J2046" s="52">
        <v>1</v>
      </c>
      <c r="K2046" s="53">
        <f>0</f>
        <v>0</v>
      </c>
      <c r="L2046" s="53">
        <f>0</f>
        <v>0</v>
      </c>
      <c r="M2046" s="53">
        <f>0</f>
        <v>0</v>
      </c>
      <c r="N2046" s="54">
        <f>SUM(K2046:M2046)</f>
        <v>0</v>
      </c>
      <c r="O2046" s="54">
        <f>ROUND((H2046*K2046),2)</f>
        <v>0</v>
      </c>
      <c r="P2046" s="54">
        <f>ROUND((H2046*L2046),2)</f>
        <v>0</v>
      </c>
      <c r="Q2046" s="54">
        <f>ROUND((H2046*M2046),2)</f>
        <v>0</v>
      </c>
      <c r="R2046" s="54">
        <f>ROUND((H2046*N2046),2)</f>
        <v>0</v>
      </c>
      <c r="S2046" s="54"/>
      <c r="T2046" s="36"/>
      <c r="XDA2046"/>
      <c r="XDB2046"/>
      <c r="XDC2046"/>
      <c r="XDD2046"/>
      <c r="XDE2046"/>
      <c r="XDF2046"/>
      <c r="XDG2046"/>
      <c r="XDH2046"/>
      <c r="XDI2046"/>
      <c r="XDJ2046"/>
      <c r="XDK2046"/>
      <c r="XDL2046"/>
      <c r="XDM2046"/>
      <c r="XDN2046"/>
      <c r="XDO2046"/>
      <c r="XDP2046"/>
      <c r="XDQ2046"/>
      <c r="XDR2046"/>
      <c r="XDS2046"/>
      <c r="XDT2046"/>
      <c r="XDU2046"/>
      <c r="XDV2046"/>
      <c r="XDW2046"/>
      <c r="XDX2046"/>
      <c r="XDY2046"/>
      <c r="XDZ2046"/>
      <c r="XEA2046"/>
      <c r="XEB2046"/>
      <c r="XEC2046"/>
      <c r="XED2046"/>
      <c r="XEE2046"/>
      <c r="XEF2046"/>
      <c r="XEG2046"/>
      <c r="XEH2046"/>
      <c r="XEI2046"/>
      <c r="XEJ2046"/>
      <c r="XEK2046"/>
      <c r="XEL2046"/>
      <c r="XEM2046"/>
      <c r="XEN2046"/>
      <c r="XEO2046"/>
      <c r="XEP2046"/>
      <c r="XEQ2046"/>
      <c r="XER2046"/>
      <c r="XES2046"/>
      <c r="XET2046"/>
      <c r="XEU2046"/>
      <c r="XEV2046"/>
      <c r="XEW2046"/>
      <c r="XEX2046"/>
      <c r="XEY2046"/>
      <c r="XEZ2046"/>
      <c r="XFA2046"/>
      <c r="XFB2046"/>
      <c r="XFC2046"/>
    </row>
    <row r="2047" spans="1:20 16329:16383" s="38" customFormat="1" ht="29.1" customHeight="1" outlineLevel="5" x14ac:dyDescent="0.25">
      <c r="A2047" s="65" t="s">
        <v>3528</v>
      </c>
      <c r="B2047" s="66" t="s">
        <v>3529</v>
      </c>
      <c r="C2047" s="66" t="s">
        <v>3505</v>
      </c>
      <c r="D2047" s="98" t="s">
        <v>3506</v>
      </c>
      <c r="E2047" s="98"/>
      <c r="F2047" s="67"/>
      <c r="G2047" s="66" t="s">
        <v>134</v>
      </c>
      <c r="H2047" s="68"/>
      <c r="I2047" s="36"/>
      <c r="J2047" s="68"/>
      <c r="K2047" s="69"/>
      <c r="L2047" s="69"/>
      <c r="M2047" s="69"/>
      <c r="N2047" s="69"/>
      <c r="O2047" s="69">
        <f>SUM(O2048:O2052)</f>
        <v>0</v>
      </c>
      <c r="P2047" s="69">
        <f>SUM(P2048:P2052)</f>
        <v>0</v>
      </c>
      <c r="Q2047" s="69">
        <f>SUM(Q2048:Q2052)</f>
        <v>0</v>
      </c>
      <c r="R2047" s="69">
        <f>SUM(R2048:R2052)</f>
        <v>0</v>
      </c>
      <c r="S2047" s="69"/>
      <c r="T2047" s="36"/>
      <c r="XDA2047"/>
      <c r="XDB2047"/>
      <c r="XDC2047"/>
      <c r="XDD2047"/>
      <c r="XDE2047"/>
      <c r="XDF2047"/>
      <c r="XDG2047"/>
      <c r="XDH2047"/>
      <c r="XDI2047"/>
      <c r="XDJ2047"/>
      <c r="XDK2047"/>
      <c r="XDL2047"/>
      <c r="XDM2047"/>
      <c r="XDN2047"/>
      <c r="XDO2047"/>
      <c r="XDP2047"/>
      <c r="XDQ2047"/>
      <c r="XDR2047"/>
      <c r="XDS2047"/>
      <c r="XDT2047"/>
      <c r="XDU2047"/>
      <c r="XDV2047"/>
      <c r="XDW2047"/>
      <c r="XDX2047"/>
      <c r="XDY2047"/>
      <c r="XDZ2047"/>
      <c r="XEA2047"/>
      <c r="XEB2047"/>
      <c r="XEC2047"/>
      <c r="XED2047"/>
      <c r="XEE2047"/>
      <c r="XEF2047"/>
      <c r="XEG2047"/>
      <c r="XEH2047"/>
      <c r="XEI2047"/>
      <c r="XEJ2047"/>
      <c r="XEK2047"/>
      <c r="XEL2047"/>
      <c r="XEM2047"/>
      <c r="XEN2047"/>
      <c r="XEO2047"/>
      <c r="XEP2047"/>
      <c r="XEQ2047"/>
      <c r="XER2047"/>
      <c r="XES2047"/>
      <c r="XET2047"/>
      <c r="XEU2047"/>
      <c r="XEV2047"/>
      <c r="XEW2047"/>
      <c r="XEX2047"/>
      <c r="XEY2047"/>
      <c r="XEZ2047"/>
      <c r="XFA2047"/>
      <c r="XFB2047"/>
      <c r="XFC2047"/>
    </row>
    <row r="2048" spans="1:20 16329:16383" s="38" customFormat="1" ht="29.1" customHeight="1" outlineLevel="6" x14ac:dyDescent="0.25">
      <c r="A2048" s="49" t="s">
        <v>3530</v>
      </c>
      <c r="B2048" s="50"/>
      <c r="C2048" s="50"/>
      <c r="D2048" s="3" t="s">
        <v>3531</v>
      </c>
      <c r="E2048" s="3"/>
      <c r="F2048" s="51"/>
      <c r="G2048" s="50" t="s">
        <v>29</v>
      </c>
      <c r="H2048" s="52">
        <f>1</f>
        <v>1</v>
      </c>
      <c r="I2048" s="36"/>
      <c r="J2048" s="52">
        <v>1</v>
      </c>
      <c r="K2048" s="53">
        <f>0</f>
        <v>0</v>
      </c>
      <c r="L2048" s="53">
        <f>0</f>
        <v>0</v>
      </c>
      <c r="M2048" s="53">
        <f>0</f>
        <v>0</v>
      </c>
      <c r="N2048" s="54">
        <f>SUM(K2048:M2048)</f>
        <v>0</v>
      </c>
      <c r="O2048" s="54">
        <f>ROUND((H2048*K2048),2)</f>
        <v>0</v>
      </c>
      <c r="P2048" s="54">
        <f>ROUND((H2048*L2048),2)</f>
        <v>0</v>
      </c>
      <c r="Q2048" s="54">
        <f>ROUND((H2048*M2048),2)</f>
        <v>0</v>
      </c>
      <c r="R2048" s="54">
        <f>ROUND((H2048*N2048),2)</f>
        <v>0</v>
      </c>
      <c r="S2048" s="54"/>
      <c r="T2048" s="36"/>
      <c r="XDA2048"/>
      <c r="XDB2048"/>
      <c r="XDC2048"/>
      <c r="XDD2048"/>
      <c r="XDE2048"/>
      <c r="XDF2048"/>
      <c r="XDG2048"/>
      <c r="XDH2048"/>
      <c r="XDI2048"/>
      <c r="XDJ2048"/>
      <c r="XDK2048"/>
      <c r="XDL2048"/>
      <c r="XDM2048"/>
      <c r="XDN2048"/>
      <c r="XDO2048"/>
      <c r="XDP2048"/>
      <c r="XDQ2048"/>
      <c r="XDR2048"/>
      <c r="XDS2048"/>
      <c r="XDT2048"/>
      <c r="XDU2048"/>
      <c r="XDV2048"/>
      <c r="XDW2048"/>
      <c r="XDX2048"/>
      <c r="XDY2048"/>
      <c r="XDZ2048"/>
      <c r="XEA2048"/>
      <c r="XEB2048"/>
      <c r="XEC2048"/>
      <c r="XED2048"/>
      <c r="XEE2048"/>
      <c r="XEF2048"/>
      <c r="XEG2048"/>
      <c r="XEH2048"/>
      <c r="XEI2048"/>
      <c r="XEJ2048"/>
      <c r="XEK2048"/>
      <c r="XEL2048"/>
      <c r="XEM2048"/>
      <c r="XEN2048"/>
      <c r="XEO2048"/>
      <c r="XEP2048"/>
      <c r="XEQ2048"/>
      <c r="XER2048"/>
      <c r="XES2048"/>
      <c r="XET2048"/>
      <c r="XEU2048"/>
      <c r="XEV2048"/>
      <c r="XEW2048"/>
      <c r="XEX2048"/>
      <c r="XEY2048"/>
      <c r="XEZ2048"/>
      <c r="XFA2048"/>
      <c r="XFB2048"/>
      <c r="XFC2048"/>
    </row>
    <row r="2049" spans="1:20 16329:16383" s="38" customFormat="1" ht="29.1" customHeight="1" outlineLevel="6" x14ac:dyDescent="0.25">
      <c r="A2049" s="49" t="s">
        <v>3532</v>
      </c>
      <c r="B2049" s="50"/>
      <c r="C2049" s="50"/>
      <c r="D2049" s="3" t="s">
        <v>3533</v>
      </c>
      <c r="E2049" s="3"/>
      <c r="F2049" s="51"/>
      <c r="G2049" s="50" t="s">
        <v>29</v>
      </c>
      <c r="H2049" s="52">
        <f>1</f>
        <v>1</v>
      </c>
      <c r="I2049" s="36"/>
      <c r="J2049" s="52">
        <v>1</v>
      </c>
      <c r="K2049" s="53">
        <f>0</f>
        <v>0</v>
      </c>
      <c r="L2049" s="53">
        <f>0</f>
        <v>0</v>
      </c>
      <c r="M2049" s="53">
        <f>0</f>
        <v>0</v>
      </c>
      <c r="N2049" s="54">
        <f>SUM(K2049:M2049)</f>
        <v>0</v>
      </c>
      <c r="O2049" s="54">
        <f>ROUND((H2049*K2049),2)</f>
        <v>0</v>
      </c>
      <c r="P2049" s="54">
        <f>ROUND((H2049*L2049),2)</f>
        <v>0</v>
      </c>
      <c r="Q2049" s="54">
        <f>ROUND((H2049*M2049),2)</f>
        <v>0</v>
      </c>
      <c r="R2049" s="54">
        <f>ROUND((H2049*N2049),2)</f>
        <v>0</v>
      </c>
      <c r="S2049" s="54"/>
      <c r="T2049" s="36"/>
      <c r="XDA2049"/>
      <c r="XDB2049"/>
      <c r="XDC2049"/>
      <c r="XDD2049"/>
      <c r="XDE2049"/>
      <c r="XDF2049"/>
      <c r="XDG2049"/>
      <c r="XDH2049"/>
      <c r="XDI2049"/>
      <c r="XDJ2049"/>
      <c r="XDK2049"/>
      <c r="XDL2049"/>
      <c r="XDM2049"/>
      <c r="XDN2049"/>
      <c r="XDO2049"/>
      <c r="XDP2049"/>
      <c r="XDQ2049"/>
      <c r="XDR2049"/>
      <c r="XDS2049"/>
      <c r="XDT2049"/>
      <c r="XDU2049"/>
      <c r="XDV2049"/>
      <c r="XDW2049"/>
      <c r="XDX2049"/>
      <c r="XDY2049"/>
      <c r="XDZ2049"/>
      <c r="XEA2049"/>
      <c r="XEB2049"/>
      <c r="XEC2049"/>
      <c r="XED2049"/>
      <c r="XEE2049"/>
      <c r="XEF2049"/>
      <c r="XEG2049"/>
      <c r="XEH2049"/>
      <c r="XEI2049"/>
      <c r="XEJ2049"/>
      <c r="XEK2049"/>
      <c r="XEL2049"/>
      <c r="XEM2049"/>
      <c r="XEN2049"/>
      <c r="XEO2049"/>
      <c r="XEP2049"/>
      <c r="XEQ2049"/>
      <c r="XER2049"/>
      <c r="XES2049"/>
      <c r="XET2049"/>
      <c r="XEU2049"/>
      <c r="XEV2049"/>
      <c r="XEW2049"/>
      <c r="XEX2049"/>
      <c r="XEY2049"/>
      <c r="XEZ2049"/>
      <c r="XFA2049"/>
      <c r="XFB2049"/>
      <c r="XFC2049"/>
    </row>
    <row r="2050" spans="1:20 16329:16383" s="38" customFormat="1" ht="29.1" customHeight="1" outlineLevel="6" x14ac:dyDescent="0.25">
      <c r="A2050" s="49" t="s">
        <v>3534</v>
      </c>
      <c r="B2050" s="50"/>
      <c r="C2050" s="50"/>
      <c r="D2050" s="3" t="s">
        <v>3535</v>
      </c>
      <c r="E2050" s="3"/>
      <c r="F2050" s="51"/>
      <c r="G2050" s="50" t="s">
        <v>29</v>
      </c>
      <c r="H2050" s="52">
        <f>1</f>
        <v>1</v>
      </c>
      <c r="I2050" s="36"/>
      <c r="J2050" s="52">
        <v>1</v>
      </c>
      <c r="K2050" s="53">
        <f>0</f>
        <v>0</v>
      </c>
      <c r="L2050" s="53">
        <f>0</f>
        <v>0</v>
      </c>
      <c r="M2050" s="53">
        <f>0</f>
        <v>0</v>
      </c>
      <c r="N2050" s="54">
        <f>SUM(K2050:M2050)</f>
        <v>0</v>
      </c>
      <c r="O2050" s="54">
        <f>ROUND((H2050*K2050),2)</f>
        <v>0</v>
      </c>
      <c r="P2050" s="54">
        <f>ROUND((H2050*L2050),2)</f>
        <v>0</v>
      </c>
      <c r="Q2050" s="54">
        <f>ROUND((H2050*M2050),2)</f>
        <v>0</v>
      </c>
      <c r="R2050" s="54">
        <f>ROUND((H2050*N2050),2)</f>
        <v>0</v>
      </c>
      <c r="S2050" s="54"/>
      <c r="T2050" s="36"/>
      <c r="XDA2050"/>
      <c r="XDB2050"/>
      <c r="XDC2050"/>
      <c r="XDD2050"/>
      <c r="XDE2050"/>
      <c r="XDF2050"/>
      <c r="XDG2050"/>
      <c r="XDH2050"/>
      <c r="XDI2050"/>
      <c r="XDJ2050"/>
      <c r="XDK2050"/>
      <c r="XDL2050"/>
      <c r="XDM2050"/>
      <c r="XDN2050"/>
      <c r="XDO2050"/>
      <c r="XDP2050"/>
      <c r="XDQ2050"/>
      <c r="XDR2050"/>
      <c r="XDS2050"/>
      <c r="XDT2050"/>
      <c r="XDU2050"/>
      <c r="XDV2050"/>
      <c r="XDW2050"/>
      <c r="XDX2050"/>
      <c r="XDY2050"/>
      <c r="XDZ2050"/>
      <c r="XEA2050"/>
      <c r="XEB2050"/>
      <c r="XEC2050"/>
      <c r="XED2050"/>
      <c r="XEE2050"/>
      <c r="XEF2050"/>
      <c r="XEG2050"/>
      <c r="XEH2050"/>
      <c r="XEI2050"/>
      <c r="XEJ2050"/>
      <c r="XEK2050"/>
      <c r="XEL2050"/>
      <c r="XEM2050"/>
      <c r="XEN2050"/>
      <c r="XEO2050"/>
      <c r="XEP2050"/>
      <c r="XEQ2050"/>
      <c r="XER2050"/>
      <c r="XES2050"/>
      <c r="XET2050"/>
      <c r="XEU2050"/>
      <c r="XEV2050"/>
      <c r="XEW2050"/>
      <c r="XEX2050"/>
      <c r="XEY2050"/>
      <c r="XEZ2050"/>
      <c r="XFA2050"/>
      <c r="XFB2050"/>
      <c r="XFC2050"/>
    </row>
    <row r="2051" spans="1:20 16329:16383" s="38" customFormat="1" ht="29.1" customHeight="1" outlineLevel="6" x14ac:dyDescent="0.25">
      <c r="A2051" s="49" t="s">
        <v>3536</v>
      </c>
      <c r="B2051" s="50"/>
      <c r="C2051" s="50"/>
      <c r="D2051" s="3" t="s">
        <v>3537</v>
      </c>
      <c r="E2051" s="3"/>
      <c r="F2051" s="51"/>
      <c r="G2051" s="50" t="s">
        <v>29</v>
      </c>
      <c r="H2051" s="52">
        <f>1</f>
        <v>1</v>
      </c>
      <c r="I2051" s="36"/>
      <c r="J2051" s="52">
        <v>1</v>
      </c>
      <c r="K2051" s="53">
        <f>0</f>
        <v>0</v>
      </c>
      <c r="L2051" s="53">
        <f>0</f>
        <v>0</v>
      </c>
      <c r="M2051" s="53">
        <f>0</f>
        <v>0</v>
      </c>
      <c r="N2051" s="54">
        <f>SUM(K2051:M2051)</f>
        <v>0</v>
      </c>
      <c r="O2051" s="54">
        <f>ROUND((H2051*K2051),2)</f>
        <v>0</v>
      </c>
      <c r="P2051" s="54">
        <f>ROUND((H2051*L2051),2)</f>
        <v>0</v>
      </c>
      <c r="Q2051" s="54">
        <f>ROUND((H2051*M2051),2)</f>
        <v>0</v>
      </c>
      <c r="R2051" s="54">
        <f>ROUND((H2051*N2051),2)</f>
        <v>0</v>
      </c>
      <c r="S2051" s="54"/>
      <c r="T2051" s="36"/>
      <c r="XDA2051"/>
      <c r="XDB2051"/>
      <c r="XDC2051"/>
      <c r="XDD2051"/>
      <c r="XDE2051"/>
      <c r="XDF2051"/>
      <c r="XDG2051"/>
      <c r="XDH2051"/>
      <c r="XDI2051"/>
      <c r="XDJ2051"/>
      <c r="XDK2051"/>
      <c r="XDL2051"/>
      <c r="XDM2051"/>
      <c r="XDN2051"/>
      <c r="XDO2051"/>
      <c r="XDP2051"/>
      <c r="XDQ2051"/>
      <c r="XDR2051"/>
      <c r="XDS2051"/>
      <c r="XDT2051"/>
      <c r="XDU2051"/>
      <c r="XDV2051"/>
      <c r="XDW2051"/>
      <c r="XDX2051"/>
      <c r="XDY2051"/>
      <c r="XDZ2051"/>
      <c r="XEA2051"/>
      <c r="XEB2051"/>
      <c r="XEC2051"/>
      <c r="XED2051"/>
      <c r="XEE2051"/>
      <c r="XEF2051"/>
      <c r="XEG2051"/>
      <c r="XEH2051"/>
      <c r="XEI2051"/>
      <c r="XEJ2051"/>
      <c r="XEK2051"/>
      <c r="XEL2051"/>
      <c r="XEM2051"/>
      <c r="XEN2051"/>
      <c r="XEO2051"/>
      <c r="XEP2051"/>
      <c r="XEQ2051"/>
      <c r="XER2051"/>
      <c r="XES2051"/>
      <c r="XET2051"/>
      <c r="XEU2051"/>
      <c r="XEV2051"/>
      <c r="XEW2051"/>
      <c r="XEX2051"/>
      <c r="XEY2051"/>
      <c r="XEZ2051"/>
      <c r="XFA2051"/>
      <c r="XFB2051"/>
      <c r="XFC2051"/>
    </row>
    <row r="2052" spans="1:20 16329:16383" s="38" customFormat="1" ht="29.1" customHeight="1" outlineLevel="6" x14ac:dyDescent="0.25">
      <c r="A2052" s="49" t="s">
        <v>3538</v>
      </c>
      <c r="B2052" s="50"/>
      <c r="C2052" s="50"/>
      <c r="D2052" s="3" t="s">
        <v>3539</v>
      </c>
      <c r="E2052" s="3"/>
      <c r="F2052" s="51"/>
      <c r="G2052" s="50" t="s">
        <v>29</v>
      </c>
      <c r="H2052" s="52">
        <f>1</f>
        <v>1</v>
      </c>
      <c r="I2052" s="36"/>
      <c r="J2052" s="52">
        <v>1</v>
      </c>
      <c r="K2052" s="53">
        <f>0</f>
        <v>0</v>
      </c>
      <c r="L2052" s="53">
        <f>0</f>
        <v>0</v>
      </c>
      <c r="M2052" s="53">
        <f>0</f>
        <v>0</v>
      </c>
      <c r="N2052" s="54">
        <f>SUM(K2052:M2052)</f>
        <v>0</v>
      </c>
      <c r="O2052" s="54">
        <f>ROUND((H2052*K2052),2)</f>
        <v>0</v>
      </c>
      <c r="P2052" s="54">
        <f>ROUND((H2052*L2052),2)</f>
        <v>0</v>
      </c>
      <c r="Q2052" s="54">
        <f>ROUND((H2052*M2052),2)</f>
        <v>0</v>
      </c>
      <c r="R2052" s="54">
        <f>ROUND((H2052*N2052),2)</f>
        <v>0</v>
      </c>
      <c r="S2052" s="54"/>
      <c r="T2052" s="36"/>
      <c r="XDA2052"/>
      <c r="XDB2052"/>
      <c r="XDC2052"/>
      <c r="XDD2052"/>
      <c r="XDE2052"/>
      <c r="XDF2052"/>
      <c r="XDG2052"/>
      <c r="XDH2052"/>
      <c r="XDI2052"/>
      <c r="XDJ2052"/>
      <c r="XDK2052"/>
      <c r="XDL2052"/>
      <c r="XDM2052"/>
      <c r="XDN2052"/>
      <c r="XDO2052"/>
      <c r="XDP2052"/>
      <c r="XDQ2052"/>
      <c r="XDR2052"/>
      <c r="XDS2052"/>
      <c r="XDT2052"/>
      <c r="XDU2052"/>
      <c r="XDV2052"/>
      <c r="XDW2052"/>
      <c r="XDX2052"/>
      <c r="XDY2052"/>
      <c r="XDZ2052"/>
      <c r="XEA2052"/>
      <c r="XEB2052"/>
      <c r="XEC2052"/>
      <c r="XED2052"/>
      <c r="XEE2052"/>
      <c r="XEF2052"/>
      <c r="XEG2052"/>
      <c r="XEH2052"/>
      <c r="XEI2052"/>
      <c r="XEJ2052"/>
      <c r="XEK2052"/>
      <c r="XEL2052"/>
      <c r="XEM2052"/>
      <c r="XEN2052"/>
      <c r="XEO2052"/>
      <c r="XEP2052"/>
      <c r="XEQ2052"/>
      <c r="XER2052"/>
      <c r="XES2052"/>
      <c r="XET2052"/>
      <c r="XEU2052"/>
      <c r="XEV2052"/>
      <c r="XEW2052"/>
      <c r="XEX2052"/>
      <c r="XEY2052"/>
      <c r="XEZ2052"/>
      <c r="XFA2052"/>
      <c r="XFB2052"/>
      <c r="XFC2052"/>
    </row>
    <row r="2053" spans="1:20 16329:16383" s="38" customFormat="1" ht="29.1" customHeight="1" outlineLevel="5" x14ac:dyDescent="0.25">
      <c r="A2053" s="65" t="s">
        <v>3540</v>
      </c>
      <c r="B2053" s="66" t="s">
        <v>3541</v>
      </c>
      <c r="C2053" s="66" t="s">
        <v>3513</v>
      </c>
      <c r="D2053" s="98" t="s">
        <v>3514</v>
      </c>
      <c r="E2053" s="98"/>
      <c r="F2053" s="67"/>
      <c r="G2053" s="66" t="s">
        <v>134</v>
      </c>
      <c r="H2053" s="68"/>
      <c r="I2053" s="36"/>
      <c r="J2053" s="68"/>
      <c r="K2053" s="69"/>
      <c r="L2053" s="69"/>
      <c r="M2053" s="69"/>
      <c r="N2053" s="69"/>
      <c r="O2053" s="69">
        <f>SUM(O2054:O2057)</f>
        <v>0</v>
      </c>
      <c r="P2053" s="69">
        <f>SUM(P2054:P2057)</f>
        <v>0</v>
      </c>
      <c r="Q2053" s="69">
        <f>SUM(Q2054:Q2057)</f>
        <v>0</v>
      </c>
      <c r="R2053" s="69">
        <f>SUM(R2054:R2057)</f>
        <v>0</v>
      </c>
      <c r="S2053" s="69"/>
      <c r="T2053" s="36"/>
      <c r="XDA2053"/>
      <c r="XDB2053"/>
      <c r="XDC2053"/>
      <c r="XDD2053"/>
      <c r="XDE2053"/>
      <c r="XDF2053"/>
      <c r="XDG2053"/>
      <c r="XDH2053"/>
      <c r="XDI2053"/>
      <c r="XDJ2053"/>
      <c r="XDK2053"/>
      <c r="XDL2053"/>
      <c r="XDM2053"/>
      <c r="XDN2053"/>
      <c r="XDO2053"/>
      <c r="XDP2053"/>
      <c r="XDQ2053"/>
      <c r="XDR2053"/>
      <c r="XDS2053"/>
      <c r="XDT2053"/>
      <c r="XDU2053"/>
      <c r="XDV2053"/>
      <c r="XDW2053"/>
      <c r="XDX2053"/>
      <c r="XDY2053"/>
      <c r="XDZ2053"/>
      <c r="XEA2053"/>
      <c r="XEB2053"/>
      <c r="XEC2053"/>
      <c r="XED2053"/>
      <c r="XEE2053"/>
      <c r="XEF2053"/>
      <c r="XEG2053"/>
      <c r="XEH2053"/>
      <c r="XEI2053"/>
      <c r="XEJ2053"/>
      <c r="XEK2053"/>
      <c r="XEL2053"/>
      <c r="XEM2053"/>
      <c r="XEN2053"/>
      <c r="XEO2053"/>
      <c r="XEP2053"/>
      <c r="XEQ2053"/>
      <c r="XER2053"/>
      <c r="XES2053"/>
      <c r="XET2053"/>
      <c r="XEU2053"/>
      <c r="XEV2053"/>
      <c r="XEW2053"/>
      <c r="XEX2053"/>
      <c r="XEY2053"/>
      <c r="XEZ2053"/>
      <c r="XFA2053"/>
      <c r="XFB2053"/>
      <c r="XFC2053"/>
    </row>
    <row r="2054" spans="1:20 16329:16383" s="38" customFormat="1" ht="29.1" customHeight="1" outlineLevel="6" x14ac:dyDescent="0.25">
      <c r="A2054" s="49" t="s">
        <v>3542</v>
      </c>
      <c r="B2054" s="50"/>
      <c r="C2054" s="50"/>
      <c r="D2054" s="3" t="s">
        <v>3543</v>
      </c>
      <c r="E2054" s="3"/>
      <c r="F2054" s="51"/>
      <c r="G2054" s="50" t="s">
        <v>29</v>
      </c>
      <c r="H2054" s="52">
        <f>1</f>
        <v>1</v>
      </c>
      <c r="I2054" s="36"/>
      <c r="J2054" s="52">
        <v>1</v>
      </c>
      <c r="K2054" s="53">
        <f>0</f>
        <v>0</v>
      </c>
      <c r="L2054" s="53">
        <f>0</f>
        <v>0</v>
      </c>
      <c r="M2054" s="53">
        <f>0</f>
        <v>0</v>
      </c>
      <c r="N2054" s="54">
        <f>SUM(K2054:M2054)</f>
        <v>0</v>
      </c>
      <c r="O2054" s="54">
        <f>ROUND((H2054*K2054),2)</f>
        <v>0</v>
      </c>
      <c r="P2054" s="54">
        <f>ROUND((H2054*L2054),2)</f>
        <v>0</v>
      </c>
      <c r="Q2054" s="54">
        <f>ROUND((H2054*M2054),2)</f>
        <v>0</v>
      </c>
      <c r="R2054" s="54">
        <f>ROUND((H2054*N2054),2)</f>
        <v>0</v>
      </c>
      <c r="S2054" s="54"/>
      <c r="T2054" s="36"/>
      <c r="XDA2054"/>
      <c r="XDB2054"/>
      <c r="XDC2054"/>
      <c r="XDD2054"/>
      <c r="XDE2054"/>
      <c r="XDF2054"/>
      <c r="XDG2054"/>
      <c r="XDH2054"/>
      <c r="XDI2054"/>
      <c r="XDJ2054"/>
      <c r="XDK2054"/>
      <c r="XDL2054"/>
      <c r="XDM2054"/>
      <c r="XDN2054"/>
      <c r="XDO2054"/>
      <c r="XDP2054"/>
      <c r="XDQ2054"/>
      <c r="XDR2054"/>
      <c r="XDS2054"/>
      <c r="XDT2054"/>
      <c r="XDU2054"/>
      <c r="XDV2054"/>
      <c r="XDW2054"/>
      <c r="XDX2054"/>
      <c r="XDY2054"/>
      <c r="XDZ2054"/>
      <c r="XEA2054"/>
      <c r="XEB2054"/>
      <c r="XEC2054"/>
      <c r="XED2054"/>
      <c r="XEE2054"/>
      <c r="XEF2054"/>
      <c r="XEG2054"/>
      <c r="XEH2054"/>
      <c r="XEI2054"/>
      <c r="XEJ2054"/>
      <c r="XEK2054"/>
      <c r="XEL2054"/>
      <c r="XEM2054"/>
      <c r="XEN2054"/>
      <c r="XEO2054"/>
      <c r="XEP2054"/>
      <c r="XEQ2054"/>
      <c r="XER2054"/>
      <c r="XES2054"/>
      <c r="XET2054"/>
      <c r="XEU2054"/>
      <c r="XEV2054"/>
      <c r="XEW2054"/>
      <c r="XEX2054"/>
      <c r="XEY2054"/>
      <c r="XEZ2054"/>
      <c r="XFA2054"/>
      <c r="XFB2054"/>
      <c r="XFC2054"/>
    </row>
    <row r="2055" spans="1:20 16329:16383" s="38" customFormat="1" ht="29.1" customHeight="1" outlineLevel="6" x14ac:dyDescent="0.25">
      <c r="A2055" s="49" t="s">
        <v>3544</v>
      </c>
      <c r="B2055" s="50"/>
      <c r="C2055" s="50"/>
      <c r="D2055" s="3" t="s">
        <v>3545</v>
      </c>
      <c r="E2055" s="3"/>
      <c r="F2055" s="51"/>
      <c r="G2055" s="50" t="s">
        <v>29</v>
      </c>
      <c r="H2055" s="52">
        <f>1</f>
        <v>1</v>
      </c>
      <c r="I2055" s="36"/>
      <c r="J2055" s="52">
        <v>1</v>
      </c>
      <c r="K2055" s="53">
        <f>0</f>
        <v>0</v>
      </c>
      <c r="L2055" s="53">
        <f>0</f>
        <v>0</v>
      </c>
      <c r="M2055" s="53">
        <f>0</f>
        <v>0</v>
      </c>
      <c r="N2055" s="54">
        <f>SUM(K2055:M2055)</f>
        <v>0</v>
      </c>
      <c r="O2055" s="54">
        <f>ROUND((H2055*K2055),2)</f>
        <v>0</v>
      </c>
      <c r="P2055" s="54">
        <f>ROUND((H2055*L2055),2)</f>
        <v>0</v>
      </c>
      <c r="Q2055" s="54">
        <f>ROUND((H2055*M2055),2)</f>
        <v>0</v>
      </c>
      <c r="R2055" s="54">
        <f>ROUND((H2055*N2055),2)</f>
        <v>0</v>
      </c>
      <c r="S2055" s="54"/>
      <c r="T2055" s="36"/>
      <c r="XDA2055"/>
      <c r="XDB2055"/>
      <c r="XDC2055"/>
      <c r="XDD2055"/>
      <c r="XDE2055"/>
      <c r="XDF2055"/>
      <c r="XDG2055"/>
      <c r="XDH2055"/>
      <c r="XDI2055"/>
      <c r="XDJ2055"/>
      <c r="XDK2055"/>
      <c r="XDL2055"/>
      <c r="XDM2055"/>
      <c r="XDN2055"/>
      <c r="XDO2055"/>
      <c r="XDP2055"/>
      <c r="XDQ2055"/>
      <c r="XDR2055"/>
      <c r="XDS2055"/>
      <c r="XDT2055"/>
      <c r="XDU2055"/>
      <c r="XDV2055"/>
      <c r="XDW2055"/>
      <c r="XDX2055"/>
      <c r="XDY2055"/>
      <c r="XDZ2055"/>
      <c r="XEA2055"/>
      <c r="XEB2055"/>
      <c r="XEC2055"/>
      <c r="XED2055"/>
      <c r="XEE2055"/>
      <c r="XEF2055"/>
      <c r="XEG2055"/>
      <c r="XEH2055"/>
      <c r="XEI2055"/>
      <c r="XEJ2055"/>
      <c r="XEK2055"/>
      <c r="XEL2055"/>
      <c r="XEM2055"/>
      <c r="XEN2055"/>
      <c r="XEO2055"/>
      <c r="XEP2055"/>
      <c r="XEQ2055"/>
      <c r="XER2055"/>
      <c r="XES2055"/>
      <c r="XET2055"/>
      <c r="XEU2055"/>
      <c r="XEV2055"/>
      <c r="XEW2055"/>
      <c r="XEX2055"/>
      <c r="XEY2055"/>
      <c r="XEZ2055"/>
      <c r="XFA2055"/>
      <c r="XFB2055"/>
      <c r="XFC2055"/>
    </row>
    <row r="2056" spans="1:20 16329:16383" s="38" customFormat="1" ht="29.1" customHeight="1" outlineLevel="6" x14ac:dyDescent="0.25">
      <c r="A2056" s="49" t="s">
        <v>3546</v>
      </c>
      <c r="B2056" s="50"/>
      <c r="C2056" s="50"/>
      <c r="D2056" s="3" t="s">
        <v>3547</v>
      </c>
      <c r="E2056" s="3"/>
      <c r="F2056" s="51"/>
      <c r="G2056" s="50" t="s">
        <v>29</v>
      </c>
      <c r="H2056" s="52">
        <f>1</f>
        <v>1</v>
      </c>
      <c r="I2056" s="36"/>
      <c r="J2056" s="52">
        <v>1</v>
      </c>
      <c r="K2056" s="53">
        <f>0</f>
        <v>0</v>
      </c>
      <c r="L2056" s="53">
        <f>0</f>
        <v>0</v>
      </c>
      <c r="M2056" s="53">
        <f>0</f>
        <v>0</v>
      </c>
      <c r="N2056" s="54">
        <f>SUM(K2056:M2056)</f>
        <v>0</v>
      </c>
      <c r="O2056" s="54">
        <f>ROUND((H2056*K2056),2)</f>
        <v>0</v>
      </c>
      <c r="P2056" s="54">
        <f>ROUND((H2056*L2056),2)</f>
        <v>0</v>
      </c>
      <c r="Q2056" s="54">
        <f>ROUND((H2056*M2056),2)</f>
        <v>0</v>
      </c>
      <c r="R2056" s="54">
        <f>ROUND((H2056*N2056),2)</f>
        <v>0</v>
      </c>
      <c r="S2056" s="54"/>
      <c r="T2056" s="36"/>
      <c r="XDA2056"/>
      <c r="XDB2056"/>
      <c r="XDC2056"/>
      <c r="XDD2056"/>
      <c r="XDE2056"/>
      <c r="XDF2056"/>
      <c r="XDG2056"/>
      <c r="XDH2056"/>
      <c r="XDI2056"/>
      <c r="XDJ2056"/>
      <c r="XDK2056"/>
      <c r="XDL2056"/>
      <c r="XDM2056"/>
      <c r="XDN2056"/>
      <c r="XDO2056"/>
      <c r="XDP2056"/>
      <c r="XDQ2056"/>
      <c r="XDR2056"/>
      <c r="XDS2056"/>
      <c r="XDT2056"/>
      <c r="XDU2056"/>
      <c r="XDV2056"/>
      <c r="XDW2056"/>
      <c r="XDX2056"/>
      <c r="XDY2056"/>
      <c r="XDZ2056"/>
      <c r="XEA2056"/>
      <c r="XEB2056"/>
      <c r="XEC2056"/>
      <c r="XED2056"/>
      <c r="XEE2056"/>
      <c r="XEF2056"/>
      <c r="XEG2056"/>
      <c r="XEH2056"/>
      <c r="XEI2056"/>
      <c r="XEJ2056"/>
      <c r="XEK2056"/>
      <c r="XEL2056"/>
      <c r="XEM2056"/>
      <c r="XEN2056"/>
      <c r="XEO2056"/>
      <c r="XEP2056"/>
      <c r="XEQ2056"/>
      <c r="XER2056"/>
      <c r="XES2056"/>
      <c r="XET2056"/>
      <c r="XEU2056"/>
      <c r="XEV2056"/>
      <c r="XEW2056"/>
      <c r="XEX2056"/>
      <c r="XEY2056"/>
      <c r="XEZ2056"/>
      <c r="XFA2056"/>
      <c r="XFB2056"/>
      <c r="XFC2056"/>
    </row>
    <row r="2057" spans="1:20 16329:16383" s="38" customFormat="1" ht="29.1" customHeight="1" outlineLevel="6" x14ac:dyDescent="0.25">
      <c r="A2057" s="49" t="s">
        <v>3548</v>
      </c>
      <c r="B2057" s="50"/>
      <c r="C2057" s="50"/>
      <c r="D2057" s="3" t="s">
        <v>3549</v>
      </c>
      <c r="E2057" s="3"/>
      <c r="F2057" s="51"/>
      <c r="G2057" s="50" t="s">
        <v>29</v>
      </c>
      <c r="H2057" s="52">
        <f>1</f>
        <v>1</v>
      </c>
      <c r="I2057" s="36"/>
      <c r="J2057" s="52">
        <v>1</v>
      </c>
      <c r="K2057" s="53">
        <f>0</f>
        <v>0</v>
      </c>
      <c r="L2057" s="53">
        <f>0</f>
        <v>0</v>
      </c>
      <c r="M2057" s="53">
        <f>0</f>
        <v>0</v>
      </c>
      <c r="N2057" s="54">
        <f>SUM(K2057:M2057)</f>
        <v>0</v>
      </c>
      <c r="O2057" s="54">
        <f>ROUND((H2057*K2057),2)</f>
        <v>0</v>
      </c>
      <c r="P2057" s="54">
        <f>ROUND((H2057*L2057),2)</f>
        <v>0</v>
      </c>
      <c r="Q2057" s="54">
        <f>ROUND((H2057*M2057),2)</f>
        <v>0</v>
      </c>
      <c r="R2057" s="54">
        <f>ROUND((H2057*N2057),2)</f>
        <v>0</v>
      </c>
      <c r="S2057" s="54"/>
      <c r="T2057" s="36"/>
      <c r="XDA2057"/>
      <c r="XDB2057"/>
      <c r="XDC2057"/>
      <c r="XDD2057"/>
      <c r="XDE2057"/>
      <c r="XDF2057"/>
      <c r="XDG2057"/>
      <c r="XDH2057"/>
      <c r="XDI2057"/>
      <c r="XDJ2057"/>
      <c r="XDK2057"/>
      <c r="XDL2057"/>
      <c r="XDM2057"/>
      <c r="XDN2057"/>
      <c r="XDO2057"/>
      <c r="XDP2057"/>
      <c r="XDQ2057"/>
      <c r="XDR2057"/>
      <c r="XDS2057"/>
      <c r="XDT2057"/>
      <c r="XDU2057"/>
      <c r="XDV2057"/>
      <c r="XDW2057"/>
      <c r="XDX2057"/>
      <c r="XDY2057"/>
      <c r="XDZ2057"/>
      <c r="XEA2057"/>
      <c r="XEB2057"/>
      <c r="XEC2057"/>
      <c r="XED2057"/>
      <c r="XEE2057"/>
      <c r="XEF2057"/>
      <c r="XEG2057"/>
      <c r="XEH2057"/>
      <c r="XEI2057"/>
      <c r="XEJ2057"/>
      <c r="XEK2057"/>
      <c r="XEL2057"/>
      <c r="XEM2057"/>
      <c r="XEN2057"/>
      <c r="XEO2057"/>
      <c r="XEP2057"/>
      <c r="XEQ2057"/>
      <c r="XER2057"/>
      <c r="XES2057"/>
      <c r="XET2057"/>
      <c r="XEU2057"/>
      <c r="XEV2057"/>
      <c r="XEW2057"/>
      <c r="XEX2057"/>
      <c r="XEY2057"/>
      <c r="XEZ2057"/>
      <c r="XFA2057"/>
      <c r="XFB2057"/>
      <c r="XFC2057"/>
    </row>
    <row r="2058" spans="1:20 16329:16383" s="38" customFormat="1" ht="29.1" customHeight="1" outlineLevel="4" x14ac:dyDescent="0.25">
      <c r="A2058" s="60" t="s">
        <v>3550</v>
      </c>
      <c r="B2058" s="61" t="s">
        <v>3551</v>
      </c>
      <c r="C2058" s="61" t="s">
        <v>3552</v>
      </c>
      <c r="D2058" s="1" t="s">
        <v>3553</v>
      </c>
      <c r="E2058" s="1"/>
      <c r="F2058" s="62"/>
      <c r="G2058" s="61" t="s">
        <v>29</v>
      </c>
      <c r="H2058" s="63"/>
      <c r="I2058" s="36"/>
      <c r="J2058" s="63"/>
      <c r="K2058" s="64"/>
      <c r="L2058" s="64"/>
      <c r="M2058" s="64"/>
      <c r="N2058" s="64"/>
      <c r="O2058" s="64">
        <f>O2059+O2063</f>
        <v>0</v>
      </c>
      <c r="P2058" s="64">
        <f>P2059+P2063</f>
        <v>0</v>
      </c>
      <c r="Q2058" s="64">
        <f>Q2059+Q2063</f>
        <v>0</v>
      </c>
      <c r="R2058" s="64">
        <f>R2059+R2063</f>
        <v>0</v>
      </c>
      <c r="S2058" s="64"/>
      <c r="T2058" s="36"/>
      <c r="XDA2058"/>
      <c r="XDB2058"/>
      <c r="XDC2058"/>
      <c r="XDD2058"/>
      <c r="XDE2058"/>
      <c r="XDF2058"/>
      <c r="XDG2058"/>
      <c r="XDH2058"/>
      <c r="XDI2058"/>
      <c r="XDJ2058"/>
      <c r="XDK2058"/>
      <c r="XDL2058"/>
      <c r="XDM2058"/>
      <c r="XDN2058"/>
      <c r="XDO2058"/>
      <c r="XDP2058"/>
      <c r="XDQ2058"/>
      <c r="XDR2058"/>
      <c r="XDS2058"/>
      <c r="XDT2058"/>
      <c r="XDU2058"/>
      <c r="XDV2058"/>
      <c r="XDW2058"/>
      <c r="XDX2058"/>
      <c r="XDY2058"/>
      <c r="XDZ2058"/>
      <c r="XEA2058"/>
      <c r="XEB2058"/>
      <c r="XEC2058"/>
      <c r="XED2058"/>
      <c r="XEE2058"/>
      <c r="XEF2058"/>
      <c r="XEG2058"/>
      <c r="XEH2058"/>
      <c r="XEI2058"/>
      <c r="XEJ2058"/>
      <c r="XEK2058"/>
      <c r="XEL2058"/>
      <c r="XEM2058"/>
      <c r="XEN2058"/>
      <c r="XEO2058"/>
      <c r="XEP2058"/>
      <c r="XEQ2058"/>
      <c r="XER2058"/>
      <c r="XES2058"/>
      <c r="XET2058"/>
      <c r="XEU2058"/>
      <c r="XEV2058"/>
      <c r="XEW2058"/>
      <c r="XEX2058"/>
      <c r="XEY2058"/>
      <c r="XEZ2058"/>
      <c r="XFA2058"/>
      <c r="XFB2058"/>
      <c r="XFC2058"/>
    </row>
    <row r="2059" spans="1:20 16329:16383" s="38" customFormat="1" ht="29.1" customHeight="1" outlineLevel="5" x14ac:dyDescent="0.25">
      <c r="A2059" s="65" t="s">
        <v>3554</v>
      </c>
      <c r="B2059" s="66" t="s">
        <v>3555</v>
      </c>
      <c r="C2059" s="66" t="s">
        <v>3556</v>
      </c>
      <c r="D2059" s="98" t="s">
        <v>3557</v>
      </c>
      <c r="E2059" s="98"/>
      <c r="F2059" s="67"/>
      <c r="G2059" s="66" t="s">
        <v>3285</v>
      </c>
      <c r="H2059" s="68"/>
      <c r="I2059" s="36"/>
      <c r="J2059" s="68"/>
      <c r="K2059" s="69"/>
      <c r="L2059" s="69"/>
      <c r="M2059" s="69"/>
      <c r="N2059" s="69"/>
      <c r="O2059" s="69">
        <f>SUM(O2060:O2062)</f>
        <v>0</v>
      </c>
      <c r="P2059" s="69">
        <f>SUM(P2060:P2062)</f>
        <v>0</v>
      </c>
      <c r="Q2059" s="69">
        <f>SUM(Q2060:Q2062)</f>
        <v>0</v>
      </c>
      <c r="R2059" s="69">
        <f>SUM(R2060:R2062)</f>
        <v>0</v>
      </c>
      <c r="S2059" s="69"/>
      <c r="T2059" s="36"/>
      <c r="XDA2059"/>
      <c r="XDB2059"/>
      <c r="XDC2059"/>
      <c r="XDD2059"/>
      <c r="XDE2059"/>
      <c r="XDF2059"/>
      <c r="XDG2059"/>
      <c r="XDH2059"/>
      <c r="XDI2059"/>
      <c r="XDJ2059"/>
      <c r="XDK2059"/>
      <c r="XDL2059"/>
      <c r="XDM2059"/>
      <c r="XDN2059"/>
      <c r="XDO2059"/>
      <c r="XDP2059"/>
      <c r="XDQ2059"/>
      <c r="XDR2059"/>
      <c r="XDS2059"/>
      <c r="XDT2059"/>
      <c r="XDU2059"/>
      <c r="XDV2059"/>
      <c r="XDW2059"/>
      <c r="XDX2059"/>
      <c r="XDY2059"/>
      <c r="XDZ2059"/>
      <c r="XEA2059"/>
      <c r="XEB2059"/>
      <c r="XEC2059"/>
      <c r="XED2059"/>
      <c r="XEE2059"/>
      <c r="XEF2059"/>
      <c r="XEG2059"/>
      <c r="XEH2059"/>
      <c r="XEI2059"/>
      <c r="XEJ2059"/>
      <c r="XEK2059"/>
      <c r="XEL2059"/>
      <c r="XEM2059"/>
      <c r="XEN2059"/>
      <c r="XEO2059"/>
      <c r="XEP2059"/>
      <c r="XEQ2059"/>
      <c r="XER2059"/>
      <c r="XES2059"/>
      <c r="XET2059"/>
      <c r="XEU2059"/>
      <c r="XEV2059"/>
      <c r="XEW2059"/>
      <c r="XEX2059"/>
      <c r="XEY2059"/>
      <c r="XEZ2059"/>
      <c r="XFA2059"/>
      <c r="XFB2059"/>
      <c r="XFC2059"/>
    </row>
    <row r="2060" spans="1:20 16329:16383" s="38" customFormat="1" ht="29.1" customHeight="1" outlineLevel="6" x14ac:dyDescent="0.25">
      <c r="A2060" s="49" t="s">
        <v>3558</v>
      </c>
      <c r="B2060" s="50"/>
      <c r="C2060" s="50"/>
      <c r="D2060" s="3" t="s">
        <v>3559</v>
      </c>
      <c r="E2060" s="3"/>
      <c r="F2060" s="51"/>
      <c r="G2060" s="50" t="s">
        <v>29</v>
      </c>
      <c r="H2060" s="52">
        <f>1</f>
        <v>1</v>
      </c>
      <c r="I2060" s="36"/>
      <c r="J2060" s="52">
        <v>1</v>
      </c>
      <c r="K2060" s="53">
        <f>0</f>
        <v>0</v>
      </c>
      <c r="L2060" s="53">
        <f>0</f>
        <v>0</v>
      </c>
      <c r="M2060" s="53">
        <f>0</f>
        <v>0</v>
      </c>
      <c r="N2060" s="54">
        <f>SUM(K2060:M2060)</f>
        <v>0</v>
      </c>
      <c r="O2060" s="54">
        <f>ROUND((H2060*K2060),2)</f>
        <v>0</v>
      </c>
      <c r="P2060" s="54">
        <f>ROUND((H2060*L2060),2)</f>
        <v>0</v>
      </c>
      <c r="Q2060" s="54">
        <f>ROUND((H2060*M2060),2)</f>
        <v>0</v>
      </c>
      <c r="R2060" s="54">
        <f>ROUND((H2060*N2060),2)</f>
        <v>0</v>
      </c>
      <c r="S2060" s="54"/>
      <c r="T2060" s="36"/>
      <c r="XDA2060"/>
      <c r="XDB2060"/>
      <c r="XDC2060"/>
      <c r="XDD2060"/>
      <c r="XDE2060"/>
      <c r="XDF2060"/>
      <c r="XDG2060"/>
      <c r="XDH2060"/>
      <c r="XDI2060"/>
      <c r="XDJ2060"/>
      <c r="XDK2060"/>
      <c r="XDL2060"/>
      <c r="XDM2060"/>
      <c r="XDN2060"/>
      <c r="XDO2060"/>
      <c r="XDP2060"/>
      <c r="XDQ2060"/>
      <c r="XDR2060"/>
      <c r="XDS2060"/>
      <c r="XDT2060"/>
      <c r="XDU2060"/>
      <c r="XDV2060"/>
      <c r="XDW2060"/>
      <c r="XDX2060"/>
      <c r="XDY2060"/>
      <c r="XDZ2060"/>
      <c r="XEA2060"/>
      <c r="XEB2060"/>
      <c r="XEC2060"/>
      <c r="XED2060"/>
      <c r="XEE2060"/>
      <c r="XEF2060"/>
      <c r="XEG2060"/>
      <c r="XEH2060"/>
      <c r="XEI2060"/>
      <c r="XEJ2060"/>
      <c r="XEK2060"/>
      <c r="XEL2060"/>
      <c r="XEM2060"/>
      <c r="XEN2060"/>
      <c r="XEO2060"/>
      <c r="XEP2060"/>
      <c r="XEQ2060"/>
      <c r="XER2060"/>
      <c r="XES2060"/>
      <c r="XET2060"/>
      <c r="XEU2060"/>
      <c r="XEV2060"/>
      <c r="XEW2060"/>
      <c r="XEX2060"/>
      <c r="XEY2060"/>
      <c r="XEZ2060"/>
      <c r="XFA2060"/>
      <c r="XFB2060"/>
      <c r="XFC2060"/>
    </row>
    <row r="2061" spans="1:20 16329:16383" s="38" customFormat="1" ht="29.1" customHeight="1" outlineLevel="6" x14ac:dyDescent="0.25">
      <c r="A2061" s="49" t="s">
        <v>3560</v>
      </c>
      <c r="B2061" s="50"/>
      <c r="C2061" s="50"/>
      <c r="D2061" s="3" t="s">
        <v>3561</v>
      </c>
      <c r="E2061" s="3"/>
      <c r="F2061" s="51"/>
      <c r="G2061" s="50" t="s">
        <v>29</v>
      </c>
      <c r="H2061" s="52">
        <f>1</f>
        <v>1</v>
      </c>
      <c r="I2061" s="36"/>
      <c r="J2061" s="52">
        <v>1</v>
      </c>
      <c r="K2061" s="53">
        <f>0</f>
        <v>0</v>
      </c>
      <c r="L2061" s="53">
        <f>0</f>
        <v>0</v>
      </c>
      <c r="M2061" s="53">
        <f>0</f>
        <v>0</v>
      </c>
      <c r="N2061" s="54">
        <f>SUM(K2061:M2061)</f>
        <v>0</v>
      </c>
      <c r="O2061" s="54">
        <f>ROUND((H2061*K2061),2)</f>
        <v>0</v>
      </c>
      <c r="P2061" s="54">
        <f>ROUND((H2061*L2061),2)</f>
        <v>0</v>
      </c>
      <c r="Q2061" s="54">
        <f>ROUND((H2061*M2061),2)</f>
        <v>0</v>
      </c>
      <c r="R2061" s="54">
        <f>ROUND((H2061*N2061),2)</f>
        <v>0</v>
      </c>
      <c r="S2061" s="54"/>
      <c r="T2061" s="36"/>
      <c r="XDA2061"/>
      <c r="XDB2061"/>
      <c r="XDC2061"/>
      <c r="XDD2061"/>
      <c r="XDE2061"/>
      <c r="XDF2061"/>
      <c r="XDG2061"/>
      <c r="XDH2061"/>
      <c r="XDI2061"/>
      <c r="XDJ2061"/>
      <c r="XDK2061"/>
      <c r="XDL2061"/>
      <c r="XDM2061"/>
      <c r="XDN2061"/>
      <c r="XDO2061"/>
      <c r="XDP2061"/>
      <c r="XDQ2061"/>
      <c r="XDR2061"/>
      <c r="XDS2061"/>
      <c r="XDT2061"/>
      <c r="XDU2061"/>
      <c r="XDV2061"/>
      <c r="XDW2061"/>
      <c r="XDX2061"/>
      <c r="XDY2061"/>
      <c r="XDZ2061"/>
      <c r="XEA2061"/>
      <c r="XEB2061"/>
      <c r="XEC2061"/>
      <c r="XED2061"/>
      <c r="XEE2061"/>
      <c r="XEF2061"/>
      <c r="XEG2061"/>
      <c r="XEH2061"/>
      <c r="XEI2061"/>
      <c r="XEJ2061"/>
      <c r="XEK2061"/>
      <c r="XEL2061"/>
      <c r="XEM2061"/>
      <c r="XEN2061"/>
      <c r="XEO2061"/>
      <c r="XEP2061"/>
      <c r="XEQ2061"/>
      <c r="XER2061"/>
      <c r="XES2061"/>
      <c r="XET2061"/>
      <c r="XEU2061"/>
      <c r="XEV2061"/>
      <c r="XEW2061"/>
      <c r="XEX2061"/>
      <c r="XEY2061"/>
      <c r="XEZ2061"/>
      <c r="XFA2061"/>
      <c r="XFB2061"/>
      <c r="XFC2061"/>
    </row>
    <row r="2062" spans="1:20 16329:16383" s="38" customFormat="1" ht="29.1" customHeight="1" outlineLevel="6" x14ac:dyDescent="0.25">
      <c r="A2062" s="49" t="s">
        <v>3562</v>
      </c>
      <c r="B2062" s="50"/>
      <c r="C2062" s="50"/>
      <c r="D2062" s="3" t="s">
        <v>3563</v>
      </c>
      <c r="E2062" s="3"/>
      <c r="F2062" s="51"/>
      <c r="G2062" s="50" t="s">
        <v>29</v>
      </c>
      <c r="H2062" s="52">
        <f>1</f>
        <v>1</v>
      </c>
      <c r="I2062" s="36"/>
      <c r="J2062" s="52">
        <v>1</v>
      </c>
      <c r="K2062" s="53">
        <f>0</f>
        <v>0</v>
      </c>
      <c r="L2062" s="53">
        <f>0</f>
        <v>0</v>
      </c>
      <c r="M2062" s="53">
        <f>0</f>
        <v>0</v>
      </c>
      <c r="N2062" s="54">
        <f>SUM(K2062:M2062)</f>
        <v>0</v>
      </c>
      <c r="O2062" s="54">
        <f>ROUND((H2062*K2062),2)</f>
        <v>0</v>
      </c>
      <c r="P2062" s="54">
        <f>ROUND((H2062*L2062),2)</f>
        <v>0</v>
      </c>
      <c r="Q2062" s="54">
        <f>ROUND((H2062*M2062),2)</f>
        <v>0</v>
      </c>
      <c r="R2062" s="54">
        <f>ROUND((H2062*N2062),2)</f>
        <v>0</v>
      </c>
      <c r="S2062" s="54"/>
      <c r="T2062" s="36"/>
      <c r="XDA2062"/>
      <c r="XDB2062"/>
      <c r="XDC2062"/>
      <c r="XDD2062"/>
      <c r="XDE2062"/>
      <c r="XDF2062"/>
      <c r="XDG2062"/>
      <c r="XDH2062"/>
      <c r="XDI2062"/>
      <c r="XDJ2062"/>
      <c r="XDK2062"/>
      <c r="XDL2062"/>
      <c r="XDM2062"/>
      <c r="XDN2062"/>
      <c r="XDO2062"/>
      <c r="XDP2062"/>
      <c r="XDQ2062"/>
      <c r="XDR2062"/>
      <c r="XDS2062"/>
      <c r="XDT2062"/>
      <c r="XDU2062"/>
      <c r="XDV2062"/>
      <c r="XDW2062"/>
      <c r="XDX2062"/>
      <c r="XDY2062"/>
      <c r="XDZ2062"/>
      <c r="XEA2062"/>
      <c r="XEB2062"/>
      <c r="XEC2062"/>
      <c r="XED2062"/>
      <c r="XEE2062"/>
      <c r="XEF2062"/>
      <c r="XEG2062"/>
      <c r="XEH2062"/>
      <c r="XEI2062"/>
      <c r="XEJ2062"/>
      <c r="XEK2062"/>
      <c r="XEL2062"/>
      <c r="XEM2062"/>
      <c r="XEN2062"/>
      <c r="XEO2062"/>
      <c r="XEP2062"/>
      <c r="XEQ2062"/>
      <c r="XER2062"/>
      <c r="XES2062"/>
      <c r="XET2062"/>
      <c r="XEU2062"/>
      <c r="XEV2062"/>
      <c r="XEW2062"/>
      <c r="XEX2062"/>
      <c r="XEY2062"/>
      <c r="XEZ2062"/>
      <c r="XFA2062"/>
      <c r="XFB2062"/>
      <c r="XFC2062"/>
    </row>
    <row r="2063" spans="1:20 16329:16383" s="38" customFormat="1" ht="29.1" customHeight="1" outlineLevel="5" x14ac:dyDescent="0.25">
      <c r="A2063" s="65" t="s">
        <v>3564</v>
      </c>
      <c r="B2063" s="66" t="s">
        <v>3565</v>
      </c>
      <c r="C2063" s="66" t="s">
        <v>3566</v>
      </c>
      <c r="D2063" s="98" t="s">
        <v>3567</v>
      </c>
      <c r="E2063" s="98"/>
      <c r="F2063" s="67"/>
      <c r="G2063" s="66" t="s">
        <v>134</v>
      </c>
      <c r="H2063" s="68"/>
      <c r="I2063" s="36"/>
      <c r="J2063" s="68"/>
      <c r="K2063" s="69"/>
      <c r="L2063" s="69"/>
      <c r="M2063" s="69"/>
      <c r="N2063" s="69"/>
      <c r="O2063" s="69">
        <f>SUM(O2064:O2066)</f>
        <v>0</v>
      </c>
      <c r="P2063" s="69">
        <f>SUM(P2064:P2066)</f>
        <v>0</v>
      </c>
      <c r="Q2063" s="69">
        <f>SUM(Q2064:Q2066)</f>
        <v>0</v>
      </c>
      <c r="R2063" s="69">
        <f>SUM(R2064:R2066)</f>
        <v>0</v>
      </c>
      <c r="S2063" s="69"/>
      <c r="T2063" s="36"/>
      <c r="XDA2063"/>
      <c r="XDB2063"/>
      <c r="XDC2063"/>
      <c r="XDD2063"/>
      <c r="XDE2063"/>
      <c r="XDF2063"/>
      <c r="XDG2063"/>
      <c r="XDH2063"/>
      <c r="XDI2063"/>
      <c r="XDJ2063"/>
      <c r="XDK2063"/>
      <c r="XDL2063"/>
      <c r="XDM2063"/>
      <c r="XDN2063"/>
      <c r="XDO2063"/>
      <c r="XDP2063"/>
      <c r="XDQ2063"/>
      <c r="XDR2063"/>
      <c r="XDS2063"/>
      <c r="XDT2063"/>
      <c r="XDU2063"/>
      <c r="XDV2063"/>
      <c r="XDW2063"/>
      <c r="XDX2063"/>
      <c r="XDY2063"/>
      <c r="XDZ2063"/>
      <c r="XEA2063"/>
      <c r="XEB2063"/>
      <c r="XEC2063"/>
      <c r="XED2063"/>
      <c r="XEE2063"/>
      <c r="XEF2063"/>
      <c r="XEG2063"/>
      <c r="XEH2063"/>
      <c r="XEI2063"/>
      <c r="XEJ2063"/>
      <c r="XEK2063"/>
      <c r="XEL2063"/>
      <c r="XEM2063"/>
      <c r="XEN2063"/>
      <c r="XEO2063"/>
      <c r="XEP2063"/>
      <c r="XEQ2063"/>
      <c r="XER2063"/>
      <c r="XES2063"/>
      <c r="XET2063"/>
      <c r="XEU2063"/>
      <c r="XEV2063"/>
      <c r="XEW2063"/>
      <c r="XEX2063"/>
      <c r="XEY2063"/>
      <c r="XEZ2063"/>
      <c r="XFA2063"/>
      <c r="XFB2063"/>
      <c r="XFC2063"/>
    </row>
    <row r="2064" spans="1:20 16329:16383" s="38" customFormat="1" ht="29.1" customHeight="1" outlineLevel="6" x14ac:dyDescent="0.25">
      <c r="A2064" s="49" t="s">
        <v>3568</v>
      </c>
      <c r="B2064" s="50"/>
      <c r="C2064" s="50"/>
      <c r="D2064" s="3" t="s">
        <v>3569</v>
      </c>
      <c r="E2064" s="3"/>
      <c r="F2064" s="51"/>
      <c r="G2064" s="50" t="s">
        <v>29</v>
      </c>
      <c r="H2064" s="52">
        <f>1</f>
        <v>1</v>
      </c>
      <c r="I2064" s="36"/>
      <c r="J2064" s="52">
        <v>1</v>
      </c>
      <c r="K2064" s="53">
        <f>0</f>
        <v>0</v>
      </c>
      <c r="L2064" s="53">
        <f>0</f>
        <v>0</v>
      </c>
      <c r="M2064" s="53">
        <f>0</f>
        <v>0</v>
      </c>
      <c r="N2064" s="54">
        <f>SUM(K2064:M2064)</f>
        <v>0</v>
      </c>
      <c r="O2064" s="54">
        <f>ROUND((H2064*K2064),2)</f>
        <v>0</v>
      </c>
      <c r="P2064" s="54">
        <f>ROUND((H2064*L2064),2)</f>
        <v>0</v>
      </c>
      <c r="Q2064" s="54">
        <f>ROUND((H2064*M2064),2)</f>
        <v>0</v>
      </c>
      <c r="R2064" s="54">
        <f>ROUND((H2064*N2064),2)</f>
        <v>0</v>
      </c>
      <c r="S2064" s="54"/>
      <c r="T2064" s="36"/>
      <c r="XDA2064"/>
      <c r="XDB2064"/>
      <c r="XDC2064"/>
      <c r="XDD2064"/>
      <c r="XDE2064"/>
      <c r="XDF2064"/>
      <c r="XDG2064"/>
      <c r="XDH2064"/>
      <c r="XDI2064"/>
      <c r="XDJ2064"/>
      <c r="XDK2064"/>
      <c r="XDL2064"/>
      <c r="XDM2064"/>
      <c r="XDN2064"/>
      <c r="XDO2064"/>
      <c r="XDP2064"/>
      <c r="XDQ2064"/>
      <c r="XDR2064"/>
      <c r="XDS2064"/>
      <c r="XDT2064"/>
      <c r="XDU2064"/>
      <c r="XDV2064"/>
      <c r="XDW2064"/>
      <c r="XDX2064"/>
      <c r="XDY2064"/>
      <c r="XDZ2064"/>
      <c r="XEA2064"/>
      <c r="XEB2064"/>
      <c r="XEC2064"/>
      <c r="XED2064"/>
      <c r="XEE2064"/>
      <c r="XEF2064"/>
      <c r="XEG2064"/>
      <c r="XEH2064"/>
      <c r="XEI2064"/>
      <c r="XEJ2064"/>
      <c r="XEK2064"/>
      <c r="XEL2064"/>
      <c r="XEM2064"/>
      <c r="XEN2064"/>
      <c r="XEO2064"/>
      <c r="XEP2064"/>
      <c r="XEQ2064"/>
      <c r="XER2064"/>
      <c r="XES2064"/>
      <c r="XET2064"/>
      <c r="XEU2064"/>
      <c r="XEV2064"/>
      <c r="XEW2064"/>
      <c r="XEX2064"/>
      <c r="XEY2064"/>
      <c r="XEZ2064"/>
      <c r="XFA2064"/>
      <c r="XFB2064"/>
      <c r="XFC2064"/>
    </row>
    <row r="2065" spans="1:20 16329:16383" s="38" customFormat="1" ht="29.1" customHeight="1" outlineLevel="6" x14ac:dyDescent="0.25">
      <c r="A2065" s="49" t="s">
        <v>3570</v>
      </c>
      <c r="B2065" s="50"/>
      <c r="C2065" s="50"/>
      <c r="D2065" s="3" t="s">
        <v>3571</v>
      </c>
      <c r="E2065" s="3"/>
      <c r="F2065" s="51"/>
      <c r="G2065" s="50" t="s">
        <v>29</v>
      </c>
      <c r="H2065" s="52">
        <f>1</f>
        <v>1</v>
      </c>
      <c r="I2065" s="36"/>
      <c r="J2065" s="52">
        <v>1</v>
      </c>
      <c r="K2065" s="53">
        <f>0</f>
        <v>0</v>
      </c>
      <c r="L2065" s="53">
        <f>0</f>
        <v>0</v>
      </c>
      <c r="M2065" s="53">
        <f>0</f>
        <v>0</v>
      </c>
      <c r="N2065" s="54">
        <f>SUM(K2065:M2065)</f>
        <v>0</v>
      </c>
      <c r="O2065" s="54">
        <f>ROUND((H2065*K2065),2)</f>
        <v>0</v>
      </c>
      <c r="P2065" s="54">
        <f>ROUND((H2065*L2065),2)</f>
        <v>0</v>
      </c>
      <c r="Q2065" s="54">
        <f>ROUND((H2065*M2065),2)</f>
        <v>0</v>
      </c>
      <c r="R2065" s="54">
        <f>ROUND((H2065*N2065),2)</f>
        <v>0</v>
      </c>
      <c r="S2065" s="54"/>
      <c r="T2065" s="36"/>
      <c r="XDA2065"/>
      <c r="XDB2065"/>
      <c r="XDC2065"/>
      <c r="XDD2065"/>
      <c r="XDE2065"/>
      <c r="XDF2065"/>
      <c r="XDG2065"/>
      <c r="XDH2065"/>
      <c r="XDI2065"/>
      <c r="XDJ2065"/>
      <c r="XDK2065"/>
      <c r="XDL2065"/>
      <c r="XDM2065"/>
      <c r="XDN2065"/>
      <c r="XDO2065"/>
      <c r="XDP2065"/>
      <c r="XDQ2065"/>
      <c r="XDR2065"/>
      <c r="XDS2065"/>
      <c r="XDT2065"/>
      <c r="XDU2065"/>
      <c r="XDV2065"/>
      <c r="XDW2065"/>
      <c r="XDX2065"/>
      <c r="XDY2065"/>
      <c r="XDZ2065"/>
      <c r="XEA2065"/>
      <c r="XEB2065"/>
      <c r="XEC2065"/>
      <c r="XED2065"/>
      <c r="XEE2065"/>
      <c r="XEF2065"/>
      <c r="XEG2065"/>
      <c r="XEH2065"/>
      <c r="XEI2065"/>
      <c r="XEJ2065"/>
      <c r="XEK2065"/>
      <c r="XEL2065"/>
      <c r="XEM2065"/>
      <c r="XEN2065"/>
      <c r="XEO2065"/>
      <c r="XEP2065"/>
      <c r="XEQ2065"/>
      <c r="XER2065"/>
      <c r="XES2065"/>
      <c r="XET2065"/>
      <c r="XEU2065"/>
      <c r="XEV2065"/>
      <c r="XEW2065"/>
      <c r="XEX2065"/>
      <c r="XEY2065"/>
      <c r="XEZ2065"/>
      <c r="XFA2065"/>
      <c r="XFB2065"/>
      <c r="XFC2065"/>
    </row>
    <row r="2066" spans="1:20 16329:16383" s="38" customFormat="1" ht="29.1" customHeight="1" outlineLevel="6" x14ac:dyDescent="0.25">
      <c r="A2066" s="49" t="s">
        <v>3572</v>
      </c>
      <c r="B2066" s="50"/>
      <c r="C2066" s="50"/>
      <c r="D2066" s="3" t="s">
        <v>3573</v>
      </c>
      <c r="E2066" s="3"/>
      <c r="F2066" s="51"/>
      <c r="G2066" s="50" t="s">
        <v>29</v>
      </c>
      <c r="H2066" s="52">
        <f>1</f>
        <v>1</v>
      </c>
      <c r="I2066" s="36"/>
      <c r="J2066" s="52">
        <v>1</v>
      </c>
      <c r="K2066" s="53">
        <f>0</f>
        <v>0</v>
      </c>
      <c r="L2066" s="53">
        <f>0</f>
        <v>0</v>
      </c>
      <c r="M2066" s="53">
        <f>0</f>
        <v>0</v>
      </c>
      <c r="N2066" s="54">
        <f>SUM(K2066:M2066)</f>
        <v>0</v>
      </c>
      <c r="O2066" s="54">
        <f>ROUND((H2066*K2066),2)</f>
        <v>0</v>
      </c>
      <c r="P2066" s="54">
        <f>ROUND((H2066*L2066),2)</f>
        <v>0</v>
      </c>
      <c r="Q2066" s="54">
        <f>ROUND((H2066*M2066),2)</f>
        <v>0</v>
      </c>
      <c r="R2066" s="54">
        <f>ROUND((H2066*N2066),2)</f>
        <v>0</v>
      </c>
      <c r="S2066" s="54"/>
      <c r="T2066" s="36"/>
      <c r="XDA2066"/>
      <c r="XDB2066"/>
      <c r="XDC2066"/>
      <c r="XDD2066"/>
      <c r="XDE2066"/>
      <c r="XDF2066"/>
      <c r="XDG2066"/>
      <c r="XDH2066"/>
      <c r="XDI2066"/>
      <c r="XDJ2066"/>
      <c r="XDK2066"/>
      <c r="XDL2066"/>
      <c r="XDM2066"/>
      <c r="XDN2066"/>
      <c r="XDO2066"/>
      <c r="XDP2066"/>
      <c r="XDQ2066"/>
      <c r="XDR2066"/>
      <c r="XDS2066"/>
      <c r="XDT2066"/>
      <c r="XDU2066"/>
      <c r="XDV2066"/>
      <c r="XDW2066"/>
      <c r="XDX2066"/>
      <c r="XDY2066"/>
      <c r="XDZ2066"/>
      <c r="XEA2066"/>
      <c r="XEB2066"/>
      <c r="XEC2066"/>
      <c r="XED2066"/>
      <c r="XEE2066"/>
      <c r="XEF2066"/>
      <c r="XEG2066"/>
      <c r="XEH2066"/>
      <c r="XEI2066"/>
      <c r="XEJ2066"/>
      <c r="XEK2066"/>
      <c r="XEL2066"/>
      <c r="XEM2066"/>
      <c r="XEN2066"/>
      <c r="XEO2066"/>
      <c r="XEP2066"/>
      <c r="XEQ2066"/>
      <c r="XER2066"/>
      <c r="XES2066"/>
      <c r="XET2066"/>
      <c r="XEU2066"/>
      <c r="XEV2066"/>
      <c r="XEW2066"/>
      <c r="XEX2066"/>
      <c r="XEY2066"/>
      <c r="XEZ2066"/>
      <c r="XFA2066"/>
      <c r="XFB2066"/>
      <c r="XFC2066"/>
    </row>
    <row r="2067" spans="1:20 16329:16383" s="38" customFormat="1" ht="29.1" customHeight="1" outlineLevel="4" x14ac:dyDescent="0.25">
      <c r="A2067" s="60" t="s">
        <v>3574</v>
      </c>
      <c r="B2067" s="61" t="s">
        <v>3575</v>
      </c>
      <c r="C2067" s="61" t="s">
        <v>3576</v>
      </c>
      <c r="D2067" s="1" t="s">
        <v>3577</v>
      </c>
      <c r="E2067" s="1"/>
      <c r="F2067" s="62"/>
      <c r="G2067" s="61" t="s">
        <v>29</v>
      </c>
      <c r="H2067" s="63"/>
      <c r="I2067" s="36"/>
      <c r="J2067" s="63"/>
      <c r="K2067" s="64"/>
      <c r="L2067" s="64"/>
      <c r="M2067" s="64"/>
      <c r="N2067" s="64"/>
      <c r="O2067" s="64">
        <f>O2068+O2071</f>
        <v>0</v>
      </c>
      <c r="P2067" s="64">
        <f>P2068+P2071</f>
        <v>0</v>
      </c>
      <c r="Q2067" s="64">
        <f>Q2068+Q2071</f>
        <v>0</v>
      </c>
      <c r="R2067" s="64">
        <f>R2068+R2071</f>
        <v>0</v>
      </c>
      <c r="S2067" s="64"/>
      <c r="T2067" s="36"/>
      <c r="XDA2067"/>
      <c r="XDB2067"/>
      <c r="XDC2067"/>
      <c r="XDD2067"/>
      <c r="XDE2067"/>
      <c r="XDF2067"/>
      <c r="XDG2067"/>
      <c r="XDH2067"/>
      <c r="XDI2067"/>
      <c r="XDJ2067"/>
      <c r="XDK2067"/>
      <c r="XDL2067"/>
      <c r="XDM2067"/>
      <c r="XDN2067"/>
      <c r="XDO2067"/>
      <c r="XDP2067"/>
      <c r="XDQ2067"/>
      <c r="XDR2067"/>
      <c r="XDS2067"/>
      <c r="XDT2067"/>
      <c r="XDU2067"/>
      <c r="XDV2067"/>
      <c r="XDW2067"/>
      <c r="XDX2067"/>
      <c r="XDY2067"/>
      <c r="XDZ2067"/>
      <c r="XEA2067"/>
      <c r="XEB2067"/>
      <c r="XEC2067"/>
      <c r="XED2067"/>
      <c r="XEE2067"/>
      <c r="XEF2067"/>
      <c r="XEG2067"/>
      <c r="XEH2067"/>
      <c r="XEI2067"/>
      <c r="XEJ2067"/>
      <c r="XEK2067"/>
      <c r="XEL2067"/>
      <c r="XEM2067"/>
      <c r="XEN2067"/>
      <c r="XEO2067"/>
      <c r="XEP2067"/>
      <c r="XEQ2067"/>
      <c r="XER2067"/>
      <c r="XES2067"/>
      <c r="XET2067"/>
      <c r="XEU2067"/>
      <c r="XEV2067"/>
      <c r="XEW2067"/>
      <c r="XEX2067"/>
      <c r="XEY2067"/>
      <c r="XEZ2067"/>
      <c r="XFA2067"/>
      <c r="XFB2067"/>
      <c r="XFC2067"/>
    </row>
    <row r="2068" spans="1:20 16329:16383" s="38" customFormat="1" ht="29.1" customHeight="1" outlineLevel="5" x14ac:dyDescent="0.25">
      <c r="A2068" s="65" t="s">
        <v>3578</v>
      </c>
      <c r="B2068" s="66" t="s">
        <v>3579</v>
      </c>
      <c r="C2068" s="66" t="s">
        <v>3580</v>
      </c>
      <c r="D2068" s="98" t="s">
        <v>3581</v>
      </c>
      <c r="E2068" s="98"/>
      <c r="F2068" s="67"/>
      <c r="G2068" s="66" t="s">
        <v>3285</v>
      </c>
      <c r="H2068" s="68"/>
      <c r="I2068" s="36"/>
      <c r="J2068" s="68"/>
      <c r="K2068" s="69"/>
      <c r="L2068" s="69"/>
      <c r="M2068" s="69"/>
      <c r="N2068" s="69"/>
      <c r="O2068" s="69">
        <f>O2069+O2070</f>
        <v>0</v>
      </c>
      <c r="P2068" s="69">
        <f>P2069+P2070</f>
        <v>0</v>
      </c>
      <c r="Q2068" s="69">
        <f>Q2069+Q2070</f>
        <v>0</v>
      </c>
      <c r="R2068" s="69">
        <f>R2069+R2070</f>
        <v>0</v>
      </c>
      <c r="S2068" s="69"/>
      <c r="T2068" s="36"/>
      <c r="XDA2068"/>
      <c r="XDB2068"/>
      <c r="XDC2068"/>
      <c r="XDD2068"/>
      <c r="XDE2068"/>
      <c r="XDF2068"/>
      <c r="XDG2068"/>
      <c r="XDH2068"/>
      <c r="XDI2068"/>
      <c r="XDJ2068"/>
      <c r="XDK2068"/>
      <c r="XDL2068"/>
      <c r="XDM2068"/>
      <c r="XDN2068"/>
      <c r="XDO2068"/>
      <c r="XDP2068"/>
      <c r="XDQ2068"/>
      <c r="XDR2068"/>
      <c r="XDS2068"/>
      <c r="XDT2068"/>
      <c r="XDU2068"/>
      <c r="XDV2068"/>
      <c r="XDW2068"/>
      <c r="XDX2068"/>
      <c r="XDY2068"/>
      <c r="XDZ2068"/>
      <c r="XEA2068"/>
      <c r="XEB2068"/>
      <c r="XEC2068"/>
      <c r="XED2068"/>
      <c r="XEE2068"/>
      <c r="XEF2068"/>
      <c r="XEG2068"/>
      <c r="XEH2068"/>
      <c r="XEI2068"/>
      <c r="XEJ2068"/>
      <c r="XEK2068"/>
      <c r="XEL2068"/>
      <c r="XEM2068"/>
      <c r="XEN2068"/>
      <c r="XEO2068"/>
      <c r="XEP2068"/>
      <c r="XEQ2068"/>
      <c r="XER2068"/>
      <c r="XES2068"/>
      <c r="XET2068"/>
      <c r="XEU2068"/>
      <c r="XEV2068"/>
      <c r="XEW2068"/>
      <c r="XEX2068"/>
      <c r="XEY2068"/>
      <c r="XEZ2068"/>
      <c r="XFA2068"/>
      <c r="XFB2068"/>
      <c r="XFC2068"/>
    </row>
    <row r="2069" spans="1:20 16329:16383" s="38" customFormat="1" ht="29.1" customHeight="1" outlineLevel="6" x14ac:dyDescent="0.25">
      <c r="A2069" s="49" t="s">
        <v>3582</v>
      </c>
      <c r="B2069" s="50"/>
      <c r="C2069" s="50"/>
      <c r="D2069" s="3" t="s">
        <v>3583</v>
      </c>
      <c r="E2069" s="3"/>
      <c r="F2069" s="51"/>
      <c r="G2069" s="50" t="s">
        <v>29</v>
      </c>
      <c r="H2069" s="52">
        <f>1</f>
        <v>1</v>
      </c>
      <c r="I2069" s="36"/>
      <c r="J2069" s="52">
        <v>1</v>
      </c>
      <c r="K2069" s="53">
        <f>0</f>
        <v>0</v>
      </c>
      <c r="L2069" s="53">
        <f>0</f>
        <v>0</v>
      </c>
      <c r="M2069" s="53">
        <f>0</f>
        <v>0</v>
      </c>
      <c r="N2069" s="54">
        <f>SUM(K2069:M2069)</f>
        <v>0</v>
      </c>
      <c r="O2069" s="54">
        <f>ROUND((H2069*K2069),2)</f>
        <v>0</v>
      </c>
      <c r="P2069" s="54">
        <f>ROUND((H2069*L2069),2)</f>
        <v>0</v>
      </c>
      <c r="Q2069" s="54">
        <f>ROUND((H2069*M2069),2)</f>
        <v>0</v>
      </c>
      <c r="R2069" s="54">
        <f>ROUND((H2069*N2069),2)</f>
        <v>0</v>
      </c>
      <c r="S2069" s="54"/>
      <c r="T2069" s="36"/>
      <c r="XDA2069"/>
      <c r="XDB2069"/>
      <c r="XDC2069"/>
      <c r="XDD2069"/>
      <c r="XDE2069"/>
      <c r="XDF2069"/>
      <c r="XDG2069"/>
      <c r="XDH2069"/>
      <c r="XDI2069"/>
      <c r="XDJ2069"/>
      <c r="XDK2069"/>
      <c r="XDL2069"/>
      <c r="XDM2069"/>
      <c r="XDN2069"/>
      <c r="XDO2069"/>
      <c r="XDP2069"/>
      <c r="XDQ2069"/>
      <c r="XDR2069"/>
      <c r="XDS2069"/>
      <c r="XDT2069"/>
      <c r="XDU2069"/>
      <c r="XDV2069"/>
      <c r="XDW2069"/>
      <c r="XDX2069"/>
      <c r="XDY2069"/>
      <c r="XDZ2069"/>
      <c r="XEA2069"/>
      <c r="XEB2069"/>
      <c r="XEC2069"/>
      <c r="XED2069"/>
      <c r="XEE2069"/>
      <c r="XEF2069"/>
      <c r="XEG2069"/>
      <c r="XEH2069"/>
      <c r="XEI2069"/>
      <c r="XEJ2069"/>
      <c r="XEK2069"/>
      <c r="XEL2069"/>
      <c r="XEM2069"/>
      <c r="XEN2069"/>
      <c r="XEO2069"/>
      <c r="XEP2069"/>
      <c r="XEQ2069"/>
      <c r="XER2069"/>
      <c r="XES2069"/>
      <c r="XET2069"/>
      <c r="XEU2069"/>
      <c r="XEV2069"/>
      <c r="XEW2069"/>
      <c r="XEX2069"/>
      <c r="XEY2069"/>
      <c r="XEZ2069"/>
      <c r="XFA2069"/>
      <c r="XFB2069"/>
      <c r="XFC2069"/>
    </row>
    <row r="2070" spans="1:20 16329:16383" s="38" customFormat="1" ht="29.1" customHeight="1" outlineLevel="6" x14ac:dyDescent="0.25">
      <c r="A2070" s="49" t="s">
        <v>3584</v>
      </c>
      <c r="B2070" s="50"/>
      <c r="C2070" s="50"/>
      <c r="D2070" s="3" t="s">
        <v>3585</v>
      </c>
      <c r="E2070" s="3"/>
      <c r="F2070" s="51"/>
      <c r="G2070" s="50" t="s">
        <v>29</v>
      </c>
      <c r="H2070" s="52">
        <f>1</f>
        <v>1</v>
      </c>
      <c r="I2070" s="36"/>
      <c r="J2070" s="52">
        <v>1</v>
      </c>
      <c r="K2070" s="53">
        <f>0</f>
        <v>0</v>
      </c>
      <c r="L2070" s="53">
        <f>0</f>
        <v>0</v>
      </c>
      <c r="M2070" s="53">
        <f>0</f>
        <v>0</v>
      </c>
      <c r="N2070" s="54">
        <f>SUM(K2070:M2070)</f>
        <v>0</v>
      </c>
      <c r="O2070" s="54">
        <f>ROUND((H2070*K2070),2)</f>
        <v>0</v>
      </c>
      <c r="P2070" s="54">
        <f>ROUND((H2070*L2070),2)</f>
        <v>0</v>
      </c>
      <c r="Q2070" s="54">
        <f>ROUND((H2070*M2070),2)</f>
        <v>0</v>
      </c>
      <c r="R2070" s="54">
        <f>ROUND((H2070*N2070),2)</f>
        <v>0</v>
      </c>
      <c r="S2070" s="54"/>
      <c r="T2070" s="36"/>
      <c r="XDA2070"/>
      <c r="XDB2070"/>
      <c r="XDC2070"/>
      <c r="XDD2070"/>
      <c r="XDE2070"/>
      <c r="XDF2070"/>
      <c r="XDG2070"/>
      <c r="XDH2070"/>
      <c r="XDI2070"/>
      <c r="XDJ2070"/>
      <c r="XDK2070"/>
      <c r="XDL2070"/>
      <c r="XDM2070"/>
      <c r="XDN2070"/>
      <c r="XDO2070"/>
      <c r="XDP2070"/>
      <c r="XDQ2070"/>
      <c r="XDR2070"/>
      <c r="XDS2070"/>
      <c r="XDT2070"/>
      <c r="XDU2070"/>
      <c r="XDV2070"/>
      <c r="XDW2070"/>
      <c r="XDX2070"/>
      <c r="XDY2070"/>
      <c r="XDZ2070"/>
      <c r="XEA2070"/>
      <c r="XEB2070"/>
      <c r="XEC2070"/>
      <c r="XED2070"/>
      <c r="XEE2070"/>
      <c r="XEF2070"/>
      <c r="XEG2070"/>
      <c r="XEH2070"/>
      <c r="XEI2070"/>
      <c r="XEJ2070"/>
      <c r="XEK2070"/>
      <c r="XEL2070"/>
      <c r="XEM2070"/>
      <c r="XEN2070"/>
      <c r="XEO2070"/>
      <c r="XEP2070"/>
      <c r="XEQ2070"/>
      <c r="XER2070"/>
      <c r="XES2070"/>
      <c r="XET2070"/>
      <c r="XEU2070"/>
      <c r="XEV2070"/>
      <c r="XEW2070"/>
      <c r="XEX2070"/>
      <c r="XEY2070"/>
      <c r="XEZ2070"/>
      <c r="XFA2070"/>
      <c r="XFB2070"/>
      <c r="XFC2070"/>
    </row>
    <row r="2071" spans="1:20 16329:16383" s="38" customFormat="1" ht="29.1" customHeight="1" outlineLevel="5" x14ac:dyDescent="0.25">
      <c r="A2071" s="65" t="s">
        <v>3586</v>
      </c>
      <c r="B2071" s="66" t="s">
        <v>3587</v>
      </c>
      <c r="C2071" s="66" t="s">
        <v>3588</v>
      </c>
      <c r="D2071" s="98" t="s">
        <v>3589</v>
      </c>
      <c r="E2071" s="98"/>
      <c r="F2071" s="67"/>
      <c r="G2071" s="66" t="s">
        <v>134</v>
      </c>
      <c r="H2071" s="68"/>
      <c r="I2071" s="36"/>
      <c r="J2071" s="68"/>
      <c r="K2071" s="69"/>
      <c r="L2071" s="69"/>
      <c r="M2071" s="69"/>
      <c r="N2071" s="69"/>
      <c r="O2071" s="69">
        <f>SUM(O2072:O2076)</f>
        <v>0</v>
      </c>
      <c r="P2071" s="69">
        <f>SUM(P2072:P2076)</f>
        <v>0</v>
      </c>
      <c r="Q2071" s="69">
        <f>SUM(Q2072:Q2076)</f>
        <v>0</v>
      </c>
      <c r="R2071" s="69">
        <f>SUM(R2072:R2076)</f>
        <v>0</v>
      </c>
      <c r="S2071" s="69"/>
      <c r="T2071" s="36"/>
      <c r="XDA2071"/>
      <c r="XDB2071"/>
      <c r="XDC2071"/>
      <c r="XDD2071"/>
      <c r="XDE2071"/>
      <c r="XDF2071"/>
      <c r="XDG2071"/>
      <c r="XDH2071"/>
      <c r="XDI2071"/>
      <c r="XDJ2071"/>
      <c r="XDK2071"/>
      <c r="XDL2071"/>
      <c r="XDM2071"/>
      <c r="XDN2071"/>
      <c r="XDO2071"/>
      <c r="XDP2071"/>
      <c r="XDQ2071"/>
      <c r="XDR2071"/>
      <c r="XDS2071"/>
      <c r="XDT2071"/>
      <c r="XDU2071"/>
      <c r="XDV2071"/>
      <c r="XDW2071"/>
      <c r="XDX2071"/>
      <c r="XDY2071"/>
      <c r="XDZ2071"/>
      <c r="XEA2071"/>
      <c r="XEB2071"/>
      <c r="XEC2071"/>
      <c r="XED2071"/>
      <c r="XEE2071"/>
      <c r="XEF2071"/>
      <c r="XEG2071"/>
      <c r="XEH2071"/>
      <c r="XEI2071"/>
      <c r="XEJ2071"/>
      <c r="XEK2071"/>
      <c r="XEL2071"/>
      <c r="XEM2071"/>
      <c r="XEN2071"/>
      <c r="XEO2071"/>
      <c r="XEP2071"/>
      <c r="XEQ2071"/>
      <c r="XER2071"/>
      <c r="XES2071"/>
      <c r="XET2071"/>
      <c r="XEU2071"/>
      <c r="XEV2071"/>
      <c r="XEW2071"/>
      <c r="XEX2071"/>
      <c r="XEY2071"/>
      <c r="XEZ2071"/>
      <c r="XFA2071"/>
      <c r="XFB2071"/>
      <c r="XFC2071"/>
    </row>
    <row r="2072" spans="1:20 16329:16383" s="38" customFormat="1" ht="29.1" customHeight="1" outlineLevel="6" x14ac:dyDescent="0.25">
      <c r="A2072" s="49" t="s">
        <v>3590</v>
      </c>
      <c r="B2072" s="50"/>
      <c r="C2072" s="50"/>
      <c r="D2072" s="3" t="s">
        <v>3591</v>
      </c>
      <c r="E2072" s="3"/>
      <c r="F2072" s="51"/>
      <c r="G2072" s="50" t="s">
        <v>29</v>
      </c>
      <c r="H2072" s="52">
        <f>1</f>
        <v>1</v>
      </c>
      <c r="I2072" s="36"/>
      <c r="J2072" s="52">
        <v>1</v>
      </c>
      <c r="K2072" s="53">
        <f>0</f>
        <v>0</v>
      </c>
      <c r="L2072" s="53">
        <f>0</f>
        <v>0</v>
      </c>
      <c r="M2072" s="53">
        <f>0</f>
        <v>0</v>
      </c>
      <c r="N2072" s="54">
        <f>SUM(K2072:M2072)</f>
        <v>0</v>
      </c>
      <c r="O2072" s="54">
        <f>ROUND((H2072*K2072),2)</f>
        <v>0</v>
      </c>
      <c r="P2072" s="54">
        <f>ROUND((H2072*L2072),2)</f>
        <v>0</v>
      </c>
      <c r="Q2072" s="54">
        <f>ROUND((H2072*M2072),2)</f>
        <v>0</v>
      </c>
      <c r="R2072" s="54">
        <f>ROUND((H2072*N2072),2)</f>
        <v>0</v>
      </c>
      <c r="S2072" s="54"/>
      <c r="T2072" s="36"/>
      <c r="XDA2072"/>
      <c r="XDB2072"/>
      <c r="XDC2072"/>
      <c r="XDD2072"/>
      <c r="XDE2072"/>
      <c r="XDF2072"/>
      <c r="XDG2072"/>
      <c r="XDH2072"/>
      <c r="XDI2072"/>
      <c r="XDJ2072"/>
      <c r="XDK2072"/>
      <c r="XDL2072"/>
      <c r="XDM2072"/>
      <c r="XDN2072"/>
      <c r="XDO2072"/>
      <c r="XDP2072"/>
      <c r="XDQ2072"/>
      <c r="XDR2072"/>
      <c r="XDS2072"/>
      <c r="XDT2072"/>
      <c r="XDU2072"/>
      <c r="XDV2072"/>
      <c r="XDW2072"/>
      <c r="XDX2072"/>
      <c r="XDY2072"/>
      <c r="XDZ2072"/>
      <c r="XEA2072"/>
      <c r="XEB2072"/>
      <c r="XEC2072"/>
      <c r="XED2072"/>
      <c r="XEE2072"/>
      <c r="XEF2072"/>
      <c r="XEG2072"/>
      <c r="XEH2072"/>
      <c r="XEI2072"/>
      <c r="XEJ2072"/>
      <c r="XEK2072"/>
      <c r="XEL2072"/>
      <c r="XEM2072"/>
      <c r="XEN2072"/>
      <c r="XEO2072"/>
      <c r="XEP2072"/>
      <c r="XEQ2072"/>
      <c r="XER2072"/>
      <c r="XES2072"/>
      <c r="XET2072"/>
      <c r="XEU2072"/>
      <c r="XEV2072"/>
      <c r="XEW2072"/>
      <c r="XEX2072"/>
      <c r="XEY2072"/>
      <c r="XEZ2072"/>
      <c r="XFA2072"/>
      <c r="XFB2072"/>
      <c r="XFC2072"/>
    </row>
    <row r="2073" spans="1:20 16329:16383" s="38" customFormat="1" ht="29.1" customHeight="1" outlineLevel="6" x14ac:dyDescent="0.25">
      <c r="A2073" s="49" t="s">
        <v>3592</v>
      </c>
      <c r="B2073" s="50"/>
      <c r="C2073" s="50"/>
      <c r="D2073" s="3" t="s">
        <v>3593</v>
      </c>
      <c r="E2073" s="3"/>
      <c r="F2073" s="51"/>
      <c r="G2073" s="50" t="s">
        <v>29</v>
      </c>
      <c r="H2073" s="52">
        <f>1</f>
        <v>1</v>
      </c>
      <c r="I2073" s="36"/>
      <c r="J2073" s="52">
        <v>1</v>
      </c>
      <c r="K2073" s="53">
        <f>0</f>
        <v>0</v>
      </c>
      <c r="L2073" s="53">
        <f>0</f>
        <v>0</v>
      </c>
      <c r="M2073" s="53">
        <f>0</f>
        <v>0</v>
      </c>
      <c r="N2073" s="54">
        <f>SUM(K2073:M2073)</f>
        <v>0</v>
      </c>
      <c r="O2073" s="54">
        <f>ROUND((H2073*K2073),2)</f>
        <v>0</v>
      </c>
      <c r="P2073" s="54">
        <f>ROUND((H2073*L2073),2)</f>
        <v>0</v>
      </c>
      <c r="Q2073" s="54">
        <f>ROUND((H2073*M2073),2)</f>
        <v>0</v>
      </c>
      <c r="R2073" s="54">
        <f>ROUND((H2073*N2073),2)</f>
        <v>0</v>
      </c>
      <c r="S2073" s="54"/>
      <c r="T2073" s="36"/>
      <c r="XDA2073"/>
      <c r="XDB2073"/>
      <c r="XDC2073"/>
      <c r="XDD2073"/>
      <c r="XDE2073"/>
      <c r="XDF2073"/>
      <c r="XDG2073"/>
      <c r="XDH2073"/>
      <c r="XDI2073"/>
      <c r="XDJ2073"/>
      <c r="XDK2073"/>
      <c r="XDL2073"/>
      <c r="XDM2073"/>
      <c r="XDN2073"/>
      <c r="XDO2073"/>
      <c r="XDP2073"/>
      <c r="XDQ2073"/>
      <c r="XDR2073"/>
      <c r="XDS2073"/>
      <c r="XDT2073"/>
      <c r="XDU2073"/>
      <c r="XDV2073"/>
      <c r="XDW2073"/>
      <c r="XDX2073"/>
      <c r="XDY2073"/>
      <c r="XDZ2073"/>
      <c r="XEA2073"/>
      <c r="XEB2073"/>
      <c r="XEC2073"/>
      <c r="XED2073"/>
      <c r="XEE2073"/>
      <c r="XEF2073"/>
      <c r="XEG2073"/>
      <c r="XEH2073"/>
      <c r="XEI2073"/>
      <c r="XEJ2073"/>
      <c r="XEK2073"/>
      <c r="XEL2073"/>
      <c r="XEM2073"/>
      <c r="XEN2073"/>
      <c r="XEO2073"/>
      <c r="XEP2073"/>
      <c r="XEQ2073"/>
      <c r="XER2073"/>
      <c r="XES2073"/>
      <c r="XET2073"/>
      <c r="XEU2073"/>
      <c r="XEV2073"/>
      <c r="XEW2073"/>
      <c r="XEX2073"/>
      <c r="XEY2073"/>
      <c r="XEZ2073"/>
      <c r="XFA2073"/>
      <c r="XFB2073"/>
      <c r="XFC2073"/>
    </row>
    <row r="2074" spans="1:20 16329:16383" s="38" customFormat="1" ht="29.1" customHeight="1" outlineLevel="6" x14ac:dyDescent="0.25">
      <c r="A2074" s="49" t="s">
        <v>3594</v>
      </c>
      <c r="B2074" s="50"/>
      <c r="C2074" s="50"/>
      <c r="D2074" s="3" t="s">
        <v>3595</v>
      </c>
      <c r="E2074" s="3"/>
      <c r="F2074" s="51"/>
      <c r="G2074" s="50" t="s">
        <v>29</v>
      </c>
      <c r="H2074" s="52">
        <f>1</f>
        <v>1</v>
      </c>
      <c r="I2074" s="36"/>
      <c r="J2074" s="52">
        <v>1</v>
      </c>
      <c r="K2074" s="53">
        <f>0</f>
        <v>0</v>
      </c>
      <c r="L2074" s="53">
        <f>0</f>
        <v>0</v>
      </c>
      <c r="M2074" s="53">
        <f>0</f>
        <v>0</v>
      </c>
      <c r="N2074" s="54">
        <f>SUM(K2074:M2074)</f>
        <v>0</v>
      </c>
      <c r="O2074" s="54">
        <f>ROUND((H2074*K2074),2)</f>
        <v>0</v>
      </c>
      <c r="P2074" s="54">
        <f>ROUND((H2074*L2074),2)</f>
        <v>0</v>
      </c>
      <c r="Q2074" s="54">
        <f>ROUND((H2074*M2074),2)</f>
        <v>0</v>
      </c>
      <c r="R2074" s="54">
        <f>ROUND((H2074*N2074),2)</f>
        <v>0</v>
      </c>
      <c r="S2074" s="54"/>
      <c r="T2074" s="36"/>
      <c r="XDA2074"/>
      <c r="XDB2074"/>
      <c r="XDC2074"/>
      <c r="XDD2074"/>
      <c r="XDE2074"/>
      <c r="XDF2074"/>
      <c r="XDG2074"/>
      <c r="XDH2074"/>
      <c r="XDI2074"/>
      <c r="XDJ2074"/>
      <c r="XDK2074"/>
      <c r="XDL2074"/>
      <c r="XDM2074"/>
      <c r="XDN2074"/>
      <c r="XDO2074"/>
      <c r="XDP2074"/>
      <c r="XDQ2074"/>
      <c r="XDR2074"/>
      <c r="XDS2074"/>
      <c r="XDT2074"/>
      <c r="XDU2074"/>
      <c r="XDV2074"/>
      <c r="XDW2074"/>
      <c r="XDX2074"/>
      <c r="XDY2074"/>
      <c r="XDZ2074"/>
      <c r="XEA2074"/>
      <c r="XEB2074"/>
      <c r="XEC2074"/>
      <c r="XED2074"/>
      <c r="XEE2074"/>
      <c r="XEF2074"/>
      <c r="XEG2074"/>
      <c r="XEH2074"/>
      <c r="XEI2074"/>
      <c r="XEJ2074"/>
      <c r="XEK2074"/>
      <c r="XEL2074"/>
      <c r="XEM2074"/>
      <c r="XEN2074"/>
      <c r="XEO2074"/>
      <c r="XEP2074"/>
      <c r="XEQ2074"/>
      <c r="XER2074"/>
      <c r="XES2074"/>
      <c r="XET2074"/>
      <c r="XEU2074"/>
      <c r="XEV2074"/>
      <c r="XEW2074"/>
      <c r="XEX2074"/>
      <c r="XEY2074"/>
      <c r="XEZ2074"/>
      <c r="XFA2074"/>
      <c r="XFB2074"/>
      <c r="XFC2074"/>
    </row>
    <row r="2075" spans="1:20 16329:16383" s="38" customFormat="1" ht="29.1" customHeight="1" outlineLevel="6" x14ac:dyDescent="0.25">
      <c r="A2075" s="49" t="s">
        <v>3596</v>
      </c>
      <c r="B2075" s="50"/>
      <c r="C2075" s="50"/>
      <c r="D2075" s="3" t="s">
        <v>3597</v>
      </c>
      <c r="E2075" s="3"/>
      <c r="F2075" s="51"/>
      <c r="G2075" s="50" t="s">
        <v>29</v>
      </c>
      <c r="H2075" s="52">
        <f>1</f>
        <v>1</v>
      </c>
      <c r="I2075" s="36"/>
      <c r="J2075" s="52">
        <v>1</v>
      </c>
      <c r="K2075" s="53">
        <f>0</f>
        <v>0</v>
      </c>
      <c r="L2075" s="53">
        <f>0</f>
        <v>0</v>
      </c>
      <c r="M2075" s="53">
        <f>0</f>
        <v>0</v>
      </c>
      <c r="N2075" s="54">
        <f>SUM(K2075:M2075)</f>
        <v>0</v>
      </c>
      <c r="O2075" s="54">
        <f>ROUND((H2075*K2075),2)</f>
        <v>0</v>
      </c>
      <c r="P2075" s="54">
        <f>ROUND((H2075*L2075),2)</f>
        <v>0</v>
      </c>
      <c r="Q2075" s="54">
        <f>ROUND((H2075*M2075),2)</f>
        <v>0</v>
      </c>
      <c r="R2075" s="54">
        <f>ROUND((H2075*N2075),2)</f>
        <v>0</v>
      </c>
      <c r="S2075" s="54"/>
      <c r="T2075" s="36"/>
      <c r="XDA2075"/>
      <c r="XDB2075"/>
      <c r="XDC2075"/>
      <c r="XDD2075"/>
      <c r="XDE2075"/>
      <c r="XDF2075"/>
      <c r="XDG2075"/>
      <c r="XDH2075"/>
      <c r="XDI2075"/>
      <c r="XDJ2075"/>
      <c r="XDK2075"/>
      <c r="XDL2075"/>
      <c r="XDM2075"/>
      <c r="XDN2075"/>
      <c r="XDO2075"/>
      <c r="XDP2075"/>
      <c r="XDQ2075"/>
      <c r="XDR2075"/>
      <c r="XDS2075"/>
      <c r="XDT2075"/>
      <c r="XDU2075"/>
      <c r="XDV2075"/>
      <c r="XDW2075"/>
      <c r="XDX2075"/>
      <c r="XDY2075"/>
      <c r="XDZ2075"/>
      <c r="XEA2075"/>
      <c r="XEB2075"/>
      <c r="XEC2075"/>
      <c r="XED2075"/>
      <c r="XEE2075"/>
      <c r="XEF2075"/>
      <c r="XEG2075"/>
      <c r="XEH2075"/>
      <c r="XEI2075"/>
      <c r="XEJ2075"/>
      <c r="XEK2075"/>
      <c r="XEL2075"/>
      <c r="XEM2075"/>
      <c r="XEN2075"/>
      <c r="XEO2075"/>
      <c r="XEP2075"/>
      <c r="XEQ2075"/>
      <c r="XER2075"/>
      <c r="XES2075"/>
      <c r="XET2075"/>
      <c r="XEU2075"/>
      <c r="XEV2075"/>
      <c r="XEW2075"/>
      <c r="XEX2075"/>
      <c r="XEY2075"/>
      <c r="XEZ2075"/>
      <c r="XFA2075"/>
      <c r="XFB2075"/>
      <c r="XFC2075"/>
    </row>
    <row r="2076" spans="1:20 16329:16383" s="38" customFormat="1" ht="29.1" customHeight="1" outlineLevel="6" x14ac:dyDescent="0.25">
      <c r="A2076" s="49" t="s">
        <v>3598</v>
      </c>
      <c r="B2076" s="50"/>
      <c r="C2076" s="50"/>
      <c r="D2076" s="3" t="s">
        <v>3599</v>
      </c>
      <c r="E2076" s="3"/>
      <c r="F2076" s="51"/>
      <c r="G2076" s="50" t="s">
        <v>29</v>
      </c>
      <c r="H2076" s="52">
        <f>1</f>
        <v>1</v>
      </c>
      <c r="I2076" s="36"/>
      <c r="J2076" s="52">
        <v>1</v>
      </c>
      <c r="K2076" s="53">
        <f>0</f>
        <v>0</v>
      </c>
      <c r="L2076" s="53">
        <f>0</f>
        <v>0</v>
      </c>
      <c r="M2076" s="53">
        <f>0</f>
        <v>0</v>
      </c>
      <c r="N2076" s="54">
        <f>SUM(K2076:M2076)</f>
        <v>0</v>
      </c>
      <c r="O2076" s="54">
        <f>ROUND((H2076*K2076),2)</f>
        <v>0</v>
      </c>
      <c r="P2076" s="54">
        <f>ROUND((H2076*L2076),2)</f>
        <v>0</v>
      </c>
      <c r="Q2076" s="54">
        <f>ROUND((H2076*M2076),2)</f>
        <v>0</v>
      </c>
      <c r="R2076" s="54">
        <f>ROUND((H2076*N2076),2)</f>
        <v>0</v>
      </c>
      <c r="S2076" s="54"/>
      <c r="T2076" s="36"/>
      <c r="XDA2076"/>
      <c r="XDB2076"/>
      <c r="XDC2076"/>
      <c r="XDD2076"/>
      <c r="XDE2076"/>
      <c r="XDF2076"/>
      <c r="XDG2076"/>
      <c r="XDH2076"/>
      <c r="XDI2076"/>
      <c r="XDJ2076"/>
      <c r="XDK2076"/>
      <c r="XDL2076"/>
      <c r="XDM2076"/>
      <c r="XDN2076"/>
      <c r="XDO2076"/>
      <c r="XDP2076"/>
      <c r="XDQ2076"/>
      <c r="XDR2076"/>
      <c r="XDS2076"/>
      <c r="XDT2076"/>
      <c r="XDU2076"/>
      <c r="XDV2076"/>
      <c r="XDW2076"/>
      <c r="XDX2076"/>
      <c r="XDY2076"/>
      <c r="XDZ2076"/>
      <c r="XEA2076"/>
      <c r="XEB2076"/>
      <c r="XEC2076"/>
      <c r="XED2076"/>
      <c r="XEE2076"/>
      <c r="XEF2076"/>
      <c r="XEG2076"/>
      <c r="XEH2076"/>
      <c r="XEI2076"/>
      <c r="XEJ2076"/>
      <c r="XEK2076"/>
      <c r="XEL2076"/>
      <c r="XEM2076"/>
      <c r="XEN2076"/>
      <c r="XEO2076"/>
      <c r="XEP2076"/>
      <c r="XEQ2076"/>
      <c r="XER2076"/>
      <c r="XES2076"/>
      <c r="XET2076"/>
      <c r="XEU2076"/>
      <c r="XEV2076"/>
      <c r="XEW2076"/>
      <c r="XEX2076"/>
      <c r="XEY2076"/>
      <c r="XEZ2076"/>
      <c r="XFA2076"/>
      <c r="XFB2076"/>
      <c r="XFC2076"/>
    </row>
    <row r="2077" spans="1:20 16329:16383" s="38" customFormat="1" ht="29.1" customHeight="1" outlineLevel="4" x14ac:dyDescent="0.25">
      <c r="A2077" s="60" t="s">
        <v>3600</v>
      </c>
      <c r="B2077" s="61" t="s">
        <v>3601</v>
      </c>
      <c r="C2077" s="61" t="s">
        <v>3602</v>
      </c>
      <c r="D2077" s="1" t="s">
        <v>3603</v>
      </c>
      <c r="E2077" s="1"/>
      <c r="F2077" s="62"/>
      <c r="G2077" s="61" t="s">
        <v>29</v>
      </c>
      <c r="H2077" s="63"/>
      <c r="I2077" s="36"/>
      <c r="J2077" s="63"/>
      <c r="K2077" s="64"/>
      <c r="L2077" s="64"/>
      <c r="M2077" s="64"/>
      <c r="N2077" s="64"/>
      <c r="O2077" s="64">
        <f>O2078+O2081+O2083+O2085</f>
        <v>0</v>
      </c>
      <c r="P2077" s="64">
        <f>P2078+P2081+P2083+P2085</f>
        <v>0</v>
      </c>
      <c r="Q2077" s="64">
        <f>Q2078+Q2081+Q2083+Q2085</f>
        <v>0</v>
      </c>
      <c r="R2077" s="64">
        <f>R2078+R2081+R2083+R2085</f>
        <v>0</v>
      </c>
      <c r="S2077" s="64"/>
      <c r="T2077" s="36"/>
      <c r="XDA2077"/>
      <c r="XDB2077"/>
      <c r="XDC2077"/>
      <c r="XDD2077"/>
      <c r="XDE2077"/>
      <c r="XDF2077"/>
      <c r="XDG2077"/>
      <c r="XDH2077"/>
      <c r="XDI2077"/>
      <c r="XDJ2077"/>
      <c r="XDK2077"/>
      <c r="XDL2077"/>
      <c r="XDM2077"/>
      <c r="XDN2077"/>
      <c r="XDO2077"/>
      <c r="XDP2077"/>
      <c r="XDQ2077"/>
      <c r="XDR2077"/>
      <c r="XDS2077"/>
      <c r="XDT2077"/>
      <c r="XDU2077"/>
      <c r="XDV2077"/>
      <c r="XDW2077"/>
      <c r="XDX2077"/>
      <c r="XDY2077"/>
      <c r="XDZ2077"/>
      <c r="XEA2077"/>
      <c r="XEB2077"/>
      <c r="XEC2077"/>
      <c r="XED2077"/>
      <c r="XEE2077"/>
      <c r="XEF2077"/>
      <c r="XEG2077"/>
      <c r="XEH2077"/>
      <c r="XEI2077"/>
      <c r="XEJ2077"/>
      <c r="XEK2077"/>
      <c r="XEL2077"/>
      <c r="XEM2077"/>
      <c r="XEN2077"/>
      <c r="XEO2077"/>
      <c r="XEP2077"/>
      <c r="XEQ2077"/>
      <c r="XER2077"/>
      <c r="XES2077"/>
      <c r="XET2077"/>
      <c r="XEU2077"/>
      <c r="XEV2077"/>
      <c r="XEW2077"/>
      <c r="XEX2077"/>
      <c r="XEY2077"/>
      <c r="XEZ2077"/>
      <c r="XFA2077"/>
      <c r="XFB2077"/>
      <c r="XFC2077"/>
    </row>
    <row r="2078" spans="1:20 16329:16383" s="38" customFormat="1" ht="29.1" customHeight="1" outlineLevel="5" x14ac:dyDescent="0.25">
      <c r="A2078" s="65" t="s">
        <v>3604</v>
      </c>
      <c r="B2078" s="66" t="s">
        <v>3605</v>
      </c>
      <c r="C2078" s="66" t="s">
        <v>3606</v>
      </c>
      <c r="D2078" s="98" t="s">
        <v>3607</v>
      </c>
      <c r="E2078" s="98"/>
      <c r="F2078" s="67"/>
      <c r="G2078" s="66" t="s">
        <v>29</v>
      </c>
      <c r="H2078" s="68"/>
      <c r="I2078" s="36"/>
      <c r="J2078" s="68"/>
      <c r="K2078" s="69"/>
      <c r="L2078" s="69"/>
      <c r="M2078" s="69"/>
      <c r="N2078" s="69"/>
      <c r="O2078" s="69">
        <f>O2079+O2080</f>
        <v>0</v>
      </c>
      <c r="P2078" s="69">
        <f>P2079+P2080</f>
        <v>0</v>
      </c>
      <c r="Q2078" s="69">
        <f>Q2079+Q2080</f>
        <v>0</v>
      </c>
      <c r="R2078" s="69">
        <f>R2079+R2080</f>
        <v>0</v>
      </c>
      <c r="S2078" s="69"/>
      <c r="T2078" s="36"/>
      <c r="XDA2078"/>
      <c r="XDB2078"/>
      <c r="XDC2078"/>
      <c r="XDD2078"/>
      <c r="XDE2078"/>
      <c r="XDF2078"/>
      <c r="XDG2078"/>
      <c r="XDH2078"/>
      <c r="XDI2078"/>
      <c r="XDJ2078"/>
      <c r="XDK2078"/>
      <c r="XDL2078"/>
      <c r="XDM2078"/>
      <c r="XDN2078"/>
      <c r="XDO2078"/>
      <c r="XDP2078"/>
      <c r="XDQ2078"/>
      <c r="XDR2078"/>
      <c r="XDS2078"/>
      <c r="XDT2078"/>
      <c r="XDU2078"/>
      <c r="XDV2078"/>
      <c r="XDW2078"/>
      <c r="XDX2078"/>
      <c r="XDY2078"/>
      <c r="XDZ2078"/>
      <c r="XEA2078"/>
      <c r="XEB2078"/>
      <c r="XEC2078"/>
      <c r="XED2078"/>
      <c r="XEE2078"/>
      <c r="XEF2078"/>
      <c r="XEG2078"/>
      <c r="XEH2078"/>
      <c r="XEI2078"/>
      <c r="XEJ2078"/>
      <c r="XEK2078"/>
      <c r="XEL2078"/>
      <c r="XEM2078"/>
      <c r="XEN2078"/>
      <c r="XEO2078"/>
      <c r="XEP2078"/>
      <c r="XEQ2078"/>
      <c r="XER2078"/>
      <c r="XES2078"/>
      <c r="XET2078"/>
      <c r="XEU2078"/>
      <c r="XEV2078"/>
      <c r="XEW2078"/>
      <c r="XEX2078"/>
      <c r="XEY2078"/>
      <c r="XEZ2078"/>
      <c r="XFA2078"/>
      <c r="XFB2078"/>
      <c r="XFC2078"/>
    </row>
    <row r="2079" spans="1:20 16329:16383" s="38" customFormat="1" ht="29.1" customHeight="1" outlineLevel="6" x14ac:dyDescent="0.25">
      <c r="A2079" s="49" t="s">
        <v>3608</v>
      </c>
      <c r="B2079" s="50"/>
      <c r="C2079" s="50"/>
      <c r="D2079" s="3" t="s">
        <v>3609</v>
      </c>
      <c r="E2079" s="3"/>
      <c r="F2079" s="51"/>
      <c r="G2079" s="50" t="s">
        <v>29</v>
      </c>
      <c r="H2079" s="52">
        <f>1</f>
        <v>1</v>
      </c>
      <c r="I2079" s="36"/>
      <c r="J2079" s="52">
        <v>1</v>
      </c>
      <c r="K2079" s="53">
        <f>0</f>
        <v>0</v>
      </c>
      <c r="L2079" s="53">
        <f>0</f>
        <v>0</v>
      </c>
      <c r="M2079" s="53">
        <f>0</f>
        <v>0</v>
      </c>
      <c r="N2079" s="54">
        <f>SUM(K2079:M2079)</f>
        <v>0</v>
      </c>
      <c r="O2079" s="54">
        <f>ROUND((H2079*K2079),2)</f>
        <v>0</v>
      </c>
      <c r="P2079" s="54">
        <f>ROUND((H2079*L2079),2)</f>
        <v>0</v>
      </c>
      <c r="Q2079" s="54">
        <f>ROUND((H2079*M2079),2)</f>
        <v>0</v>
      </c>
      <c r="R2079" s="54">
        <f>ROUND((H2079*N2079),2)</f>
        <v>0</v>
      </c>
      <c r="S2079" s="54"/>
      <c r="T2079" s="36"/>
      <c r="XDA2079"/>
      <c r="XDB2079"/>
      <c r="XDC2079"/>
      <c r="XDD2079"/>
      <c r="XDE2079"/>
      <c r="XDF2079"/>
      <c r="XDG2079"/>
      <c r="XDH2079"/>
      <c r="XDI2079"/>
      <c r="XDJ2079"/>
      <c r="XDK2079"/>
      <c r="XDL2079"/>
      <c r="XDM2079"/>
      <c r="XDN2079"/>
      <c r="XDO2079"/>
      <c r="XDP2079"/>
      <c r="XDQ2079"/>
      <c r="XDR2079"/>
      <c r="XDS2079"/>
      <c r="XDT2079"/>
      <c r="XDU2079"/>
      <c r="XDV2079"/>
      <c r="XDW2079"/>
      <c r="XDX2079"/>
      <c r="XDY2079"/>
      <c r="XDZ2079"/>
      <c r="XEA2079"/>
      <c r="XEB2079"/>
      <c r="XEC2079"/>
      <c r="XED2079"/>
      <c r="XEE2079"/>
      <c r="XEF2079"/>
      <c r="XEG2079"/>
      <c r="XEH2079"/>
      <c r="XEI2079"/>
      <c r="XEJ2079"/>
      <c r="XEK2079"/>
      <c r="XEL2079"/>
      <c r="XEM2079"/>
      <c r="XEN2079"/>
      <c r="XEO2079"/>
      <c r="XEP2079"/>
      <c r="XEQ2079"/>
      <c r="XER2079"/>
      <c r="XES2079"/>
      <c r="XET2079"/>
      <c r="XEU2079"/>
      <c r="XEV2079"/>
      <c r="XEW2079"/>
      <c r="XEX2079"/>
      <c r="XEY2079"/>
      <c r="XEZ2079"/>
      <c r="XFA2079"/>
      <c r="XFB2079"/>
      <c r="XFC2079"/>
    </row>
    <row r="2080" spans="1:20 16329:16383" s="38" customFormat="1" ht="29.1" customHeight="1" outlineLevel="6" x14ac:dyDescent="0.25">
      <c r="A2080" s="49" t="s">
        <v>3610</v>
      </c>
      <c r="B2080" s="50"/>
      <c r="C2080" s="50"/>
      <c r="D2080" s="3" t="s">
        <v>3611</v>
      </c>
      <c r="E2080" s="3"/>
      <c r="F2080" s="51"/>
      <c r="G2080" s="50" t="s">
        <v>29</v>
      </c>
      <c r="H2080" s="52">
        <f>1</f>
        <v>1</v>
      </c>
      <c r="I2080" s="36"/>
      <c r="J2080" s="52">
        <v>1</v>
      </c>
      <c r="K2080" s="53">
        <f>0</f>
        <v>0</v>
      </c>
      <c r="L2080" s="53">
        <f>0</f>
        <v>0</v>
      </c>
      <c r="M2080" s="53">
        <f>0</f>
        <v>0</v>
      </c>
      <c r="N2080" s="54">
        <f>SUM(K2080:M2080)</f>
        <v>0</v>
      </c>
      <c r="O2080" s="54">
        <f>ROUND((H2080*K2080),2)</f>
        <v>0</v>
      </c>
      <c r="P2080" s="54">
        <f>ROUND((H2080*L2080),2)</f>
        <v>0</v>
      </c>
      <c r="Q2080" s="54">
        <f>ROUND((H2080*M2080),2)</f>
        <v>0</v>
      </c>
      <c r="R2080" s="54">
        <f>ROUND((H2080*N2080),2)</f>
        <v>0</v>
      </c>
      <c r="S2080" s="54"/>
      <c r="T2080" s="36"/>
      <c r="XDA2080"/>
      <c r="XDB2080"/>
      <c r="XDC2080"/>
      <c r="XDD2080"/>
      <c r="XDE2080"/>
      <c r="XDF2080"/>
      <c r="XDG2080"/>
      <c r="XDH2080"/>
      <c r="XDI2080"/>
      <c r="XDJ2080"/>
      <c r="XDK2080"/>
      <c r="XDL2080"/>
      <c r="XDM2080"/>
      <c r="XDN2080"/>
      <c r="XDO2080"/>
      <c r="XDP2080"/>
      <c r="XDQ2080"/>
      <c r="XDR2080"/>
      <c r="XDS2080"/>
      <c r="XDT2080"/>
      <c r="XDU2080"/>
      <c r="XDV2080"/>
      <c r="XDW2080"/>
      <c r="XDX2080"/>
      <c r="XDY2080"/>
      <c r="XDZ2080"/>
      <c r="XEA2080"/>
      <c r="XEB2080"/>
      <c r="XEC2080"/>
      <c r="XED2080"/>
      <c r="XEE2080"/>
      <c r="XEF2080"/>
      <c r="XEG2080"/>
      <c r="XEH2080"/>
      <c r="XEI2080"/>
      <c r="XEJ2080"/>
      <c r="XEK2080"/>
      <c r="XEL2080"/>
      <c r="XEM2080"/>
      <c r="XEN2080"/>
      <c r="XEO2080"/>
      <c r="XEP2080"/>
      <c r="XEQ2080"/>
      <c r="XER2080"/>
      <c r="XES2080"/>
      <c r="XET2080"/>
      <c r="XEU2080"/>
      <c r="XEV2080"/>
      <c r="XEW2080"/>
      <c r="XEX2080"/>
      <c r="XEY2080"/>
      <c r="XEZ2080"/>
      <c r="XFA2080"/>
      <c r="XFB2080"/>
      <c r="XFC2080"/>
    </row>
    <row r="2081" spans="1:20 16329:16383" s="38" customFormat="1" ht="29.1" customHeight="1" outlineLevel="5" x14ac:dyDescent="0.25">
      <c r="A2081" s="65" t="s">
        <v>3612</v>
      </c>
      <c r="B2081" s="66" t="s">
        <v>3613</v>
      </c>
      <c r="C2081" s="66" t="s">
        <v>3614</v>
      </c>
      <c r="D2081" s="98" t="s">
        <v>3615</v>
      </c>
      <c r="E2081" s="98"/>
      <c r="F2081" s="67"/>
      <c r="G2081" s="66" t="s">
        <v>29</v>
      </c>
      <c r="H2081" s="68"/>
      <c r="I2081" s="36"/>
      <c r="J2081" s="68"/>
      <c r="K2081" s="69"/>
      <c r="L2081" s="69"/>
      <c r="M2081" s="69"/>
      <c r="N2081" s="69"/>
      <c r="O2081" s="69">
        <f>O2082</f>
        <v>0</v>
      </c>
      <c r="P2081" s="69">
        <f>P2082</f>
        <v>0</v>
      </c>
      <c r="Q2081" s="69">
        <f>Q2082</f>
        <v>0</v>
      </c>
      <c r="R2081" s="69">
        <f>R2082</f>
        <v>0</v>
      </c>
      <c r="S2081" s="69"/>
      <c r="T2081" s="36"/>
      <c r="XDA2081"/>
      <c r="XDB2081"/>
      <c r="XDC2081"/>
      <c r="XDD2081"/>
      <c r="XDE2081"/>
      <c r="XDF2081"/>
      <c r="XDG2081"/>
      <c r="XDH2081"/>
      <c r="XDI2081"/>
      <c r="XDJ2081"/>
      <c r="XDK2081"/>
      <c r="XDL2081"/>
      <c r="XDM2081"/>
      <c r="XDN2081"/>
      <c r="XDO2081"/>
      <c r="XDP2081"/>
      <c r="XDQ2081"/>
      <c r="XDR2081"/>
      <c r="XDS2081"/>
      <c r="XDT2081"/>
      <c r="XDU2081"/>
      <c r="XDV2081"/>
      <c r="XDW2081"/>
      <c r="XDX2081"/>
      <c r="XDY2081"/>
      <c r="XDZ2081"/>
      <c r="XEA2081"/>
      <c r="XEB2081"/>
      <c r="XEC2081"/>
      <c r="XED2081"/>
      <c r="XEE2081"/>
      <c r="XEF2081"/>
      <c r="XEG2081"/>
      <c r="XEH2081"/>
      <c r="XEI2081"/>
      <c r="XEJ2081"/>
      <c r="XEK2081"/>
      <c r="XEL2081"/>
      <c r="XEM2081"/>
      <c r="XEN2081"/>
      <c r="XEO2081"/>
      <c r="XEP2081"/>
      <c r="XEQ2081"/>
      <c r="XER2081"/>
      <c r="XES2081"/>
      <c r="XET2081"/>
      <c r="XEU2081"/>
      <c r="XEV2081"/>
      <c r="XEW2081"/>
      <c r="XEX2081"/>
      <c r="XEY2081"/>
      <c r="XEZ2081"/>
      <c r="XFA2081"/>
      <c r="XFB2081"/>
      <c r="XFC2081"/>
    </row>
    <row r="2082" spans="1:20 16329:16383" s="38" customFormat="1" ht="29.1" customHeight="1" outlineLevel="6" x14ac:dyDescent="0.25">
      <c r="A2082" s="49" t="s">
        <v>3616</v>
      </c>
      <c r="B2082" s="50"/>
      <c r="C2082" s="50"/>
      <c r="D2082" s="3" t="s">
        <v>3617</v>
      </c>
      <c r="E2082" s="3"/>
      <c r="F2082" s="51"/>
      <c r="G2082" s="50" t="s">
        <v>29</v>
      </c>
      <c r="H2082" s="52">
        <f>1</f>
        <v>1</v>
      </c>
      <c r="I2082" s="36"/>
      <c r="J2082" s="52">
        <v>1</v>
      </c>
      <c r="K2082" s="53">
        <f>0</f>
        <v>0</v>
      </c>
      <c r="L2082" s="53">
        <f>0</f>
        <v>0</v>
      </c>
      <c r="M2082" s="53">
        <f>0</f>
        <v>0</v>
      </c>
      <c r="N2082" s="54">
        <f>SUM(K2082:M2082)</f>
        <v>0</v>
      </c>
      <c r="O2082" s="54">
        <f>ROUND((H2082*K2082),2)</f>
        <v>0</v>
      </c>
      <c r="P2082" s="54">
        <f>ROUND((H2082*L2082),2)</f>
        <v>0</v>
      </c>
      <c r="Q2082" s="54">
        <f>ROUND((H2082*M2082),2)</f>
        <v>0</v>
      </c>
      <c r="R2082" s="54">
        <f>ROUND((H2082*N2082),2)</f>
        <v>0</v>
      </c>
      <c r="S2082" s="54"/>
      <c r="T2082" s="36"/>
      <c r="XDA2082"/>
      <c r="XDB2082"/>
      <c r="XDC2082"/>
      <c r="XDD2082"/>
      <c r="XDE2082"/>
      <c r="XDF2082"/>
      <c r="XDG2082"/>
      <c r="XDH2082"/>
      <c r="XDI2082"/>
      <c r="XDJ2082"/>
      <c r="XDK2082"/>
      <c r="XDL2082"/>
      <c r="XDM2082"/>
      <c r="XDN2082"/>
      <c r="XDO2082"/>
      <c r="XDP2082"/>
      <c r="XDQ2082"/>
      <c r="XDR2082"/>
      <c r="XDS2082"/>
      <c r="XDT2082"/>
      <c r="XDU2082"/>
      <c r="XDV2082"/>
      <c r="XDW2082"/>
      <c r="XDX2082"/>
      <c r="XDY2082"/>
      <c r="XDZ2082"/>
      <c r="XEA2082"/>
      <c r="XEB2082"/>
      <c r="XEC2082"/>
      <c r="XED2082"/>
      <c r="XEE2082"/>
      <c r="XEF2082"/>
      <c r="XEG2082"/>
      <c r="XEH2082"/>
      <c r="XEI2082"/>
      <c r="XEJ2082"/>
      <c r="XEK2082"/>
      <c r="XEL2082"/>
      <c r="XEM2082"/>
      <c r="XEN2082"/>
      <c r="XEO2082"/>
      <c r="XEP2082"/>
      <c r="XEQ2082"/>
      <c r="XER2082"/>
      <c r="XES2082"/>
      <c r="XET2082"/>
      <c r="XEU2082"/>
      <c r="XEV2082"/>
      <c r="XEW2082"/>
      <c r="XEX2082"/>
      <c r="XEY2082"/>
      <c r="XEZ2082"/>
      <c r="XFA2082"/>
      <c r="XFB2082"/>
      <c r="XFC2082"/>
    </row>
    <row r="2083" spans="1:20 16329:16383" s="38" customFormat="1" ht="29.1" customHeight="1" outlineLevel="5" x14ac:dyDescent="0.25">
      <c r="A2083" s="65" t="s">
        <v>3618</v>
      </c>
      <c r="B2083" s="66" t="s">
        <v>3619</v>
      </c>
      <c r="C2083" s="66" t="s">
        <v>3620</v>
      </c>
      <c r="D2083" s="98" t="s">
        <v>3621</v>
      </c>
      <c r="E2083" s="98"/>
      <c r="F2083" s="67"/>
      <c r="G2083" s="66" t="s">
        <v>29</v>
      </c>
      <c r="H2083" s="68"/>
      <c r="I2083" s="36"/>
      <c r="J2083" s="68"/>
      <c r="K2083" s="69"/>
      <c r="L2083" s="69"/>
      <c r="M2083" s="69"/>
      <c r="N2083" s="69"/>
      <c r="O2083" s="69">
        <f>O2084</f>
        <v>0</v>
      </c>
      <c r="P2083" s="69">
        <f>P2084</f>
        <v>0</v>
      </c>
      <c r="Q2083" s="69">
        <f>Q2084</f>
        <v>0</v>
      </c>
      <c r="R2083" s="69">
        <f>R2084</f>
        <v>0</v>
      </c>
      <c r="S2083" s="69"/>
      <c r="T2083" s="36"/>
      <c r="XDA2083"/>
      <c r="XDB2083"/>
      <c r="XDC2083"/>
      <c r="XDD2083"/>
      <c r="XDE2083"/>
      <c r="XDF2083"/>
      <c r="XDG2083"/>
      <c r="XDH2083"/>
      <c r="XDI2083"/>
      <c r="XDJ2083"/>
      <c r="XDK2083"/>
      <c r="XDL2083"/>
      <c r="XDM2083"/>
      <c r="XDN2083"/>
      <c r="XDO2083"/>
      <c r="XDP2083"/>
      <c r="XDQ2083"/>
      <c r="XDR2083"/>
      <c r="XDS2083"/>
      <c r="XDT2083"/>
      <c r="XDU2083"/>
      <c r="XDV2083"/>
      <c r="XDW2083"/>
      <c r="XDX2083"/>
      <c r="XDY2083"/>
      <c r="XDZ2083"/>
      <c r="XEA2083"/>
      <c r="XEB2083"/>
      <c r="XEC2083"/>
      <c r="XED2083"/>
      <c r="XEE2083"/>
      <c r="XEF2083"/>
      <c r="XEG2083"/>
      <c r="XEH2083"/>
      <c r="XEI2083"/>
      <c r="XEJ2083"/>
      <c r="XEK2083"/>
      <c r="XEL2083"/>
      <c r="XEM2083"/>
      <c r="XEN2083"/>
      <c r="XEO2083"/>
      <c r="XEP2083"/>
      <c r="XEQ2083"/>
      <c r="XER2083"/>
      <c r="XES2083"/>
      <c r="XET2083"/>
      <c r="XEU2083"/>
      <c r="XEV2083"/>
      <c r="XEW2083"/>
      <c r="XEX2083"/>
      <c r="XEY2083"/>
      <c r="XEZ2083"/>
      <c r="XFA2083"/>
      <c r="XFB2083"/>
      <c r="XFC2083"/>
    </row>
    <row r="2084" spans="1:20 16329:16383" s="38" customFormat="1" ht="29.1" customHeight="1" outlineLevel="6" x14ac:dyDescent="0.25">
      <c r="A2084" s="49" t="s">
        <v>3622</v>
      </c>
      <c r="B2084" s="50"/>
      <c r="C2084" s="50"/>
      <c r="D2084" s="3" t="s">
        <v>3623</v>
      </c>
      <c r="E2084" s="3"/>
      <c r="F2084" s="51"/>
      <c r="G2084" s="50" t="s">
        <v>29</v>
      </c>
      <c r="H2084" s="52">
        <f>1</f>
        <v>1</v>
      </c>
      <c r="I2084" s="36"/>
      <c r="J2084" s="52">
        <v>1</v>
      </c>
      <c r="K2084" s="53">
        <f>0</f>
        <v>0</v>
      </c>
      <c r="L2084" s="53">
        <f>0</f>
        <v>0</v>
      </c>
      <c r="M2084" s="53">
        <f>0</f>
        <v>0</v>
      </c>
      <c r="N2084" s="54">
        <f>SUM(K2084:M2084)</f>
        <v>0</v>
      </c>
      <c r="O2084" s="54">
        <f>ROUND((H2084*K2084),2)</f>
        <v>0</v>
      </c>
      <c r="P2084" s="54">
        <f>ROUND((H2084*L2084),2)</f>
        <v>0</v>
      </c>
      <c r="Q2084" s="54">
        <f>ROUND((H2084*M2084),2)</f>
        <v>0</v>
      </c>
      <c r="R2084" s="54">
        <f>ROUND((H2084*N2084),2)</f>
        <v>0</v>
      </c>
      <c r="S2084" s="54"/>
      <c r="T2084" s="36"/>
      <c r="XDA2084"/>
      <c r="XDB2084"/>
      <c r="XDC2084"/>
      <c r="XDD2084"/>
      <c r="XDE2084"/>
      <c r="XDF2084"/>
      <c r="XDG2084"/>
      <c r="XDH2084"/>
      <c r="XDI2084"/>
      <c r="XDJ2084"/>
      <c r="XDK2084"/>
      <c r="XDL2084"/>
      <c r="XDM2084"/>
      <c r="XDN2084"/>
      <c r="XDO2084"/>
      <c r="XDP2084"/>
      <c r="XDQ2084"/>
      <c r="XDR2084"/>
      <c r="XDS2084"/>
      <c r="XDT2084"/>
      <c r="XDU2084"/>
      <c r="XDV2084"/>
      <c r="XDW2084"/>
      <c r="XDX2084"/>
      <c r="XDY2084"/>
      <c r="XDZ2084"/>
      <c r="XEA2084"/>
      <c r="XEB2084"/>
      <c r="XEC2084"/>
      <c r="XED2084"/>
      <c r="XEE2084"/>
      <c r="XEF2084"/>
      <c r="XEG2084"/>
      <c r="XEH2084"/>
      <c r="XEI2084"/>
      <c r="XEJ2084"/>
      <c r="XEK2084"/>
      <c r="XEL2084"/>
      <c r="XEM2084"/>
      <c r="XEN2084"/>
      <c r="XEO2084"/>
      <c r="XEP2084"/>
      <c r="XEQ2084"/>
      <c r="XER2084"/>
      <c r="XES2084"/>
      <c r="XET2084"/>
      <c r="XEU2084"/>
      <c r="XEV2084"/>
      <c r="XEW2084"/>
      <c r="XEX2084"/>
      <c r="XEY2084"/>
      <c r="XEZ2084"/>
      <c r="XFA2084"/>
      <c r="XFB2084"/>
      <c r="XFC2084"/>
    </row>
    <row r="2085" spans="1:20 16329:16383" s="38" customFormat="1" ht="29.1" customHeight="1" outlineLevel="5" x14ac:dyDescent="0.25">
      <c r="A2085" s="65" t="s">
        <v>3624</v>
      </c>
      <c r="B2085" s="66" t="s">
        <v>3625</v>
      </c>
      <c r="C2085" s="66" t="s">
        <v>3626</v>
      </c>
      <c r="D2085" s="98" t="s">
        <v>3627</v>
      </c>
      <c r="E2085" s="98"/>
      <c r="F2085" s="67"/>
      <c r="G2085" s="66" t="s">
        <v>29</v>
      </c>
      <c r="H2085" s="68"/>
      <c r="I2085" s="36"/>
      <c r="J2085" s="68"/>
      <c r="K2085" s="69"/>
      <c r="L2085" s="69"/>
      <c r="M2085" s="69"/>
      <c r="N2085" s="69"/>
      <c r="O2085" s="69">
        <f>O2086</f>
        <v>0</v>
      </c>
      <c r="P2085" s="69">
        <f>P2086</f>
        <v>0</v>
      </c>
      <c r="Q2085" s="69">
        <f>Q2086</f>
        <v>0</v>
      </c>
      <c r="R2085" s="69">
        <f>R2086</f>
        <v>0</v>
      </c>
      <c r="S2085" s="69"/>
      <c r="T2085" s="36"/>
      <c r="XDA2085"/>
      <c r="XDB2085"/>
      <c r="XDC2085"/>
      <c r="XDD2085"/>
      <c r="XDE2085"/>
      <c r="XDF2085"/>
      <c r="XDG2085"/>
      <c r="XDH2085"/>
      <c r="XDI2085"/>
      <c r="XDJ2085"/>
      <c r="XDK2085"/>
      <c r="XDL2085"/>
      <c r="XDM2085"/>
      <c r="XDN2085"/>
      <c r="XDO2085"/>
      <c r="XDP2085"/>
      <c r="XDQ2085"/>
      <c r="XDR2085"/>
      <c r="XDS2085"/>
      <c r="XDT2085"/>
      <c r="XDU2085"/>
      <c r="XDV2085"/>
      <c r="XDW2085"/>
      <c r="XDX2085"/>
      <c r="XDY2085"/>
      <c r="XDZ2085"/>
      <c r="XEA2085"/>
      <c r="XEB2085"/>
      <c r="XEC2085"/>
      <c r="XED2085"/>
      <c r="XEE2085"/>
      <c r="XEF2085"/>
      <c r="XEG2085"/>
      <c r="XEH2085"/>
      <c r="XEI2085"/>
      <c r="XEJ2085"/>
      <c r="XEK2085"/>
      <c r="XEL2085"/>
      <c r="XEM2085"/>
      <c r="XEN2085"/>
      <c r="XEO2085"/>
      <c r="XEP2085"/>
      <c r="XEQ2085"/>
      <c r="XER2085"/>
      <c r="XES2085"/>
      <c r="XET2085"/>
      <c r="XEU2085"/>
      <c r="XEV2085"/>
      <c r="XEW2085"/>
      <c r="XEX2085"/>
      <c r="XEY2085"/>
      <c r="XEZ2085"/>
      <c r="XFA2085"/>
      <c r="XFB2085"/>
      <c r="XFC2085"/>
    </row>
    <row r="2086" spans="1:20 16329:16383" s="38" customFormat="1" ht="29.1" customHeight="1" outlineLevel="6" x14ac:dyDescent="0.25">
      <c r="A2086" s="49" t="s">
        <v>3628</v>
      </c>
      <c r="B2086" s="50"/>
      <c r="C2086" s="50"/>
      <c r="D2086" s="3" t="s">
        <v>3629</v>
      </c>
      <c r="E2086" s="3"/>
      <c r="F2086" s="51"/>
      <c r="G2086" s="50" t="s">
        <v>29</v>
      </c>
      <c r="H2086" s="52">
        <f>1</f>
        <v>1</v>
      </c>
      <c r="I2086" s="36"/>
      <c r="J2086" s="52">
        <v>1</v>
      </c>
      <c r="K2086" s="53">
        <f>0</f>
        <v>0</v>
      </c>
      <c r="L2086" s="53">
        <f>0</f>
        <v>0</v>
      </c>
      <c r="M2086" s="53">
        <f>0</f>
        <v>0</v>
      </c>
      <c r="N2086" s="54">
        <f>SUM(K2086:M2086)</f>
        <v>0</v>
      </c>
      <c r="O2086" s="54">
        <f>ROUND((H2086*K2086),2)</f>
        <v>0</v>
      </c>
      <c r="P2086" s="54">
        <f>ROUND((H2086*L2086),2)</f>
        <v>0</v>
      </c>
      <c r="Q2086" s="54">
        <f>ROUND((H2086*M2086),2)</f>
        <v>0</v>
      </c>
      <c r="R2086" s="54">
        <f>ROUND((H2086*N2086),2)</f>
        <v>0</v>
      </c>
      <c r="S2086" s="54"/>
      <c r="T2086" s="36"/>
      <c r="XDA2086"/>
      <c r="XDB2086"/>
      <c r="XDC2086"/>
      <c r="XDD2086"/>
      <c r="XDE2086"/>
      <c r="XDF2086"/>
      <c r="XDG2086"/>
      <c r="XDH2086"/>
      <c r="XDI2086"/>
      <c r="XDJ2086"/>
      <c r="XDK2086"/>
      <c r="XDL2086"/>
      <c r="XDM2086"/>
      <c r="XDN2086"/>
      <c r="XDO2086"/>
      <c r="XDP2086"/>
      <c r="XDQ2086"/>
      <c r="XDR2086"/>
      <c r="XDS2086"/>
      <c r="XDT2086"/>
      <c r="XDU2086"/>
      <c r="XDV2086"/>
      <c r="XDW2086"/>
      <c r="XDX2086"/>
      <c r="XDY2086"/>
      <c r="XDZ2086"/>
      <c r="XEA2086"/>
      <c r="XEB2086"/>
      <c r="XEC2086"/>
      <c r="XED2086"/>
      <c r="XEE2086"/>
      <c r="XEF2086"/>
      <c r="XEG2086"/>
      <c r="XEH2086"/>
      <c r="XEI2086"/>
      <c r="XEJ2086"/>
      <c r="XEK2086"/>
      <c r="XEL2086"/>
      <c r="XEM2086"/>
      <c r="XEN2086"/>
      <c r="XEO2086"/>
      <c r="XEP2086"/>
      <c r="XEQ2086"/>
      <c r="XER2086"/>
      <c r="XES2086"/>
      <c r="XET2086"/>
      <c r="XEU2086"/>
      <c r="XEV2086"/>
      <c r="XEW2086"/>
      <c r="XEX2086"/>
      <c r="XEY2086"/>
      <c r="XEZ2086"/>
      <c r="XFA2086"/>
      <c r="XFB2086"/>
      <c r="XFC2086"/>
    </row>
    <row r="2087" spans="1:20 16329:16383" s="38" customFormat="1" ht="29.1" customHeight="1" outlineLevel="4" x14ac:dyDescent="0.25">
      <c r="A2087" s="60" t="s">
        <v>3630</v>
      </c>
      <c r="B2087" s="61" t="s">
        <v>3631</v>
      </c>
      <c r="C2087" s="61" t="s">
        <v>3632</v>
      </c>
      <c r="D2087" s="1" t="s">
        <v>3633</v>
      </c>
      <c r="E2087" s="1"/>
      <c r="F2087" s="62"/>
      <c r="G2087" s="61" t="s">
        <v>29</v>
      </c>
      <c r="H2087" s="63"/>
      <c r="I2087" s="36"/>
      <c r="J2087" s="63"/>
      <c r="K2087" s="64"/>
      <c r="L2087" s="64"/>
      <c r="M2087" s="64"/>
      <c r="N2087" s="64"/>
      <c r="O2087" s="64">
        <f>O2088</f>
        <v>0</v>
      </c>
      <c r="P2087" s="64">
        <f>P2088</f>
        <v>0</v>
      </c>
      <c r="Q2087" s="64">
        <f>Q2088</f>
        <v>0</v>
      </c>
      <c r="R2087" s="64">
        <f>R2088</f>
        <v>0</v>
      </c>
      <c r="S2087" s="64"/>
      <c r="T2087" s="36"/>
      <c r="XDA2087"/>
      <c r="XDB2087"/>
      <c r="XDC2087"/>
      <c r="XDD2087"/>
      <c r="XDE2087"/>
      <c r="XDF2087"/>
      <c r="XDG2087"/>
      <c r="XDH2087"/>
      <c r="XDI2087"/>
      <c r="XDJ2087"/>
      <c r="XDK2087"/>
      <c r="XDL2087"/>
      <c r="XDM2087"/>
      <c r="XDN2087"/>
      <c r="XDO2087"/>
      <c r="XDP2087"/>
      <c r="XDQ2087"/>
      <c r="XDR2087"/>
      <c r="XDS2087"/>
      <c r="XDT2087"/>
      <c r="XDU2087"/>
      <c r="XDV2087"/>
      <c r="XDW2087"/>
      <c r="XDX2087"/>
      <c r="XDY2087"/>
      <c r="XDZ2087"/>
      <c r="XEA2087"/>
      <c r="XEB2087"/>
      <c r="XEC2087"/>
      <c r="XED2087"/>
      <c r="XEE2087"/>
      <c r="XEF2087"/>
      <c r="XEG2087"/>
      <c r="XEH2087"/>
      <c r="XEI2087"/>
      <c r="XEJ2087"/>
      <c r="XEK2087"/>
      <c r="XEL2087"/>
      <c r="XEM2087"/>
      <c r="XEN2087"/>
      <c r="XEO2087"/>
      <c r="XEP2087"/>
      <c r="XEQ2087"/>
      <c r="XER2087"/>
      <c r="XES2087"/>
      <c r="XET2087"/>
      <c r="XEU2087"/>
      <c r="XEV2087"/>
      <c r="XEW2087"/>
      <c r="XEX2087"/>
      <c r="XEY2087"/>
      <c r="XEZ2087"/>
      <c r="XFA2087"/>
      <c r="XFB2087"/>
      <c r="XFC2087"/>
    </row>
    <row r="2088" spans="1:20 16329:16383" s="38" customFormat="1" ht="29.1" customHeight="1" outlineLevel="5" x14ac:dyDescent="0.25">
      <c r="A2088" s="49" t="s">
        <v>3634</v>
      </c>
      <c r="B2088" s="50"/>
      <c r="C2088" s="50"/>
      <c r="D2088" s="3" t="s">
        <v>3633</v>
      </c>
      <c r="E2088" s="3"/>
      <c r="F2088" s="51"/>
      <c r="G2088" s="50" t="s">
        <v>29</v>
      </c>
      <c r="H2088" s="52">
        <f>1</f>
        <v>1</v>
      </c>
      <c r="I2088" s="36"/>
      <c r="J2088" s="52">
        <v>1</v>
      </c>
      <c r="K2088" s="53">
        <f>0</f>
        <v>0</v>
      </c>
      <c r="L2088" s="53">
        <f>0</f>
        <v>0</v>
      </c>
      <c r="M2088" s="53">
        <f>0</f>
        <v>0</v>
      </c>
      <c r="N2088" s="54">
        <f>SUM(K2088:M2088)</f>
        <v>0</v>
      </c>
      <c r="O2088" s="54">
        <f>ROUND((H2088*K2088),2)</f>
        <v>0</v>
      </c>
      <c r="P2088" s="54">
        <f>ROUND((H2088*L2088),2)</f>
        <v>0</v>
      </c>
      <c r="Q2088" s="54">
        <f>ROUND((H2088*M2088),2)</f>
        <v>0</v>
      </c>
      <c r="R2088" s="54">
        <f>ROUND((H2088*N2088),2)</f>
        <v>0</v>
      </c>
      <c r="S2088" s="54"/>
      <c r="T2088" s="36"/>
      <c r="XDA2088"/>
      <c r="XDB2088"/>
      <c r="XDC2088"/>
      <c r="XDD2088"/>
      <c r="XDE2088"/>
      <c r="XDF2088"/>
      <c r="XDG2088"/>
      <c r="XDH2088"/>
      <c r="XDI2088"/>
      <c r="XDJ2088"/>
      <c r="XDK2088"/>
      <c r="XDL2088"/>
      <c r="XDM2088"/>
      <c r="XDN2088"/>
      <c r="XDO2088"/>
      <c r="XDP2088"/>
      <c r="XDQ2088"/>
      <c r="XDR2088"/>
      <c r="XDS2088"/>
      <c r="XDT2088"/>
      <c r="XDU2088"/>
      <c r="XDV2088"/>
      <c r="XDW2088"/>
      <c r="XDX2088"/>
      <c r="XDY2088"/>
      <c r="XDZ2088"/>
      <c r="XEA2088"/>
      <c r="XEB2088"/>
      <c r="XEC2088"/>
      <c r="XED2088"/>
      <c r="XEE2088"/>
      <c r="XEF2088"/>
      <c r="XEG2088"/>
      <c r="XEH2088"/>
      <c r="XEI2088"/>
      <c r="XEJ2088"/>
      <c r="XEK2088"/>
      <c r="XEL2088"/>
      <c r="XEM2088"/>
      <c r="XEN2088"/>
      <c r="XEO2088"/>
      <c r="XEP2088"/>
      <c r="XEQ2088"/>
      <c r="XER2088"/>
      <c r="XES2088"/>
      <c r="XET2088"/>
      <c r="XEU2088"/>
      <c r="XEV2088"/>
      <c r="XEW2088"/>
      <c r="XEX2088"/>
      <c r="XEY2088"/>
      <c r="XEZ2088"/>
      <c r="XFA2088"/>
      <c r="XFB2088"/>
      <c r="XFC2088"/>
    </row>
    <row r="2089" spans="1:20 16329:16383" s="38" customFormat="1" ht="29.1" customHeight="1" outlineLevel="3" x14ac:dyDescent="0.25">
      <c r="A2089" s="55" t="s">
        <v>3635</v>
      </c>
      <c r="B2089" s="56" t="s">
        <v>3636</v>
      </c>
      <c r="C2089" s="56" t="s">
        <v>3637</v>
      </c>
      <c r="D2089" s="2" t="s">
        <v>3638</v>
      </c>
      <c r="E2089" s="2"/>
      <c r="F2089" s="57"/>
      <c r="G2089" s="56" t="s">
        <v>102</v>
      </c>
      <c r="H2089" s="58"/>
      <c r="I2089" s="36"/>
      <c r="J2089" s="58"/>
      <c r="K2089" s="59"/>
      <c r="L2089" s="59"/>
      <c r="M2089" s="59"/>
      <c r="N2089" s="59"/>
      <c r="O2089" s="59">
        <f>O2090+O2118+O2148+O2164+O2186+O2204</f>
        <v>0</v>
      </c>
      <c r="P2089" s="59">
        <f>P2090+P2118+P2148+P2164+P2186+P2204</f>
        <v>0</v>
      </c>
      <c r="Q2089" s="59">
        <f>Q2090+Q2118+Q2148+Q2164+Q2186+Q2204</f>
        <v>0</v>
      </c>
      <c r="R2089" s="59">
        <f>R2090+R2118+R2148+R2164+R2186+R2204</f>
        <v>0</v>
      </c>
      <c r="S2089" s="59"/>
      <c r="T2089" s="36"/>
      <c r="XDA2089"/>
      <c r="XDB2089"/>
      <c r="XDC2089"/>
      <c r="XDD2089"/>
      <c r="XDE2089"/>
      <c r="XDF2089"/>
      <c r="XDG2089"/>
      <c r="XDH2089"/>
      <c r="XDI2089"/>
      <c r="XDJ2089"/>
      <c r="XDK2089"/>
      <c r="XDL2089"/>
      <c r="XDM2089"/>
      <c r="XDN2089"/>
      <c r="XDO2089"/>
      <c r="XDP2089"/>
      <c r="XDQ2089"/>
      <c r="XDR2089"/>
      <c r="XDS2089"/>
      <c r="XDT2089"/>
      <c r="XDU2089"/>
      <c r="XDV2089"/>
      <c r="XDW2089"/>
      <c r="XDX2089"/>
      <c r="XDY2089"/>
      <c r="XDZ2089"/>
      <c r="XEA2089"/>
      <c r="XEB2089"/>
      <c r="XEC2089"/>
      <c r="XED2089"/>
      <c r="XEE2089"/>
      <c r="XEF2089"/>
      <c r="XEG2089"/>
      <c r="XEH2089"/>
      <c r="XEI2089"/>
      <c r="XEJ2089"/>
      <c r="XEK2089"/>
      <c r="XEL2089"/>
      <c r="XEM2089"/>
      <c r="XEN2089"/>
      <c r="XEO2089"/>
      <c r="XEP2089"/>
      <c r="XEQ2089"/>
      <c r="XER2089"/>
      <c r="XES2089"/>
      <c r="XET2089"/>
      <c r="XEU2089"/>
      <c r="XEV2089"/>
      <c r="XEW2089"/>
      <c r="XEX2089"/>
      <c r="XEY2089"/>
      <c r="XEZ2089"/>
      <c r="XFA2089"/>
      <c r="XFB2089"/>
      <c r="XFC2089"/>
    </row>
    <row r="2090" spans="1:20 16329:16383" s="38" customFormat="1" ht="29.1" customHeight="1" outlineLevel="4" x14ac:dyDescent="0.25">
      <c r="A2090" s="60" t="s">
        <v>3639</v>
      </c>
      <c r="B2090" s="61" t="s">
        <v>3640</v>
      </c>
      <c r="C2090" s="61"/>
      <c r="D2090" s="1" t="s">
        <v>3641</v>
      </c>
      <c r="E2090" s="1"/>
      <c r="F2090" s="62"/>
      <c r="G2090" s="61"/>
      <c r="H2090" s="63"/>
      <c r="I2090" s="36"/>
      <c r="J2090" s="63"/>
      <c r="K2090" s="64"/>
      <c r="L2090" s="64"/>
      <c r="M2090" s="64"/>
      <c r="N2090" s="64"/>
      <c r="O2090" s="64">
        <f>O2091</f>
        <v>0</v>
      </c>
      <c r="P2090" s="64">
        <f>P2091</f>
        <v>0</v>
      </c>
      <c r="Q2090" s="64">
        <f>Q2091</f>
        <v>0</v>
      </c>
      <c r="R2090" s="64">
        <f>R2091</f>
        <v>0</v>
      </c>
      <c r="S2090" s="64"/>
      <c r="T2090" s="36"/>
      <c r="XDA2090"/>
      <c r="XDB2090"/>
      <c r="XDC2090"/>
      <c r="XDD2090"/>
      <c r="XDE2090"/>
      <c r="XDF2090"/>
      <c r="XDG2090"/>
      <c r="XDH2090"/>
      <c r="XDI2090"/>
      <c r="XDJ2090"/>
      <c r="XDK2090"/>
      <c r="XDL2090"/>
      <c r="XDM2090"/>
      <c r="XDN2090"/>
      <c r="XDO2090"/>
      <c r="XDP2090"/>
      <c r="XDQ2090"/>
      <c r="XDR2090"/>
      <c r="XDS2090"/>
      <c r="XDT2090"/>
      <c r="XDU2090"/>
      <c r="XDV2090"/>
      <c r="XDW2090"/>
      <c r="XDX2090"/>
      <c r="XDY2090"/>
      <c r="XDZ2090"/>
      <c r="XEA2090"/>
      <c r="XEB2090"/>
      <c r="XEC2090"/>
      <c r="XED2090"/>
      <c r="XEE2090"/>
      <c r="XEF2090"/>
      <c r="XEG2090"/>
      <c r="XEH2090"/>
      <c r="XEI2090"/>
      <c r="XEJ2090"/>
      <c r="XEK2090"/>
      <c r="XEL2090"/>
      <c r="XEM2090"/>
      <c r="XEN2090"/>
      <c r="XEO2090"/>
      <c r="XEP2090"/>
      <c r="XEQ2090"/>
      <c r="XER2090"/>
      <c r="XES2090"/>
      <c r="XET2090"/>
      <c r="XEU2090"/>
      <c r="XEV2090"/>
      <c r="XEW2090"/>
      <c r="XEX2090"/>
      <c r="XEY2090"/>
      <c r="XEZ2090"/>
      <c r="XFA2090"/>
      <c r="XFB2090"/>
      <c r="XFC2090"/>
    </row>
    <row r="2091" spans="1:20 16329:16383" s="38" customFormat="1" ht="29.1" customHeight="1" outlineLevel="5" x14ac:dyDescent="0.25">
      <c r="A2091" s="65" t="s">
        <v>3642</v>
      </c>
      <c r="B2091" s="66" t="s">
        <v>3643</v>
      </c>
      <c r="C2091" s="66" t="s">
        <v>3644</v>
      </c>
      <c r="D2091" s="98" t="s">
        <v>3645</v>
      </c>
      <c r="E2091" s="98"/>
      <c r="F2091" s="67"/>
      <c r="G2091" s="66" t="s">
        <v>29</v>
      </c>
      <c r="H2091" s="68"/>
      <c r="I2091" s="36"/>
      <c r="J2091" s="68"/>
      <c r="K2091" s="69"/>
      <c r="L2091" s="69"/>
      <c r="M2091" s="69"/>
      <c r="N2091" s="69"/>
      <c r="O2091" s="69">
        <f>O2092+O2095+O2098+O2100+O2104+O2106+O2108+O2110+O2112+O2114+O2116</f>
        <v>0</v>
      </c>
      <c r="P2091" s="69">
        <f>P2092+P2095+P2098+P2100+P2104+P2106+P2108+P2110+P2112+P2114+P2116</f>
        <v>0</v>
      </c>
      <c r="Q2091" s="69">
        <f>Q2092+Q2095+Q2098+Q2100+Q2104+Q2106+Q2108+Q2110+Q2112+Q2114+Q2116</f>
        <v>0</v>
      </c>
      <c r="R2091" s="69">
        <f>R2092+R2095+R2098+R2100+R2104+R2106+R2108+R2110+R2112+R2114+R2116</f>
        <v>0</v>
      </c>
      <c r="S2091" s="69"/>
      <c r="T2091" s="36"/>
      <c r="XDA2091"/>
      <c r="XDB2091"/>
      <c r="XDC2091"/>
      <c r="XDD2091"/>
      <c r="XDE2091"/>
      <c r="XDF2091"/>
      <c r="XDG2091"/>
      <c r="XDH2091"/>
      <c r="XDI2091"/>
      <c r="XDJ2091"/>
      <c r="XDK2091"/>
      <c r="XDL2091"/>
      <c r="XDM2091"/>
      <c r="XDN2091"/>
      <c r="XDO2091"/>
      <c r="XDP2091"/>
      <c r="XDQ2091"/>
      <c r="XDR2091"/>
      <c r="XDS2091"/>
      <c r="XDT2091"/>
      <c r="XDU2091"/>
      <c r="XDV2091"/>
      <c r="XDW2091"/>
      <c r="XDX2091"/>
      <c r="XDY2091"/>
      <c r="XDZ2091"/>
      <c r="XEA2091"/>
      <c r="XEB2091"/>
      <c r="XEC2091"/>
      <c r="XED2091"/>
      <c r="XEE2091"/>
      <c r="XEF2091"/>
      <c r="XEG2091"/>
      <c r="XEH2091"/>
      <c r="XEI2091"/>
      <c r="XEJ2091"/>
      <c r="XEK2091"/>
      <c r="XEL2091"/>
      <c r="XEM2091"/>
      <c r="XEN2091"/>
      <c r="XEO2091"/>
      <c r="XEP2091"/>
      <c r="XEQ2091"/>
      <c r="XER2091"/>
      <c r="XES2091"/>
      <c r="XET2091"/>
      <c r="XEU2091"/>
      <c r="XEV2091"/>
      <c r="XEW2091"/>
      <c r="XEX2091"/>
      <c r="XEY2091"/>
      <c r="XEZ2091"/>
      <c r="XFA2091"/>
      <c r="XFB2091"/>
      <c r="XFC2091"/>
    </row>
    <row r="2092" spans="1:20 16329:16383" s="38" customFormat="1" ht="29.1" customHeight="1" outlineLevel="6" x14ac:dyDescent="0.25">
      <c r="A2092" s="70" t="s">
        <v>3646</v>
      </c>
      <c r="B2092" s="71" t="s">
        <v>3647</v>
      </c>
      <c r="C2092" s="71" t="s">
        <v>3648</v>
      </c>
      <c r="D2092" s="99" t="s">
        <v>3649</v>
      </c>
      <c r="E2092" s="99"/>
      <c r="F2092" s="72"/>
      <c r="G2092" s="71" t="s">
        <v>3285</v>
      </c>
      <c r="H2092" s="73"/>
      <c r="I2092" s="36"/>
      <c r="J2092" s="73"/>
      <c r="K2092" s="74"/>
      <c r="L2092" s="74"/>
      <c r="M2092" s="74"/>
      <c r="N2092" s="74"/>
      <c r="O2092" s="74">
        <f>O2093+O2094</f>
        <v>0</v>
      </c>
      <c r="P2092" s="74">
        <f>P2093+P2094</f>
        <v>0</v>
      </c>
      <c r="Q2092" s="74">
        <f>Q2093+Q2094</f>
        <v>0</v>
      </c>
      <c r="R2092" s="74">
        <f>R2093+R2094</f>
        <v>0</v>
      </c>
      <c r="S2092" s="74"/>
      <c r="T2092" s="36"/>
      <c r="XDA2092"/>
      <c r="XDB2092"/>
      <c r="XDC2092"/>
      <c r="XDD2092"/>
      <c r="XDE2092"/>
      <c r="XDF2092"/>
      <c r="XDG2092"/>
      <c r="XDH2092"/>
      <c r="XDI2092"/>
      <c r="XDJ2092"/>
      <c r="XDK2092"/>
      <c r="XDL2092"/>
      <c r="XDM2092"/>
      <c r="XDN2092"/>
      <c r="XDO2092"/>
      <c r="XDP2092"/>
      <c r="XDQ2092"/>
      <c r="XDR2092"/>
      <c r="XDS2092"/>
      <c r="XDT2092"/>
      <c r="XDU2092"/>
      <c r="XDV2092"/>
      <c r="XDW2092"/>
      <c r="XDX2092"/>
      <c r="XDY2092"/>
      <c r="XDZ2092"/>
      <c r="XEA2092"/>
      <c r="XEB2092"/>
      <c r="XEC2092"/>
      <c r="XED2092"/>
      <c r="XEE2092"/>
      <c r="XEF2092"/>
      <c r="XEG2092"/>
      <c r="XEH2092"/>
      <c r="XEI2092"/>
      <c r="XEJ2092"/>
      <c r="XEK2092"/>
      <c r="XEL2092"/>
      <c r="XEM2092"/>
      <c r="XEN2092"/>
      <c r="XEO2092"/>
      <c r="XEP2092"/>
      <c r="XEQ2092"/>
      <c r="XER2092"/>
      <c r="XES2092"/>
      <c r="XET2092"/>
      <c r="XEU2092"/>
      <c r="XEV2092"/>
      <c r="XEW2092"/>
      <c r="XEX2092"/>
      <c r="XEY2092"/>
      <c r="XEZ2092"/>
      <c r="XFA2092"/>
      <c r="XFB2092"/>
      <c r="XFC2092"/>
    </row>
    <row r="2093" spans="1:20 16329:16383" s="38" customFormat="1" ht="29.1" customHeight="1" outlineLevel="7" x14ac:dyDescent="0.25">
      <c r="A2093" s="49" t="s">
        <v>3650</v>
      </c>
      <c r="B2093" s="50"/>
      <c r="C2093" s="50"/>
      <c r="D2093" s="3" t="s">
        <v>3651</v>
      </c>
      <c r="E2093" s="3"/>
      <c r="F2093" s="51"/>
      <c r="G2093" s="50" t="s">
        <v>29</v>
      </c>
      <c r="H2093" s="52">
        <f>1</f>
        <v>1</v>
      </c>
      <c r="I2093" s="36"/>
      <c r="J2093" s="52">
        <v>1</v>
      </c>
      <c r="K2093" s="53">
        <f>0</f>
        <v>0</v>
      </c>
      <c r="L2093" s="53">
        <f>0</f>
        <v>0</v>
      </c>
      <c r="M2093" s="53">
        <f>0</f>
        <v>0</v>
      </c>
      <c r="N2093" s="54">
        <f>SUM(K2093:M2093)</f>
        <v>0</v>
      </c>
      <c r="O2093" s="54">
        <f>ROUND((H2093*K2093),2)</f>
        <v>0</v>
      </c>
      <c r="P2093" s="54">
        <f>ROUND((H2093*L2093),2)</f>
        <v>0</v>
      </c>
      <c r="Q2093" s="54">
        <f>ROUND((H2093*M2093),2)</f>
        <v>0</v>
      </c>
      <c r="R2093" s="54">
        <f>ROUND((H2093*N2093),2)</f>
        <v>0</v>
      </c>
      <c r="S2093" s="54"/>
      <c r="T2093" s="36"/>
      <c r="XDA2093"/>
      <c r="XDB2093"/>
      <c r="XDC2093"/>
      <c r="XDD2093"/>
      <c r="XDE2093"/>
      <c r="XDF2093"/>
      <c r="XDG2093"/>
      <c r="XDH2093"/>
      <c r="XDI2093"/>
      <c r="XDJ2093"/>
      <c r="XDK2093"/>
      <c r="XDL2093"/>
      <c r="XDM2093"/>
      <c r="XDN2093"/>
      <c r="XDO2093"/>
      <c r="XDP2093"/>
      <c r="XDQ2093"/>
      <c r="XDR2093"/>
      <c r="XDS2093"/>
      <c r="XDT2093"/>
      <c r="XDU2093"/>
      <c r="XDV2093"/>
      <c r="XDW2093"/>
      <c r="XDX2093"/>
      <c r="XDY2093"/>
      <c r="XDZ2093"/>
      <c r="XEA2093"/>
      <c r="XEB2093"/>
      <c r="XEC2093"/>
      <c r="XED2093"/>
      <c r="XEE2093"/>
      <c r="XEF2093"/>
      <c r="XEG2093"/>
      <c r="XEH2093"/>
      <c r="XEI2093"/>
      <c r="XEJ2093"/>
      <c r="XEK2093"/>
      <c r="XEL2093"/>
      <c r="XEM2093"/>
      <c r="XEN2093"/>
      <c r="XEO2093"/>
      <c r="XEP2093"/>
      <c r="XEQ2093"/>
      <c r="XER2093"/>
      <c r="XES2093"/>
      <c r="XET2093"/>
      <c r="XEU2093"/>
      <c r="XEV2093"/>
      <c r="XEW2093"/>
      <c r="XEX2093"/>
      <c r="XEY2093"/>
      <c r="XEZ2093"/>
      <c r="XFA2093"/>
      <c r="XFB2093"/>
      <c r="XFC2093"/>
    </row>
    <row r="2094" spans="1:20 16329:16383" s="38" customFormat="1" ht="29.1" customHeight="1" outlineLevel="7" x14ac:dyDescent="0.25">
      <c r="A2094" s="49" t="s">
        <v>3652</v>
      </c>
      <c r="B2094" s="50"/>
      <c r="C2094" s="50"/>
      <c r="D2094" s="3" t="s">
        <v>3653</v>
      </c>
      <c r="E2094" s="3"/>
      <c r="F2094" s="51"/>
      <c r="G2094" s="50" t="s">
        <v>29</v>
      </c>
      <c r="H2094" s="52">
        <f>1</f>
        <v>1</v>
      </c>
      <c r="I2094" s="36"/>
      <c r="J2094" s="52">
        <v>1</v>
      </c>
      <c r="K2094" s="53">
        <f>0</f>
        <v>0</v>
      </c>
      <c r="L2094" s="53">
        <f>0</f>
        <v>0</v>
      </c>
      <c r="M2094" s="53">
        <f>0</f>
        <v>0</v>
      </c>
      <c r="N2094" s="54">
        <f>SUM(K2094:M2094)</f>
        <v>0</v>
      </c>
      <c r="O2094" s="54">
        <f>ROUND((H2094*K2094),2)</f>
        <v>0</v>
      </c>
      <c r="P2094" s="54">
        <f>ROUND((H2094*L2094),2)</f>
        <v>0</v>
      </c>
      <c r="Q2094" s="54">
        <f>ROUND((H2094*M2094),2)</f>
        <v>0</v>
      </c>
      <c r="R2094" s="54">
        <f>ROUND((H2094*N2094),2)</f>
        <v>0</v>
      </c>
      <c r="S2094" s="54"/>
      <c r="T2094" s="36"/>
      <c r="XDA2094"/>
      <c r="XDB2094"/>
      <c r="XDC2094"/>
      <c r="XDD2094"/>
      <c r="XDE2094"/>
      <c r="XDF2094"/>
      <c r="XDG2094"/>
      <c r="XDH2094"/>
      <c r="XDI2094"/>
      <c r="XDJ2094"/>
      <c r="XDK2094"/>
      <c r="XDL2094"/>
      <c r="XDM2094"/>
      <c r="XDN2094"/>
      <c r="XDO2094"/>
      <c r="XDP2094"/>
      <c r="XDQ2094"/>
      <c r="XDR2094"/>
      <c r="XDS2094"/>
      <c r="XDT2094"/>
      <c r="XDU2094"/>
      <c r="XDV2094"/>
      <c r="XDW2094"/>
      <c r="XDX2094"/>
      <c r="XDY2094"/>
      <c r="XDZ2094"/>
      <c r="XEA2094"/>
      <c r="XEB2094"/>
      <c r="XEC2094"/>
      <c r="XED2094"/>
      <c r="XEE2094"/>
      <c r="XEF2094"/>
      <c r="XEG2094"/>
      <c r="XEH2094"/>
      <c r="XEI2094"/>
      <c r="XEJ2094"/>
      <c r="XEK2094"/>
      <c r="XEL2094"/>
      <c r="XEM2094"/>
      <c r="XEN2094"/>
      <c r="XEO2094"/>
      <c r="XEP2094"/>
      <c r="XEQ2094"/>
      <c r="XER2094"/>
      <c r="XES2094"/>
      <c r="XET2094"/>
      <c r="XEU2094"/>
      <c r="XEV2094"/>
      <c r="XEW2094"/>
      <c r="XEX2094"/>
      <c r="XEY2094"/>
      <c r="XEZ2094"/>
      <c r="XFA2094"/>
      <c r="XFB2094"/>
      <c r="XFC2094"/>
    </row>
    <row r="2095" spans="1:20 16329:16383" s="38" customFormat="1" ht="29.1" customHeight="1" outlineLevel="6" x14ac:dyDescent="0.25">
      <c r="A2095" s="70" t="s">
        <v>3654</v>
      </c>
      <c r="B2095" s="71" t="s">
        <v>3655</v>
      </c>
      <c r="C2095" s="71" t="s">
        <v>3656</v>
      </c>
      <c r="D2095" s="99" t="s">
        <v>3657</v>
      </c>
      <c r="E2095" s="99"/>
      <c r="F2095" s="72"/>
      <c r="G2095" s="71" t="s">
        <v>3285</v>
      </c>
      <c r="H2095" s="73"/>
      <c r="I2095" s="36"/>
      <c r="J2095" s="73"/>
      <c r="K2095" s="74"/>
      <c r="L2095" s="74"/>
      <c r="M2095" s="74"/>
      <c r="N2095" s="74"/>
      <c r="O2095" s="74">
        <f>O2096+O2097</f>
        <v>0</v>
      </c>
      <c r="P2095" s="74">
        <f>P2096+P2097</f>
        <v>0</v>
      </c>
      <c r="Q2095" s="74">
        <f>Q2096+Q2097</f>
        <v>0</v>
      </c>
      <c r="R2095" s="74">
        <f>R2096+R2097</f>
        <v>0</v>
      </c>
      <c r="S2095" s="74"/>
      <c r="T2095" s="36"/>
      <c r="XDA2095"/>
      <c r="XDB2095"/>
      <c r="XDC2095"/>
      <c r="XDD2095"/>
      <c r="XDE2095"/>
      <c r="XDF2095"/>
      <c r="XDG2095"/>
      <c r="XDH2095"/>
      <c r="XDI2095"/>
      <c r="XDJ2095"/>
      <c r="XDK2095"/>
      <c r="XDL2095"/>
      <c r="XDM2095"/>
      <c r="XDN2095"/>
      <c r="XDO2095"/>
      <c r="XDP2095"/>
      <c r="XDQ2095"/>
      <c r="XDR2095"/>
      <c r="XDS2095"/>
      <c r="XDT2095"/>
      <c r="XDU2095"/>
      <c r="XDV2095"/>
      <c r="XDW2095"/>
      <c r="XDX2095"/>
      <c r="XDY2095"/>
      <c r="XDZ2095"/>
      <c r="XEA2095"/>
      <c r="XEB2095"/>
      <c r="XEC2095"/>
      <c r="XED2095"/>
      <c r="XEE2095"/>
      <c r="XEF2095"/>
      <c r="XEG2095"/>
      <c r="XEH2095"/>
      <c r="XEI2095"/>
      <c r="XEJ2095"/>
      <c r="XEK2095"/>
      <c r="XEL2095"/>
      <c r="XEM2095"/>
      <c r="XEN2095"/>
      <c r="XEO2095"/>
      <c r="XEP2095"/>
      <c r="XEQ2095"/>
      <c r="XER2095"/>
      <c r="XES2095"/>
      <c r="XET2095"/>
      <c r="XEU2095"/>
      <c r="XEV2095"/>
      <c r="XEW2095"/>
      <c r="XEX2095"/>
      <c r="XEY2095"/>
      <c r="XEZ2095"/>
      <c r="XFA2095"/>
      <c r="XFB2095"/>
      <c r="XFC2095"/>
    </row>
    <row r="2096" spans="1:20 16329:16383" s="38" customFormat="1" ht="29.1" customHeight="1" outlineLevel="7" x14ac:dyDescent="0.25">
      <c r="A2096" s="49" t="s">
        <v>3658</v>
      </c>
      <c r="B2096" s="50"/>
      <c r="C2096" s="50"/>
      <c r="D2096" s="3" t="s">
        <v>3659</v>
      </c>
      <c r="E2096" s="3"/>
      <c r="F2096" s="51"/>
      <c r="G2096" s="50" t="s">
        <v>29</v>
      </c>
      <c r="H2096" s="52">
        <f>1</f>
        <v>1</v>
      </c>
      <c r="I2096" s="36"/>
      <c r="J2096" s="52">
        <v>1</v>
      </c>
      <c r="K2096" s="53">
        <f>0</f>
        <v>0</v>
      </c>
      <c r="L2096" s="53">
        <f>0</f>
        <v>0</v>
      </c>
      <c r="M2096" s="53">
        <f>0</f>
        <v>0</v>
      </c>
      <c r="N2096" s="54">
        <f>SUM(K2096:M2096)</f>
        <v>0</v>
      </c>
      <c r="O2096" s="54">
        <f>ROUND((H2096*K2096),2)</f>
        <v>0</v>
      </c>
      <c r="P2096" s="54">
        <f>ROUND((H2096*L2096),2)</f>
        <v>0</v>
      </c>
      <c r="Q2096" s="54">
        <f>ROUND((H2096*M2096),2)</f>
        <v>0</v>
      </c>
      <c r="R2096" s="54">
        <f>ROUND((H2096*N2096),2)</f>
        <v>0</v>
      </c>
      <c r="S2096" s="54"/>
      <c r="T2096" s="36"/>
      <c r="XDA2096"/>
      <c r="XDB2096"/>
      <c r="XDC2096"/>
      <c r="XDD2096"/>
      <c r="XDE2096"/>
      <c r="XDF2096"/>
      <c r="XDG2096"/>
      <c r="XDH2096"/>
      <c r="XDI2096"/>
      <c r="XDJ2096"/>
      <c r="XDK2096"/>
      <c r="XDL2096"/>
      <c r="XDM2096"/>
      <c r="XDN2096"/>
      <c r="XDO2096"/>
      <c r="XDP2096"/>
      <c r="XDQ2096"/>
      <c r="XDR2096"/>
      <c r="XDS2096"/>
      <c r="XDT2096"/>
      <c r="XDU2096"/>
      <c r="XDV2096"/>
      <c r="XDW2096"/>
      <c r="XDX2096"/>
      <c r="XDY2096"/>
      <c r="XDZ2096"/>
      <c r="XEA2096"/>
      <c r="XEB2096"/>
      <c r="XEC2096"/>
      <c r="XED2096"/>
      <c r="XEE2096"/>
      <c r="XEF2096"/>
      <c r="XEG2096"/>
      <c r="XEH2096"/>
      <c r="XEI2096"/>
      <c r="XEJ2096"/>
      <c r="XEK2096"/>
      <c r="XEL2096"/>
      <c r="XEM2096"/>
      <c r="XEN2096"/>
      <c r="XEO2096"/>
      <c r="XEP2096"/>
      <c r="XEQ2096"/>
      <c r="XER2096"/>
      <c r="XES2096"/>
      <c r="XET2096"/>
      <c r="XEU2096"/>
      <c r="XEV2096"/>
      <c r="XEW2096"/>
      <c r="XEX2096"/>
      <c r="XEY2096"/>
      <c r="XEZ2096"/>
      <c r="XFA2096"/>
      <c r="XFB2096"/>
      <c r="XFC2096"/>
    </row>
    <row r="2097" spans="1:20 16329:16383" s="38" customFormat="1" ht="29.1" customHeight="1" outlineLevel="7" x14ac:dyDescent="0.25">
      <c r="A2097" s="49" t="s">
        <v>3660</v>
      </c>
      <c r="B2097" s="50"/>
      <c r="C2097" s="50"/>
      <c r="D2097" s="3" t="s">
        <v>3661</v>
      </c>
      <c r="E2097" s="3"/>
      <c r="F2097" s="51"/>
      <c r="G2097" s="50" t="s">
        <v>29</v>
      </c>
      <c r="H2097" s="52">
        <f>1</f>
        <v>1</v>
      </c>
      <c r="I2097" s="36"/>
      <c r="J2097" s="52">
        <v>1</v>
      </c>
      <c r="K2097" s="53">
        <f>0</f>
        <v>0</v>
      </c>
      <c r="L2097" s="53">
        <f>0</f>
        <v>0</v>
      </c>
      <c r="M2097" s="53">
        <f>0</f>
        <v>0</v>
      </c>
      <c r="N2097" s="54">
        <f>SUM(K2097:M2097)</f>
        <v>0</v>
      </c>
      <c r="O2097" s="54">
        <f>ROUND((H2097*K2097),2)</f>
        <v>0</v>
      </c>
      <c r="P2097" s="54">
        <f>ROUND((H2097*L2097),2)</f>
        <v>0</v>
      </c>
      <c r="Q2097" s="54">
        <f>ROUND((H2097*M2097),2)</f>
        <v>0</v>
      </c>
      <c r="R2097" s="54">
        <f>ROUND((H2097*N2097),2)</f>
        <v>0</v>
      </c>
      <c r="S2097" s="54"/>
      <c r="T2097" s="36"/>
      <c r="XDA2097"/>
      <c r="XDB2097"/>
      <c r="XDC2097"/>
      <c r="XDD2097"/>
      <c r="XDE2097"/>
      <c r="XDF2097"/>
      <c r="XDG2097"/>
      <c r="XDH2097"/>
      <c r="XDI2097"/>
      <c r="XDJ2097"/>
      <c r="XDK2097"/>
      <c r="XDL2097"/>
      <c r="XDM2097"/>
      <c r="XDN2097"/>
      <c r="XDO2097"/>
      <c r="XDP2097"/>
      <c r="XDQ2097"/>
      <c r="XDR2097"/>
      <c r="XDS2097"/>
      <c r="XDT2097"/>
      <c r="XDU2097"/>
      <c r="XDV2097"/>
      <c r="XDW2097"/>
      <c r="XDX2097"/>
      <c r="XDY2097"/>
      <c r="XDZ2097"/>
      <c r="XEA2097"/>
      <c r="XEB2097"/>
      <c r="XEC2097"/>
      <c r="XED2097"/>
      <c r="XEE2097"/>
      <c r="XEF2097"/>
      <c r="XEG2097"/>
      <c r="XEH2097"/>
      <c r="XEI2097"/>
      <c r="XEJ2097"/>
      <c r="XEK2097"/>
      <c r="XEL2097"/>
      <c r="XEM2097"/>
      <c r="XEN2097"/>
      <c r="XEO2097"/>
      <c r="XEP2097"/>
      <c r="XEQ2097"/>
      <c r="XER2097"/>
      <c r="XES2097"/>
      <c r="XET2097"/>
      <c r="XEU2097"/>
      <c r="XEV2097"/>
      <c r="XEW2097"/>
      <c r="XEX2097"/>
      <c r="XEY2097"/>
      <c r="XEZ2097"/>
      <c r="XFA2097"/>
      <c r="XFB2097"/>
      <c r="XFC2097"/>
    </row>
    <row r="2098" spans="1:20 16329:16383" s="38" customFormat="1" ht="29.1" customHeight="1" outlineLevel="6" x14ac:dyDescent="0.25">
      <c r="A2098" s="70" t="s">
        <v>3662</v>
      </c>
      <c r="B2098" s="71" t="s">
        <v>3663</v>
      </c>
      <c r="C2098" s="71" t="s">
        <v>3664</v>
      </c>
      <c r="D2098" s="99" t="s">
        <v>3665</v>
      </c>
      <c r="E2098" s="99"/>
      <c r="F2098" s="72"/>
      <c r="G2098" s="71" t="s">
        <v>134</v>
      </c>
      <c r="H2098" s="73"/>
      <c r="I2098" s="36"/>
      <c r="J2098" s="73"/>
      <c r="K2098" s="74"/>
      <c r="L2098" s="74"/>
      <c r="M2098" s="74"/>
      <c r="N2098" s="74"/>
      <c r="O2098" s="74">
        <f>O2099</f>
        <v>0</v>
      </c>
      <c r="P2098" s="74">
        <f>P2099</f>
        <v>0</v>
      </c>
      <c r="Q2098" s="74">
        <f>Q2099</f>
        <v>0</v>
      </c>
      <c r="R2098" s="74">
        <f>R2099</f>
        <v>0</v>
      </c>
      <c r="S2098" s="74"/>
      <c r="T2098" s="36"/>
      <c r="XDA2098"/>
      <c r="XDB2098"/>
      <c r="XDC2098"/>
      <c r="XDD2098"/>
      <c r="XDE2098"/>
      <c r="XDF2098"/>
      <c r="XDG2098"/>
      <c r="XDH2098"/>
      <c r="XDI2098"/>
      <c r="XDJ2098"/>
      <c r="XDK2098"/>
      <c r="XDL2098"/>
      <c r="XDM2098"/>
      <c r="XDN2098"/>
      <c r="XDO2098"/>
      <c r="XDP2098"/>
      <c r="XDQ2098"/>
      <c r="XDR2098"/>
      <c r="XDS2098"/>
      <c r="XDT2098"/>
      <c r="XDU2098"/>
      <c r="XDV2098"/>
      <c r="XDW2098"/>
      <c r="XDX2098"/>
      <c r="XDY2098"/>
      <c r="XDZ2098"/>
      <c r="XEA2098"/>
      <c r="XEB2098"/>
      <c r="XEC2098"/>
      <c r="XED2098"/>
      <c r="XEE2098"/>
      <c r="XEF2098"/>
      <c r="XEG2098"/>
      <c r="XEH2098"/>
      <c r="XEI2098"/>
      <c r="XEJ2098"/>
      <c r="XEK2098"/>
      <c r="XEL2098"/>
      <c r="XEM2098"/>
      <c r="XEN2098"/>
      <c r="XEO2098"/>
      <c r="XEP2098"/>
      <c r="XEQ2098"/>
      <c r="XER2098"/>
      <c r="XES2098"/>
      <c r="XET2098"/>
      <c r="XEU2098"/>
      <c r="XEV2098"/>
      <c r="XEW2098"/>
      <c r="XEX2098"/>
      <c r="XEY2098"/>
      <c r="XEZ2098"/>
      <c r="XFA2098"/>
      <c r="XFB2098"/>
      <c r="XFC2098"/>
    </row>
    <row r="2099" spans="1:20 16329:16383" s="38" customFormat="1" ht="29.1" customHeight="1" outlineLevel="7" x14ac:dyDescent="0.25">
      <c r="A2099" s="49" t="s">
        <v>3666</v>
      </c>
      <c r="B2099" s="50"/>
      <c r="C2099" s="50"/>
      <c r="D2099" s="3" t="s">
        <v>3667</v>
      </c>
      <c r="E2099" s="3"/>
      <c r="F2099" s="51"/>
      <c r="G2099" s="50" t="s">
        <v>29</v>
      </c>
      <c r="H2099" s="52">
        <f>1</f>
        <v>1</v>
      </c>
      <c r="I2099" s="36"/>
      <c r="J2099" s="52">
        <v>1</v>
      </c>
      <c r="K2099" s="53">
        <f>0</f>
        <v>0</v>
      </c>
      <c r="L2099" s="53">
        <f>0</f>
        <v>0</v>
      </c>
      <c r="M2099" s="53">
        <f>0</f>
        <v>0</v>
      </c>
      <c r="N2099" s="54">
        <f>SUM(K2099:M2099)</f>
        <v>0</v>
      </c>
      <c r="O2099" s="54">
        <f>ROUND((H2099*K2099),2)</f>
        <v>0</v>
      </c>
      <c r="P2099" s="54">
        <f>ROUND((H2099*L2099),2)</f>
        <v>0</v>
      </c>
      <c r="Q2099" s="54">
        <f>ROUND((H2099*M2099),2)</f>
        <v>0</v>
      </c>
      <c r="R2099" s="54">
        <f>ROUND((H2099*N2099),2)</f>
        <v>0</v>
      </c>
      <c r="S2099" s="54"/>
      <c r="T2099" s="36"/>
      <c r="XDA2099"/>
      <c r="XDB2099"/>
      <c r="XDC2099"/>
      <c r="XDD2099"/>
      <c r="XDE2099"/>
      <c r="XDF2099"/>
      <c r="XDG2099"/>
      <c r="XDH2099"/>
      <c r="XDI2099"/>
      <c r="XDJ2099"/>
      <c r="XDK2099"/>
      <c r="XDL2099"/>
      <c r="XDM2099"/>
      <c r="XDN2099"/>
      <c r="XDO2099"/>
      <c r="XDP2099"/>
      <c r="XDQ2099"/>
      <c r="XDR2099"/>
      <c r="XDS2099"/>
      <c r="XDT2099"/>
      <c r="XDU2099"/>
      <c r="XDV2099"/>
      <c r="XDW2099"/>
      <c r="XDX2099"/>
      <c r="XDY2099"/>
      <c r="XDZ2099"/>
      <c r="XEA2099"/>
      <c r="XEB2099"/>
      <c r="XEC2099"/>
      <c r="XED2099"/>
      <c r="XEE2099"/>
      <c r="XEF2099"/>
      <c r="XEG2099"/>
      <c r="XEH2099"/>
      <c r="XEI2099"/>
      <c r="XEJ2099"/>
      <c r="XEK2099"/>
      <c r="XEL2099"/>
      <c r="XEM2099"/>
      <c r="XEN2099"/>
      <c r="XEO2099"/>
      <c r="XEP2099"/>
      <c r="XEQ2099"/>
      <c r="XER2099"/>
      <c r="XES2099"/>
      <c r="XET2099"/>
      <c r="XEU2099"/>
      <c r="XEV2099"/>
      <c r="XEW2099"/>
      <c r="XEX2099"/>
      <c r="XEY2099"/>
      <c r="XEZ2099"/>
      <c r="XFA2099"/>
      <c r="XFB2099"/>
      <c r="XFC2099"/>
    </row>
    <row r="2100" spans="1:20 16329:16383" s="38" customFormat="1" ht="29.1" customHeight="1" outlineLevel="6" x14ac:dyDescent="0.25">
      <c r="A2100" s="70" t="s">
        <v>3668</v>
      </c>
      <c r="B2100" s="71" t="s">
        <v>3669</v>
      </c>
      <c r="C2100" s="71" t="s">
        <v>3670</v>
      </c>
      <c r="D2100" s="99" t="s">
        <v>3671</v>
      </c>
      <c r="E2100" s="99"/>
      <c r="F2100" s="72"/>
      <c r="G2100" s="71" t="s">
        <v>134</v>
      </c>
      <c r="H2100" s="73"/>
      <c r="I2100" s="36"/>
      <c r="J2100" s="73"/>
      <c r="K2100" s="74"/>
      <c r="L2100" s="74"/>
      <c r="M2100" s="74"/>
      <c r="N2100" s="74"/>
      <c r="O2100" s="74">
        <f>SUM(O2101:O2103)</f>
        <v>0</v>
      </c>
      <c r="P2100" s="74">
        <f>SUM(P2101:P2103)</f>
        <v>0</v>
      </c>
      <c r="Q2100" s="74">
        <f>SUM(Q2101:Q2103)</f>
        <v>0</v>
      </c>
      <c r="R2100" s="74">
        <f>SUM(R2101:R2103)</f>
        <v>0</v>
      </c>
      <c r="S2100" s="74"/>
      <c r="T2100" s="36"/>
      <c r="XDA2100"/>
      <c r="XDB2100"/>
      <c r="XDC2100"/>
      <c r="XDD2100"/>
      <c r="XDE2100"/>
      <c r="XDF2100"/>
      <c r="XDG2100"/>
      <c r="XDH2100"/>
      <c r="XDI2100"/>
      <c r="XDJ2100"/>
      <c r="XDK2100"/>
      <c r="XDL2100"/>
      <c r="XDM2100"/>
      <c r="XDN2100"/>
      <c r="XDO2100"/>
      <c r="XDP2100"/>
      <c r="XDQ2100"/>
      <c r="XDR2100"/>
      <c r="XDS2100"/>
      <c r="XDT2100"/>
      <c r="XDU2100"/>
      <c r="XDV2100"/>
      <c r="XDW2100"/>
      <c r="XDX2100"/>
      <c r="XDY2100"/>
      <c r="XDZ2100"/>
      <c r="XEA2100"/>
      <c r="XEB2100"/>
      <c r="XEC2100"/>
      <c r="XED2100"/>
      <c r="XEE2100"/>
      <c r="XEF2100"/>
      <c r="XEG2100"/>
      <c r="XEH2100"/>
      <c r="XEI2100"/>
      <c r="XEJ2100"/>
      <c r="XEK2100"/>
      <c r="XEL2100"/>
      <c r="XEM2100"/>
      <c r="XEN2100"/>
      <c r="XEO2100"/>
      <c r="XEP2100"/>
      <c r="XEQ2100"/>
      <c r="XER2100"/>
      <c r="XES2100"/>
      <c r="XET2100"/>
      <c r="XEU2100"/>
      <c r="XEV2100"/>
      <c r="XEW2100"/>
      <c r="XEX2100"/>
      <c r="XEY2100"/>
      <c r="XEZ2100"/>
      <c r="XFA2100"/>
      <c r="XFB2100"/>
      <c r="XFC2100"/>
    </row>
    <row r="2101" spans="1:20 16329:16383" s="38" customFormat="1" ht="29.1" customHeight="1" outlineLevel="7" x14ac:dyDescent="0.25">
      <c r="A2101" s="49" t="s">
        <v>3672</v>
      </c>
      <c r="B2101" s="50"/>
      <c r="C2101" s="50"/>
      <c r="D2101" s="3" t="s">
        <v>3673</v>
      </c>
      <c r="E2101" s="3"/>
      <c r="F2101" s="51"/>
      <c r="G2101" s="50" t="s">
        <v>29</v>
      </c>
      <c r="H2101" s="52">
        <f>1</f>
        <v>1</v>
      </c>
      <c r="I2101" s="36"/>
      <c r="J2101" s="52">
        <v>1</v>
      </c>
      <c r="K2101" s="53">
        <f>0</f>
        <v>0</v>
      </c>
      <c r="L2101" s="53">
        <f>0</f>
        <v>0</v>
      </c>
      <c r="M2101" s="53">
        <f>0</f>
        <v>0</v>
      </c>
      <c r="N2101" s="54">
        <f>SUM(K2101:M2101)</f>
        <v>0</v>
      </c>
      <c r="O2101" s="54">
        <f>ROUND((H2101*K2101),2)</f>
        <v>0</v>
      </c>
      <c r="P2101" s="54">
        <f>ROUND((H2101*L2101),2)</f>
        <v>0</v>
      </c>
      <c r="Q2101" s="54">
        <f>ROUND((H2101*M2101),2)</f>
        <v>0</v>
      </c>
      <c r="R2101" s="54">
        <f>ROUND((H2101*N2101),2)</f>
        <v>0</v>
      </c>
      <c r="S2101" s="54"/>
      <c r="T2101" s="36"/>
      <c r="XDA2101"/>
      <c r="XDB2101"/>
      <c r="XDC2101"/>
      <c r="XDD2101"/>
      <c r="XDE2101"/>
      <c r="XDF2101"/>
      <c r="XDG2101"/>
      <c r="XDH2101"/>
      <c r="XDI2101"/>
      <c r="XDJ2101"/>
      <c r="XDK2101"/>
      <c r="XDL2101"/>
      <c r="XDM2101"/>
      <c r="XDN2101"/>
      <c r="XDO2101"/>
      <c r="XDP2101"/>
      <c r="XDQ2101"/>
      <c r="XDR2101"/>
      <c r="XDS2101"/>
      <c r="XDT2101"/>
      <c r="XDU2101"/>
      <c r="XDV2101"/>
      <c r="XDW2101"/>
      <c r="XDX2101"/>
      <c r="XDY2101"/>
      <c r="XDZ2101"/>
      <c r="XEA2101"/>
      <c r="XEB2101"/>
      <c r="XEC2101"/>
      <c r="XED2101"/>
      <c r="XEE2101"/>
      <c r="XEF2101"/>
      <c r="XEG2101"/>
      <c r="XEH2101"/>
      <c r="XEI2101"/>
      <c r="XEJ2101"/>
      <c r="XEK2101"/>
      <c r="XEL2101"/>
      <c r="XEM2101"/>
      <c r="XEN2101"/>
      <c r="XEO2101"/>
      <c r="XEP2101"/>
      <c r="XEQ2101"/>
      <c r="XER2101"/>
      <c r="XES2101"/>
      <c r="XET2101"/>
      <c r="XEU2101"/>
      <c r="XEV2101"/>
      <c r="XEW2101"/>
      <c r="XEX2101"/>
      <c r="XEY2101"/>
      <c r="XEZ2101"/>
      <c r="XFA2101"/>
      <c r="XFB2101"/>
      <c r="XFC2101"/>
    </row>
    <row r="2102" spans="1:20 16329:16383" s="38" customFormat="1" ht="29.1" customHeight="1" outlineLevel="7" x14ac:dyDescent="0.25">
      <c r="A2102" s="49" t="s">
        <v>3674</v>
      </c>
      <c r="B2102" s="50"/>
      <c r="C2102" s="50"/>
      <c r="D2102" s="3" t="s">
        <v>3675</v>
      </c>
      <c r="E2102" s="3"/>
      <c r="F2102" s="51"/>
      <c r="G2102" s="50" t="s">
        <v>29</v>
      </c>
      <c r="H2102" s="52">
        <f>1</f>
        <v>1</v>
      </c>
      <c r="I2102" s="36"/>
      <c r="J2102" s="52">
        <v>1</v>
      </c>
      <c r="K2102" s="53">
        <f>0</f>
        <v>0</v>
      </c>
      <c r="L2102" s="53">
        <f>0</f>
        <v>0</v>
      </c>
      <c r="M2102" s="53">
        <f>0</f>
        <v>0</v>
      </c>
      <c r="N2102" s="54">
        <f>SUM(K2102:M2102)</f>
        <v>0</v>
      </c>
      <c r="O2102" s="54">
        <f>ROUND((H2102*K2102),2)</f>
        <v>0</v>
      </c>
      <c r="P2102" s="54">
        <f>ROUND((H2102*L2102),2)</f>
        <v>0</v>
      </c>
      <c r="Q2102" s="54">
        <f>ROUND((H2102*M2102),2)</f>
        <v>0</v>
      </c>
      <c r="R2102" s="54">
        <f>ROUND((H2102*N2102),2)</f>
        <v>0</v>
      </c>
      <c r="S2102" s="54"/>
      <c r="T2102" s="36"/>
      <c r="XDA2102"/>
      <c r="XDB2102"/>
      <c r="XDC2102"/>
      <c r="XDD2102"/>
      <c r="XDE2102"/>
      <c r="XDF2102"/>
      <c r="XDG2102"/>
      <c r="XDH2102"/>
      <c r="XDI2102"/>
      <c r="XDJ2102"/>
      <c r="XDK2102"/>
      <c r="XDL2102"/>
      <c r="XDM2102"/>
      <c r="XDN2102"/>
      <c r="XDO2102"/>
      <c r="XDP2102"/>
      <c r="XDQ2102"/>
      <c r="XDR2102"/>
      <c r="XDS2102"/>
      <c r="XDT2102"/>
      <c r="XDU2102"/>
      <c r="XDV2102"/>
      <c r="XDW2102"/>
      <c r="XDX2102"/>
      <c r="XDY2102"/>
      <c r="XDZ2102"/>
      <c r="XEA2102"/>
      <c r="XEB2102"/>
      <c r="XEC2102"/>
      <c r="XED2102"/>
      <c r="XEE2102"/>
      <c r="XEF2102"/>
      <c r="XEG2102"/>
      <c r="XEH2102"/>
      <c r="XEI2102"/>
      <c r="XEJ2102"/>
      <c r="XEK2102"/>
      <c r="XEL2102"/>
      <c r="XEM2102"/>
      <c r="XEN2102"/>
      <c r="XEO2102"/>
      <c r="XEP2102"/>
      <c r="XEQ2102"/>
      <c r="XER2102"/>
      <c r="XES2102"/>
      <c r="XET2102"/>
      <c r="XEU2102"/>
      <c r="XEV2102"/>
      <c r="XEW2102"/>
      <c r="XEX2102"/>
      <c r="XEY2102"/>
      <c r="XEZ2102"/>
      <c r="XFA2102"/>
      <c r="XFB2102"/>
      <c r="XFC2102"/>
    </row>
    <row r="2103" spans="1:20 16329:16383" s="38" customFormat="1" ht="29.1" customHeight="1" outlineLevel="7" x14ac:dyDescent="0.25">
      <c r="A2103" s="49" t="s">
        <v>3676</v>
      </c>
      <c r="B2103" s="50"/>
      <c r="C2103" s="50"/>
      <c r="D2103" s="3" t="s">
        <v>3677</v>
      </c>
      <c r="E2103" s="3"/>
      <c r="F2103" s="51"/>
      <c r="G2103" s="50" t="s">
        <v>29</v>
      </c>
      <c r="H2103" s="52">
        <f>1</f>
        <v>1</v>
      </c>
      <c r="I2103" s="36"/>
      <c r="J2103" s="52">
        <v>1</v>
      </c>
      <c r="K2103" s="53">
        <f>0</f>
        <v>0</v>
      </c>
      <c r="L2103" s="53">
        <f>0</f>
        <v>0</v>
      </c>
      <c r="M2103" s="53">
        <f>0</f>
        <v>0</v>
      </c>
      <c r="N2103" s="54">
        <f>SUM(K2103:M2103)</f>
        <v>0</v>
      </c>
      <c r="O2103" s="54">
        <f>ROUND((H2103*K2103),2)</f>
        <v>0</v>
      </c>
      <c r="P2103" s="54">
        <f>ROUND((H2103*L2103),2)</f>
        <v>0</v>
      </c>
      <c r="Q2103" s="54">
        <f>ROUND((H2103*M2103),2)</f>
        <v>0</v>
      </c>
      <c r="R2103" s="54">
        <f>ROUND((H2103*N2103),2)</f>
        <v>0</v>
      </c>
      <c r="S2103" s="54"/>
      <c r="T2103" s="36"/>
      <c r="XDA2103"/>
      <c r="XDB2103"/>
      <c r="XDC2103"/>
      <c r="XDD2103"/>
      <c r="XDE2103"/>
      <c r="XDF2103"/>
      <c r="XDG2103"/>
      <c r="XDH2103"/>
      <c r="XDI2103"/>
      <c r="XDJ2103"/>
      <c r="XDK2103"/>
      <c r="XDL2103"/>
      <c r="XDM2103"/>
      <c r="XDN2103"/>
      <c r="XDO2103"/>
      <c r="XDP2103"/>
      <c r="XDQ2103"/>
      <c r="XDR2103"/>
      <c r="XDS2103"/>
      <c r="XDT2103"/>
      <c r="XDU2103"/>
      <c r="XDV2103"/>
      <c r="XDW2103"/>
      <c r="XDX2103"/>
      <c r="XDY2103"/>
      <c r="XDZ2103"/>
      <c r="XEA2103"/>
      <c r="XEB2103"/>
      <c r="XEC2103"/>
      <c r="XED2103"/>
      <c r="XEE2103"/>
      <c r="XEF2103"/>
      <c r="XEG2103"/>
      <c r="XEH2103"/>
      <c r="XEI2103"/>
      <c r="XEJ2103"/>
      <c r="XEK2103"/>
      <c r="XEL2103"/>
      <c r="XEM2103"/>
      <c r="XEN2103"/>
      <c r="XEO2103"/>
      <c r="XEP2103"/>
      <c r="XEQ2103"/>
      <c r="XER2103"/>
      <c r="XES2103"/>
      <c r="XET2103"/>
      <c r="XEU2103"/>
      <c r="XEV2103"/>
      <c r="XEW2103"/>
      <c r="XEX2103"/>
      <c r="XEY2103"/>
      <c r="XEZ2103"/>
      <c r="XFA2103"/>
      <c r="XFB2103"/>
      <c r="XFC2103"/>
    </row>
    <row r="2104" spans="1:20 16329:16383" s="38" customFormat="1" ht="29.1" customHeight="1" outlineLevel="6" x14ac:dyDescent="0.25">
      <c r="A2104" s="70" t="s">
        <v>3678</v>
      </c>
      <c r="B2104" s="71" t="s">
        <v>3679</v>
      </c>
      <c r="C2104" s="71" t="s">
        <v>3680</v>
      </c>
      <c r="D2104" s="99" t="s">
        <v>3681</v>
      </c>
      <c r="E2104" s="99"/>
      <c r="F2104" s="72"/>
      <c r="G2104" s="71" t="s">
        <v>3285</v>
      </c>
      <c r="H2104" s="73"/>
      <c r="I2104" s="36"/>
      <c r="J2104" s="73"/>
      <c r="K2104" s="74"/>
      <c r="L2104" s="74"/>
      <c r="M2104" s="74"/>
      <c r="N2104" s="74"/>
      <c r="O2104" s="74">
        <f>O2105</f>
        <v>0</v>
      </c>
      <c r="P2104" s="74">
        <f>P2105</f>
        <v>0</v>
      </c>
      <c r="Q2104" s="74">
        <f>Q2105</f>
        <v>0</v>
      </c>
      <c r="R2104" s="74">
        <f>R2105</f>
        <v>0</v>
      </c>
      <c r="S2104" s="74"/>
      <c r="T2104" s="36"/>
      <c r="XDA2104"/>
      <c r="XDB2104"/>
      <c r="XDC2104"/>
      <c r="XDD2104"/>
      <c r="XDE2104"/>
      <c r="XDF2104"/>
      <c r="XDG2104"/>
      <c r="XDH2104"/>
      <c r="XDI2104"/>
      <c r="XDJ2104"/>
      <c r="XDK2104"/>
      <c r="XDL2104"/>
      <c r="XDM2104"/>
      <c r="XDN2104"/>
      <c r="XDO2104"/>
      <c r="XDP2104"/>
      <c r="XDQ2104"/>
      <c r="XDR2104"/>
      <c r="XDS2104"/>
      <c r="XDT2104"/>
      <c r="XDU2104"/>
      <c r="XDV2104"/>
      <c r="XDW2104"/>
      <c r="XDX2104"/>
      <c r="XDY2104"/>
      <c r="XDZ2104"/>
      <c r="XEA2104"/>
      <c r="XEB2104"/>
      <c r="XEC2104"/>
      <c r="XED2104"/>
      <c r="XEE2104"/>
      <c r="XEF2104"/>
      <c r="XEG2104"/>
      <c r="XEH2104"/>
      <c r="XEI2104"/>
      <c r="XEJ2104"/>
      <c r="XEK2104"/>
      <c r="XEL2104"/>
      <c r="XEM2104"/>
      <c r="XEN2104"/>
      <c r="XEO2104"/>
      <c r="XEP2104"/>
      <c r="XEQ2104"/>
      <c r="XER2104"/>
      <c r="XES2104"/>
      <c r="XET2104"/>
      <c r="XEU2104"/>
      <c r="XEV2104"/>
      <c r="XEW2104"/>
      <c r="XEX2104"/>
      <c r="XEY2104"/>
      <c r="XEZ2104"/>
      <c r="XFA2104"/>
      <c r="XFB2104"/>
      <c r="XFC2104"/>
    </row>
    <row r="2105" spans="1:20 16329:16383" s="38" customFormat="1" ht="29.1" customHeight="1" outlineLevel="7" x14ac:dyDescent="0.25">
      <c r="A2105" s="49" t="s">
        <v>3682</v>
      </c>
      <c r="B2105" s="50"/>
      <c r="C2105" s="50"/>
      <c r="D2105" s="3" t="s">
        <v>3683</v>
      </c>
      <c r="E2105" s="3"/>
      <c r="F2105" s="51"/>
      <c r="G2105" s="50" t="s">
        <v>29</v>
      </c>
      <c r="H2105" s="52">
        <f>1</f>
        <v>1</v>
      </c>
      <c r="I2105" s="36"/>
      <c r="J2105" s="52">
        <v>1</v>
      </c>
      <c r="K2105" s="53">
        <f>0</f>
        <v>0</v>
      </c>
      <c r="L2105" s="53">
        <f>0</f>
        <v>0</v>
      </c>
      <c r="M2105" s="53">
        <f>0</f>
        <v>0</v>
      </c>
      <c r="N2105" s="54">
        <f>SUM(K2105:M2105)</f>
        <v>0</v>
      </c>
      <c r="O2105" s="54">
        <f>ROUND((H2105*K2105),2)</f>
        <v>0</v>
      </c>
      <c r="P2105" s="54">
        <f>ROUND((H2105*L2105),2)</f>
        <v>0</v>
      </c>
      <c r="Q2105" s="54">
        <f>ROUND((H2105*M2105),2)</f>
        <v>0</v>
      </c>
      <c r="R2105" s="54">
        <f>ROUND((H2105*N2105),2)</f>
        <v>0</v>
      </c>
      <c r="S2105" s="54"/>
      <c r="T2105" s="36"/>
      <c r="XDA2105"/>
      <c r="XDB2105"/>
      <c r="XDC2105"/>
      <c r="XDD2105"/>
      <c r="XDE2105"/>
      <c r="XDF2105"/>
      <c r="XDG2105"/>
      <c r="XDH2105"/>
      <c r="XDI2105"/>
      <c r="XDJ2105"/>
      <c r="XDK2105"/>
      <c r="XDL2105"/>
      <c r="XDM2105"/>
      <c r="XDN2105"/>
      <c r="XDO2105"/>
      <c r="XDP2105"/>
      <c r="XDQ2105"/>
      <c r="XDR2105"/>
      <c r="XDS2105"/>
      <c r="XDT2105"/>
      <c r="XDU2105"/>
      <c r="XDV2105"/>
      <c r="XDW2105"/>
      <c r="XDX2105"/>
      <c r="XDY2105"/>
      <c r="XDZ2105"/>
      <c r="XEA2105"/>
      <c r="XEB2105"/>
      <c r="XEC2105"/>
      <c r="XED2105"/>
      <c r="XEE2105"/>
      <c r="XEF2105"/>
      <c r="XEG2105"/>
      <c r="XEH2105"/>
      <c r="XEI2105"/>
      <c r="XEJ2105"/>
      <c r="XEK2105"/>
      <c r="XEL2105"/>
      <c r="XEM2105"/>
      <c r="XEN2105"/>
      <c r="XEO2105"/>
      <c r="XEP2105"/>
      <c r="XEQ2105"/>
      <c r="XER2105"/>
      <c r="XES2105"/>
      <c r="XET2105"/>
      <c r="XEU2105"/>
      <c r="XEV2105"/>
      <c r="XEW2105"/>
      <c r="XEX2105"/>
      <c r="XEY2105"/>
      <c r="XEZ2105"/>
      <c r="XFA2105"/>
      <c r="XFB2105"/>
      <c r="XFC2105"/>
    </row>
    <row r="2106" spans="1:20 16329:16383" s="38" customFormat="1" ht="29.1" customHeight="1" outlineLevel="6" x14ac:dyDescent="0.25">
      <c r="A2106" s="70" t="s">
        <v>3684</v>
      </c>
      <c r="B2106" s="71" t="s">
        <v>3685</v>
      </c>
      <c r="C2106" s="71" t="s">
        <v>3686</v>
      </c>
      <c r="D2106" s="99" t="s">
        <v>3687</v>
      </c>
      <c r="E2106" s="99"/>
      <c r="F2106" s="72"/>
      <c r="G2106" s="71" t="s">
        <v>134</v>
      </c>
      <c r="H2106" s="73"/>
      <c r="I2106" s="36"/>
      <c r="J2106" s="73"/>
      <c r="K2106" s="74"/>
      <c r="L2106" s="74"/>
      <c r="M2106" s="74"/>
      <c r="N2106" s="74"/>
      <c r="O2106" s="74">
        <f>O2107</f>
        <v>0</v>
      </c>
      <c r="P2106" s="74">
        <f>P2107</f>
        <v>0</v>
      </c>
      <c r="Q2106" s="74">
        <f>Q2107</f>
        <v>0</v>
      </c>
      <c r="R2106" s="74">
        <f>R2107</f>
        <v>0</v>
      </c>
      <c r="S2106" s="74"/>
      <c r="T2106" s="36"/>
      <c r="XDA2106"/>
      <c r="XDB2106"/>
      <c r="XDC2106"/>
      <c r="XDD2106"/>
      <c r="XDE2106"/>
      <c r="XDF2106"/>
      <c r="XDG2106"/>
      <c r="XDH2106"/>
      <c r="XDI2106"/>
      <c r="XDJ2106"/>
      <c r="XDK2106"/>
      <c r="XDL2106"/>
      <c r="XDM2106"/>
      <c r="XDN2106"/>
      <c r="XDO2106"/>
      <c r="XDP2106"/>
      <c r="XDQ2106"/>
      <c r="XDR2106"/>
      <c r="XDS2106"/>
      <c r="XDT2106"/>
      <c r="XDU2106"/>
      <c r="XDV2106"/>
      <c r="XDW2106"/>
      <c r="XDX2106"/>
      <c r="XDY2106"/>
      <c r="XDZ2106"/>
      <c r="XEA2106"/>
      <c r="XEB2106"/>
      <c r="XEC2106"/>
      <c r="XED2106"/>
      <c r="XEE2106"/>
      <c r="XEF2106"/>
      <c r="XEG2106"/>
      <c r="XEH2106"/>
      <c r="XEI2106"/>
      <c r="XEJ2106"/>
      <c r="XEK2106"/>
      <c r="XEL2106"/>
      <c r="XEM2106"/>
      <c r="XEN2106"/>
      <c r="XEO2106"/>
      <c r="XEP2106"/>
      <c r="XEQ2106"/>
      <c r="XER2106"/>
      <c r="XES2106"/>
      <c r="XET2106"/>
      <c r="XEU2106"/>
      <c r="XEV2106"/>
      <c r="XEW2106"/>
      <c r="XEX2106"/>
      <c r="XEY2106"/>
      <c r="XEZ2106"/>
      <c r="XFA2106"/>
      <c r="XFB2106"/>
      <c r="XFC2106"/>
    </row>
    <row r="2107" spans="1:20 16329:16383" s="38" customFormat="1" ht="29.1" customHeight="1" outlineLevel="7" x14ac:dyDescent="0.25">
      <c r="A2107" s="49" t="s">
        <v>3688</v>
      </c>
      <c r="B2107" s="50"/>
      <c r="C2107" s="50"/>
      <c r="D2107" s="3" t="s">
        <v>3689</v>
      </c>
      <c r="E2107" s="3"/>
      <c r="F2107" s="51"/>
      <c r="G2107" s="50" t="s">
        <v>29</v>
      </c>
      <c r="H2107" s="52">
        <f>1</f>
        <v>1</v>
      </c>
      <c r="I2107" s="36"/>
      <c r="J2107" s="52">
        <v>1</v>
      </c>
      <c r="K2107" s="53">
        <f>0</f>
        <v>0</v>
      </c>
      <c r="L2107" s="53">
        <f>0</f>
        <v>0</v>
      </c>
      <c r="M2107" s="53">
        <f>0</f>
        <v>0</v>
      </c>
      <c r="N2107" s="54">
        <f>SUM(K2107:M2107)</f>
        <v>0</v>
      </c>
      <c r="O2107" s="54">
        <f>ROUND((H2107*K2107),2)</f>
        <v>0</v>
      </c>
      <c r="P2107" s="54">
        <f>ROUND((H2107*L2107),2)</f>
        <v>0</v>
      </c>
      <c r="Q2107" s="54">
        <f>ROUND((H2107*M2107),2)</f>
        <v>0</v>
      </c>
      <c r="R2107" s="54">
        <f>ROUND((H2107*N2107),2)</f>
        <v>0</v>
      </c>
      <c r="S2107" s="54"/>
      <c r="T2107" s="36"/>
      <c r="XDA2107"/>
      <c r="XDB2107"/>
      <c r="XDC2107"/>
      <c r="XDD2107"/>
      <c r="XDE2107"/>
      <c r="XDF2107"/>
      <c r="XDG2107"/>
      <c r="XDH2107"/>
      <c r="XDI2107"/>
      <c r="XDJ2107"/>
      <c r="XDK2107"/>
      <c r="XDL2107"/>
      <c r="XDM2107"/>
      <c r="XDN2107"/>
      <c r="XDO2107"/>
      <c r="XDP2107"/>
      <c r="XDQ2107"/>
      <c r="XDR2107"/>
      <c r="XDS2107"/>
      <c r="XDT2107"/>
      <c r="XDU2107"/>
      <c r="XDV2107"/>
      <c r="XDW2107"/>
      <c r="XDX2107"/>
      <c r="XDY2107"/>
      <c r="XDZ2107"/>
      <c r="XEA2107"/>
      <c r="XEB2107"/>
      <c r="XEC2107"/>
      <c r="XED2107"/>
      <c r="XEE2107"/>
      <c r="XEF2107"/>
      <c r="XEG2107"/>
      <c r="XEH2107"/>
      <c r="XEI2107"/>
      <c r="XEJ2107"/>
      <c r="XEK2107"/>
      <c r="XEL2107"/>
      <c r="XEM2107"/>
      <c r="XEN2107"/>
      <c r="XEO2107"/>
      <c r="XEP2107"/>
      <c r="XEQ2107"/>
      <c r="XER2107"/>
      <c r="XES2107"/>
      <c r="XET2107"/>
      <c r="XEU2107"/>
      <c r="XEV2107"/>
      <c r="XEW2107"/>
      <c r="XEX2107"/>
      <c r="XEY2107"/>
      <c r="XEZ2107"/>
      <c r="XFA2107"/>
      <c r="XFB2107"/>
      <c r="XFC2107"/>
    </row>
    <row r="2108" spans="1:20 16329:16383" s="38" customFormat="1" ht="29.1" customHeight="1" outlineLevel="6" x14ac:dyDescent="0.25">
      <c r="A2108" s="70" t="s">
        <v>3690</v>
      </c>
      <c r="B2108" s="71" t="s">
        <v>3691</v>
      </c>
      <c r="C2108" s="71" t="s">
        <v>3692</v>
      </c>
      <c r="D2108" s="99" t="s">
        <v>3693</v>
      </c>
      <c r="E2108" s="99"/>
      <c r="F2108" s="72"/>
      <c r="G2108" s="71" t="s">
        <v>29</v>
      </c>
      <c r="H2108" s="73"/>
      <c r="I2108" s="36"/>
      <c r="J2108" s="73"/>
      <c r="K2108" s="74"/>
      <c r="L2108" s="74"/>
      <c r="M2108" s="74"/>
      <c r="N2108" s="74"/>
      <c r="O2108" s="74">
        <f>O2109</f>
        <v>0</v>
      </c>
      <c r="P2108" s="74">
        <f>P2109</f>
        <v>0</v>
      </c>
      <c r="Q2108" s="74">
        <f>Q2109</f>
        <v>0</v>
      </c>
      <c r="R2108" s="74">
        <f>R2109</f>
        <v>0</v>
      </c>
      <c r="S2108" s="74"/>
      <c r="T2108" s="36"/>
      <c r="XDA2108"/>
      <c r="XDB2108"/>
      <c r="XDC2108"/>
      <c r="XDD2108"/>
      <c r="XDE2108"/>
      <c r="XDF2108"/>
      <c r="XDG2108"/>
      <c r="XDH2108"/>
      <c r="XDI2108"/>
      <c r="XDJ2108"/>
      <c r="XDK2108"/>
      <c r="XDL2108"/>
      <c r="XDM2108"/>
      <c r="XDN2108"/>
      <c r="XDO2108"/>
      <c r="XDP2108"/>
      <c r="XDQ2108"/>
      <c r="XDR2108"/>
      <c r="XDS2108"/>
      <c r="XDT2108"/>
      <c r="XDU2108"/>
      <c r="XDV2108"/>
      <c r="XDW2108"/>
      <c r="XDX2108"/>
      <c r="XDY2108"/>
      <c r="XDZ2108"/>
      <c r="XEA2108"/>
      <c r="XEB2108"/>
      <c r="XEC2108"/>
      <c r="XED2108"/>
      <c r="XEE2108"/>
      <c r="XEF2108"/>
      <c r="XEG2108"/>
      <c r="XEH2108"/>
      <c r="XEI2108"/>
      <c r="XEJ2108"/>
      <c r="XEK2108"/>
      <c r="XEL2108"/>
      <c r="XEM2108"/>
      <c r="XEN2108"/>
      <c r="XEO2108"/>
      <c r="XEP2108"/>
      <c r="XEQ2108"/>
      <c r="XER2108"/>
      <c r="XES2108"/>
      <c r="XET2108"/>
      <c r="XEU2108"/>
      <c r="XEV2108"/>
      <c r="XEW2108"/>
      <c r="XEX2108"/>
      <c r="XEY2108"/>
      <c r="XEZ2108"/>
      <c r="XFA2108"/>
      <c r="XFB2108"/>
      <c r="XFC2108"/>
    </row>
    <row r="2109" spans="1:20 16329:16383" s="38" customFormat="1" ht="29.1" customHeight="1" outlineLevel="7" x14ac:dyDescent="0.25">
      <c r="A2109" s="49" t="s">
        <v>3694</v>
      </c>
      <c r="B2109" s="50"/>
      <c r="C2109" s="50"/>
      <c r="D2109" s="3" t="s">
        <v>3695</v>
      </c>
      <c r="E2109" s="3"/>
      <c r="F2109" s="51"/>
      <c r="G2109" s="50" t="s">
        <v>29</v>
      </c>
      <c r="H2109" s="52">
        <f>1</f>
        <v>1</v>
      </c>
      <c r="I2109" s="36"/>
      <c r="J2109" s="52">
        <v>1</v>
      </c>
      <c r="K2109" s="53">
        <f>0</f>
        <v>0</v>
      </c>
      <c r="L2109" s="53">
        <f>0</f>
        <v>0</v>
      </c>
      <c r="M2109" s="53">
        <f>0</f>
        <v>0</v>
      </c>
      <c r="N2109" s="54">
        <f>SUM(K2109:M2109)</f>
        <v>0</v>
      </c>
      <c r="O2109" s="54">
        <f>ROUND((H2109*K2109),2)</f>
        <v>0</v>
      </c>
      <c r="P2109" s="54">
        <f>ROUND((H2109*L2109),2)</f>
        <v>0</v>
      </c>
      <c r="Q2109" s="54">
        <f>ROUND((H2109*M2109),2)</f>
        <v>0</v>
      </c>
      <c r="R2109" s="54">
        <f>ROUND((H2109*N2109),2)</f>
        <v>0</v>
      </c>
      <c r="S2109" s="54"/>
      <c r="T2109" s="36"/>
      <c r="XDA2109"/>
      <c r="XDB2109"/>
      <c r="XDC2109"/>
      <c r="XDD2109"/>
      <c r="XDE2109"/>
      <c r="XDF2109"/>
      <c r="XDG2109"/>
      <c r="XDH2109"/>
      <c r="XDI2109"/>
      <c r="XDJ2109"/>
      <c r="XDK2109"/>
      <c r="XDL2109"/>
      <c r="XDM2109"/>
      <c r="XDN2109"/>
      <c r="XDO2109"/>
      <c r="XDP2109"/>
      <c r="XDQ2109"/>
      <c r="XDR2109"/>
      <c r="XDS2109"/>
      <c r="XDT2109"/>
      <c r="XDU2109"/>
      <c r="XDV2109"/>
      <c r="XDW2109"/>
      <c r="XDX2109"/>
      <c r="XDY2109"/>
      <c r="XDZ2109"/>
      <c r="XEA2109"/>
      <c r="XEB2109"/>
      <c r="XEC2109"/>
      <c r="XED2109"/>
      <c r="XEE2109"/>
      <c r="XEF2109"/>
      <c r="XEG2109"/>
      <c r="XEH2109"/>
      <c r="XEI2109"/>
      <c r="XEJ2109"/>
      <c r="XEK2109"/>
      <c r="XEL2109"/>
      <c r="XEM2109"/>
      <c r="XEN2109"/>
      <c r="XEO2109"/>
      <c r="XEP2109"/>
      <c r="XEQ2109"/>
      <c r="XER2109"/>
      <c r="XES2109"/>
      <c r="XET2109"/>
      <c r="XEU2109"/>
      <c r="XEV2109"/>
      <c r="XEW2109"/>
      <c r="XEX2109"/>
      <c r="XEY2109"/>
      <c r="XEZ2109"/>
      <c r="XFA2109"/>
      <c r="XFB2109"/>
      <c r="XFC2109"/>
    </row>
    <row r="2110" spans="1:20 16329:16383" s="38" customFormat="1" ht="29.1" customHeight="1" outlineLevel="6" x14ac:dyDescent="0.25">
      <c r="A2110" s="70" t="s">
        <v>3696</v>
      </c>
      <c r="B2110" s="71" t="s">
        <v>3697</v>
      </c>
      <c r="C2110" s="71" t="s">
        <v>3698</v>
      </c>
      <c r="D2110" s="99" t="s">
        <v>3699</v>
      </c>
      <c r="E2110" s="99"/>
      <c r="F2110" s="72"/>
      <c r="G2110" s="71" t="s">
        <v>29</v>
      </c>
      <c r="H2110" s="73"/>
      <c r="I2110" s="36"/>
      <c r="J2110" s="73"/>
      <c r="K2110" s="74"/>
      <c r="L2110" s="74"/>
      <c r="M2110" s="74"/>
      <c r="N2110" s="74"/>
      <c r="O2110" s="74">
        <f>O2111</f>
        <v>0</v>
      </c>
      <c r="P2110" s="74">
        <f>P2111</f>
        <v>0</v>
      </c>
      <c r="Q2110" s="74">
        <f>Q2111</f>
        <v>0</v>
      </c>
      <c r="R2110" s="74">
        <f>R2111</f>
        <v>0</v>
      </c>
      <c r="S2110" s="74"/>
      <c r="T2110" s="36"/>
      <c r="XDA2110"/>
      <c r="XDB2110"/>
      <c r="XDC2110"/>
      <c r="XDD2110"/>
      <c r="XDE2110"/>
      <c r="XDF2110"/>
      <c r="XDG2110"/>
      <c r="XDH2110"/>
      <c r="XDI2110"/>
      <c r="XDJ2110"/>
      <c r="XDK2110"/>
      <c r="XDL2110"/>
      <c r="XDM2110"/>
      <c r="XDN2110"/>
      <c r="XDO2110"/>
      <c r="XDP2110"/>
      <c r="XDQ2110"/>
      <c r="XDR2110"/>
      <c r="XDS2110"/>
      <c r="XDT2110"/>
      <c r="XDU2110"/>
      <c r="XDV2110"/>
      <c r="XDW2110"/>
      <c r="XDX2110"/>
      <c r="XDY2110"/>
      <c r="XDZ2110"/>
      <c r="XEA2110"/>
      <c r="XEB2110"/>
      <c r="XEC2110"/>
      <c r="XED2110"/>
      <c r="XEE2110"/>
      <c r="XEF2110"/>
      <c r="XEG2110"/>
      <c r="XEH2110"/>
      <c r="XEI2110"/>
      <c r="XEJ2110"/>
      <c r="XEK2110"/>
      <c r="XEL2110"/>
      <c r="XEM2110"/>
      <c r="XEN2110"/>
      <c r="XEO2110"/>
      <c r="XEP2110"/>
      <c r="XEQ2110"/>
      <c r="XER2110"/>
      <c r="XES2110"/>
      <c r="XET2110"/>
      <c r="XEU2110"/>
      <c r="XEV2110"/>
      <c r="XEW2110"/>
      <c r="XEX2110"/>
      <c r="XEY2110"/>
      <c r="XEZ2110"/>
      <c r="XFA2110"/>
      <c r="XFB2110"/>
      <c r="XFC2110"/>
    </row>
    <row r="2111" spans="1:20 16329:16383" s="38" customFormat="1" ht="29.1" customHeight="1" outlineLevel="7" x14ac:dyDescent="0.25">
      <c r="A2111" s="49" t="s">
        <v>3700</v>
      </c>
      <c r="B2111" s="50"/>
      <c r="C2111" s="50"/>
      <c r="D2111" s="3" t="s">
        <v>3701</v>
      </c>
      <c r="E2111" s="3"/>
      <c r="F2111" s="51"/>
      <c r="G2111" s="50" t="s">
        <v>29</v>
      </c>
      <c r="H2111" s="52">
        <f>1</f>
        <v>1</v>
      </c>
      <c r="I2111" s="36"/>
      <c r="J2111" s="52">
        <v>1</v>
      </c>
      <c r="K2111" s="53">
        <f>0</f>
        <v>0</v>
      </c>
      <c r="L2111" s="53">
        <f>0</f>
        <v>0</v>
      </c>
      <c r="M2111" s="53">
        <f>0</f>
        <v>0</v>
      </c>
      <c r="N2111" s="54">
        <f>SUM(K2111:M2111)</f>
        <v>0</v>
      </c>
      <c r="O2111" s="54">
        <f>ROUND((H2111*K2111),2)</f>
        <v>0</v>
      </c>
      <c r="P2111" s="54">
        <f>ROUND((H2111*L2111),2)</f>
        <v>0</v>
      </c>
      <c r="Q2111" s="54">
        <f>ROUND((H2111*M2111),2)</f>
        <v>0</v>
      </c>
      <c r="R2111" s="54">
        <f>ROUND((H2111*N2111),2)</f>
        <v>0</v>
      </c>
      <c r="S2111" s="54"/>
      <c r="T2111" s="36"/>
      <c r="XDA2111"/>
      <c r="XDB2111"/>
      <c r="XDC2111"/>
      <c r="XDD2111"/>
      <c r="XDE2111"/>
      <c r="XDF2111"/>
      <c r="XDG2111"/>
      <c r="XDH2111"/>
      <c r="XDI2111"/>
      <c r="XDJ2111"/>
      <c r="XDK2111"/>
      <c r="XDL2111"/>
      <c r="XDM2111"/>
      <c r="XDN2111"/>
      <c r="XDO2111"/>
      <c r="XDP2111"/>
      <c r="XDQ2111"/>
      <c r="XDR2111"/>
      <c r="XDS2111"/>
      <c r="XDT2111"/>
      <c r="XDU2111"/>
      <c r="XDV2111"/>
      <c r="XDW2111"/>
      <c r="XDX2111"/>
      <c r="XDY2111"/>
      <c r="XDZ2111"/>
      <c r="XEA2111"/>
      <c r="XEB2111"/>
      <c r="XEC2111"/>
      <c r="XED2111"/>
      <c r="XEE2111"/>
      <c r="XEF2111"/>
      <c r="XEG2111"/>
      <c r="XEH2111"/>
      <c r="XEI2111"/>
      <c r="XEJ2111"/>
      <c r="XEK2111"/>
      <c r="XEL2111"/>
      <c r="XEM2111"/>
      <c r="XEN2111"/>
      <c r="XEO2111"/>
      <c r="XEP2111"/>
      <c r="XEQ2111"/>
      <c r="XER2111"/>
      <c r="XES2111"/>
      <c r="XET2111"/>
      <c r="XEU2111"/>
      <c r="XEV2111"/>
      <c r="XEW2111"/>
      <c r="XEX2111"/>
      <c r="XEY2111"/>
      <c r="XEZ2111"/>
      <c r="XFA2111"/>
      <c r="XFB2111"/>
      <c r="XFC2111"/>
    </row>
    <row r="2112" spans="1:20 16329:16383" s="38" customFormat="1" ht="29.1" customHeight="1" outlineLevel="6" x14ac:dyDescent="0.25">
      <c r="A2112" s="70" t="s">
        <v>3702</v>
      </c>
      <c r="B2112" s="71" t="s">
        <v>3703</v>
      </c>
      <c r="C2112" s="71" t="s">
        <v>3704</v>
      </c>
      <c r="D2112" s="99" t="s">
        <v>3705</v>
      </c>
      <c r="E2112" s="99"/>
      <c r="F2112" s="72"/>
      <c r="G2112" s="71" t="s">
        <v>29</v>
      </c>
      <c r="H2112" s="73"/>
      <c r="I2112" s="36"/>
      <c r="J2112" s="73"/>
      <c r="K2112" s="74"/>
      <c r="L2112" s="74"/>
      <c r="M2112" s="74"/>
      <c r="N2112" s="74"/>
      <c r="O2112" s="74">
        <f>O2113</f>
        <v>0</v>
      </c>
      <c r="P2112" s="74">
        <f>P2113</f>
        <v>0</v>
      </c>
      <c r="Q2112" s="74">
        <f>Q2113</f>
        <v>0</v>
      </c>
      <c r="R2112" s="74">
        <f>R2113</f>
        <v>0</v>
      </c>
      <c r="S2112" s="74"/>
      <c r="T2112" s="36"/>
      <c r="XDA2112"/>
      <c r="XDB2112"/>
      <c r="XDC2112"/>
      <c r="XDD2112"/>
      <c r="XDE2112"/>
      <c r="XDF2112"/>
      <c r="XDG2112"/>
      <c r="XDH2112"/>
      <c r="XDI2112"/>
      <c r="XDJ2112"/>
      <c r="XDK2112"/>
      <c r="XDL2112"/>
      <c r="XDM2112"/>
      <c r="XDN2112"/>
      <c r="XDO2112"/>
      <c r="XDP2112"/>
      <c r="XDQ2112"/>
      <c r="XDR2112"/>
      <c r="XDS2112"/>
      <c r="XDT2112"/>
      <c r="XDU2112"/>
      <c r="XDV2112"/>
      <c r="XDW2112"/>
      <c r="XDX2112"/>
      <c r="XDY2112"/>
      <c r="XDZ2112"/>
      <c r="XEA2112"/>
      <c r="XEB2112"/>
      <c r="XEC2112"/>
      <c r="XED2112"/>
      <c r="XEE2112"/>
      <c r="XEF2112"/>
      <c r="XEG2112"/>
      <c r="XEH2112"/>
      <c r="XEI2112"/>
      <c r="XEJ2112"/>
      <c r="XEK2112"/>
      <c r="XEL2112"/>
      <c r="XEM2112"/>
      <c r="XEN2112"/>
      <c r="XEO2112"/>
      <c r="XEP2112"/>
      <c r="XEQ2112"/>
      <c r="XER2112"/>
      <c r="XES2112"/>
      <c r="XET2112"/>
      <c r="XEU2112"/>
      <c r="XEV2112"/>
      <c r="XEW2112"/>
      <c r="XEX2112"/>
      <c r="XEY2112"/>
      <c r="XEZ2112"/>
      <c r="XFA2112"/>
      <c r="XFB2112"/>
      <c r="XFC2112"/>
    </row>
    <row r="2113" spans="1:20 16329:16383" s="38" customFormat="1" ht="29.1" customHeight="1" outlineLevel="7" x14ac:dyDescent="0.25">
      <c r="A2113" s="49" t="s">
        <v>3706</v>
      </c>
      <c r="B2113" s="50"/>
      <c r="C2113" s="50"/>
      <c r="D2113" s="3" t="s">
        <v>3707</v>
      </c>
      <c r="E2113" s="3"/>
      <c r="F2113" s="51"/>
      <c r="G2113" s="50" t="s">
        <v>29</v>
      </c>
      <c r="H2113" s="52">
        <f>1</f>
        <v>1</v>
      </c>
      <c r="I2113" s="36"/>
      <c r="J2113" s="52">
        <v>1</v>
      </c>
      <c r="K2113" s="53">
        <f>0</f>
        <v>0</v>
      </c>
      <c r="L2113" s="53">
        <f>0</f>
        <v>0</v>
      </c>
      <c r="M2113" s="53">
        <f>0</f>
        <v>0</v>
      </c>
      <c r="N2113" s="54">
        <f>SUM(K2113:M2113)</f>
        <v>0</v>
      </c>
      <c r="O2113" s="54">
        <f>ROUND((H2113*K2113),2)</f>
        <v>0</v>
      </c>
      <c r="P2113" s="54">
        <f>ROUND((H2113*L2113),2)</f>
        <v>0</v>
      </c>
      <c r="Q2113" s="54">
        <f>ROUND((H2113*M2113),2)</f>
        <v>0</v>
      </c>
      <c r="R2113" s="54">
        <f>ROUND((H2113*N2113),2)</f>
        <v>0</v>
      </c>
      <c r="S2113" s="54"/>
      <c r="T2113" s="36"/>
      <c r="XDA2113"/>
      <c r="XDB2113"/>
      <c r="XDC2113"/>
      <c r="XDD2113"/>
      <c r="XDE2113"/>
      <c r="XDF2113"/>
      <c r="XDG2113"/>
      <c r="XDH2113"/>
      <c r="XDI2113"/>
      <c r="XDJ2113"/>
      <c r="XDK2113"/>
      <c r="XDL2113"/>
      <c r="XDM2113"/>
      <c r="XDN2113"/>
      <c r="XDO2113"/>
      <c r="XDP2113"/>
      <c r="XDQ2113"/>
      <c r="XDR2113"/>
      <c r="XDS2113"/>
      <c r="XDT2113"/>
      <c r="XDU2113"/>
      <c r="XDV2113"/>
      <c r="XDW2113"/>
      <c r="XDX2113"/>
      <c r="XDY2113"/>
      <c r="XDZ2113"/>
      <c r="XEA2113"/>
      <c r="XEB2113"/>
      <c r="XEC2113"/>
      <c r="XED2113"/>
      <c r="XEE2113"/>
      <c r="XEF2113"/>
      <c r="XEG2113"/>
      <c r="XEH2113"/>
      <c r="XEI2113"/>
      <c r="XEJ2113"/>
      <c r="XEK2113"/>
      <c r="XEL2113"/>
      <c r="XEM2113"/>
      <c r="XEN2113"/>
      <c r="XEO2113"/>
      <c r="XEP2113"/>
      <c r="XEQ2113"/>
      <c r="XER2113"/>
      <c r="XES2113"/>
      <c r="XET2113"/>
      <c r="XEU2113"/>
      <c r="XEV2113"/>
      <c r="XEW2113"/>
      <c r="XEX2113"/>
      <c r="XEY2113"/>
      <c r="XEZ2113"/>
      <c r="XFA2113"/>
      <c r="XFB2113"/>
      <c r="XFC2113"/>
    </row>
    <row r="2114" spans="1:20 16329:16383" s="38" customFormat="1" ht="29.1" customHeight="1" outlineLevel="6" x14ac:dyDescent="0.25">
      <c r="A2114" s="70" t="s">
        <v>3708</v>
      </c>
      <c r="B2114" s="71" t="s">
        <v>3709</v>
      </c>
      <c r="C2114" s="71" t="s">
        <v>3710</v>
      </c>
      <c r="D2114" s="99" t="s">
        <v>3711</v>
      </c>
      <c r="E2114" s="99"/>
      <c r="F2114" s="72"/>
      <c r="G2114" s="71" t="s">
        <v>29</v>
      </c>
      <c r="H2114" s="73"/>
      <c r="I2114" s="36"/>
      <c r="J2114" s="73"/>
      <c r="K2114" s="74"/>
      <c r="L2114" s="74"/>
      <c r="M2114" s="74"/>
      <c r="N2114" s="74"/>
      <c r="O2114" s="74">
        <f>O2115</f>
        <v>0</v>
      </c>
      <c r="P2114" s="74">
        <f>P2115</f>
        <v>0</v>
      </c>
      <c r="Q2114" s="74">
        <f>Q2115</f>
        <v>0</v>
      </c>
      <c r="R2114" s="74">
        <f>R2115</f>
        <v>0</v>
      </c>
      <c r="S2114" s="74"/>
      <c r="T2114" s="36"/>
      <c r="XDA2114"/>
      <c r="XDB2114"/>
      <c r="XDC2114"/>
      <c r="XDD2114"/>
      <c r="XDE2114"/>
      <c r="XDF2114"/>
      <c r="XDG2114"/>
      <c r="XDH2114"/>
      <c r="XDI2114"/>
      <c r="XDJ2114"/>
      <c r="XDK2114"/>
      <c r="XDL2114"/>
      <c r="XDM2114"/>
      <c r="XDN2114"/>
      <c r="XDO2114"/>
      <c r="XDP2114"/>
      <c r="XDQ2114"/>
      <c r="XDR2114"/>
      <c r="XDS2114"/>
      <c r="XDT2114"/>
      <c r="XDU2114"/>
      <c r="XDV2114"/>
      <c r="XDW2114"/>
      <c r="XDX2114"/>
      <c r="XDY2114"/>
      <c r="XDZ2114"/>
      <c r="XEA2114"/>
      <c r="XEB2114"/>
      <c r="XEC2114"/>
      <c r="XED2114"/>
      <c r="XEE2114"/>
      <c r="XEF2114"/>
      <c r="XEG2114"/>
      <c r="XEH2114"/>
      <c r="XEI2114"/>
      <c r="XEJ2114"/>
      <c r="XEK2114"/>
      <c r="XEL2114"/>
      <c r="XEM2114"/>
      <c r="XEN2114"/>
      <c r="XEO2114"/>
      <c r="XEP2114"/>
      <c r="XEQ2114"/>
      <c r="XER2114"/>
      <c r="XES2114"/>
      <c r="XET2114"/>
      <c r="XEU2114"/>
      <c r="XEV2114"/>
      <c r="XEW2114"/>
      <c r="XEX2114"/>
      <c r="XEY2114"/>
      <c r="XEZ2114"/>
      <c r="XFA2114"/>
      <c r="XFB2114"/>
      <c r="XFC2114"/>
    </row>
    <row r="2115" spans="1:20 16329:16383" s="38" customFormat="1" ht="29.1" customHeight="1" outlineLevel="7" x14ac:dyDescent="0.25">
      <c r="A2115" s="49" t="s">
        <v>3712</v>
      </c>
      <c r="B2115" s="50"/>
      <c r="C2115" s="50"/>
      <c r="D2115" s="3" t="s">
        <v>3713</v>
      </c>
      <c r="E2115" s="3"/>
      <c r="F2115" s="51"/>
      <c r="G2115" s="50" t="s">
        <v>29</v>
      </c>
      <c r="H2115" s="52">
        <f>1</f>
        <v>1</v>
      </c>
      <c r="I2115" s="36"/>
      <c r="J2115" s="52">
        <v>1</v>
      </c>
      <c r="K2115" s="53">
        <f>0</f>
        <v>0</v>
      </c>
      <c r="L2115" s="53">
        <f>0</f>
        <v>0</v>
      </c>
      <c r="M2115" s="53">
        <f>0</f>
        <v>0</v>
      </c>
      <c r="N2115" s="54">
        <f>SUM(K2115:M2115)</f>
        <v>0</v>
      </c>
      <c r="O2115" s="54">
        <f>ROUND((H2115*K2115),2)</f>
        <v>0</v>
      </c>
      <c r="P2115" s="54">
        <f>ROUND((H2115*L2115),2)</f>
        <v>0</v>
      </c>
      <c r="Q2115" s="54">
        <f>ROUND((H2115*M2115),2)</f>
        <v>0</v>
      </c>
      <c r="R2115" s="54">
        <f>ROUND((H2115*N2115),2)</f>
        <v>0</v>
      </c>
      <c r="S2115" s="54"/>
      <c r="T2115" s="36"/>
      <c r="XDA2115"/>
      <c r="XDB2115"/>
      <c r="XDC2115"/>
      <c r="XDD2115"/>
      <c r="XDE2115"/>
      <c r="XDF2115"/>
      <c r="XDG2115"/>
      <c r="XDH2115"/>
      <c r="XDI2115"/>
      <c r="XDJ2115"/>
      <c r="XDK2115"/>
      <c r="XDL2115"/>
      <c r="XDM2115"/>
      <c r="XDN2115"/>
      <c r="XDO2115"/>
      <c r="XDP2115"/>
      <c r="XDQ2115"/>
      <c r="XDR2115"/>
      <c r="XDS2115"/>
      <c r="XDT2115"/>
      <c r="XDU2115"/>
      <c r="XDV2115"/>
      <c r="XDW2115"/>
      <c r="XDX2115"/>
      <c r="XDY2115"/>
      <c r="XDZ2115"/>
      <c r="XEA2115"/>
      <c r="XEB2115"/>
      <c r="XEC2115"/>
      <c r="XED2115"/>
      <c r="XEE2115"/>
      <c r="XEF2115"/>
      <c r="XEG2115"/>
      <c r="XEH2115"/>
      <c r="XEI2115"/>
      <c r="XEJ2115"/>
      <c r="XEK2115"/>
      <c r="XEL2115"/>
      <c r="XEM2115"/>
      <c r="XEN2115"/>
      <c r="XEO2115"/>
      <c r="XEP2115"/>
      <c r="XEQ2115"/>
      <c r="XER2115"/>
      <c r="XES2115"/>
      <c r="XET2115"/>
      <c r="XEU2115"/>
      <c r="XEV2115"/>
      <c r="XEW2115"/>
      <c r="XEX2115"/>
      <c r="XEY2115"/>
      <c r="XEZ2115"/>
      <c r="XFA2115"/>
      <c r="XFB2115"/>
      <c r="XFC2115"/>
    </row>
    <row r="2116" spans="1:20 16329:16383" s="38" customFormat="1" ht="29.1" customHeight="1" outlineLevel="6" x14ac:dyDescent="0.25">
      <c r="A2116" s="70" t="s">
        <v>3714</v>
      </c>
      <c r="B2116" s="71" t="s">
        <v>3715</v>
      </c>
      <c r="C2116" s="71" t="s">
        <v>3716</v>
      </c>
      <c r="D2116" s="99" t="s">
        <v>3717</v>
      </c>
      <c r="E2116" s="99"/>
      <c r="F2116" s="72"/>
      <c r="G2116" s="71" t="s">
        <v>29</v>
      </c>
      <c r="H2116" s="73"/>
      <c r="I2116" s="36"/>
      <c r="J2116" s="73"/>
      <c r="K2116" s="74"/>
      <c r="L2116" s="74"/>
      <c r="M2116" s="74"/>
      <c r="N2116" s="74"/>
      <c r="O2116" s="74">
        <f>O2117</f>
        <v>0</v>
      </c>
      <c r="P2116" s="74">
        <f>P2117</f>
        <v>0</v>
      </c>
      <c r="Q2116" s="74">
        <f>Q2117</f>
        <v>0</v>
      </c>
      <c r="R2116" s="74">
        <f>R2117</f>
        <v>0</v>
      </c>
      <c r="S2116" s="74"/>
      <c r="T2116" s="36"/>
      <c r="XDA2116"/>
      <c r="XDB2116"/>
      <c r="XDC2116"/>
      <c r="XDD2116"/>
      <c r="XDE2116"/>
      <c r="XDF2116"/>
      <c r="XDG2116"/>
      <c r="XDH2116"/>
      <c r="XDI2116"/>
      <c r="XDJ2116"/>
      <c r="XDK2116"/>
      <c r="XDL2116"/>
      <c r="XDM2116"/>
      <c r="XDN2116"/>
      <c r="XDO2116"/>
      <c r="XDP2116"/>
      <c r="XDQ2116"/>
      <c r="XDR2116"/>
      <c r="XDS2116"/>
      <c r="XDT2116"/>
      <c r="XDU2116"/>
      <c r="XDV2116"/>
      <c r="XDW2116"/>
      <c r="XDX2116"/>
      <c r="XDY2116"/>
      <c r="XDZ2116"/>
      <c r="XEA2116"/>
      <c r="XEB2116"/>
      <c r="XEC2116"/>
      <c r="XED2116"/>
      <c r="XEE2116"/>
      <c r="XEF2116"/>
      <c r="XEG2116"/>
      <c r="XEH2116"/>
      <c r="XEI2116"/>
      <c r="XEJ2116"/>
      <c r="XEK2116"/>
      <c r="XEL2116"/>
      <c r="XEM2116"/>
      <c r="XEN2116"/>
      <c r="XEO2116"/>
      <c r="XEP2116"/>
      <c r="XEQ2116"/>
      <c r="XER2116"/>
      <c r="XES2116"/>
      <c r="XET2116"/>
      <c r="XEU2116"/>
      <c r="XEV2116"/>
      <c r="XEW2116"/>
      <c r="XEX2116"/>
      <c r="XEY2116"/>
      <c r="XEZ2116"/>
      <c r="XFA2116"/>
      <c r="XFB2116"/>
      <c r="XFC2116"/>
    </row>
    <row r="2117" spans="1:20 16329:16383" s="38" customFormat="1" ht="29.1" customHeight="1" outlineLevel="7" x14ac:dyDescent="0.25">
      <c r="A2117" s="49" t="s">
        <v>3718</v>
      </c>
      <c r="B2117" s="50"/>
      <c r="C2117" s="50"/>
      <c r="D2117" s="3" t="s">
        <v>3719</v>
      </c>
      <c r="E2117" s="3"/>
      <c r="F2117" s="51"/>
      <c r="G2117" s="50" t="s">
        <v>29</v>
      </c>
      <c r="H2117" s="52">
        <f>1</f>
        <v>1</v>
      </c>
      <c r="I2117" s="36"/>
      <c r="J2117" s="52">
        <v>1</v>
      </c>
      <c r="K2117" s="53">
        <f>0</f>
        <v>0</v>
      </c>
      <c r="L2117" s="53">
        <f>0</f>
        <v>0</v>
      </c>
      <c r="M2117" s="53">
        <f>0</f>
        <v>0</v>
      </c>
      <c r="N2117" s="54">
        <f>SUM(K2117:M2117)</f>
        <v>0</v>
      </c>
      <c r="O2117" s="54">
        <f>ROUND((H2117*K2117),2)</f>
        <v>0</v>
      </c>
      <c r="P2117" s="54">
        <f>ROUND((H2117*L2117),2)</f>
        <v>0</v>
      </c>
      <c r="Q2117" s="54">
        <f>ROUND((H2117*M2117),2)</f>
        <v>0</v>
      </c>
      <c r="R2117" s="54">
        <f>ROUND((H2117*N2117),2)</f>
        <v>0</v>
      </c>
      <c r="S2117" s="54"/>
      <c r="T2117" s="36"/>
      <c r="XDA2117"/>
      <c r="XDB2117"/>
      <c r="XDC2117"/>
      <c r="XDD2117"/>
      <c r="XDE2117"/>
      <c r="XDF2117"/>
      <c r="XDG2117"/>
      <c r="XDH2117"/>
      <c r="XDI2117"/>
      <c r="XDJ2117"/>
      <c r="XDK2117"/>
      <c r="XDL2117"/>
      <c r="XDM2117"/>
      <c r="XDN2117"/>
      <c r="XDO2117"/>
      <c r="XDP2117"/>
      <c r="XDQ2117"/>
      <c r="XDR2117"/>
      <c r="XDS2117"/>
      <c r="XDT2117"/>
      <c r="XDU2117"/>
      <c r="XDV2117"/>
      <c r="XDW2117"/>
      <c r="XDX2117"/>
      <c r="XDY2117"/>
      <c r="XDZ2117"/>
      <c r="XEA2117"/>
      <c r="XEB2117"/>
      <c r="XEC2117"/>
      <c r="XED2117"/>
      <c r="XEE2117"/>
      <c r="XEF2117"/>
      <c r="XEG2117"/>
      <c r="XEH2117"/>
      <c r="XEI2117"/>
      <c r="XEJ2117"/>
      <c r="XEK2117"/>
      <c r="XEL2117"/>
      <c r="XEM2117"/>
      <c r="XEN2117"/>
      <c r="XEO2117"/>
      <c r="XEP2117"/>
      <c r="XEQ2117"/>
      <c r="XER2117"/>
      <c r="XES2117"/>
      <c r="XET2117"/>
      <c r="XEU2117"/>
      <c r="XEV2117"/>
      <c r="XEW2117"/>
      <c r="XEX2117"/>
      <c r="XEY2117"/>
      <c r="XEZ2117"/>
      <c r="XFA2117"/>
      <c r="XFB2117"/>
      <c r="XFC2117"/>
    </row>
    <row r="2118" spans="1:20 16329:16383" s="38" customFormat="1" ht="29.1" customHeight="1" outlineLevel="4" x14ac:dyDescent="0.25">
      <c r="A2118" s="60" t="s">
        <v>3720</v>
      </c>
      <c r="B2118" s="61" t="s">
        <v>3721</v>
      </c>
      <c r="C2118" s="61" t="s">
        <v>3722</v>
      </c>
      <c r="D2118" s="1" t="s">
        <v>3723</v>
      </c>
      <c r="E2118" s="1"/>
      <c r="F2118" s="62"/>
      <c r="G2118" s="61" t="s">
        <v>29</v>
      </c>
      <c r="H2118" s="63"/>
      <c r="I2118" s="36"/>
      <c r="J2118" s="63"/>
      <c r="K2118" s="64"/>
      <c r="L2118" s="64"/>
      <c r="M2118" s="64"/>
      <c r="N2118" s="64"/>
      <c r="O2118" s="64">
        <f>O2119+O2122+O2125+O2128+O2131+O2134+O2142+O2145</f>
        <v>0</v>
      </c>
      <c r="P2118" s="64">
        <f>P2119+P2122+P2125+P2128+P2131+P2134+P2142+P2145</f>
        <v>0</v>
      </c>
      <c r="Q2118" s="64">
        <f>Q2119+Q2122+Q2125+Q2128+Q2131+Q2134+Q2142+Q2145</f>
        <v>0</v>
      </c>
      <c r="R2118" s="64">
        <f>R2119+R2122+R2125+R2128+R2131+R2134+R2142+R2145</f>
        <v>0</v>
      </c>
      <c r="S2118" s="64"/>
      <c r="T2118" s="36"/>
      <c r="XDA2118"/>
      <c r="XDB2118"/>
      <c r="XDC2118"/>
      <c r="XDD2118"/>
      <c r="XDE2118"/>
      <c r="XDF2118"/>
      <c r="XDG2118"/>
      <c r="XDH2118"/>
      <c r="XDI2118"/>
      <c r="XDJ2118"/>
      <c r="XDK2118"/>
      <c r="XDL2118"/>
      <c r="XDM2118"/>
      <c r="XDN2118"/>
      <c r="XDO2118"/>
      <c r="XDP2118"/>
      <c r="XDQ2118"/>
      <c r="XDR2118"/>
      <c r="XDS2118"/>
      <c r="XDT2118"/>
      <c r="XDU2118"/>
      <c r="XDV2118"/>
      <c r="XDW2118"/>
      <c r="XDX2118"/>
      <c r="XDY2118"/>
      <c r="XDZ2118"/>
      <c r="XEA2118"/>
      <c r="XEB2118"/>
      <c r="XEC2118"/>
      <c r="XED2118"/>
      <c r="XEE2118"/>
      <c r="XEF2118"/>
      <c r="XEG2118"/>
      <c r="XEH2118"/>
      <c r="XEI2118"/>
      <c r="XEJ2118"/>
      <c r="XEK2118"/>
      <c r="XEL2118"/>
      <c r="XEM2118"/>
      <c r="XEN2118"/>
      <c r="XEO2118"/>
      <c r="XEP2118"/>
      <c r="XEQ2118"/>
      <c r="XER2118"/>
      <c r="XES2118"/>
      <c r="XET2118"/>
      <c r="XEU2118"/>
      <c r="XEV2118"/>
      <c r="XEW2118"/>
      <c r="XEX2118"/>
      <c r="XEY2118"/>
      <c r="XEZ2118"/>
      <c r="XFA2118"/>
      <c r="XFB2118"/>
      <c r="XFC2118"/>
    </row>
    <row r="2119" spans="1:20 16329:16383" s="38" customFormat="1" ht="29.1" customHeight="1" outlineLevel="5" x14ac:dyDescent="0.25">
      <c r="A2119" s="65" t="s">
        <v>3724</v>
      </c>
      <c r="B2119" s="66" t="s">
        <v>3725</v>
      </c>
      <c r="C2119" s="66" t="s">
        <v>3726</v>
      </c>
      <c r="D2119" s="98" t="s">
        <v>3727</v>
      </c>
      <c r="E2119" s="98"/>
      <c r="F2119" s="67"/>
      <c r="G2119" s="66" t="s">
        <v>29</v>
      </c>
      <c r="H2119" s="68"/>
      <c r="I2119" s="36"/>
      <c r="J2119" s="68"/>
      <c r="K2119" s="69"/>
      <c r="L2119" s="69"/>
      <c r="M2119" s="69"/>
      <c r="N2119" s="69"/>
      <c r="O2119" s="69">
        <f>O2120+O2121</f>
        <v>0</v>
      </c>
      <c r="P2119" s="69">
        <f>P2120+P2121</f>
        <v>0</v>
      </c>
      <c r="Q2119" s="69">
        <f>Q2120+Q2121</f>
        <v>0</v>
      </c>
      <c r="R2119" s="69">
        <f>R2120+R2121</f>
        <v>0</v>
      </c>
      <c r="S2119" s="69"/>
      <c r="T2119" s="36"/>
      <c r="XDA2119"/>
      <c r="XDB2119"/>
      <c r="XDC2119"/>
      <c r="XDD2119"/>
      <c r="XDE2119"/>
      <c r="XDF2119"/>
      <c r="XDG2119"/>
      <c r="XDH2119"/>
      <c r="XDI2119"/>
      <c r="XDJ2119"/>
      <c r="XDK2119"/>
      <c r="XDL2119"/>
      <c r="XDM2119"/>
      <c r="XDN2119"/>
      <c r="XDO2119"/>
      <c r="XDP2119"/>
      <c r="XDQ2119"/>
      <c r="XDR2119"/>
      <c r="XDS2119"/>
      <c r="XDT2119"/>
      <c r="XDU2119"/>
      <c r="XDV2119"/>
      <c r="XDW2119"/>
      <c r="XDX2119"/>
      <c r="XDY2119"/>
      <c r="XDZ2119"/>
      <c r="XEA2119"/>
      <c r="XEB2119"/>
      <c r="XEC2119"/>
      <c r="XED2119"/>
      <c r="XEE2119"/>
      <c r="XEF2119"/>
      <c r="XEG2119"/>
      <c r="XEH2119"/>
      <c r="XEI2119"/>
      <c r="XEJ2119"/>
      <c r="XEK2119"/>
      <c r="XEL2119"/>
      <c r="XEM2119"/>
      <c r="XEN2119"/>
      <c r="XEO2119"/>
      <c r="XEP2119"/>
      <c r="XEQ2119"/>
      <c r="XER2119"/>
      <c r="XES2119"/>
      <c r="XET2119"/>
      <c r="XEU2119"/>
      <c r="XEV2119"/>
      <c r="XEW2119"/>
      <c r="XEX2119"/>
      <c r="XEY2119"/>
      <c r="XEZ2119"/>
      <c r="XFA2119"/>
      <c r="XFB2119"/>
      <c r="XFC2119"/>
    </row>
    <row r="2120" spans="1:20 16329:16383" s="38" customFormat="1" ht="29.1" customHeight="1" outlineLevel="6" x14ac:dyDescent="0.25">
      <c r="A2120" s="49" t="s">
        <v>3728</v>
      </c>
      <c r="B2120" s="50"/>
      <c r="C2120" s="50"/>
      <c r="D2120" s="3" t="s">
        <v>3729</v>
      </c>
      <c r="E2120" s="3"/>
      <c r="F2120" s="51"/>
      <c r="G2120" s="50" t="s">
        <v>29</v>
      </c>
      <c r="H2120" s="52">
        <f>1</f>
        <v>1</v>
      </c>
      <c r="I2120" s="36"/>
      <c r="J2120" s="52">
        <v>1</v>
      </c>
      <c r="K2120" s="53">
        <f>0</f>
        <v>0</v>
      </c>
      <c r="L2120" s="53">
        <f>0</f>
        <v>0</v>
      </c>
      <c r="M2120" s="53">
        <f>0</f>
        <v>0</v>
      </c>
      <c r="N2120" s="54">
        <f>SUM(K2120:M2120)</f>
        <v>0</v>
      </c>
      <c r="O2120" s="54">
        <f>ROUND((H2120*K2120),2)</f>
        <v>0</v>
      </c>
      <c r="P2120" s="54">
        <f>ROUND((H2120*L2120),2)</f>
        <v>0</v>
      </c>
      <c r="Q2120" s="54">
        <f>ROUND((H2120*M2120),2)</f>
        <v>0</v>
      </c>
      <c r="R2120" s="54">
        <f>ROUND((H2120*N2120),2)</f>
        <v>0</v>
      </c>
      <c r="S2120" s="54"/>
      <c r="T2120" s="36"/>
      <c r="XDA2120"/>
      <c r="XDB2120"/>
      <c r="XDC2120"/>
      <c r="XDD2120"/>
      <c r="XDE2120"/>
      <c r="XDF2120"/>
      <c r="XDG2120"/>
      <c r="XDH2120"/>
      <c r="XDI2120"/>
      <c r="XDJ2120"/>
      <c r="XDK2120"/>
      <c r="XDL2120"/>
      <c r="XDM2120"/>
      <c r="XDN2120"/>
      <c r="XDO2120"/>
      <c r="XDP2120"/>
      <c r="XDQ2120"/>
      <c r="XDR2120"/>
      <c r="XDS2120"/>
      <c r="XDT2120"/>
      <c r="XDU2120"/>
      <c r="XDV2120"/>
      <c r="XDW2120"/>
      <c r="XDX2120"/>
      <c r="XDY2120"/>
      <c r="XDZ2120"/>
      <c r="XEA2120"/>
      <c r="XEB2120"/>
      <c r="XEC2120"/>
      <c r="XED2120"/>
      <c r="XEE2120"/>
      <c r="XEF2120"/>
      <c r="XEG2120"/>
      <c r="XEH2120"/>
      <c r="XEI2120"/>
      <c r="XEJ2120"/>
      <c r="XEK2120"/>
      <c r="XEL2120"/>
      <c r="XEM2120"/>
      <c r="XEN2120"/>
      <c r="XEO2120"/>
      <c r="XEP2120"/>
      <c r="XEQ2120"/>
      <c r="XER2120"/>
      <c r="XES2120"/>
      <c r="XET2120"/>
      <c r="XEU2120"/>
      <c r="XEV2120"/>
      <c r="XEW2120"/>
      <c r="XEX2120"/>
      <c r="XEY2120"/>
      <c r="XEZ2120"/>
      <c r="XFA2120"/>
      <c r="XFB2120"/>
      <c r="XFC2120"/>
    </row>
    <row r="2121" spans="1:20 16329:16383" s="38" customFormat="1" ht="29.1" customHeight="1" outlineLevel="6" x14ac:dyDescent="0.25">
      <c r="A2121" s="49" t="s">
        <v>3730</v>
      </c>
      <c r="B2121" s="50"/>
      <c r="C2121" s="50"/>
      <c r="D2121" s="3" t="s">
        <v>3731</v>
      </c>
      <c r="E2121" s="3"/>
      <c r="F2121" s="51"/>
      <c r="G2121" s="50" t="s">
        <v>29</v>
      </c>
      <c r="H2121" s="52">
        <f>1</f>
        <v>1</v>
      </c>
      <c r="I2121" s="36"/>
      <c r="J2121" s="52">
        <v>1</v>
      </c>
      <c r="K2121" s="53">
        <f>0</f>
        <v>0</v>
      </c>
      <c r="L2121" s="53">
        <f>0</f>
        <v>0</v>
      </c>
      <c r="M2121" s="53">
        <f>0</f>
        <v>0</v>
      </c>
      <c r="N2121" s="54">
        <f>SUM(K2121:M2121)</f>
        <v>0</v>
      </c>
      <c r="O2121" s="54">
        <f>ROUND((H2121*K2121),2)</f>
        <v>0</v>
      </c>
      <c r="P2121" s="54">
        <f>ROUND((H2121*L2121),2)</f>
        <v>0</v>
      </c>
      <c r="Q2121" s="54">
        <f>ROUND((H2121*M2121),2)</f>
        <v>0</v>
      </c>
      <c r="R2121" s="54">
        <f>ROUND((H2121*N2121),2)</f>
        <v>0</v>
      </c>
      <c r="S2121" s="54"/>
      <c r="T2121" s="36"/>
      <c r="XDA2121"/>
      <c r="XDB2121"/>
      <c r="XDC2121"/>
      <c r="XDD2121"/>
      <c r="XDE2121"/>
      <c r="XDF2121"/>
      <c r="XDG2121"/>
      <c r="XDH2121"/>
      <c r="XDI2121"/>
      <c r="XDJ2121"/>
      <c r="XDK2121"/>
      <c r="XDL2121"/>
      <c r="XDM2121"/>
      <c r="XDN2121"/>
      <c r="XDO2121"/>
      <c r="XDP2121"/>
      <c r="XDQ2121"/>
      <c r="XDR2121"/>
      <c r="XDS2121"/>
      <c r="XDT2121"/>
      <c r="XDU2121"/>
      <c r="XDV2121"/>
      <c r="XDW2121"/>
      <c r="XDX2121"/>
      <c r="XDY2121"/>
      <c r="XDZ2121"/>
      <c r="XEA2121"/>
      <c r="XEB2121"/>
      <c r="XEC2121"/>
      <c r="XED2121"/>
      <c r="XEE2121"/>
      <c r="XEF2121"/>
      <c r="XEG2121"/>
      <c r="XEH2121"/>
      <c r="XEI2121"/>
      <c r="XEJ2121"/>
      <c r="XEK2121"/>
      <c r="XEL2121"/>
      <c r="XEM2121"/>
      <c r="XEN2121"/>
      <c r="XEO2121"/>
      <c r="XEP2121"/>
      <c r="XEQ2121"/>
      <c r="XER2121"/>
      <c r="XES2121"/>
      <c r="XET2121"/>
      <c r="XEU2121"/>
      <c r="XEV2121"/>
      <c r="XEW2121"/>
      <c r="XEX2121"/>
      <c r="XEY2121"/>
      <c r="XEZ2121"/>
      <c r="XFA2121"/>
      <c r="XFB2121"/>
      <c r="XFC2121"/>
    </row>
    <row r="2122" spans="1:20 16329:16383" s="38" customFormat="1" ht="29.1" customHeight="1" outlineLevel="5" x14ac:dyDescent="0.25">
      <c r="A2122" s="65" t="s">
        <v>3732</v>
      </c>
      <c r="B2122" s="66" t="s">
        <v>3733</v>
      </c>
      <c r="C2122" s="66" t="s">
        <v>3734</v>
      </c>
      <c r="D2122" s="98" t="s">
        <v>3735</v>
      </c>
      <c r="E2122" s="98"/>
      <c r="F2122" s="67"/>
      <c r="G2122" s="66" t="s">
        <v>29</v>
      </c>
      <c r="H2122" s="68"/>
      <c r="I2122" s="36"/>
      <c r="J2122" s="68"/>
      <c r="K2122" s="69"/>
      <c r="L2122" s="69"/>
      <c r="M2122" s="69"/>
      <c r="N2122" s="69"/>
      <c r="O2122" s="69">
        <f>O2123+O2124</f>
        <v>0</v>
      </c>
      <c r="P2122" s="69">
        <f>P2123+P2124</f>
        <v>0</v>
      </c>
      <c r="Q2122" s="69">
        <f>Q2123+Q2124</f>
        <v>0</v>
      </c>
      <c r="R2122" s="69">
        <f>R2123+R2124</f>
        <v>0</v>
      </c>
      <c r="S2122" s="69"/>
      <c r="T2122" s="36"/>
      <c r="XDA2122"/>
      <c r="XDB2122"/>
      <c r="XDC2122"/>
      <c r="XDD2122"/>
      <c r="XDE2122"/>
      <c r="XDF2122"/>
      <c r="XDG2122"/>
      <c r="XDH2122"/>
      <c r="XDI2122"/>
      <c r="XDJ2122"/>
      <c r="XDK2122"/>
      <c r="XDL2122"/>
      <c r="XDM2122"/>
      <c r="XDN2122"/>
      <c r="XDO2122"/>
      <c r="XDP2122"/>
      <c r="XDQ2122"/>
      <c r="XDR2122"/>
      <c r="XDS2122"/>
      <c r="XDT2122"/>
      <c r="XDU2122"/>
      <c r="XDV2122"/>
      <c r="XDW2122"/>
      <c r="XDX2122"/>
      <c r="XDY2122"/>
      <c r="XDZ2122"/>
      <c r="XEA2122"/>
      <c r="XEB2122"/>
      <c r="XEC2122"/>
      <c r="XED2122"/>
      <c r="XEE2122"/>
      <c r="XEF2122"/>
      <c r="XEG2122"/>
      <c r="XEH2122"/>
      <c r="XEI2122"/>
      <c r="XEJ2122"/>
      <c r="XEK2122"/>
      <c r="XEL2122"/>
      <c r="XEM2122"/>
      <c r="XEN2122"/>
      <c r="XEO2122"/>
      <c r="XEP2122"/>
      <c r="XEQ2122"/>
      <c r="XER2122"/>
      <c r="XES2122"/>
      <c r="XET2122"/>
      <c r="XEU2122"/>
      <c r="XEV2122"/>
      <c r="XEW2122"/>
      <c r="XEX2122"/>
      <c r="XEY2122"/>
      <c r="XEZ2122"/>
      <c r="XFA2122"/>
      <c r="XFB2122"/>
      <c r="XFC2122"/>
    </row>
    <row r="2123" spans="1:20 16329:16383" s="38" customFormat="1" ht="29.1" customHeight="1" outlineLevel="6" x14ac:dyDescent="0.25">
      <c r="A2123" s="49" t="s">
        <v>3736</v>
      </c>
      <c r="B2123" s="50"/>
      <c r="C2123" s="50"/>
      <c r="D2123" s="3" t="s">
        <v>3737</v>
      </c>
      <c r="E2123" s="3"/>
      <c r="F2123" s="51"/>
      <c r="G2123" s="50" t="s">
        <v>29</v>
      </c>
      <c r="H2123" s="52">
        <f>1</f>
        <v>1</v>
      </c>
      <c r="I2123" s="36"/>
      <c r="J2123" s="52">
        <v>1</v>
      </c>
      <c r="K2123" s="53">
        <f>0</f>
        <v>0</v>
      </c>
      <c r="L2123" s="53">
        <f>0</f>
        <v>0</v>
      </c>
      <c r="M2123" s="53">
        <f>0</f>
        <v>0</v>
      </c>
      <c r="N2123" s="54">
        <f>SUM(K2123:M2123)</f>
        <v>0</v>
      </c>
      <c r="O2123" s="54">
        <f>ROUND((H2123*K2123),2)</f>
        <v>0</v>
      </c>
      <c r="P2123" s="54">
        <f>ROUND((H2123*L2123),2)</f>
        <v>0</v>
      </c>
      <c r="Q2123" s="54">
        <f>ROUND((H2123*M2123),2)</f>
        <v>0</v>
      </c>
      <c r="R2123" s="54">
        <f>ROUND((H2123*N2123),2)</f>
        <v>0</v>
      </c>
      <c r="S2123" s="54"/>
      <c r="T2123" s="36"/>
      <c r="XDA2123"/>
      <c r="XDB2123"/>
      <c r="XDC2123"/>
      <c r="XDD2123"/>
      <c r="XDE2123"/>
      <c r="XDF2123"/>
      <c r="XDG2123"/>
      <c r="XDH2123"/>
      <c r="XDI2123"/>
      <c r="XDJ2123"/>
      <c r="XDK2123"/>
      <c r="XDL2123"/>
      <c r="XDM2123"/>
      <c r="XDN2123"/>
      <c r="XDO2123"/>
      <c r="XDP2123"/>
      <c r="XDQ2123"/>
      <c r="XDR2123"/>
      <c r="XDS2123"/>
      <c r="XDT2123"/>
      <c r="XDU2123"/>
      <c r="XDV2123"/>
      <c r="XDW2123"/>
      <c r="XDX2123"/>
      <c r="XDY2123"/>
      <c r="XDZ2123"/>
      <c r="XEA2123"/>
      <c r="XEB2123"/>
      <c r="XEC2123"/>
      <c r="XED2123"/>
      <c r="XEE2123"/>
      <c r="XEF2123"/>
      <c r="XEG2123"/>
      <c r="XEH2123"/>
      <c r="XEI2123"/>
      <c r="XEJ2123"/>
      <c r="XEK2123"/>
      <c r="XEL2123"/>
      <c r="XEM2123"/>
      <c r="XEN2123"/>
      <c r="XEO2123"/>
      <c r="XEP2123"/>
      <c r="XEQ2123"/>
      <c r="XER2123"/>
      <c r="XES2123"/>
      <c r="XET2123"/>
      <c r="XEU2123"/>
      <c r="XEV2123"/>
      <c r="XEW2123"/>
      <c r="XEX2123"/>
      <c r="XEY2123"/>
      <c r="XEZ2123"/>
      <c r="XFA2123"/>
      <c r="XFB2123"/>
      <c r="XFC2123"/>
    </row>
    <row r="2124" spans="1:20 16329:16383" s="38" customFormat="1" ht="29.1" customHeight="1" outlineLevel="6" x14ac:dyDescent="0.25">
      <c r="A2124" s="49" t="s">
        <v>3738</v>
      </c>
      <c r="B2124" s="50"/>
      <c r="C2124" s="50"/>
      <c r="D2124" s="3" t="s">
        <v>3739</v>
      </c>
      <c r="E2124" s="3"/>
      <c r="F2124" s="51"/>
      <c r="G2124" s="50" t="s">
        <v>29</v>
      </c>
      <c r="H2124" s="52">
        <f>1</f>
        <v>1</v>
      </c>
      <c r="I2124" s="36"/>
      <c r="J2124" s="52">
        <v>1</v>
      </c>
      <c r="K2124" s="53">
        <f>0</f>
        <v>0</v>
      </c>
      <c r="L2124" s="53">
        <f>0</f>
        <v>0</v>
      </c>
      <c r="M2124" s="53">
        <f>0</f>
        <v>0</v>
      </c>
      <c r="N2124" s="54">
        <f>SUM(K2124:M2124)</f>
        <v>0</v>
      </c>
      <c r="O2124" s="54">
        <f>ROUND((H2124*K2124),2)</f>
        <v>0</v>
      </c>
      <c r="P2124" s="54">
        <f>ROUND((H2124*L2124),2)</f>
        <v>0</v>
      </c>
      <c r="Q2124" s="54">
        <f>ROUND((H2124*M2124),2)</f>
        <v>0</v>
      </c>
      <c r="R2124" s="54">
        <f>ROUND((H2124*N2124),2)</f>
        <v>0</v>
      </c>
      <c r="S2124" s="54"/>
      <c r="T2124" s="36"/>
      <c r="XDA2124"/>
      <c r="XDB2124"/>
      <c r="XDC2124"/>
      <c r="XDD2124"/>
      <c r="XDE2124"/>
      <c r="XDF2124"/>
      <c r="XDG2124"/>
      <c r="XDH2124"/>
      <c r="XDI2124"/>
      <c r="XDJ2124"/>
      <c r="XDK2124"/>
      <c r="XDL2124"/>
      <c r="XDM2124"/>
      <c r="XDN2124"/>
      <c r="XDO2124"/>
      <c r="XDP2124"/>
      <c r="XDQ2124"/>
      <c r="XDR2124"/>
      <c r="XDS2124"/>
      <c r="XDT2124"/>
      <c r="XDU2124"/>
      <c r="XDV2124"/>
      <c r="XDW2124"/>
      <c r="XDX2124"/>
      <c r="XDY2124"/>
      <c r="XDZ2124"/>
      <c r="XEA2124"/>
      <c r="XEB2124"/>
      <c r="XEC2124"/>
      <c r="XED2124"/>
      <c r="XEE2124"/>
      <c r="XEF2124"/>
      <c r="XEG2124"/>
      <c r="XEH2124"/>
      <c r="XEI2124"/>
      <c r="XEJ2124"/>
      <c r="XEK2124"/>
      <c r="XEL2124"/>
      <c r="XEM2124"/>
      <c r="XEN2124"/>
      <c r="XEO2124"/>
      <c r="XEP2124"/>
      <c r="XEQ2124"/>
      <c r="XER2124"/>
      <c r="XES2124"/>
      <c r="XET2124"/>
      <c r="XEU2124"/>
      <c r="XEV2124"/>
      <c r="XEW2124"/>
      <c r="XEX2124"/>
      <c r="XEY2124"/>
      <c r="XEZ2124"/>
      <c r="XFA2124"/>
      <c r="XFB2124"/>
      <c r="XFC2124"/>
    </row>
    <row r="2125" spans="1:20 16329:16383" s="38" customFormat="1" ht="29.1" customHeight="1" outlineLevel="5" x14ac:dyDescent="0.25">
      <c r="A2125" s="65" t="s">
        <v>3740</v>
      </c>
      <c r="B2125" s="66" t="s">
        <v>3741</v>
      </c>
      <c r="C2125" s="66" t="s">
        <v>3742</v>
      </c>
      <c r="D2125" s="98" t="s">
        <v>3743</v>
      </c>
      <c r="E2125" s="98"/>
      <c r="F2125" s="67"/>
      <c r="G2125" s="66" t="s">
        <v>29</v>
      </c>
      <c r="H2125" s="68"/>
      <c r="I2125" s="36"/>
      <c r="J2125" s="68"/>
      <c r="K2125" s="69"/>
      <c r="L2125" s="69"/>
      <c r="M2125" s="69"/>
      <c r="N2125" s="69"/>
      <c r="O2125" s="69">
        <f>O2126+O2127</f>
        <v>0</v>
      </c>
      <c r="P2125" s="69">
        <f>P2126+P2127</f>
        <v>0</v>
      </c>
      <c r="Q2125" s="69">
        <f>Q2126+Q2127</f>
        <v>0</v>
      </c>
      <c r="R2125" s="69">
        <f>R2126+R2127</f>
        <v>0</v>
      </c>
      <c r="S2125" s="69"/>
      <c r="T2125" s="36"/>
      <c r="XDA2125"/>
      <c r="XDB2125"/>
      <c r="XDC2125"/>
      <c r="XDD2125"/>
      <c r="XDE2125"/>
      <c r="XDF2125"/>
      <c r="XDG2125"/>
      <c r="XDH2125"/>
      <c r="XDI2125"/>
      <c r="XDJ2125"/>
      <c r="XDK2125"/>
      <c r="XDL2125"/>
      <c r="XDM2125"/>
      <c r="XDN2125"/>
      <c r="XDO2125"/>
      <c r="XDP2125"/>
      <c r="XDQ2125"/>
      <c r="XDR2125"/>
      <c r="XDS2125"/>
      <c r="XDT2125"/>
      <c r="XDU2125"/>
      <c r="XDV2125"/>
      <c r="XDW2125"/>
      <c r="XDX2125"/>
      <c r="XDY2125"/>
      <c r="XDZ2125"/>
      <c r="XEA2125"/>
      <c r="XEB2125"/>
      <c r="XEC2125"/>
      <c r="XED2125"/>
      <c r="XEE2125"/>
      <c r="XEF2125"/>
      <c r="XEG2125"/>
      <c r="XEH2125"/>
      <c r="XEI2125"/>
      <c r="XEJ2125"/>
      <c r="XEK2125"/>
      <c r="XEL2125"/>
      <c r="XEM2125"/>
      <c r="XEN2125"/>
      <c r="XEO2125"/>
      <c r="XEP2125"/>
      <c r="XEQ2125"/>
      <c r="XER2125"/>
      <c r="XES2125"/>
      <c r="XET2125"/>
      <c r="XEU2125"/>
      <c r="XEV2125"/>
      <c r="XEW2125"/>
      <c r="XEX2125"/>
      <c r="XEY2125"/>
      <c r="XEZ2125"/>
      <c r="XFA2125"/>
      <c r="XFB2125"/>
      <c r="XFC2125"/>
    </row>
    <row r="2126" spans="1:20 16329:16383" s="38" customFormat="1" ht="29.1" customHeight="1" outlineLevel="6" x14ac:dyDescent="0.25">
      <c r="A2126" s="49" t="s">
        <v>3744</v>
      </c>
      <c r="B2126" s="50"/>
      <c r="C2126" s="50"/>
      <c r="D2126" s="3" t="s">
        <v>3745</v>
      </c>
      <c r="E2126" s="3"/>
      <c r="F2126" s="51"/>
      <c r="G2126" s="50" t="s">
        <v>29</v>
      </c>
      <c r="H2126" s="52">
        <f>1</f>
        <v>1</v>
      </c>
      <c r="I2126" s="36"/>
      <c r="J2126" s="52">
        <v>1</v>
      </c>
      <c r="K2126" s="53">
        <f>0</f>
        <v>0</v>
      </c>
      <c r="L2126" s="53">
        <f>0</f>
        <v>0</v>
      </c>
      <c r="M2126" s="53">
        <f>0</f>
        <v>0</v>
      </c>
      <c r="N2126" s="54">
        <f>SUM(K2126:M2126)</f>
        <v>0</v>
      </c>
      <c r="O2126" s="54">
        <f>ROUND((H2126*K2126),2)</f>
        <v>0</v>
      </c>
      <c r="P2126" s="54">
        <f>ROUND((H2126*L2126),2)</f>
        <v>0</v>
      </c>
      <c r="Q2126" s="54">
        <f>ROUND((H2126*M2126),2)</f>
        <v>0</v>
      </c>
      <c r="R2126" s="54">
        <f>ROUND((H2126*N2126),2)</f>
        <v>0</v>
      </c>
      <c r="S2126" s="54"/>
      <c r="T2126" s="36"/>
      <c r="XDA2126"/>
      <c r="XDB2126"/>
      <c r="XDC2126"/>
      <c r="XDD2126"/>
      <c r="XDE2126"/>
      <c r="XDF2126"/>
      <c r="XDG2126"/>
      <c r="XDH2126"/>
      <c r="XDI2126"/>
      <c r="XDJ2126"/>
      <c r="XDK2126"/>
      <c r="XDL2126"/>
      <c r="XDM2126"/>
      <c r="XDN2126"/>
      <c r="XDO2126"/>
      <c r="XDP2126"/>
      <c r="XDQ2126"/>
      <c r="XDR2126"/>
      <c r="XDS2126"/>
      <c r="XDT2126"/>
      <c r="XDU2126"/>
      <c r="XDV2126"/>
      <c r="XDW2126"/>
      <c r="XDX2126"/>
      <c r="XDY2126"/>
      <c r="XDZ2126"/>
      <c r="XEA2126"/>
      <c r="XEB2126"/>
      <c r="XEC2126"/>
      <c r="XED2126"/>
      <c r="XEE2126"/>
      <c r="XEF2126"/>
      <c r="XEG2126"/>
      <c r="XEH2126"/>
      <c r="XEI2126"/>
      <c r="XEJ2126"/>
      <c r="XEK2126"/>
      <c r="XEL2126"/>
      <c r="XEM2126"/>
      <c r="XEN2126"/>
      <c r="XEO2126"/>
      <c r="XEP2126"/>
      <c r="XEQ2126"/>
      <c r="XER2126"/>
      <c r="XES2126"/>
      <c r="XET2126"/>
      <c r="XEU2126"/>
      <c r="XEV2126"/>
      <c r="XEW2126"/>
      <c r="XEX2126"/>
      <c r="XEY2126"/>
      <c r="XEZ2126"/>
      <c r="XFA2126"/>
      <c r="XFB2126"/>
      <c r="XFC2126"/>
    </row>
    <row r="2127" spans="1:20 16329:16383" s="38" customFormat="1" ht="29.1" customHeight="1" outlineLevel="6" x14ac:dyDescent="0.25">
      <c r="A2127" s="49" t="s">
        <v>3746</v>
      </c>
      <c r="B2127" s="50"/>
      <c r="C2127" s="50"/>
      <c r="D2127" s="3" t="s">
        <v>3747</v>
      </c>
      <c r="E2127" s="3"/>
      <c r="F2127" s="51"/>
      <c r="G2127" s="50" t="s">
        <v>29</v>
      </c>
      <c r="H2127" s="52">
        <f>1</f>
        <v>1</v>
      </c>
      <c r="I2127" s="36"/>
      <c r="J2127" s="52">
        <v>1</v>
      </c>
      <c r="K2127" s="53">
        <f>0</f>
        <v>0</v>
      </c>
      <c r="L2127" s="53">
        <f>0</f>
        <v>0</v>
      </c>
      <c r="M2127" s="53">
        <f>0</f>
        <v>0</v>
      </c>
      <c r="N2127" s="54">
        <f>SUM(K2127:M2127)</f>
        <v>0</v>
      </c>
      <c r="O2127" s="54">
        <f>ROUND((H2127*K2127),2)</f>
        <v>0</v>
      </c>
      <c r="P2127" s="54">
        <f>ROUND((H2127*L2127),2)</f>
        <v>0</v>
      </c>
      <c r="Q2127" s="54">
        <f>ROUND((H2127*M2127),2)</f>
        <v>0</v>
      </c>
      <c r="R2127" s="54">
        <f>ROUND((H2127*N2127),2)</f>
        <v>0</v>
      </c>
      <c r="S2127" s="54"/>
      <c r="T2127" s="36"/>
      <c r="XDA2127"/>
      <c r="XDB2127"/>
      <c r="XDC2127"/>
      <c r="XDD2127"/>
      <c r="XDE2127"/>
      <c r="XDF2127"/>
      <c r="XDG2127"/>
      <c r="XDH2127"/>
      <c r="XDI2127"/>
      <c r="XDJ2127"/>
      <c r="XDK2127"/>
      <c r="XDL2127"/>
      <c r="XDM2127"/>
      <c r="XDN2127"/>
      <c r="XDO2127"/>
      <c r="XDP2127"/>
      <c r="XDQ2127"/>
      <c r="XDR2127"/>
      <c r="XDS2127"/>
      <c r="XDT2127"/>
      <c r="XDU2127"/>
      <c r="XDV2127"/>
      <c r="XDW2127"/>
      <c r="XDX2127"/>
      <c r="XDY2127"/>
      <c r="XDZ2127"/>
      <c r="XEA2127"/>
      <c r="XEB2127"/>
      <c r="XEC2127"/>
      <c r="XED2127"/>
      <c r="XEE2127"/>
      <c r="XEF2127"/>
      <c r="XEG2127"/>
      <c r="XEH2127"/>
      <c r="XEI2127"/>
      <c r="XEJ2127"/>
      <c r="XEK2127"/>
      <c r="XEL2127"/>
      <c r="XEM2127"/>
      <c r="XEN2127"/>
      <c r="XEO2127"/>
      <c r="XEP2127"/>
      <c r="XEQ2127"/>
      <c r="XER2127"/>
      <c r="XES2127"/>
      <c r="XET2127"/>
      <c r="XEU2127"/>
      <c r="XEV2127"/>
      <c r="XEW2127"/>
      <c r="XEX2127"/>
      <c r="XEY2127"/>
      <c r="XEZ2127"/>
      <c r="XFA2127"/>
      <c r="XFB2127"/>
      <c r="XFC2127"/>
    </row>
    <row r="2128" spans="1:20 16329:16383" s="38" customFormat="1" ht="29.1" customHeight="1" outlineLevel="5" x14ac:dyDescent="0.25">
      <c r="A2128" s="65" t="s">
        <v>3748</v>
      </c>
      <c r="B2128" s="66" t="s">
        <v>3749</v>
      </c>
      <c r="C2128" s="66" t="s">
        <v>3750</v>
      </c>
      <c r="D2128" s="98" t="s">
        <v>3751</v>
      </c>
      <c r="E2128" s="98"/>
      <c r="F2128" s="67"/>
      <c r="G2128" s="66" t="s">
        <v>29</v>
      </c>
      <c r="H2128" s="68"/>
      <c r="I2128" s="36"/>
      <c r="J2128" s="68"/>
      <c r="K2128" s="69"/>
      <c r="L2128" s="69"/>
      <c r="M2128" s="69"/>
      <c r="N2128" s="69"/>
      <c r="O2128" s="69">
        <f>O2129+O2130</f>
        <v>0</v>
      </c>
      <c r="P2128" s="69">
        <f>P2129+P2130</f>
        <v>0</v>
      </c>
      <c r="Q2128" s="69">
        <f>Q2129+Q2130</f>
        <v>0</v>
      </c>
      <c r="R2128" s="69">
        <f>R2129+R2130</f>
        <v>0</v>
      </c>
      <c r="S2128" s="69"/>
      <c r="T2128" s="36"/>
      <c r="XDA2128"/>
      <c r="XDB2128"/>
      <c r="XDC2128"/>
      <c r="XDD2128"/>
      <c r="XDE2128"/>
      <c r="XDF2128"/>
      <c r="XDG2128"/>
      <c r="XDH2128"/>
      <c r="XDI2128"/>
      <c r="XDJ2128"/>
      <c r="XDK2128"/>
      <c r="XDL2128"/>
      <c r="XDM2128"/>
      <c r="XDN2128"/>
      <c r="XDO2128"/>
      <c r="XDP2128"/>
      <c r="XDQ2128"/>
      <c r="XDR2128"/>
      <c r="XDS2128"/>
      <c r="XDT2128"/>
      <c r="XDU2128"/>
      <c r="XDV2128"/>
      <c r="XDW2128"/>
      <c r="XDX2128"/>
      <c r="XDY2128"/>
      <c r="XDZ2128"/>
      <c r="XEA2128"/>
      <c r="XEB2128"/>
      <c r="XEC2128"/>
      <c r="XED2128"/>
      <c r="XEE2128"/>
      <c r="XEF2128"/>
      <c r="XEG2128"/>
      <c r="XEH2128"/>
      <c r="XEI2128"/>
      <c r="XEJ2128"/>
      <c r="XEK2128"/>
      <c r="XEL2128"/>
      <c r="XEM2128"/>
      <c r="XEN2128"/>
      <c r="XEO2128"/>
      <c r="XEP2128"/>
      <c r="XEQ2128"/>
      <c r="XER2128"/>
      <c r="XES2128"/>
      <c r="XET2128"/>
      <c r="XEU2128"/>
      <c r="XEV2128"/>
      <c r="XEW2128"/>
      <c r="XEX2128"/>
      <c r="XEY2128"/>
      <c r="XEZ2128"/>
      <c r="XFA2128"/>
      <c r="XFB2128"/>
      <c r="XFC2128"/>
    </row>
    <row r="2129" spans="1:20 16329:16383" s="38" customFormat="1" ht="29.1" customHeight="1" outlineLevel="6" x14ac:dyDescent="0.25">
      <c r="A2129" s="49" t="s">
        <v>3752</v>
      </c>
      <c r="B2129" s="50"/>
      <c r="C2129" s="50"/>
      <c r="D2129" s="3" t="s">
        <v>3753</v>
      </c>
      <c r="E2129" s="3"/>
      <c r="F2129" s="51"/>
      <c r="G2129" s="50" t="s">
        <v>29</v>
      </c>
      <c r="H2129" s="52">
        <f>1</f>
        <v>1</v>
      </c>
      <c r="I2129" s="36"/>
      <c r="J2129" s="52">
        <v>1</v>
      </c>
      <c r="K2129" s="53">
        <f>0</f>
        <v>0</v>
      </c>
      <c r="L2129" s="53">
        <f>0</f>
        <v>0</v>
      </c>
      <c r="M2129" s="53">
        <f>0</f>
        <v>0</v>
      </c>
      <c r="N2129" s="54">
        <f>SUM(K2129:M2129)</f>
        <v>0</v>
      </c>
      <c r="O2129" s="54">
        <f>ROUND((H2129*K2129),2)</f>
        <v>0</v>
      </c>
      <c r="P2129" s="54">
        <f>ROUND((H2129*L2129),2)</f>
        <v>0</v>
      </c>
      <c r="Q2129" s="54">
        <f>ROUND((H2129*M2129),2)</f>
        <v>0</v>
      </c>
      <c r="R2129" s="54">
        <f>ROUND((H2129*N2129),2)</f>
        <v>0</v>
      </c>
      <c r="S2129" s="54"/>
      <c r="T2129" s="36"/>
      <c r="XDA2129"/>
      <c r="XDB2129"/>
      <c r="XDC2129"/>
      <c r="XDD2129"/>
      <c r="XDE2129"/>
      <c r="XDF2129"/>
      <c r="XDG2129"/>
      <c r="XDH2129"/>
      <c r="XDI2129"/>
      <c r="XDJ2129"/>
      <c r="XDK2129"/>
      <c r="XDL2129"/>
      <c r="XDM2129"/>
      <c r="XDN2129"/>
      <c r="XDO2129"/>
      <c r="XDP2129"/>
      <c r="XDQ2129"/>
      <c r="XDR2129"/>
      <c r="XDS2129"/>
      <c r="XDT2129"/>
      <c r="XDU2129"/>
      <c r="XDV2129"/>
      <c r="XDW2129"/>
      <c r="XDX2129"/>
      <c r="XDY2129"/>
      <c r="XDZ2129"/>
      <c r="XEA2129"/>
      <c r="XEB2129"/>
      <c r="XEC2129"/>
      <c r="XED2129"/>
      <c r="XEE2129"/>
      <c r="XEF2129"/>
      <c r="XEG2129"/>
      <c r="XEH2129"/>
      <c r="XEI2129"/>
      <c r="XEJ2129"/>
      <c r="XEK2129"/>
      <c r="XEL2129"/>
      <c r="XEM2129"/>
      <c r="XEN2129"/>
      <c r="XEO2129"/>
      <c r="XEP2129"/>
      <c r="XEQ2129"/>
      <c r="XER2129"/>
      <c r="XES2129"/>
      <c r="XET2129"/>
      <c r="XEU2129"/>
      <c r="XEV2129"/>
      <c r="XEW2129"/>
      <c r="XEX2129"/>
      <c r="XEY2129"/>
      <c r="XEZ2129"/>
      <c r="XFA2129"/>
      <c r="XFB2129"/>
      <c r="XFC2129"/>
    </row>
    <row r="2130" spans="1:20 16329:16383" s="38" customFormat="1" ht="29.1" customHeight="1" outlineLevel="6" x14ac:dyDescent="0.25">
      <c r="A2130" s="49" t="s">
        <v>3754</v>
      </c>
      <c r="B2130" s="50"/>
      <c r="C2130" s="50"/>
      <c r="D2130" s="3" t="s">
        <v>3755</v>
      </c>
      <c r="E2130" s="3"/>
      <c r="F2130" s="51"/>
      <c r="G2130" s="50" t="s">
        <v>29</v>
      </c>
      <c r="H2130" s="52">
        <f>1</f>
        <v>1</v>
      </c>
      <c r="I2130" s="36"/>
      <c r="J2130" s="52">
        <v>1</v>
      </c>
      <c r="K2130" s="53">
        <f>0</f>
        <v>0</v>
      </c>
      <c r="L2130" s="53">
        <f>0</f>
        <v>0</v>
      </c>
      <c r="M2130" s="53">
        <f>0</f>
        <v>0</v>
      </c>
      <c r="N2130" s="54">
        <f>SUM(K2130:M2130)</f>
        <v>0</v>
      </c>
      <c r="O2130" s="54">
        <f>ROUND((H2130*K2130),2)</f>
        <v>0</v>
      </c>
      <c r="P2130" s="54">
        <f>ROUND((H2130*L2130),2)</f>
        <v>0</v>
      </c>
      <c r="Q2130" s="54">
        <f>ROUND((H2130*M2130),2)</f>
        <v>0</v>
      </c>
      <c r="R2130" s="54">
        <f>ROUND((H2130*N2130),2)</f>
        <v>0</v>
      </c>
      <c r="S2130" s="54"/>
      <c r="T2130" s="36"/>
      <c r="XDA2130"/>
      <c r="XDB2130"/>
      <c r="XDC2130"/>
      <c r="XDD2130"/>
      <c r="XDE2130"/>
      <c r="XDF2130"/>
      <c r="XDG2130"/>
      <c r="XDH2130"/>
      <c r="XDI2130"/>
      <c r="XDJ2130"/>
      <c r="XDK2130"/>
      <c r="XDL2130"/>
      <c r="XDM2130"/>
      <c r="XDN2130"/>
      <c r="XDO2130"/>
      <c r="XDP2130"/>
      <c r="XDQ2130"/>
      <c r="XDR2130"/>
      <c r="XDS2130"/>
      <c r="XDT2130"/>
      <c r="XDU2130"/>
      <c r="XDV2130"/>
      <c r="XDW2130"/>
      <c r="XDX2130"/>
      <c r="XDY2130"/>
      <c r="XDZ2130"/>
      <c r="XEA2130"/>
      <c r="XEB2130"/>
      <c r="XEC2130"/>
      <c r="XED2130"/>
      <c r="XEE2130"/>
      <c r="XEF2130"/>
      <c r="XEG2130"/>
      <c r="XEH2130"/>
      <c r="XEI2130"/>
      <c r="XEJ2130"/>
      <c r="XEK2130"/>
      <c r="XEL2130"/>
      <c r="XEM2130"/>
      <c r="XEN2130"/>
      <c r="XEO2130"/>
      <c r="XEP2130"/>
      <c r="XEQ2130"/>
      <c r="XER2130"/>
      <c r="XES2130"/>
      <c r="XET2130"/>
      <c r="XEU2130"/>
      <c r="XEV2130"/>
      <c r="XEW2130"/>
      <c r="XEX2130"/>
      <c r="XEY2130"/>
      <c r="XEZ2130"/>
      <c r="XFA2130"/>
      <c r="XFB2130"/>
      <c r="XFC2130"/>
    </row>
    <row r="2131" spans="1:20 16329:16383" s="38" customFormat="1" ht="29.1" customHeight="1" outlineLevel="5" x14ac:dyDescent="0.25">
      <c r="A2131" s="65" t="s">
        <v>3756</v>
      </c>
      <c r="B2131" s="66" t="s">
        <v>3757</v>
      </c>
      <c r="C2131" s="66" t="s">
        <v>3758</v>
      </c>
      <c r="D2131" s="98" t="s">
        <v>3759</v>
      </c>
      <c r="E2131" s="98"/>
      <c r="F2131" s="67"/>
      <c r="G2131" s="66" t="s">
        <v>29</v>
      </c>
      <c r="H2131" s="68"/>
      <c r="I2131" s="36"/>
      <c r="J2131" s="68"/>
      <c r="K2131" s="69"/>
      <c r="L2131" s="69"/>
      <c r="M2131" s="69"/>
      <c r="N2131" s="69"/>
      <c r="O2131" s="69">
        <f>O2132+O2133</f>
        <v>0</v>
      </c>
      <c r="P2131" s="69">
        <f>P2132+P2133</f>
        <v>0</v>
      </c>
      <c r="Q2131" s="69">
        <f>Q2132+Q2133</f>
        <v>0</v>
      </c>
      <c r="R2131" s="69">
        <f>R2132+R2133</f>
        <v>0</v>
      </c>
      <c r="S2131" s="69"/>
      <c r="T2131" s="36"/>
      <c r="XDA2131"/>
      <c r="XDB2131"/>
      <c r="XDC2131"/>
      <c r="XDD2131"/>
      <c r="XDE2131"/>
      <c r="XDF2131"/>
      <c r="XDG2131"/>
      <c r="XDH2131"/>
      <c r="XDI2131"/>
      <c r="XDJ2131"/>
      <c r="XDK2131"/>
      <c r="XDL2131"/>
      <c r="XDM2131"/>
      <c r="XDN2131"/>
      <c r="XDO2131"/>
      <c r="XDP2131"/>
      <c r="XDQ2131"/>
      <c r="XDR2131"/>
      <c r="XDS2131"/>
      <c r="XDT2131"/>
      <c r="XDU2131"/>
      <c r="XDV2131"/>
      <c r="XDW2131"/>
      <c r="XDX2131"/>
      <c r="XDY2131"/>
      <c r="XDZ2131"/>
      <c r="XEA2131"/>
      <c r="XEB2131"/>
      <c r="XEC2131"/>
      <c r="XED2131"/>
      <c r="XEE2131"/>
      <c r="XEF2131"/>
      <c r="XEG2131"/>
      <c r="XEH2131"/>
      <c r="XEI2131"/>
      <c r="XEJ2131"/>
      <c r="XEK2131"/>
      <c r="XEL2131"/>
      <c r="XEM2131"/>
      <c r="XEN2131"/>
      <c r="XEO2131"/>
      <c r="XEP2131"/>
      <c r="XEQ2131"/>
      <c r="XER2131"/>
      <c r="XES2131"/>
      <c r="XET2131"/>
      <c r="XEU2131"/>
      <c r="XEV2131"/>
      <c r="XEW2131"/>
      <c r="XEX2131"/>
      <c r="XEY2131"/>
      <c r="XEZ2131"/>
      <c r="XFA2131"/>
      <c r="XFB2131"/>
      <c r="XFC2131"/>
    </row>
    <row r="2132" spans="1:20 16329:16383" s="38" customFormat="1" ht="29.1" customHeight="1" outlineLevel="6" x14ac:dyDescent="0.25">
      <c r="A2132" s="49" t="s">
        <v>3760</v>
      </c>
      <c r="B2132" s="50"/>
      <c r="C2132" s="50"/>
      <c r="D2132" s="3" t="s">
        <v>3761</v>
      </c>
      <c r="E2132" s="3"/>
      <c r="F2132" s="51"/>
      <c r="G2132" s="50" t="s">
        <v>29</v>
      </c>
      <c r="H2132" s="52">
        <f>1</f>
        <v>1</v>
      </c>
      <c r="I2132" s="36"/>
      <c r="J2132" s="52">
        <v>1</v>
      </c>
      <c r="K2132" s="53">
        <f>0</f>
        <v>0</v>
      </c>
      <c r="L2132" s="53">
        <f>0</f>
        <v>0</v>
      </c>
      <c r="M2132" s="53">
        <f>0</f>
        <v>0</v>
      </c>
      <c r="N2132" s="54">
        <f>SUM(K2132:M2132)</f>
        <v>0</v>
      </c>
      <c r="O2132" s="54">
        <f>ROUND((H2132*K2132),2)</f>
        <v>0</v>
      </c>
      <c r="P2132" s="54">
        <f>ROUND((H2132*L2132),2)</f>
        <v>0</v>
      </c>
      <c r="Q2132" s="54">
        <f>ROUND((H2132*M2132),2)</f>
        <v>0</v>
      </c>
      <c r="R2132" s="54">
        <f>ROUND((H2132*N2132),2)</f>
        <v>0</v>
      </c>
      <c r="S2132" s="54"/>
      <c r="T2132" s="36"/>
      <c r="XDA2132"/>
      <c r="XDB2132"/>
      <c r="XDC2132"/>
      <c r="XDD2132"/>
      <c r="XDE2132"/>
      <c r="XDF2132"/>
      <c r="XDG2132"/>
      <c r="XDH2132"/>
      <c r="XDI2132"/>
      <c r="XDJ2132"/>
      <c r="XDK2132"/>
      <c r="XDL2132"/>
      <c r="XDM2132"/>
      <c r="XDN2132"/>
      <c r="XDO2132"/>
      <c r="XDP2132"/>
      <c r="XDQ2132"/>
      <c r="XDR2132"/>
      <c r="XDS2132"/>
      <c r="XDT2132"/>
      <c r="XDU2132"/>
      <c r="XDV2132"/>
      <c r="XDW2132"/>
      <c r="XDX2132"/>
      <c r="XDY2132"/>
      <c r="XDZ2132"/>
      <c r="XEA2132"/>
      <c r="XEB2132"/>
      <c r="XEC2132"/>
      <c r="XED2132"/>
      <c r="XEE2132"/>
      <c r="XEF2132"/>
      <c r="XEG2132"/>
      <c r="XEH2132"/>
      <c r="XEI2132"/>
      <c r="XEJ2132"/>
      <c r="XEK2132"/>
      <c r="XEL2132"/>
      <c r="XEM2132"/>
      <c r="XEN2132"/>
      <c r="XEO2132"/>
      <c r="XEP2132"/>
      <c r="XEQ2132"/>
      <c r="XER2132"/>
      <c r="XES2132"/>
      <c r="XET2132"/>
      <c r="XEU2132"/>
      <c r="XEV2132"/>
      <c r="XEW2132"/>
      <c r="XEX2132"/>
      <c r="XEY2132"/>
      <c r="XEZ2132"/>
      <c r="XFA2132"/>
      <c r="XFB2132"/>
      <c r="XFC2132"/>
    </row>
    <row r="2133" spans="1:20 16329:16383" s="38" customFormat="1" ht="29.1" customHeight="1" outlineLevel="6" x14ac:dyDescent="0.25">
      <c r="A2133" s="49" t="s">
        <v>3762</v>
      </c>
      <c r="B2133" s="50"/>
      <c r="C2133" s="50"/>
      <c r="D2133" s="3" t="s">
        <v>3763</v>
      </c>
      <c r="E2133" s="3"/>
      <c r="F2133" s="51"/>
      <c r="G2133" s="50" t="s">
        <v>29</v>
      </c>
      <c r="H2133" s="52">
        <f>1</f>
        <v>1</v>
      </c>
      <c r="I2133" s="36"/>
      <c r="J2133" s="52">
        <v>1</v>
      </c>
      <c r="K2133" s="53">
        <f>0</f>
        <v>0</v>
      </c>
      <c r="L2133" s="53">
        <f>0</f>
        <v>0</v>
      </c>
      <c r="M2133" s="53">
        <f>0</f>
        <v>0</v>
      </c>
      <c r="N2133" s="54">
        <f>SUM(K2133:M2133)</f>
        <v>0</v>
      </c>
      <c r="O2133" s="54">
        <f>ROUND((H2133*K2133),2)</f>
        <v>0</v>
      </c>
      <c r="P2133" s="54">
        <f>ROUND((H2133*L2133),2)</f>
        <v>0</v>
      </c>
      <c r="Q2133" s="54">
        <f>ROUND((H2133*M2133),2)</f>
        <v>0</v>
      </c>
      <c r="R2133" s="54">
        <f>ROUND((H2133*N2133),2)</f>
        <v>0</v>
      </c>
      <c r="S2133" s="54"/>
      <c r="T2133" s="36"/>
      <c r="XDA2133"/>
      <c r="XDB2133"/>
      <c r="XDC2133"/>
      <c r="XDD2133"/>
      <c r="XDE2133"/>
      <c r="XDF2133"/>
      <c r="XDG2133"/>
      <c r="XDH2133"/>
      <c r="XDI2133"/>
      <c r="XDJ2133"/>
      <c r="XDK2133"/>
      <c r="XDL2133"/>
      <c r="XDM2133"/>
      <c r="XDN2133"/>
      <c r="XDO2133"/>
      <c r="XDP2133"/>
      <c r="XDQ2133"/>
      <c r="XDR2133"/>
      <c r="XDS2133"/>
      <c r="XDT2133"/>
      <c r="XDU2133"/>
      <c r="XDV2133"/>
      <c r="XDW2133"/>
      <c r="XDX2133"/>
      <c r="XDY2133"/>
      <c r="XDZ2133"/>
      <c r="XEA2133"/>
      <c r="XEB2133"/>
      <c r="XEC2133"/>
      <c r="XED2133"/>
      <c r="XEE2133"/>
      <c r="XEF2133"/>
      <c r="XEG2133"/>
      <c r="XEH2133"/>
      <c r="XEI2133"/>
      <c r="XEJ2133"/>
      <c r="XEK2133"/>
      <c r="XEL2133"/>
      <c r="XEM2133"/>
      <c r="XEN2133"/>
      <c r="XEO2133"/>
      <c r="XEP2133"/>
      <c r="XEQ2133"/>
      <c r="XER2133"/>
      <c r="XES2133"/>
      <c r="XET2133"/>
      <c r="XEU2133"/>
      <c r="XEV2133"/>
      <c r="XEW2133"/>
      <c r="XEX2133"/>
      <c r="XEY2133"/>
      <c r="XEZ2133"/>
      <c r="XFA2133"/>
      <c r="XFB2133"/>
      <c r="XFC2133"/>
    </row>
    <row r="2134" spans="1:20 16329:16383" s="38" customFormat="1" ht="29.1" customHeight="1" outlineLevel="5" x14ac:dyDescent="0.25">
      <c r="A2134" s="65" t="s">
        <v>3764</v>
      </c>
      <c r="B2134" s="66" t="s">
        <v>3765</v>
      </c>
      <c r="C2134" s="66" t="s">
        <v>3766</v>
      </c>
      <c r="D2134" s="98" t="s">
        <v>3767</v>
      </c>
      <c r="E2134" s="98"/>
      <c r="F2134" s="67"/>
      <c r="G2134" s="66" t="s">
        <v>3285</v>
      </c>
      <c r="H2134" s="68"/>
      <c r="I2134" s="36"/>
      <c r="J2134" s="68"/>
      <c r="K2134" s="69"/>
      <c r="L2134" s="69"/>
      <c r="M2134" s="69"/>
      <c r="N2134" s="69"/>
      <c r="O2134" s="69">
        <f>SUM(O2135:O2141)</f>
        <v>0</v>
      </c>
      <c r="P2134" s="69">
        <f>SUM(P2135:P2141)</f>
        <v>0</v>
      </c>
      <c r="Q2134" s="69">
        <f>SUM(Q2135:Q2141)</f>
        <v>0</v>
      </c>
      <c r="R2134" s="69">
        <f>SUM(R2135:R2141)</f>
        <v>0</v>
      </c>
      <c r="S2134" s="69"/>
      <c r="T2134" s="36"/>
      <c r="XDA2134"/>
      <c r="XDB2134"/>
      <c r="XDC2134"/>
      <c r="XDD2134"/>
      <c r="XDE2134"/>
      <c r="XDF2134"/>
      <c r="XDG2134"/>
      <c r="XDH2134"/>
      <c r="XDI2134"/>
      <c r="XDJ2134"/>
      <c r="XDK2134"/>
      <c r="XDL2134"/>
      <c r="XDM2134"/>
      <c r="XDN2134"/>
      <c r="XDO2134"/>
      <c r="XDP2134"/>
      <c r="XDQ2134"/>
      <c r="XDR2134"/>
      <c r="XDS2134"/>
      <c r="XDT2134"/>
      <c r="XDU2134"/>
      <c r="XDV2134"/>
      <c r="XDW2134"/>
      <c r="XDX2134"/>
      <c r="XDY2134"/>
      <c r="XDZ2134"/>
      <c r="XEA2134"/>
      <c r="XEB2134"/>
      <c r="XEC2134"/>
      <c r="XED2134"/>
      <c r="XEE2134"/>
      <c r="XEF2134"/>
      <c r="XEG2134"/>
      <c r="XEH2134"/>
      <c r="XEI2134"/>
      <c r="XEJ2134"/>
      <c r="XEK2134"/>
      <c r="XEL2134"/>
      <c r="XEM2134"/>
      <c r="XEN2134"/>
      <c r="XEO2134"/>
      <c r="XEP2134"/>
      <c r="XEQ2134"/>
      <c r="XER2134"/>
      <c r="XES2134"/>
      <c r="XET2134"/>
      <c r="XEU2134"/>
      <c r="XEV2134"/>
      <c r="XEW2134"/>
      <c r="XEX2134"/>
      <c r="XEY2134"/>
      <c r="XEZ2134"/>
      <c r="XFA2134"/>
      <c r="XFB2134"/>
      <c r="XFC2134"/>
    </row>
    <row r="2135" spans="1:20 16329:16383" s="38" customFormat="1" ht="29.1" customHeight="1" outlineLevel="6" x14ac:dyDescent="0.25">
      <c r="A2135" s="49" t="s">
        <v>3768</v>
      </c>
      <c r="B2135" s="50"/>
      <c r="C2135" s="50"/>
      <c r="D2135" s="3" t="s">
        <v>3769</v>
      </c>
      <c r="E2135" s="3"/>
      <c r="F2135" s="51"/>
      <c r="G2135" s="50" t="s">
        <v>29</v>
      </c>
      <c r="H2135" s="52">
        <f>1</f>
        <v>1</v>
      </c>
      <c r="I2135" s="36"/>
      <c r="J2135" s="52">
        <v>1</v>
      </c>
      <c r="K2135" s="53">
        <f>0</f>
        <v>0</v>
      </c>
      <c r="L2135" s="53">
        <f>0</f>
        <v>0</v>
      </c>
      <c r="M2135" s="53">
        <f>0</f>
        <v>0</v>
      </c>
      <c r="N2135" s="54">
        <f t="shared" ref="N2135:N2141" si="409">SUM(K2135:M2135)</f>
        <v>0</v>
      </c>
      <c r="O2135" s="54">
        <f t="shared" ref="O2135:O2141" si="410">ROUND((H2135*K2135),2)</f>
        <v>0</v>
      </c>
      <c r="P2135" s="54">
        <f t="shared" ref="P2135:P2141" si="411">ROUND((H2135*L2135),2)</f>
        <v>0</v>
      </c>
      <c r="Q2135" s="54">
        <f t="shared" ref="Q2135:Q2141" si="412">ROUND((H2135*M2135),2)</f>
        <v>0</v>
      </c>
      <c r="R2135" s="54">
        <f t="shared" ref="R2135:R2141" si="413">ROUND((H2135*N2135),2)</f>
        <v>0</v>
      </c>
      <c r="S2135" s="54"/>
      <c r="T2135" s="36"/>
      <c r="XDA2135"/>
      <c r="XDB2135"/>
      <c r="XDC2135"/>
      <c r="XDD2135"/>
      <c r="XDE2135"/>
      <c r="XDF2135"/>
      <c r="XDG2135"/>
      <c r="XDH2135"/>
      <c r="XDI2135"/>
      <c r="XDJ2135"/>
      <c r="XDK2135"/>
      <c r="XDL2135"/>
      <c r="XDM2135"/>
      <c r="XDN2135"/>
      <c r="XDO2135"/>
      <c r="XDP2135"/>
      <c r="XDQ2135"/>
      <c r="XDR2135"/>
      <c r="XDS2135"/>
      <c r="XDT2135"/>
      <c r="XDU2135"/>
      <c r="XDV2135"/>
      <c r="XDW2135"/>
      <c r="XDX2135"/>
      <c r="XDY2135"/>
      <c r="XDZ2135"/>
      <c r="XEA2135"/>
      <c r="XEB2135"/>
      <c r="XEC2135"/>
      <c r="XED2135"/>
      <c r="XEE2135"/>
      <c r="XEF2135"/>
      <c r="XEG2135"/>
      <c r="XEH2135"/>
      <c r="XEI2135"/>
      <c r="XEJ2135"/>
      <c r="XEK2135"/>
      <c r="XEL2135"/>
      <c r="XEM2135"/>
      <c r="XEN2135"/>
      <c r="XEO2135"/>
      <c r="XEP2135"/>
      <c r="XEQ2135"/>
      <c r="XER2135"/>
      <c r="XES2135"/>
      <c r="XET2135"/>
      <c r="XEU2135"/>
      <c r="XEV2135"/>
      <c r="XEW2135"/>
      <c r="XEX2135"/>
      <c r="XEY2135"/>
      <c r="XEZ2135"/>
      <c r="XFA2135"/>
      <c r="XFB2135"/>
      <c r="XFC2135"/>
    </row>
    <row r="2136" spans="1:20 16329:16383" s="38" customFormat="1" ht="29.1" customHeight="1" outlineLevel="6" x14ac:dyDescent="0.25">
      <c r="A2136" s="49" t="s">
        <v>3770</v>
      </c>
      <c r="B2136" s="50"/>
      <c r="C2136" s="50"/>
      <c r="D2136" s="3" t="s">
        <v>3771</v>
      </c>
      <c r="E2136" s="3"/>
      <c r="F2136" s="51"/>
      <c r="G2136" s="50" t="s">
        <v>29</v>
      </c>
      <c r="H2136" s="52">
        <f>1</f>
        <v>1</v>
      </c>
      <c r="I2136" s="36"/>
      <c r="J2136" s="52">
        <v>1</v>
      </c>
      <c r="K2136" s="53">
        <f>0</f>
        <v>0</v>
      </c>
      <c r="L2136" s="53">
        <f>0</f>
        <v>0</v>
      </c>
      <c r="M2136" s="53">
        <f>0</f>
        <v>0</v>
      </c>
      <c r="N2136" s="54">
        <f t="shared" si="409"/>
        <v>0</v>
      </c>
      <c r="O2136" s="54">
        <f t="shared" si="410"/>
        <v>0</v>
      </c>
      <c r="P2136" s="54">
        <f t="shared" si="411"/>
        <v>0</v>
      </c>
      <c r="Q2136" s="54">
        <f t="shared" si="412"/>
        <v>0</v>
      </c>
      <c r="R2136" s="54">
        <f t="shared" si="413"/>
        <v>0</v>
      </c>
      <c r="S2136" s="54"/>
      <c r="T2136" s="36"/>
      <c r="XDA2136"/>
      <c r="XDB2136"/>
      <c r="XDC2136"/>
      <c r="XDD2136"/>
      <c r="XDE2136"/>
      <c r="XDF2136"/>
      <c r="XDG2136"/>
      <c r="XDH2136"/>
      <c r="XDI2136"/>
      <c r="XDJ2136"/>
      <c r="XDK2136"/>
      <c r="XDL2136"/>
      <c r="XDM2136"/>
      <c r="XDN2136"/>
      <c r="XDO2136"/>
      <c r="XDP2136"/>
      <c r="XDQ2136"/>
      <c r="XDR2136"/>
      <c r="XDS2136"/>
      <c r="XDT2136"/>
      <c r="XDU2136"/>
      <c r="XDV2136"/>
      <c r="XDW2136"/>
      <c r="XDX2136"/>
      <c r="XDY2136"/>
      <c r="XDZ2136"/>
      <c r="XEA2136"/>
      <c r="XEB2136"/>
      <c r="XEC2136"/>
      <c r="XED2136"/>
      <c r="XEE2136"/>
      <c r="XEF2136"/>
      <c r="XEG2136"/>
      <c r="XEH2136"/>
      <c r="XEI2136"/>
      <c r="XEJ2136"/>
      <c r="XEK2136"/>
      <c r="XEL2136"/>
      <c r="XEM2136"/>
      <c r="XEN2136"/>
      <c r="XEO2136"/>
      <c r="XEP2136"/>
      <c r="XEQ2136"/>
      <c r="XER2136"/>
      <c r="XES2136"/>
      <c r="XET2136"/>
      <c r="XEU2136"/>
      <c r="XEV2136"/>
      <c r="XEW2136"/>
      <c r="XEX2136"/>
      <c r="XEY2136"/>
      <c r="XEZ2136"/>
      <c r="XFA2136"/>
      <c r="XFB2136"/>
      <c r="XFC2136"/>
    </row>
    <row r="2137" spans="1:20 16329:16383" s="38" customFormat="1" ht="29.1" customHeight="1" outlineLevel="6" x14ac:dyDescent="0.25">
      <c r="A2137" s="49" t="s">
        <v>3772</v>
      </c>
      <c r="B2137" s="50"/>
      <c r="C2137" s="50"/>
      <c r="D2137" s="3" t="s">
        <v>3773</v>
      </c>
      <c r="E2137" s="3"/>
      <c r="F2137" s="51"/>
      <c r="G2137" s="50" t="s">
        <v>29</v>
      </c>
      <c r="H2137" s="52">
        <f>1</f>
        <v>1</v>
      </c>
      <c r="I2137" s="36"/>
      <c r="J2137" s="52">
        <v>1</v>
      </c>
      <c r="K2137" s="53">
        <f>0</f>
        <v>0</v>
      </c>
      <c r="L2137" s="53">
        <f>0</f>
        <v>0</v>
      </c>
      <c r="M2137" s="53">
        <f>0</f>
        <v>0</v>
      </c>
      <c r="N2137" s="54">
        <f t="shared" si="409"/>
        <v>0</v>
      </c>
      <c r="O2137" s="54">
        <f t="shared" si="410"/>
        <v>0</v>
      </c>
      <c r="P2137" s="54">
        <f t="shared" si="411"/>
        <v>0</v>
      </c>
      <c r="Q2137" s="54">
        <f t="shared" si="412"/>
        <v>0</v>
      </c>
      <c r="R2137" s="54">
        <f t="shared" si="413"/>
        <v>0</v>
      </c>
      <c r="S2137" s="54"/>
      <c r="T2137" s="36"/>
      <c r="XDA2137"/>
      <c r="XDB2137"/>
      <c r="XDC2137"/>
      <c r="XDD2137"/>
      <c r="XDE2137"/>
      <c r="XDF2137"/>
      <c r="XDG2137"/>
      <c r="XDH2137"/>
      <c r="XDI2137"/>
      <c r="XDJ2137"/>
      <c r="XDK2137"/>
      <c r="XDL2137"/>
      <c r="XDM2137"/>
      <c r="XDN2137"/>
      <c r="XDO2137"/>
      <c r="XDP2137"/>
      <c r="XDQ2137"/>
      <c r="XDR2137"/>
      <c r="XDS2137"/>
      <c r="XDT2137"/>
      <c r="XDU2137"/>
      <c r="XDV2137"/>
      <c r="XDW2137"/>
      <c r="XDX2137"/>
      <c r="XDY2137"/>
      <c r="XDZ2137"/>
      <c r="XEA2137"/>
      <c r="XEB2137"/>
      <c r="XEC2137"/>
      <c r="XED2137"/>
      <c r="XEE2137"/>
      <c r="XEF2137"/>
      <c r="XEG2137"/>
      <c r="XEH2137"/>
      <c r="XEI2137"/>
      <c r="XEJ2137"/>
      <c r="XEK2137"/>
      <c r="XEL2137"/>
      <c r="XEM2137"/>
      <c r="XEN2137"/>
      <c r="XEO2137"/>
      <c r="XEP2137"/>
      <c r="XEQ2137"/>
      <c r="XER2137"/>
      <c r="XES2137"/>
      <c r="XET2137"/>
      <c r="XEU2137"/>
      <c r="XEV2137"/>
      <c r="XEW2137"/>
      <c r="XEX2137"/>
      <c r="XEY2137"/>
      <c r="XEZ2137"/>
      <c r="XFA2137"/>
      <c r="XFB2137"/>
      <c r="XFC2137"/>
    </row>
    <row r="2138" spans="1:20 16329:16383" s="38" customFormat="1" ht="29.1" customHeight="1" outlineLevel="6" x14ac:dyDescent="0.25">
      <c r="A2138" s="49" t="s">
        <v>3774</v>
      </c>
      <c r="B2138" s="50"/>
      <c r="C2138" s="50"/>
      <c r="D2138" s="3" t="s">
        <v>3775</v>
      </c>
      <c r="E2138" s="3"/>
      <c r="F2138" s="51"/>
      <c r="G2138" s="50" t="s">
        <v>29</v>
      </c>
      <c r="H2138" s="52">
        <f>1</f>
        <v>1</v>
      </c>
      <c r="I2138" s="36"/>
      <c r="J2138" s="52">
        <v>1</v>
      </c>
      <c r="K2138" s="53">
        <f>0</f>
        <v>0</v>
      </c>
      <c r="L2138" s="53">
        <f>0</f>
        <v>0</v>
      </c>
      <c r="M2138" s="53">
        <f>0</f>
        <v>0</v>
      </c>
      <c r="N2138" s="54">
        <f t="shared" si="409"/>
        <v>0</v>
      </c>
      <c r="O2138" s="54">
        <f t="shared" si="410"/>
        <v>0</v>
      </c>
      <c r="P2138" s="54">
        <f t="shared" si="411"/>
        <v>0</v>
      </c>
      <c r="Q2138" s="54">
        <f t="shared" si="412"/>
        <v>0</v>
      </c>
      <c r="R2138" s="54">
        <f t="shared" si="413"/>
        <v>0</v>
      </c>
      <c r="S2138" s="54"/>
      <c r="T2138" s="36"/>
      <c r="XDA2138"/>
      <c r="XDB2138"/>
      <c r="XDC2138"/>
      <c r="XDD2138"/>
      <c r="XDE2138"/>
      <c r="XDF2138"/>
      <c r="XDG2138"/>
      <c r="XDH2138"/>
      <c r="XDI2138"/>
      <c r="XDJ2138"/>
      <c r="XDK2138"/>
      <c r="XDL2138"/>
      <c r="XDM2138"/>
      <c r="XDN2138"/>
      <c r="XDO2138"/>
      <c r="XDP2138"/>
      <c r="XDQ2138"/>
      <c r="XDR2138"/>
      <c r="XDS2138"/>
      <c r="XDT2138"/>
      <c r="XDU2138"/>
      <c r="XDV2138"/>
      <c r="XDW2138"/>
      <c r="XDX2138"/>
      <c r="XDY2138"/>
      <c r="XDZ2138"/>
      <c r="XEA2138"/>
      <c r="XEB2138"/>
      <c r="XEC2138"/>
      <c r="XED2138"/>
      <c r="XEE2138"/>
      <c r="XEF2138"/>
      <c r="XEG2138"/>
      <c r="XEH2138"/>
      <c r="XEI2138"/>
      <c r="XEJ2138"/>
      <c r="XEK2138"/>
      <c r="XEL2138"/>
      <c r="XEM2138"/>
      <c r="XEN2138"/>
      <c r="XEO2138"/>
      <c r="XEP2138"/>
      <c r="XEQ2138"/>
      <c r="XER2138"/>
      <c r="XES2138"/>
      <c r="XET2138"/>
      <c r="XEU2138"/>
      <c r="XEV2138"/>
      <c r="XEW2138"/>
      <c r="XEX2138"/>
      <c r="XEY2138"/>
      <c r="XEZ2138"/>
      <c r="XFA2138"/>
      <c r="XFB2138"/>
      <c r="XFC2138"/>
    </row>
    <row r="2139" spans="1:20 16329:16383" s="38" customFormat="1" ht="29.1" customHeight="1" outlineLevel="6" x14ac:dyDescent="0.25">
      <c r="A2139" s="49" t="s">
        <v>3776</v>
      </c>
      <c r="B2139" s="50"/>
      <c r="C2139" s="50"/>
      <c r="D2139" s="3" t="s">
        <v>3777</v>
      </c>
      <c r="E2139" s="3"/>
      <c r="F2139" s="51"/>
      <c r="G2139" s="50" t="s">
        <v>29</v>
      </c>
      <c r="H2139" s="52">
        <f>1</f>
        <v>1</v>
      </c>
      <c r="I2139" s="36"/>
      <c r="J2139" s="52">
        <v>1</v>
      </c>
      <c r="K2139" s="53">
        <f>0</f>
        <v>0</v>
      </c>
      <c r="L2139" s="53">
        <f>0</f>
        <v>0</v>
      </c>
      <c r="M2139" s="53">
        <f>0</f>
        <v>0</v>
      </c>
      <c r="N2139" s="54">
        <f t="shared" si="409"/>
        <v>0</v>
      </c>
      <c r="O2139" s="54">
        <f t="shared" si="410"/>
        <v>0</v>
      </c>
      <c r="P2139" s="54">
        <f t="shared" si="411"/>
        <v>0</v>
      </c>
      <c r="Q2139" s="54">
        <f t="shared" si="412"/>
        <v>0</v>
      </c>
      <c r="R2139" s="54">
        <f t="shared" si="413"/>
        <v>0</v>
      </c>
      <c r="S2139" s="54"/>
      <c r="T2139" s="36"/>
      <c r="XDA2139"/>
      <c r="XDB2139"/>
      <c r="XDC2139"/>
      <c r="XDD2139"/>
      <c r="XDE2139"/>
      <c r="XDF2139"/>
      <c r="XDG2139"/>
      <c r="XDH2139"/>
      <c r="XDI2139"/>
      <c r="XDJ2139"/>
      <c r="XDK2139"/>
      <c r="XDL2139"/>
      <c r="XDM2139"/>
      <c r="XDN2139"/>
      <c r="XDO2139"/>
      <c r="XDP2139"/>
      <c r="XDQ2139"/>
      <c r="XDR2139"/>
      <c r="XDS2139"/>
      <c r="XDT2139"/>
      <c r="XDU2139"/>
      <c r="XDV2139"/>
      <c r="XDW2139"/>
      <c r="XDX2139"/>
      <c r="XDY2139"/>
      <c r="XDZ2139"/>
      <c r="XEA2139"/>
      <c r="XEB2139"/>
      <c r="XEC2139"/>
      <c r="XED2139"/>
      <c r="XEE2139"/>
      <c r="XEF2139"/>
      <c r="XEG2139"/>
      <c r="XEH2139"/>
      <c r="XEI2139"/>
      <c r="XEJ2139"/>
      <c r="XEK2139"/>
      <c r="XEL2139"/>
      <c r="XEM2139"/>
      <c r="XEN2139"/>
      <c r="XEO2139"/>
      <c r="XEP2139"/>
      <c r="XEQ2139"/>
      <c r="XER2139"/>
      <c r="XES2139"/>
      <c r="XET2139"/>
      <c r="XEU2139"/>
      <c r="XEV2139"/>
      <c r="XEW2139"/>
      <c r="XEX2139"/>
      <c r="XEY2139"/>
      <c r="XEZ2139"/>
      <c r="XFA2139"/>
      <c r="XFB2139"/>
      <c r="XFC2139"/>
    </row>
    <row r="2140" spans="1:20 16329:16383" s="38" customFormat="1" ht="29.1" customHeight="1" outlineLevel="6" x14ac:dyDescent="0.25">
      <c r="A2140" s="49" t="s">
        <v>3778</v>
      </c>
      <c r="B2140" s="50"/>
      <c r="C2140" s="50"/>
      <c r="D2140" s="3" t="s">
        <v>3779</v>
      </c>
      <c r="E2140" s="3"/>
      <c r="F2140" s="51"/>
      <c r="G2140" s="50" t="s">
        <v>29</v>
      </c>
      <c r="H2140" s="52">
        <f>1</f>
        <v>1</v>
      </c>
      <c r="I2140" s="36"/>
      <c r="J2140" s="52">
        <v>1</v>
      </c>
      <c r="K2140" s="53">
        <f>0</f>
        <v>0</v>
      </c>
      <c r="L2140" s="53">
        <f>0</f>
        <v>0</v>
      </c>
      <c r="M2140" s="53">
        <f>0</f>
        <v>0</v>
      </c>
      <c r="N2140" s="54">
        <f t="shared" si="409"/>
        <v>0</v>
      </c>
      <c r="O2140" s="54">
        <f t="shared" si="410"/>
        <v>0</v>
      </c>
      <c r="P2140" s="54">
        <f t="shared" si="411"/>
        <v>0</v>
      </c>
      <c r="Q2140" s="54">
        <f t="shared" si="412"/>
        <v>0</v>
      </c>
      <c r="R2140" s="54">
        <f t="shared" si="413"/>
        <v>0</v>
      </c>
      <c r="S2140" s="54"/>
      <c r="T2140" s="36"/>
      <c r="XDA2140"/>
      <c r="XDB2140"/>
      <c r="XDC2140"/>
      <c r="XDD2140"/>
      <c r="XDE2140"/>
      <c r="XDF2140"/>
      <c r="XDG2140"/>
      <c r="XDH2140"/>
      <c r="XDI2140"/>
      <c r="XDJ2140"/>
      <c r="XDK2140"/>
      <c r="XDL2140"/>
      <c r="XDM2140"/>
      <c r="XDN2140"/>
      <c r="XDO2140"/>
      <c r="XDP2140"/>
      <c r="XDQ2140"/>
      <c r="XDR2140"/>
      <c r="XDS2140"/>
      <c r="XDT2140"/>
      <c r="XDU2140"/>
      <c r="XDV2140"/>
      <c r="XDW2140"/>
      <c r="XDX2140"/>
      <c r="XDY2140"/>
      <c r="XDZ2140"/>
      <c r="XEA2140"/>
      <c r="XEB2140"/>
      <c r="XEC2140"/>
      <c r="XED2140"/>
      <c r="XEE2140"/>
      <c r="XEF2140"/>
      <c r="XEG2140"/>
      <c r="XEH2140"/>
      <c r="XEI2140"/>
      <c r="XEJ2140"/>
      <c r="XEK2140"/>
      <c r="XEL2140"/>
      <c r="XEM2140"/>
      <c r="XEN2140"/>
      <c r="XEO2140"/>
      <c r="XEP2140"/>
      <c r="XEQ2140"/>
      <c r="XER2140"/>
      <c r="XES2140"/>
      <c r="XET2140"/>
      <c r="XEU2140"/>
      <c r="XEV2140"/>
      <c r="XEW2140"/>
      <c r="XEX2140"/>
      <c r="XEY2140"/>
      <c r="XEZ2140"/>
      <c r="XFA2140"/>
      <c r="XFB2140"/>
      <c r="XFC2140"/>
    </row>
    <row r="2141" spans="1:20 16329:16383" s="38" customFormat="1" ht="29.1" customHeight="1" outlineLevel="6" x14ac:dyDescent="0.25">
      <c r="A2141" s="49" t="s">
        <v>3780</v>
      </c>
      <c r="B2141" s="50"/>
      <c r="C2141" s="50"/>
      <c r="D2141" s="3" t="s">
        <v>3781</v>
      </c>
      <c r="E2141" s="3"/>
      <c r="F2141" s="51"/>
      <c r="G2141" s="50" t="s">
        <v>29</v>
      </c>
      <c r="H2141" s="52">
        <f>1</f>
        <v>1</v>
      </c>
      <c r="I2141" s="36"/>
      <c r="J2141" s="52">
        <v>1</v>
      </c>
      <c r="K2141" s="53">
        <f>0</f>
        <v>0</v>
      </c>
      <c r="L2141" s="53">
        <f>0</f>
        <v>0</v>
      </c>
      <c r="M2141" s="53">
        <f>0</f>
        <v>0</v>
      </c>
      <c r="N2141" s="54">
        <f t="shared" si="409"/>
        <v>0</v>
      </c>
      <c r="O2141" s="54">
        <f t="shared" si="410"/>
        <v>0</v>
      </c>
      <c r="P2141" s="54">
        <f t="shared" si="411"/>
        <v>0</v>
      </c>
      <c r="Q2141" s="54">
        <f t="shared" si="412"/>
        <v>0</v>
      </c>
      <c r="R2141" s="54">
        <f t="shared" si="413"/>
        <v>0</v>
      </c>
      <c r="S2141" s="54"/>
      <c r="T2141" s="36"/>
      <c r="XDA2141"/>
      <c r="XDB2141"/>
      <c r="XDC2141"/>
      <c r="XDD2141"/>
      <c r="XDE2141"/>
      <c r="XDF2141"/>
      <c r="XDG2141"/>
      <c r="XDH2141"/>
      <c r="XDI2141"/>
      <c r="XDJ2141"/>
      <c r="XDK2141"/>
      <c r="XDL2141"/>
      <c r="XDM2141"/>
      <c r="XDN2141"/>
      <c r="XDO2141"/>
      <c r="XDP2141"/>
      <c r="XDQ2141"/>
      <c r="XDR2141"/>
      <c r="XDS2141"/>
      <c r="XDT2141"/>
      <c r="XDU2141"/>
      <c r="XDV2141"/>
      <c r="XDW2141"/>
      <c r="XDX2141"/>
      <c r="XDY2141"/>
      <c r="XDZ2141"/>
      <c r="XEA2141"/>
      <c r="XEB2141"/>
      <c r="XEC2141"/>
      <c r="XED2141"/>
      <c r="XEE2141"/>
      <c r="XEF2141"/>
      <c r="XEG2141"/>
      <c r="XEH2141"/>
      <c r="XEI2141"/>
      <c r="XEJ2141"/>
      <c r="XEK2141"/>
      <c r="XEL2141"/>
      <c r="XEM2141"/>
      <c r="XEN2141"/>
      <c r="XEO2141"/>
      <c r="XEP2141"/>
      <c r="XEQ2141"/>
      <c r="XER2141"/>
      <c r="XES2141"/>
      <c r="XET2141"/>
      <c r="XEU2141"/>
      <c r="XEV2141"/>
      <c r="XEW2141"/>
      <c r="XEX2141"/>
      <c r="XEY2141"/>
      <c r="XEZ2141"/>
      <c r="XFA2141"/>
      <c r="XFB2141"/>
      <c r="XFC2141"/>
    </row>
    <row r="2142" spans="1:20 16329:16383" s="38" customFormat="1" ht="29.1" customHeight="1" outlineLevel="5" x14ac:dyDescent="0.25">
      <c r="A2142" s="65" t="s">
        <v>3782</v>
      </c>
      <c r="B2142" s="66" t="s">
        <v>3783</v>
      </c>
      <c r="C2142" s="66" t="s">
        <v>3784</v>
      </c>
      <c r="D2142" s="98" t="s">
        <v>3785</v>
      </c>
      <c r="E2142" s="98"/>
      <c r="F2142" s="67"/>
      <c r="G2142" s="66" t="s">
        <v>29</v>
      </c>
      <c r="H2142" s="68"/>
      <c r="I2142" s="36"/>
      <c r="J2142" s="68"/>
      <c r="K2142" s="69"/>
      <c r="L2142" s="69"/>
      <c r="M2142" s="69"/>
      <c r="N2142" s="69"/>
      <c r="O2142" s="69">
        <f>O2143+O2144</f>
        <v>0</v>
      </c>
      <c r="P2142" s="69">
        <f>P2143+P2144</f>
        <v>0</v>
      </c>
      <c r="Q2142" s="69">
        <f>Q2143+Q2144</f>
        <v>0</v>
      </c>
      <c r="R2142" s="69">
        <f>R2143+R2144</f>
        <v>0</v>
      </c>
      <c r="S2142" s="69"/>
      <c r="T2142" s="36"/>
      <c r="XDA2142"/>
      <c r="XDB2142"/>
      <c r="XDC2142"/>
      <c r="XDD2142"/>
      <c r="XDE2142"/>
      <c r="XDF2142"/>
      <c r="XDG2142"/>
      <c r="XDH2142"/>
      <c r="XDI2142"/>
      <c r="XDJ2142"/>
      <c r="XDK2142"/>
      <c r="XDL2142"/>
      <c r="XDM2142"/>
      <c r="XDN2142"/>
      <c r="XDO2142"/>
      <c r="XDP2142"/>
      <c r="XDQ2142"/>
      <c r="XDR2142"/>
      <c r="XDS2142"/>
      <c r="XDT2142"/>
      <c r="XDU2142"/>
      <c r="XDV2142"/>
      <c r="XDW2142"/>
      <c r="XDX2142"/>
      <c r="XDY2142"/>
      <c r="XDZ2142"/>
      <c r="XEA2142"/>
      <c r="XEB2142"/>
      <c r="XEC2142"/>
      <c r="XED2142"/>
      <c r="XEE2142"/>
      <c r="XEF2142"/>
      <c r="XEG2142"/>
      <c r="XEH2142"/>
      <c r="XEI2142"/>
      <c r="XEJ2142"/>
      <c r="XEK2142"/>
      <c r="XEL2142"/>
      <c r="XEM2142"/>
      <c r="XEN2142"/>
      <c r="XEO2142"/>
      <c r="XEP2142"/>
      <c r="XEQ2142"/>
      <c r="XER2142"/>
      <c r="XES2142"/>
      <c r="XET2142"/>
      <c r="XEU2142"/>
      <c r="XEV2142"/>
      <c r="XEW2142"/>
      <c r="XEX2142"/>
      <c r="XEY2142"/>
      <c r="XEZ2142"/>
      <c r="XFA2142"/>
      <c r="XFB2142"/>
      <c r="XFC2142"/>
    </row>
    <row r="2143" spans="1:20 16329:16383" s="38" customFormat="1" ht="29.1" customHeight="1" outlineLevel="6" x14ac:dyDescent="0.25">
      <c r="A2143" s="49" t="s">
        <v>3786</v>
      </c>
      <c r="B2143" s="50"/>
      <c r="C2143" s="50"/>
      <c r="D2143" s="3" t="s">
        <v>3787</v>
      </c>
      <c r="E2143" s="3"/>
      <c r="F2143" s="51"/>
      <c r="G2143" s="50" t="s">
        <v>29</v>
      </c>
      <c r="H2143" s="52">
        <f>1</f>
        <v>1</v>
      </c>
      <c r="I2143" s="36"/>
      <c r="J2143" s="52">
        <v>1</v>
      </c>
      <c r="K2143" s="53">
        <f>0</f>
        <v>0</v>
      </c>
      <c r="L2143" s="53">
        <f>0</f>
        <v>0</v>
      </c>
      <c r="M2143" s="53">
        <f>0</f>
        <v>0</v>
      </c>
      <c r="N2143" s="54">
        <f>SUM(K2143:M2143)</f>
        <v>0</v>
      </c>
      <c r="O2143" s="54">
        <f>ROUND((H2143*K2143),2)</f>
        <v>0</v>
      </c>
      <c r="P2143" s="54">
        <f>ROUND((H2143*L2143),2)</f>
        <v>0</v>
      </c>
      <c r="Q2143" s="54">
        <f>ROUND((H2143*M2143),2)</f>
        <v>0</v>
      </c>
      <c r="R2143" s="54">
        <f>ROUND((H2143*N2143),2)</f>
        <v>0</v>
      </c>
      <c r="S2143" s="54"/>
      <c r="T2143" s="36"/>
      <c r="XDA2143"/>
      <c r="XDB2143"/>
      <c r="XDC2143"/>
      <c r="XDD2143"/>
      <c r="XDE2143"/>
      <c r="XDF2143"/>
      <c r="XDG2143"/>
      <c r="XDH2143"/>
      <c r="XDI2143"/>
      <c r="XDJ2143"/>
      <c r="XDK2143"/>
      <c r="XDL2143"/>
      <c r="XDM2143"/>
      <c r="XDN2143"/>
      <c r="XDO2143"/>
      <c r="XDP2143"/>
      <c r="XDQ2143"/>
      <c r="XDR2143"/>
      <c r="XDS2143"/>
      <c r="XDT2143"/>
      <c r="XDU2143"/>
      <c r="XDV2143"/>
      <c r="XDW2143"/>
      <c r="XDX2143"/>
      <c r="XDY2143"/>
      <c r="XDZ2143"/>
      <c r="XEA2143"/>
      <c r="XEB2143"/>
      <c r="XEC2143"/>
      <c r="XED2143"/>
      <c r="XEE2143"/>
      <c r="XEF2143"/>
      <c r="XEG2143"/>
      <c r="XEH2143"/>
      <c r="XEI2143"/>
      <c r="XEJ2143"/>
      <c r="XEK2143"/>
      <c r="XEL2143"/>
      <c r="XEM2143"/>
      <c r="XEN2143"/>
      <c r="XEO2143"/>
      <c r="XEP2143"/>
      <c r="XEQ2143"/>
      <c r="XER2143"/>
      <c r="XES2143"/>
      <c r="XET2143"/>
      <c r="XEU2143"/>
      <c r="XEV2143"/>
      <c r="XEW2143"/>
      <c r="XEX2143"/>
      <c r="XEY2143"/>
      <c r="XEZ2143"/>
      <c r="XFA2143"/>
      <c r="XFB2143"/>
      <c r="XFC2143"/>
    </row>
    <row r="2144" spans="1:20 16329:16383" s="38" customFormat="1" ht="29.1" customHeight="1" outlineLevel="6" x14ac:dyDescent="0.25">
      <c r="A2144" s="49" t="s">
        <v>3788</v>
      </c>
      <c r="B2144" s="50"/>
      <c r="C2144" s="50"/>
      <c r="D2144" s="3" t="s">
        <v>3789</v>
      </c>
      <c r="E2144" s="3"/>
      <c r="F2144" s="51"/>
      <c r="G2144" s="50" t="s">
        <v>29</v>
      </c>
      <c r="H2144" s="52">
        <f>1</f>
        <v>1</v>
      </c>
      <c r="I2144" s="36"/>
      <c r="J2144" s="52">
        <v>1</v>
      </c>
      <c r="K2144" s="53">
        <f>0</f>
        <v>0</v>
      </c>
      <c r="L2144" s="53">
        <f>0</f>
        <v>0</v>
      </c>
      <c r="M2144" s="53">
        <f>0</f>
        <v>0</v>
      </c>
      <c r="N2144" s="54">
        <f>SUM(K2144:M2144)</f>
        <v>0</v>
      </c>
      <c r="O2144" s="54">
        <f>ROUND((H2144*K2144),2)</f>
        <v>0</v>
      </c>
      <c r="P2144" s="54">
        <f>ROUND((H2144*L2144),2)</f>
        <v>0</v>
      </c>
      <c r="Q2144" s="54">
        <f>ROUND((H2144*M2144),2)</f>
        <v>0</v>
      </c>
      <c r="R2144" s="54">
        <f>ROUND((H2144*N2144),2)</f>
        <v>0</v>
      </c>
      <c r="S2144" s="54"/>
      <c r="T2144" s="36"/>
      <c r="XDA2144"/>
      <c r="XDB2144"/>
      <c r="XDC2144"/>
      <c r="XDD2144"/>
      <c r="XDE2144"/>
      <c r="XDF2144"/>
      <c r="XDG2144"/>
      <c r="XDH2144"/>
      <c r="XDI2144"/>
      <c r="XDJ2144"/>
      <c r="XDK2144"/>
      <c r="XDL2144"/>
      <c r="XDM2144"/>
      <c r="XDN2144"/>
      <c r="XDO2144"/>
      <c r="XDP2144"/>
      <c r="XDQ2144"/>
      <c r="XDR2144"/>
      <c r="XDS2144"/>
      <c r="XDT2144"/>
      <c r="XDU2144"/>
      <c r="XDV2144"/>
      <c r="XDW2144"/>
      <c r="XDX2144"/>
      <c r="XDY2144"/>
      <c r="XDZ2144"/>
      <c r="XEA2144"/>
      <c r="XEB2144"/>
      <c r="XEC2144"/>
      <c r="XED2144"/>
      <c r="XEE2144"/>
      <c r="XEF2144"/>
      <c r="XEG2144"/>
      <c r="XEH2144"/>
      <c r="XEI2144"/>
      <c r="XEJ2144"/>
      <c r="XEK2144"/>
      <c r="XEL2144"/>
      <c r="XEM2144"/>
      <c r="XEN2144"/>
      <c r="XEO2144"/>
      <c r="XEP2144"/>
      <c r="XEQ2144"/>
      <c r="XER2144"/>
      <c r="XES2144"/>
      <c r="XET2144"/>
      <c r="XEU2144"/>
      <c r="XEV2144"/>
      <c r="XEW2144"/>
      <c r="XEX2144"/>
      <c r="XEY2144"/>
      <c r="XEZ2144"/>
      <c r="XFA2144"/>
      <c r="XFB2144"/>
      <c r="XFC2144"/>
    </row>
    <row r="2145" spans="1:20 16329:16383" s="38" customFormat="1" ht="29.1" customHeight="1" outlineLevel="5" x14ac:dyDescent="0.25">
      <c r="A2145" s="65" t="s">
        <v>3790</v>
      </c>
      <c r="B2145" s="66" t="s">
        <v>3791</v>
      </c>
      <c r="C2145" s="66" t="s">
        <v>3784</v>
      </c>
      <c r="D2145" s="98" t="s">
        <v>3792</v>
      </c>
      <c r="E2145" s="98"/>
      <c r="F2145" s="67"/>
      <c r="G2145" s="66" t="s">
        <v>29</v>
      </c>
      <c r="H2145" s="68"/>
      <c r="I2145" s="36"/>
      <c r="J2145" s="68"/>
      <c r="K2145" s="69"/>
      <c r="L2145" s="69"/>
      <c r="M2145" s="69"/>
      <c r="N2145" s="69"/>
      <c r="O2145" s="69">
        <f>O2146+O2147</f>
        <v>0</v>
      </c>
      <c r="P2145" s="69">
        <f>P2146+P2147</f>
        <v>0</v>
      </c>
      <c r="Q2145" s="69">
        <f>Q2146+Q2147</f>
        <v>0</v>
      </c>
      <c r="R2145" s="69">
        <f>R2146+R2147</f>
        <v>0</v>
      </c>
      <c r="S2145" s="69"/>
      <c r="T2145" s="36"/>
      <c r="XDA2145"/>
      <c r="XDB2145"/>
      <c r="XDC2145"/>
      <c r="XDD2145"/>
      <c r="XDE2145"/>
      <c r="XDF2145"/>
      <c r="XDG2145"/>
      <c r="XDH2145"/>
      <c r="XDI2145"/>
      <c r="XDJ2145"/>
      <c r="XDK2145"/>
      <c r="XDL2145"/>
      <c r="XDM2145"/>
      <c r="XDN2145"/>
      <c r="XDO2145"/>
      <c r="XDP2145"/>
      <c r="XDQ2145"/>
      <c r="XDR2145"/>
      <c r="XDS2145"/>
      <c r="XDT2145"/>
      <c r="XDU2145"/>
      <c r="XDV2145"/>
      <c r="XDW2145"/>
      <c r="XDX2145"/>
      <c r="XDY2145"/>
      <c r="XDZ2145"/>
      <c r="XEA2145"/>
      <c r="XEB2145"/>
      <c r="XEC2145"/>
      <c r="XED2145"/>
      <c r="XEE2145"/>
      <c r="XEF2145"/>
      <c r="XEG2145"/>
      <c r="XEH2145"/>
      <c r="XEI2145"/>
      <c r="XEJ2145"/>
      <c r="XEK2145"/>
      <c r="XEL2145"/>
      <c r="XEM2145"/>
      <c r="XEN2145"/>
      <c r="XEO2145"/>
      <c r="XEP2145"/>
      <c r="XEQ2145"/>
      <c r="XER2145"/>
      <c r="XES2145"/>
      <c r="XET2145"/>
      <c r="XEU2145"/>
      <c r="XEV2145"/>
      <c r="XEW2145"/>
      <c r="XEX2145"/>
      <c r="XEY2145"/>
      <c r="XEZ2145"/>
      <c r="XFA2145"/>
      <c r="XFB2145"/>
      <c r="XFC2145"/>
    </row>
    <row r="2146" spans="1:20 16329:16383" s="38" customFormat="1" ht="29.1" customHeight="1" outlineLevel="6" x14ac:dyDescent="0.25">
      <c r="A2146" s="49" t="s">
        <v>3793</v>
      </c>
      <c r="B2146" s="50"/>
      <c r="C2146" s="50"/>
      <c r="D2146" s="3" t="s">
        <v>3794</v>
      </c>
      <c r="E2146" s="3"/>
      <c r="F2146" s="51"/>
      <c r="G2146" s="50" t="s">
        <v>29</v>
      </c>
      <c r="H2146" s="52">
        <f>1</f>
        <v>1</v>
      </c>
      <c r="I2146" s="36"/>
      <c r="J2146" s="52">
        <v>1</v>
      </c>
      <c r="K2146" s="53">
        <f>0</f>
        <v>0</v>
      </c>
      <c r="L2146" s="53">
        <f>0</f>
        <v>0</v>
      </c>
      <c r="M2146" s="53">
        <f>0</f>
        <v>0</v>
      </c>
      <c r="N2146" s="54">
        <f>SUM(K2146:M2146)</f>
        <v>0</v>
      </c>
      <c r="O2146" s="54">
        <f>ROUND((H2146*K2146),2)</f>
        <v>0</v>
      </c>
      <c r="P2146" s="54">
        <f>ROUND((H2146*L2146),2)</f>
        <v>0</v>
      </c>
      <c r="Q2146" s="54">
        <f>ROUND((H2146*M2146),2)</f>
        <v>0</v>
      </c>
      <c r="R2146" s="54">
        <f>ROUND((H2146*N2146),2)</f>
        <v>0</v>
      </c>
      <c r="S2146" s="54"/>
      <c r="T2146" s="36"/>
      <c r="XDA2146"/>
      <c r="XDB2146"/>
      <c r="XDC2146"/>
      <c r="XDD2146"/>
      <c r="XDE2146"/>
      <c r="XDF2146"/>
      <c r="XDG2146"/>
      <c r="XDH2146"/>
      <c r="XDI2146"/>
      <c r="XDJ2146"/>
      <c r="XDK2146"/>
      <c r="XDL2146"/>
      <c r="XDM2146"/>
      <c r="XDN2146"/>
      <c r="XDO2146"/>
      <c r="XDP2146"/>
      <c r="XDQ2146"/>
      <c r="XDR2146"/>
      <c r="XDS2146"/>
      <c r="XDT2146"/>
      <c r="XDU2146"/>
      <c r="XDV2146"/>
      <c r="XDW2146"/>
      <c r="XDX2146"/>
      <c r="XDY2146"/>
      <c r="XDZ2146"/>
      <c r="XEA2146"/>
      <c r="XEB2146"/>
      <c r="XEC2146"/>
      <c r="XED2146"/>
      <c r="XEE2146"/>
      <c r="XEF2146"/>
      <c r="XEG2146"/>
      <c r="XEH2146"/>
      <c r="XEI2146"/>
      <c r="XEJ2146"/>
      <c r="XEK2146"/>
      <c r="XEL2146"/>
      <c r="XEM2146"/>
      <c r="XEN2146"/>
      <c r="XEO2146"/>
      <c r="XEP2146"/>
      <c r="XEQ2146"/>
      <c r="XER2146"/>
      <c r="XES2146"/>
      <c r="XET2146"/>
      <c r="XEU2146"/>
      <c r="XEV2146"/>
      <c r="XEW2146"/>
      <c r="XEX2146"/>
      <c r="XEY2146"/>
      <c r="XEZ2146"/>
      <c r="XFA2146"/>
      <c r="XFB2146"/>
      <c r="XFC2146"/>
    </row>
    <row r="2147" spans="1:20 16329:16383" s="38" customFormat="1" ht="29.1" customHeight="1" outlineLevel="6" x14ac:dyDescent="0.25">
      <c r="A2147" s="49" t="s">
        <v>3795</v>
      </c>
      <c r="B2147" s="50"/>
      <c r="C2147" s="50"/>
      <c r="D2147" s="3" t="s">
        <v>3796</v>
      </c>
      <c r="E2147" s="3"/>
      <c r="F2147" s="51"/>
      <c r="G2147" s="50" t="s">
        <v>29</v>
      </c>
      <c r="H2147" s="52">
        <f>1</f>
        <v>1</v>
      </c>
      <c r="I2147" s="36"/>
      <c r="J2147" s="52">
        <v>1</v>
      </c>
      <c r="K2147" s="53">
        <f>0</f>
        <v>0</v>
      </c>
      <c r="L2147" s="53">
        <f>0</f>
        <v>0</v>
      </c>
      <c r="M2147" s="53">
        <f>0</f>
        <v>0</v>
      </c>
      <c r="N2147" s="54">
        <f>SUM(K2147:M2147)</f>
        <v>0</v>
      </c>
      <c r="O2147" s="54">
        <f>ROUND((H2147*K2147),2)</f>
        <v>0</v>
      </c>
      <c r="P2147" s="54">
        <f>ROUND((H2147*L2147),2)</f>
        <v>0</v>
      </c>
      <c r="Q2147" s="54">
        <f>ROUND((H2147*M2147),2)</f>
        <v>0</v>
      </c>
      <c r="R2147" s="54">
        <f>ROUND((H2147*N2147),2)</f>
        <v>0</v>
      </c>
      <c r="S2147" s="54"/>
      <c r="T2147" s="36"/>
      <c r="XDA2147"/>
      <c r="XDB2147"/>
      <c r="XDC2147"/>
      <c r="XDD2147"/>
      <c r="XDE2147"/>
      <c r="XDF2147"/>
      <c r="XDG2147"/>
      <c r="XDH2147"/>
      <c r="XDI2147"/>
      <c r="XDJ2147"/>
      <c r="XDK2147"/>
      <c r="XDL2147"/>
      <c r="XDM2147"/>
      <c r="XDN2147"/>
      <c r="XDO2147"/>
      <c r="XDP2147"/>
      <c r="XDQ2147"/>
      <c r="XDR2147"/>
      <c r="XDS2147"/>
      <c r="XDT2147"/>
      <c r="XDU2147"/>
      <c r="XDV2147"/>
      <c r="XDW2147"/>
      <c r="XDX2147"/>
      <c r="XDY2147"/>
      <c r="XDZ2147"/>
      <c r="XEA2147"/>
      <c r="XEB2147"/>
      <c r="XEC2147"/>
      <c r="XED2147"/>
      <c r="XEE2147"/>
      <c r="XEF2147"/>
      <c r="XEG2147"/>
      <c r="XEH2147"/>
      <c r="XEI2147"/>
      <c r="XEJ2147"/>
      <c r="XEK2147"/>
      <c r="XEL2147"/>
      <c r="XEM2147"/>
      <c r="XEN2147"/>
      <c r="XEO2147"/>
      <c r="XEP2147"/>
      <c r="XEQ2147"/>
      <c r="XER2147"/>
      <c r="XES2147"/>
      <c r="XET2147"/>
      <c r="XEU2147"/>
      <c r="XEV2147"/>
      <c r="XEW2147"/>
      <c r="XEX2147"/>
      <c r="XEY2147"/>
      <c r="XEZ2147"/>
      <c r="XFA2147"/>
      <c r="XFB2147"/>
      <c r="XFC2147"/>
    </row>
    <row r="2148" spans="1:20 16329:16383" s="38" customFormat="1" ht="29.1" customHeight="1" outlineLevel="4" x14ac:dyDescent="0.25">
      <c r="A2148" s="60" t="s">
        <v>3797</v>
      </c>
      <c r="B2148" s="61" t="s">
        <v>3798</v>
      </c>
      <c r="C2148" s="61" t="s">
        <v>3799</v>
      </c>
      <c r="D2148" s="1" t="s">
        <v>3800</v>
      </c>
      <c r="E2148" s="1"/>
      <c r="F2148" s="62"/>
      <c r="G2148" s="61" t="s">
        <v>29</v>
      </c>
      <c r="H2148" s="63"/>
      <c r="I2148" s="36"/>
      <c r="J2148" s="63"/>
      <c r="K2148" s="64"/>
      <c r="L2148" s="64"/>
      <c r="M2148" s="64"/>
      <c r="N2148" s="64"/>
      <c r="O2148" s="64">
        <f>O2149+O2152+O2155+O2158+O2162</f>
        <v>0</v>
      </c>
      <c r="P2148" s="64">
        <f>P2149+P2152+P2155+P2158+P2162</f>
        <v>0</v>
      </c>
      <c r="Q2148" s="64">
        <f>Q2149+Q2152+Q2155+Q2158+Q2162</f>
        <v>0</v>
      </c>
      <c r="R2148" s="64">
        <f>R2149+R2152+R2155+R2158+R2162</f>
        <v>0</v>
      </c>
      <c r="S2148" s="64"/>
      <c r="T2148" s="36"/>
      <c r="XDA2148"/>
      <c r="XDB2148"/>
      <c r="XDC2148"/>
      <c r="XDD2148"/>
      <c r="XDE2148"/>
      <c r="XDF2148"/>
      <c r="XDG2148"/>
      <c r="XDH2148"/>
      <c r="XDI2148"/>
      <c r="XDJ2148"/>
      <c r="XDK2148"/>
      <c r="XDL2148"/>
      <c r="XDM2148"/>
      <c r="XDN2148"/>
      <c r="XDO2148"/>
      <c r="XDP2148"/>
      <c r="XDQ2148"/>
      <c r="XDR2148"/>
      <c r="XDS2148"/>
      <c r="XDT2148"/>
      <c r="XDU2148"/>
      <c r="XDV2148"/>
      <c r="XDW2148"/>
      <c r="XDX2148"/>
      <c r="XDY2148"/>
      <c r="XDZ2148"/>
      <c r="XEA2148"/>
      <c r="XEB2148"/>
      <c r="XEC2148"/>
      <c r="XED2148"/>
      <c r="XEE2148"/>
      <c r="XEF2148"/>
      <c r="XEG2148"/>
      <c r="XEH2148"/>
      <c r="XEI2148"/>
      <c r="XEJ2148"/>
      <c r="XEK2148"/>
      <c r="XEL2148"/>
      <c r="XEM2148"/>
      <c r="XEN2148"/>
      <c r="XEO2148"/>
      <c r="XEP2148"/>
      <c r="XEQ2148"/>
      <c r="XER2148"/>
      <c r="XES2148"/>
      <c r="XET2148"/>
      <c r="XEU2148"/>
      <c r="XEV2148"/>
      <c r="XEW2148"/>
      <c r="XEX2148"/>
      <c r="XEY2148"/>
      <c r="XEZ2148"/>
      <c r="XFA2148"/>
      <c r="XFB2148"/>
      <c r="XFC2148"/>
    </row>
    <row r="2149" spans="1:20 16329:16383" s="38" customFormat="1" ht="29.1" customHeight="1" outlineLevel="5" x14ac:dyDescent="0.25">
      <c r="A2149" s="65" t="s">
        <v>3801</v>
      </c>
      <c r="B2149" s="66" t="s">
        <v>3802</v>
      </c>
      <c r="C2149" s="66" t="s">
        <v>3803</v>
      </c>
      <c r="D2149" s="98" t="s">
        <v>3804</v>
      </c>
      <c r="E2149" s="98"/>
      <c r="F2149" s="67"/>
      <c r="G2149" s="66" t="s">
        <v>29</v>
      </c>
      <c r="H2149" s="68"/>
      <c r="I2149" s="36"/>
      <c r="J2149" s="68"/>
      <c r="K2149" s="69"/>
      <c r="L2149" s="69"/>
      <c r="M2149" s="69"/>
      <c r="N2149" s="69"/>
      <c r="O2149" s="69">
        <f>O2150+O2151</f>
        <v>0</v>
      </c>
      <c r="P2149" s="69">
        <f>P2150+P2151</f>
        <v>0</v>
      </c>
      <c r="Q2149" s="69">
        <f>Q2150+Q2151</f>
        <v>0</v>
      </c>
      <c r="R2149" s="69">
        <f>R2150+R2151</f>
        <v>0</v>
      </c>
      <c r="S2149" s="69"/>
      <c r="T2149" s="36"/>
      <c r="XDA2149"/>
      <c r="XDB2149"/>
      <c r="XDC2149"/>
      <c r="XDD2149"/>
      <c r="XDE2149"/>
      <c r="XDF2149"/>
      <c r="XDG2149"/>
      <c r="XDH2149"/>
      <c r="XDI2149"/>
      <c r="XDJ2149"/>
      <c r="XDK2149"/>
      <c r="XDL2149"/>
      <c r="XDM2149"/>
      <c r="XDN2149"/>
      <c r="XDO2149"/>
      <c r="XDP2149"/>
      <c r="XDQ2149"/>
      <c r="XDR2149"/>
      <c r="XDS2149"/>
      <c r="XDT2149"/>
      <c r="XDU2149"/>
      <c r="XDV2149"/>
      <c r="XDW2149"/>
      <c r="XDX2149"/>
      <c r="XDY2149"/>
      <c r="XDZ2149"/>
      <c r="XEA2149"/>
      <c r="XEB2149"/>
      <c r="XEC2149"/>
      <c r="XED2149"/>
      <c r="XEE2149"/>
      <c r="XEF2149"/>
      <c r="XEG2149"/>
      <c r="XEH2149"/>
      <c r="XEI2149"/>
      <c r="XEJ2149"/>
      <c r="XEK2149"/>
      <c r="XEL2149"/>
      <c r="XEM2149"/>
      <c r="XEN2149"/>
      <c r="XEO2149"/>
      <c r="XEP2149"/>
      <c r="XEQ2149"/>
      <c r="XER2149"/>
      <c r="XES2149"/>
      <c r="XET2149"/>
      <c r="XEU2149"/>
      <c r="XEV2149"/>
      <c r="XEW2149"/>
      <c r="XEX2149"/>
      <c r="XEY2149"/>
      <c r="XEZ2149"/>
      <c r="XFA2149"/>
      <c r="XFB2149"/>
      <c r="XFC2149"/>
    </row>
    <row r="2150" spans="1:20 16329:16383" s="38" customFormat="1" ht="29.1" customHeight="1" outlineLevel="6" x14ac:dyDescent="0.25">
      <c r="A2150" s="49" t="s">
        <v>3805</v>
      </c>
      <c r="B2150" s="50"/>
      <c r="C2150" s="50"/>
      <c r="D2150" s="3" t="s">
        <v>3806</v>
      </c>
      <c r="E2150" s="3"/>
      <c r="F2150" s="51"/>
      <c r="G2150" s="50" t="s">
        <v>29</v>
      </c>
      <c r="H2150" s="52">
        <f>1</f>
        <v>1</v>
      </c>
      <c r="I2150" s="36"/>
      <c r="J2150" s="52">
        <v>1</v>
      </c>
      <c r="K2150" s="53">
        <f>0</f>
        <v>0</v>
      </c>
      <c r="L2150" s="53">
        <f>0</f>
        <v>0</v>
      </c>
      <c r="M2150" s="53">
        <f>0</f>
        <v>0</v>
      </c>
      <c r="N2150" s="54">
        <f>SUM(K2150:M2150)</f>
        <v>0</v>
      </c>
      <c r="O2150" s="54">
        <f>ROUND((H2150*K2150),2)</f>
        <v>0</v>
      </c>
      <c r="P2150" s="54">
        <f>ROUND((H2150*L2150),2)</f>
        <v>0</v>
      </c>
      <c r="Q2150" s="54">
        <f>ROUND((H2150*M2150),2)</f>
        <v>0</v>
      </c>
      <c r="R2150" s="54">
        <f>ROUND((H2150*N2150),2)</f>
        <v>0</v>
      </c>
      <c r="S2150" s="54"/>
      <c r="T2150" s="36"/>
      <c r="XDA2150"/>
      <c r="XDB2150"/>
      <c r="XDC2150"/>
      <c r="XDD2150"/>
      <c r="XDE2150"/>
      <c r="XDF2150"/>
      <c r="XDG2150"/>
      <c r="XDH2150"/>
      <c r="XDI2150"/>
      <c r="XDJ2150"/>
      <c r="XDK2150"/>
      <c r="XDL2150"/>
      <c r="XDM2150"/>
      <c r="XDN2150"/>
      <c r="XDO2150"/>
      <c r="XDP2150"/>
      <c r="XDQ2150"/>
      <c r="XDR2150"/>
      <c r="XDS2150"/>
      <c r="XDT2150"/>
      <c r="XDU2150"/>
      <c r="XDV2150"/>
      <c r="XDW2150"/>
      <c r="XDX2150"/>
      <c r="XDY2150"/>
      <c r="XDZ2150"/>
      <c r="XEA2150"/>
      <c r="XEB2150"/>
      <c r="XEC2150"/>
      <c r="XED2150"/>
      <c r="XEE2150"/>
      <c r="XEF2150"/>
      <c r="XEG2150"/>
      <c r="XEH2150"/>
      <c r="XEI2150"/>
      <c r="XEJ2150"/>
      <c r="XEK2150"/>
      <c r="XEL2150"/>
      <c r="XEM2150"/>
      <c r="XEN2150"/>
      <c r="XEO2150"/>
      <c r="XEP2150"/>
      <c r="XEQ2150"/>
      <c r="XER2150"/>
      <c r="XES2150"/>
      <c r="XET2150"/>
      <c r="XEU2150"/>
      <c r="XEV2150"/>
      <c r="XEW2150"/>
      <c r="XEX2150"/>
      <c r="XEY2150"/>
      <c r="XEZ2150"/>
      <c r="XFA2150"/>
      <c r="XFB2150"/>
      <c r="XFC2150"/>
    </row>
    <row r="2151" spans="1:20 16329:16383" s="38" customFormat="1" ht="29.1" customHeight="1" outlineLevel="6" x14ac:dyDescent="0.25">
      <c r="A2151" s="49" t="s">
        <v>3807</v>
      </c>
      <c r="B2151" s="50"/>
      <c r="C2151" s="50"/>
      <c r="D2151" s="3" t="s">
        <v>3808</v>
      </c>
      <c r="E2151" s="3"/>
      <c r="F2151" s="51"/>
      <c r="G2151" s="50" t="s">
        <v>29</v>
      </c>
      <c r="H2151" s="52">
        <f>1</f>
        <v>1</v>
      </c>
      <c r="I2151" s="36"/>
      <c r="J2151" s="52">
        <v>1</v>
      </c>
      <c r="K2151" s="53">
        <f>0</f>
        <v>0</v>
      </c>
      <c r="L2151" s="53">
        <f>0</f>
        <v>0</v>
      </c>
      <c r="M2151" s="53">
        <f>0</f>
        <v>0</v>
      </c>
      <c r="N2151" s="54">
        <f>SUM(K2151:M2151)</f>
        <v>0</v>
      </c>
      <c r="O2151" s="54">
        <f>ROUND((H2151*K2151),2)</f>
        <v>0</v>
      </c>
      <c r="P2151" s="54">
        <f>ROUND((H2151*L2151),2)</f>
        <v>0</v>
      </c>
      <c r="Q2151" s="54">
        <f>ROUND((H2151*M2151),2)</f>
        <v>0</v>
      </c>
      <c r="R2151" s="54">
        <f>ROUND((H2151*N2151),2)</f>
        <v>0</v>
      </c>
      <c r="S2151" s="54"/>
      <c r="T2151" s="36"/>
      <c r="XDA2151"/>
      <c r="XDB2151"/>
      <c r="XDC2151"/>
      <c r="XDD2151"/>
      <c r="XDE2151"/>
      <c r="XDF2151"/>
      <c r="XDG2151"/>
      <c r="XDH2151"/>
      <c r="XDI2151"/>
      <c r="XDJ2151"/>
      <c r="XDK2151"/>
      <c r="XDL2151"/>
      <c r="XDM2151"/>
      <c r="XDN2151"/>
      <c r="XDO2151"/>
      <c r="XDP2151"/>
      <c r="XDQ2151"/>
      <c r="XDR2151"/>
      <c r="XDS2151"/>
      <c r="XDT2151"/>
      <c r="XDU2151"/>
      <c r="XDV2151"/>
      <c r="XDW2151"/>
      <c r="XDX2151"/>
      <c r="XDY2151"/>
      <c r="XDZ2151"/>
      <c r="XEA2151"/>
      <c r="XEB2151"/>
      <c r="XEC2151"/>
      <c r="XED2151"/>
      <c r="XEE2151"/>
      <c r="XEF2151"/>
      <c r="XEG2151"/>
      <c r="XEH2151"/>
      <c r="XEI2151"/>
      <c r="XEJ2151"/>
      <c r="XEK2151"/>
      <c r="XEL2151"/>
      <c r="XEM2151"/>
      <c r="XEN2151"/>
      <c r="XEO2151"/>
      <c r="XEP2151"/>
      <c r="XEQ2151"/>
      <c r="XER2151"/>
      <c r="XES2151"/>
      <c r="XET2151"/>
      <c r="XEU2151"/>
      <c r="XEV2151"/>
      <c r="XEW2151"/>
      <c r="XEX2151"/>
      <c r="XEY2151"/>
      <c r="XEZ2151"/>
      <c r="XFA2151"/>
      <c r="XFB2151"/>
      <c r="XFC2151"/>
    </row>
    <row r="2152" spans="1:20 16329:16383" s="38" customFormat="1" ht="29.1" customHeight="1" outlineLevel="5" x14ac:dyDescent="0.25">
      <c r="A2152" s="65" t="s">
        <v>3809</v>
      </c>
      <c r="B2152" s="66" t="s">
        <v>3810</v>
      </c>
      <c r="C2152" s="66" t="s">
        <v>3811</v>
      </c>
      <c r="D2152" s="98" t="s">
        <v>3812</v>
      </c>
      <c r="E2152" s="98"/>
      <c r="F2152" s="67"/>
      <c r="G2152" s="66" t="s">
        <v>29</v>
      </c>
      <c r="H2152" s="68"/>
      <c r="I2152" s="36"/>
      <c r="J2152" s="68"/>
      <c r="K2152" s="69"/>
      <c r="L2152" s="69"/>
      <c r="M2152" s="69"/>
      <c r="N2152" s="69"/>
      <c r="O2152" s="69">
        <f>O2153+O2154</f>
        <v>0</v>
      </c>
      <c r="P2152" s="69">
        <f>P2153+P2154</f>
        <v>0</v>
      </c>
      <c r="Q2152" s="69">
        <f>Q2153+Q2154</f>
        <v>0</v>
      </c>
      <c r="R2152" s="69">
        <f>R2153+R2154</f>
        <v>0</v>
      </c>
      <c r="S2152" s="69"/>
      <c r="T2152" s="36"/>
      <c r="XDA2152"/>
      <c r="XDB2152"/>
      <c r="XDC2152"/>
      <c r="XDD2152"/>
      <c r="XDE2152"/>
      <c r="XDF2152"/>
      <c r="XDG2152"/>
      <c r="XDH2152"/>
      <c r="XDI2152"/>
      <c r="XDJ2152"/>
      <c r="XDK2152"/>
      <c r="XDL2152"/>
      <c r="XDM2152"/>
      <c r="XDN2152"/>
      <c r="XDO2152"/>
      <c r="XDP2152"/>
      <c r="XDQ2152"/>
      <c r="XDR2152"/>
      <c r="XDS2152"/>
      <c r="XDT2152"/>
      <c r="XDU2152"/>
      <c r="XDV2152"/>
      <c r="XDW2152"/>
      <c r="XDX2152"/>
      <c r="XDY2152"/>
      <c r="XDZ2152"/>
      <c r="XEA2152"/>
      <c r="XEB2152"/>
      <c r="XEC2152"/>
      <c r="XED2152"/>
      <c r="XEE2152"/>
      <c r="XEF2152"/>
      <c r="XEG2152"/>
      <c r="XEH2152"/>
      <c r="XEI2152"/>
      <c r="XEJ2152"/>
      <c r="XEK2152"/>
      <c r="XEL2152"/>
      <c r="XEM2152"/>
      <c r="XEN2152"/>
      <c r="XEO2152"/>
      <c r="XEP2152"/>
      <c r="XEQ2152"/>
      <c r="XER2152"/>
      <c r="XES2152"/>
      <c r="XET2152"/>
      <c r="XEU2152"/>
      <c r="XEV2152"/>
      <c r="XEW2152"/>
      <c r="XEX2152"/>
      <c r="XEY2152"/>
      <c r="XEZ2152"/>
      <c r="XFA2152"/>
      <c r="XFB2152"/>
      <c r="XFC2152"/>
    </row>
    <row r="2153" spans="1:20 16329:16383" s="38" customFormat="1" ht="29.1" customHeight="1" outlineLevel="6" x14ac:dyDescent="0.25">
      <c r="A2153" s="49" t="s">
        <v>3813</v>
      </c>
      <c r="B2153" s="50"/>
      <c r="C2153" s="50"/>
      <c r="D2153" s="3" t="s">
        <v>3814</v>
      </c>
      <c r="E2153" s="3"/>
      <c r="F2153" s="51"/>
      <c r="G2153" s="50" t="s">
        <v>29</v>
      </c>
      <c r="H2153" s="52">
        <f>1</f>
        <v>1</v>
      </c>
      <c r="I2153" s="36"/>
      <c r="J2153" s="52">
        <v>1</v>
      </c>
      <c r="K2153" s="53">
        <f>0</f>
        <v>0</v>
      </c>
      <c r="L2153" s="53">
        <f>0</f>
        <v>0</v>
      </c>
      <c r="M2153" s="53">
        <f>0</f>
        <v>0</v>
      </c>
      <c r="N2153" s="54">
        <f>SUM(K2153:M2153)</f>
        <v>0</v>
      </c>
      <c r="O2153" s="54">
        <f>ROUND((H2153*K2153),2)</f>
        <v>0</v>
      </c>
      <c r="P2153" s="54">
        <f>ROUND((H2153*L2153),2)</f>
        <v>0</v>
      </c>
      <c r="Q2153" s="54">
        <f>ROUND((H2153*M2153),2)</f>
        <v>0</v>
      </c>
      <c r="R2153" s="54">
        <f>ROUND((H2153*N2153),2)</f>
        <v>0</v>
      </c>
      <c r="S2153" s="54"/>
      <c r="T2153" s="36"/>
      <c r="XDA2153"/>
      <c r="XDB2153"/>
      <c r="XDC2153"/>
      <c r="XDD2153"/>
      <c r="XDE2153"/>
      <c r="XDF2153"/>
      <c r="XDG2153"/>
      <c r="XDH2153"/>
      <c r="XDI2153"/>
      <c r="XDJ2153"/>
      <c r="XDK2153"/>
      <c r="XDL2153"/>
      <c r="XDM2153"/>
      <c r="XDN2153"/>
      <c r="XDO2153"/>
      <c r="XDP2153"/>
      <c r="XDQ2153"/>
      <c r="XDR2153"/>
      <c r="XDS2153"/>
      <c r="XDT2153"/>
      <c r="XDU2153"/>
      <c r="XDV2153"/>
      <c r="XDW2153"/>
      <c r="XDX2153"/>
      <c r="XDY2153"/>
      <c r="XDZ2153"/>
      <c r="XEA2153"/>
      <c r="XEB2153"/>
      <c r="XEC2153"/>
      <c r="XED2153"/>
      <c r="XEE2153"/>
      <c r="XEF2153"/>
      <c r="XEG2153"/>
      <c r="XEH2153"/>
      <c r="XEI2153"/>
      <c r="XEJ2153"/>
      <c r="XEK2153"/>
      <c r="XEL2153"/>
      <c r="XEM2153"/>
      <c r="XEN2153"/>
      <c r="XEO2153"/>
      <c r="XEP2153"/>
      <c r="XEQ2153"/>
      <c r="XER2153"/>
      <c r="XES2153"/>
      <c r="XET2153"/>
      <c r="XEU2153"/>
      <c r="XEV2153"/>
      <c r="XEW2153"/>
      <c r="XEX2153"/>
      <c r="XEY2153"/>
      <c r="XEZ2153"/>
      <c r="XFA2153"/>
      <c r="XFB2153"/>
      <c r="XFC2153"/>
    </row>
    <row r="2154" spans="1:20 16329:16383" s="38" customFormat="1" ht="29.1" customHeight="1" outlineLevel="6" x14ac:dyDescent="0.25">
      <c r="A2154" s="49" t="s">
        <v>3815</v>
      </c>
      <c r="B2154" s="50"/>
      <c r="C2154" s="50"/>
      <c r="D2154" s="3" t="s">
        <v>3816</v>
      </c>
      <c r="E2154" s="3"/>
      <c r="F2154" s="51"/>
      <c r="G2154" s="50" t="s">
        <v>29</v>
      </c>
      <c r="H2154" s="52">
        <f>1</f>
        <v>1</v>
      </c>
      <c r="I2154" s="36"/>
      <c r="J2154" s="52">
        <v>1</v>
      </c>
      <c r="K2154" s="53">
        <f>0</f>
        <v>0</v>
      </c>
      <c r="L2154" s="53">
        <f>0</f>
        <v>0</v>
      </c>
      <c r="M2154" s="53">
        <f>0</f>
        <v>0</v>
      </c>
      <c r="N2154" s="54">
        <f>SUM(K2154:M2154)</f>
        <v>0</v>
      </c>
      <c r="O2154" s="54">
        <f>ROUND((H2154*K2154),2)</f>
        <v>0</v>
      </c>
      <c r="P2154" s="54">
        <f>ROUND((H2154*L2154),2)</f>
        <v>0</v>
      </c>
      <c r="Q2154" s="54">
        <f>ROUND((H2154*M2154),2)</f>
        <v>0</v>
      </c>
      <c r="R2154" s="54">
        <f>ROUND((H2154*N2154),2)</f>
        <v>0</v>
      </c>
      <c r="S2154" s="54"/>
      <c r="T2154" s="36"/>
      <c r="XDA2154"/>
      <c r="XDB2154"/>
      <c r="XDC2154"/>
      <c r="XDD2154"/>
      <c r="XDE2154"/>
      <c r="XDF2154"/>
      <c r="XDG2154"/>
      <c r="XDH2154"/>
      <c r="XDI2154"/>
      <c r="XDJ2154"/>
      <c r="XDK2154"/>
      <c r="XDL2154"/>
      <c r="XDM2154"/>
      <c r="XDN2154"/>
      <c r="XDO2154"/>
      <c r="XDP2154"/>
      <c r="XDQ2154"/>
      <c r="XDR2154"/>
      <c r="XDS2154"/>
      <c r="XDT2154"/>
      <c r="XDU2154"/>
      <c r="XDV2154"/>
      <c r="XDW2154"/>
      <c r="XDX2154"/>
      <c r="XDY2154"/>
      <c r="XDZ2154"/>
      <c r="XEA2154"/>
      <c r="XEB2154"/>
      <c r="XEC2154"/>
      <c r="XED2154"/>
      <c r="XEE2154"/>
      <c r="XEF2154"/>
      <c r="XEG2154"/>
      <c r="XEH2154"/>
      <c r="XEI2154"/>
      <c r="XEJ2154"/>
      <c r="XEK2154"/>
      <c r="XEL2154"/>
      <c r="XEM2154"/>
      <c r="XEN2154"/>
      <c r="XEO2154"/>
      <c r="XEP2154"/>
      <c r="XEQ2154"/>
      <c r="XER2154"/>
      <c r="XES2154"/>
      <c r="XET2154"/>
      <c r="XEU2154"/>
      <c r="XEV2154"/>
      <c r="XEW2154"/>
      <c r="XEX2154"/>
      <c r="XEY2154"/>
      <c r="XEZ2154"/>
      <c r="XFA2154"/>
      <c r="XFB2154"/>
      <c r="XFC2154"/>
    </row>
    <row r="2155" spans="1:20 16329:16383" s="38" customFormat="1" ht="29.1" customHeight="1" outlineLevel="5" x14ac:dyDescent="0.25">
      <c r="A2155" s="65" t="s">
        <v>3817</v>
      </c>
      <c r="B2155" s="66" t="s">
        <v>3818</v>
      </c>
      <c r="C2155" s="66" t="s">
        <v>3811</v>
      </c>
      <c r="D2155" s="98" t="s">
        <v>3819</v>
      </c>
      <c r="E2155" s="98"/>
      <c r="F2155" s="67"/>
      <c r="G2155" s="66" t="s">
        <v>29</v>
      </c>
      <c r="H2155" s="68"/>
      <c r="I2155" s="36"/>
      <c r="J2155" s="68"/>
      <c r="K2155" s="69"/>
      <c r="L2155" s="69"/>
      <c r="M2155" s="69"/>
      <c r="N2155" s="69"/>
      <c r="O2155" s="69">
        <f>O2156+O2157</f>
        <v>0</v>
      </c>
      <c r="P2155" s="69">
        <f>P2156+P2157</f>
        <v>0</v>
      </c>
      <c r="Q2155" s="69">
        <f>Q2156+Q2157</f>
        <v>0</v>
      </c>
      <c r="R2155" s="69">
        <f>R2156+R2157</f>
        <v>0</v>
      </c>
      <c r="S2155" s="69"/>
      <c r="T2155" s="36"/>
      <c r="XDA2155"/>
      <c r="XDB2155"/>
      <c r="XDC2155"/>
      <c r="XDD2155"/>
      <c r="XDE2155"/>
      <c r="XDF2155"/>
      <c r="XDG2155"/>
      <c r="XDH2155"/>
      <c r="XDI2155"/>
      <c r="XDJ2155"/>
      <c r="XDK2155"/>
      <c r="XDL2155"/>
      <c r="XDM2155"/>
      <c r="XDN2155"/>
      <c r="XDO2155"/>
      <c r="XDP2155"/>
      <c r="XDQ2155"/>
      <c r="XDR2155"/>
      <c r="XDS2155"/>
      <c r="XDT2155"/>
      <c r="XDU2155"/>
      <c r="XDV2155"/>
      <c r="XDW2155"/>
      <c r="XDX2155"/>
      <c r="XDY2155"/>
      <c r="XDZ2155"/>
      <c r="XEA2155"/>
      <c r="XEB2155"/>
      <c r="XEC2155"/>
      <c r="XED2155"/>
      <c r="XEE2155"/>
      <c r="XEF2155"/>
      <c r="XEG2155"/>
      <c r="XEH2155"/>
      <c r="XEI2155"/>
      <c r="XEJ2155"/>
      <c r="XEK2155"/>
      <c r="XEL2155"/>
      <c r="XEM2155"/>
      <c r="XEN2155"/>
      <c r="XEO2155"/>
      <c r="XEP2155"/>
      <c r="XEQ2155"/>
      <c r="XER2155"/>
      <c r="XES2155"/>
      <c r="XET2155"/>
      <c r="XEU2155"/>
      <c r="XEV2155"/>
      <c r="XEW2155"/>
      <c r="XEX2155"/>
      <c r="XEY2155"/>
      <c r="XEZ2155"/>
      <c r="XFA2155"/>
      <c r="XFB2155"/>
      <c r="XFC2155"/>
    </row>
    <row r="2156" spans="1:20 16329:16383" s="38" customFormat="1" ht="29.1" customHeight="1" outlineLevel="6" x14ac:dyDescent="0.25">
      <c r="A2156" s="49" t="s">
        <v>3820</v>
      </c>
      <c r="B2156" s="50"/>
      <c r="C2156" s="50"/>
      <c r="D2156" s="3" t="s">
        <v>3821</v>
      </c>
      <c r="E2156" s="3"/>
      <c r="F2156" s="51"/>
      <c r="G2156" s="50" t="s">
        <v>29</v>
      </c>
      <c r="H2156" s="52">
        <f>1</f>
        <v>1</v>
      </c>
      <c r="I2156" s="36"/>
      <c r="J2156" s="52">
        <v>1</v>
      </c>
      <c r="K2156" s="53">
        <f>0</f>
        <v>0</v>
      </c>
      <c r="L2156" s="53">
        <f>0</f>
        <v>0</v>
      </c>
      <c r="M2156" s="53">
        <f>0</f>
        <v>0</v>
      </c>
      <c r="N2156" s="54">
        <f>SUM(K2156:M2156)</f>
        <v>0</v>
      </c>
      <c r="O2156" s="54">
        <f>ROUND((H2156*K2156),2)</f>
        <v>0</v>
      </c>
      <c r="P2156" s="54">
        <f>ROUND((H2156*L2156),2)</f>
        <v>0</v>
      </c>
      <c r="Q2156" s="54">
        <f>ROUND((H2156*M2156),2)</f>
        <v>0</v>
      </c>
      <c r="R2156" s="54">
        <f>ROUND((H2156*N2156),2)</f>
        <v>0</v>
      </c>
      <c r="S2156" s="54"/>
      <c r="T2156" s="36"/>
      <c r="XDA2156"/>
      <c r="XDB2156"/>
      <c r="XDC2156"/>
      <c r="XDD2156"/>
      <c r="XDE2156"/>
      <c r="XDF2156"/>
      <c r="XDG2156"/>
      <c r="XDH2156"/>
      <c r="XDI2156"/>
      <c r="XDJ2156"/>
      <c r="XDK2156"/>
      <c r="XDL2156"/>
      <c r="XDM2156"/>
      <c r="XDN2156"/>
      <c r="XDO2156"/>
      <c r="XDP2156"/>
      <c r="XDQ2156"/>
      <c r="XDR2156"/>
      <c r="XDS2156"/>
      <c r="XDT2156"/>
      <c r="XDU2156"/>
      <c r="XDV2156"/>
      <c r="XDW2156"/>
      <c r="XDX2156"/>
      <c r="XDY2156"/>
      <c r="XDZ2156"/>
      <c r="XEA2156"/>
      <c r="XEB2156"/>
      <c r="XEC2156"/>
      <c r="XED2156"/>
      <c r="XEE2156"/>
      <c r="XEF2156"/>
      <c r="XEG2156"/>
      <c r="XEH2156"/>
      <c r="XEI2156"/>
      <c r="XEJ2156"/>
      <c r="XEK2156"/>
      <c r="XEL2156"/>
      <c r="XEM2156"/>
      <c r="XEN2156"/>
      <c r="XEO2156"/>
      <c r="XEP2156"/>
      <c r="XEQ2156"/>
      <c r="XER2156"/>
      <c r="XES2156"/>
      <c r="XET2156"/>
      <c r="XEU2156"/>
      <c r="XEV2156"/>
      <c r="XEW2156"/>
      <c r="XEX2156"/>
      <c r="XEY2156"/>
      <c r="XEZ2156"/>
      <c r="XFA2156"/>
      <c r="XFB2156"/>
      <c r="XFC2156"/>
    </row>
    <row r="2157" spans="1:20 16329:16383" s="38" customFormat="1" ht="29.1" customHeight="1" outlineLevel="6" x14ac:dyDescent="0.25">
      <c r="A2157" s="49" t="s">
        <v>3822</v>
      </c>
      <c r="B2157" s="50"/>
      <c r="C2157" s="50"/>
      <c r="D2157" s="3" t="s">
        <v>3823</v>
      </c>
      <c r="E2157" s="3"/>
      <c r="F2157" s="51"/>
      <c r="G2157" s="50" t="s">
        <v>29</v>
      </c>
      <c r="H2157" s="52">
        <f>1</f>
        <v>1</v>
      </c>
      <c r="I2157" s="36"/>
      <c r="J2157" s="52">
        <v>1</v>
      </c>
      <c r="K2157" s="53">
        <f>0</f>
        <v>0</v>
      </c>
      <c r="L2157" s="53">
        <f>0</f>
        <v>0</v>
      </c>
      <c r="M2157" s="53">
        <f>0</f>
        <v>0</v>
      </c>
      <c r="N2157" s="54">
        <f>SUM(K2157:M2157)</f>
        <v>0</v>
      </c>
      <c r="O2157" s="54">
        <f>ROUND((H2157*K2157),2)</f>
        <v>0</v>
      </c>
      <c r="P2157" s="54">
        <f>ROUND((H2157*L2157),2)</f>
        <v>0</v>
      </c>
      <c r="Q2157" s="54">
        <f>ROUND((H2157*M2157),2)</f>
        <v>0</v>
      </c>
      <c r="R2157" s="54">
        <f>ROUND((H2157*N2157),2)</f>
        <v>0</v>
      </c>
      <c r="S2157" s="54"/>
      <c r="T2157" s="36"/>
      <c r="XDA2157"/>
      <c r="XDB2157"/>
      <c r="XDC2157"/>
      <c r="XDD2157"/>
      <c r="XDE2157"/>
      <c r="XDF2157"/>
      <c r="XDG2157"/>
      <c r="XDH2157"/>
      <c r="XDI2157"/>
      <c r="XDJ2157"/>
      <c r="XDK2157"/>
      <c r="XDL2157"/>
      <c r="XDM2157"/>
      <c r="XDN2157"/>
      <c r="XDO2157"/>
      <c r="XDP2157"/>
      <c r="XDQ2157"/>
      <c r="XDR2157"/>
      <c r="XDS2157"/>
      <c r="XDT2157"/>
      <c r="XDU2157"/>
      <c r="XDV2157"/>
      <c r="XDW2157"/>
      <c r="XDX2157"/>
      <c r="XDY2157"/>
      <c r="XDZ2157"/>
      <c r="XEA2157"/>
      <c r="XEB2157"/>
      <c r="XEC2157"/>
      <c r="XED2157"/>
      <c r="XEE2157"/>
      <c r="XEF2157"/>
      <c r="XEG2157"/>
      <c r="XEH2157"/>
      <c r="XEI2157"/>
      <c r="XEJ2157"/>
      <c r="XEK2157"/>
      <c r="XEL2157"/>
      <c r="XEM2157"/>
      <c r="XEN2157"/>
      <c r="XEO2157"/>
      <c r="XEP2157"/>
      <c r="XEQ2157"/>
      <c r="XER2157"/>
      <c r="XES2157"/>
      <c r="XET2157"/>
      <c r="XEU2157"/>
      <c r="XEV2157"/>
      <c r="XEW2157"/>
      <c r="XEX2157"/>
      <c r="XEY2157"/>
      <c r="XEZ2157"/>
      <c r="XFA2157"/>
      <c r="XFB2157"/>
      <c r="XFC2157"/>
    </row>
    <row r="2158" spans="1:20 16329:16383" s="38" customFormat="1" ht="29.1" customHeight="1" outlineLevel="5" x14ac:dyDescent="0.25">
      <c r="A2158" s="65" t="s">
        <v>3824</v>
      </c>
      <c r="B2158" s="66" t="s">
        <v>3825</v>
      </c>
      <c r="C2158" s="66" t="s">
        <v>3826</v>
      </c>
      <c r="D2158" s="98" t="s">
        <v>3827</v>
      </c>
      <c r="E2158" s="98"/>
      <c r="F2158" s="67"/>
      <c r="G2158" s="66" t="s">
        <v>3285</v>
      </c>
      <c r="H2158" s="68"/>
      <c r="I2158" s="36"/>
      <c r="J2158" s="68"/>
      <c r="K2158" s="69"/>
      <c r="L2158" s="69"/>
      <c r="M2158" s="69"/>
      <c r="N2158" s="69"/>
      <c r="O2158" s="69">
        <f>SUM(O2159:O2161)</f>
        <v>0</v>
      </c>
      <c r="P2158" s="69">
        <f>SUM(P2159:P2161)</f>
        <v>0</v>
      </c>
      <c r="Q2158" s="69">
        <f>SUM(Q2159:Q2161)</f>
        <v>0</v>
      </c>
      <c r="R2158" s="69">
        <f>SUM(R2159:R2161)</f>
        <v>0</v>
      </c>
      <c r="S2158" s="69"/>
      <c r="T2158" s="36"/>
      <c r="XDA2158"/>
      <c r="XDB2158"/>
      <c r="XDC2158"/>
      <c r="XDD2158"/>
      <c r="XDE2158"/>
      <c r="XDF2158"/>
      <c r="XDG2158"/>
      <c r="XDH2158"/>
      <c r="XDI2158"/>
      <c r="XDJ2158"/>
      <c r="XDK2158"/>
      <c r="XDL2158"/>
      <c r="XDM2158"/>
      <c r="XDN2158"/>
      <c r="XDO2158"/>
      <c r="XDP2158"/>
      <c r="XDQ2158"/>
      <c r="XDR2158"/>
      <c r="XDS2158"/>
      <c r="XDT2158"/>
      <c r="XDU2158"/>
      <c r="XDV2158"/>
      <c r="XDW2158"/>
      <c r="XDX2158"/>
      <c r="XDY2158"/>
      <c r="XDZ2158"/>
      <c r="XEA2158"/>
      <c r="XEB2158"/>
      <c r="XEC2158"/>
      <c r="XED2158"/>
      <c r="XEE2158"/>
      <c r="XEF2158"/>
      <c r="XEG2158"/>
      <c r="XEH2158"/>
      <c r="XEI2158"/>
      <c r="XEJ2158"/>
      <c r="XEK2158"/>
      <c r="XEL2158"/>
      <c r="XEM2158"/>
      <c r="XEN2158"/>
      <c r="XEO2158"/>
      <c r="XEP2158"/>
      <c r="XEQ2158"/>
      <c r="XER2158"/>
      <c r="XES2158"/>
      <c r="XET2158"/>
      <c r="XEU2158"/>
      <c r="XEV2158"/>
      <c r="XEW2158"/>
      <c r="XEX2158"/>
      <c r="XEY2158"/>
      <c r="XEZ2158"/>
      <c r="XFA2158"/>
      <c r="XFB2158"/>
      <c r="XFC2158"/>
    </row>
    <row r="2159" spans="1:20 16329:16383" s="38" customFormat="1" ht="29.1" customHeight="1" outlineLevel="6" x14ac:dyDescent="0.25">
      <c r="A2159" s="49" t="s">
        <v>3828</v>
      </c>
      <c r="B2159" s="50"/>
      <c r="C2159" s="50"/>
      <c r="D2159" s="3" t="s">
        <v>3829</v>
      </c>
      <c r="E2159" s="3"/>
      <c r="F2159" s="51"/>
      <c r="G2159" s="50" t="s">
        <v>29</v>
      </c>
      <c r="H2159" s="52">
        <f>1</f>
        <v>1</v>
      </c>
      <c r="I2159" s="36"/>
      <c r="J2159" s="52">
        <v>1</v>
      </c>
      <c r="K2159" s="53">
        <f>0</f>
        <v>0</v>
      </c>
      <c r="L2159" s="53">
        <f>0</f>
        <v>0</v>
      </c>
      <c r="M2159" s="53">
        <f>0</f>
        <v>0</v>
      </c>
      <c r="N2159" s="54">
        <f>SUM(K2159:M2159)</f>
        <v>0</v>
      </c>
      <c r="O2159" s="54">
        <f>ROUND((H2159*K2159),2)</f>
        <v>0</v>
      </c>
      <c r="P2159" s="54">
        <f>ROUND((H2159*L2159),2)</f>
        <v>0</v>
      </c>
      <c r="Q2159" s="54">
        <f>ROUND((H2159*M2159),2)</f>
        <v>0</v>
      </c>
      <c r="R2159" s="54">
        <f>ROUND((H2159*N2159),2)</f>
        <v>0</v>
      </c>
      <c r="S2159" s="54"/>
      <c r="T2159" s="36"/>
      <c r="XDA2159"/>
      <c r="XDB2159"/>
      <c r="XDC2159"/>
      <c r="XDD2159"/>
      <c r="XDE2159"/>
      <c r="XDF2159"/>
      <c r="XDG2159"/>
      <c r="XDH2159"/>
      <c r="XDI2159"/>
      <c r="XDJ2159"/>
      <c r="XDK2159"/>
      <c r="XDL2159"/>
      <c r="XDM2159"/>
      <c r="XDN2159"/>
      <c r="XDO2159"/>
      <c r="XDP2159"/>
      <c r="XDQ2159"/>
      <c r="XDR2159"/>
      <c r="XDS2159"/>
      <c r="XDT2159"/>
      <c r="XDU2159"/>
      <c r="XDV2159"/>
      <c r="XDW2159"/>
      <c r="XDX2159"/>
      <c r="XDY2159"/>
      <c r="XDZ2159"/>
      <c r="XEA2159"/>
      <c r="XEB2159"/>
      <c r="XEC2159"/>
      <c r="XED2159"/>
      <c r="XEE2159"/>
      <c r="XEF2159"/>
      <c r="XEG2159"/>
      <c r="XEH2159"/>
      <c r="XEI2159"/>
      <c r="XEJ2159"/>
      <c r="XEK2159"/>
      <c r="XEL2159"/>
      <c r="XEM2159"/>
      <c r="XEN2159"/>
      <c r="XEO2159"/>
      <c r="XEP2159"/>
      <c r="XEQ2159"/>
      <c r="XER2159"/>
      <c r="XES2159"/>
      <c r="XET2159"/>
      <c r="XEU2159"/>
      <c r="XEV2159"/>
      <c r="XEW2159"/>
      <c r="XEX2159"/>
      <c r="XEY2159"/>
      <c r="XEZ2159"/>
      <c r="XFA2159"/>
      <c r="XFB2159"/>
      <c r="XFC2159"/>
    </row>
    <row r="2160" spans="1:20 16329:16383" s="38" customFormat="1" ht="29.1" customHeight="1" outlineLevel="6" x14ac:dyDescent="0.25">
      <c r="A2160" s="49" t="s">
        <v>3830</v>
      </c>
      <c r="B2160" s="50"/>
      <c r="C2160" s="50"/>
      <c r="D2160" s="3" t="s">
        <v>3831</v>
      </c>
      <c r="E2160" s="3"/>
      <c r="F2160" s="51"/>
      <c r="G2160" s="50" t="s">
        <v>29</v>
      </c>
      <c r="H2160" s="52">
        <f>1</f>
        <v>1</v>
      </c>
      <c r="I2160" s="36"/>
      <c r="J2160" s="52">
        <v>1</v>
      </c>
      <c r="K2160" s="53">
        <f>0</f>
        <v>0</v>
      </c>
      <c r="L2160" s="53">
        <f>0</f>
        <v>0</v>
      </c>
      <c r="M2160" s="53">
        <f>0</f>
        <v>0</v>
      </c>
      <c r="N2160" s="54">
        <f>SUM(K2160:M2160)</f>
        <v>0</v>
      </c>
      <c r="O2160" s="54">
        <f>ROUND((H2160*K2160),2)</f>
        <v>0</v>
      </c>
      <c r="P2160" s="54">
        <f>ROUND((H2160*L2160),2)</f>
        <v>0</v>
      </c>
      <c r="Q2160" s="54">
        <f>ROUND((H2160*M2160),2)</f>
        <v>0</v>
      </c>
      <c r="R2160" s="54">
        <f>ROUND((H2160*N2160),2)</f>
        <v>0</v>
      </c>
      <c r="S2160" s="54"/>
      <c r="T2160" s="36"/>
      <c r="XDA2160"/>
      <c r="XDB2160"/>
      <c r="XDC2160"/>
      <c r="XDD2160"/>
      <c r="XDE2160"/>
      <c r="XDF2160"/>
      <c r="XDG2160"/>
      <c r="XDH2160"/>
      <c r="XDI2160"/>
      <c r="XDJ2160"/>
      <c r="XDK2160"/>
      <c r="XDL2160"/>
      <c r="XDM2160"/>
      <c r="XDN2160"/>
      <c r="XDO2160"/>
      <c r="XDP2160"/>
      <c r="XDQ2160"/>
      <c r="XDR2160"/>
      <c r="XDS2160"/>
      <c r="XDT2160"/>
      <c r="XDU2160"/>
      <c r="XDV2160"/>
      <c r="XDW2160"/>
      <c r="XDX2160"/>
      <c r="XDY2160"/>
      <c r="XDZ2160"/>
      <c r="XEA2160"/>
      <c r="XEB2160"/>
      <c r="XEC2160"/>
      <c r="XED2160"/>
      <c r="XEE2160"/>
      <c r="XEF2160"/>
      <c r="XEG2160"/>
      <c r="XEH2160"/>
      <c r="XEI2160"/>
      <c r="XEJ2160"/>
      <c r="XEK2160"/>
      <c r="XEL2160"/>
      <c r="XEM2160"/>
      <c r="XEN2160"/>
      <c r="XEO2160"/>
      <c r="XEP2160"/>
      <c r="XEQ2160"/>
      <c r="XER2160"/>
      <c r="XES2160"/>
      <c r="XET2160"/>
      <c r="XEU2160"/>
      <c r="XEV2160"/>
      <c r="XEW2160"/>
      <c r="XEX2160"/>
      <c r="XEY2160"/>
      <c r="XEZ2160"/>
      <c r="XFA2160"/>
      <c r="XFB2160"/>
      <c r="XFC2160"/>
    </row>
    <row r="2161" spans="1:20 16329:16383" s="38" customFormat="1" ht="29.1" customHeight="1" outlineLevel="6" x14ac:dyDescent="0.25">
      <c r="A2161" s="49" t="s">
        <v>3832</v>
      </c>
      <c r="B2161" s="50"/>
      <c r="C2161" s="50"/>
      <c r="D2161" s="3" t="s">
        <v>3833</v>
      </c>
      <c r="E2161" s="3"/>
      <c r="F2161" s="51"/>
      <c r="G2161" s="50" t="s">
        <v>29</v>
      </c>
      <c r="H2161" s="52">
        <f>1</f>
        <v>1</v>
      </c>
      <c r="I2161" s="36"/>
      <c r="J2161" s="52">
        <v>1</v>
      </c>
      <c r="K2161" s="53">
        <f>0</f>
        <v>0</v>
      </c>
      <c r="L2161" s="53">
        <f>0</f>
        <v>0</v>
      </c>
      <c r="M2161" s="53">
        <f>0</f>
        <v>0</v>
      </c>
      <c r="N2161" s="54">
        <f>SUM(K2161:M2161)</f>
        <v>0</v>
      </c>
      <c r="O2161" s="54">
        <f>ROUND((H2161*K2161),2)</f>
        <v>0</v>
      </c>
      <c r="P2161" s="54">
        <f>ROUND((H2161*L2161),2)</f>
        <v>0</v>
      </c>
      <c r="Q2161" s="54">
        <f>ROUND((H2161*M2161),2)</f>
        <v>0</v>
      </c>
      <c r="R2161" s="54">
        <f>ROUND((H2161*N2161),2)</f>
        <v>0</v>
      </c>
      <c r="S2161" s="54"/>
      <c r="T2161" s="36"/>
      <c r="XDA2161"/>
      <c r="XDB2161"/>
      <c r="XDC2161"/>
      <c r="XDD2161"/>
      <c r="XDE2161"/>
      <c r="XDF2161"/>
      <c r="XDG2161"/>
      <c r="XDH2161"/>
      <c r="XDI2161"/>
      <c r="XDJ2161"/>
      <c r="XDK2161"/>
      <c r="XDL2161"/>
      <c r="XDM2161"/>
      <c r="XDN2161"/>
      <c r="XDO2161"/>
      <c r="XDP2161"/>
      <c r="XDQ2161"/>
      <c r="XDR2161"/>
      <c r="XDS2161"/>
      <c r="XDT2161"/>
      <c r="XDU2161"/>
      <c r="XDV2161"/>
      <c r="XDW2161"/>
      <c r="XDX2161"/>
      <c r="XDY2161"/>
      <c r="XDZ2161"/>
      <c r="XEA2161"/>
      <c r="XEB2161"/>
      <c r="XEC2161"/>
      <c r="XED2161"/>
      <c r="XEE2161"/>
      <c r="XEF2161"/>
      <c r="XEG2161"/>
      <c r="XEH2161"/>
      <c r="XEI2161"/>
      <c r="XEJ2161"/>
      <c r="XEK2161"/>
      <c r="XEL2161"/>
      <c r="XEM2161"/>
      <c r="XEN2161"/>
      <c r="XEO2161"/>
      <c r="XEP2161"/>
      <c r="XEQ2161"/>
      <c r="XER2161"/>
      <c r="XES2161"/>
      <c r="XET2161"/>
      <c r="XEU2161"/>
      <c r="XEV2161"/>
      <c r="XEW2161"/>
      <c r="XEX2161"/>
      <c r="XEY2161"/>
      <c r="XEZ2161"/>
      <c r="XFA2161"/>
      <c r="XFB2161"/>
      <c r="XFC2161"/>
    </row>
    <row r="2162" spans="1:20 16329:16383" s="38" customFormat="1" ht="29.1" customHeight="1" outlineLevel="5" x14ac:dyDescent="0.25">
      <c r="A2162" s="65" t="s">
        <v>3834</v>
      </c>
      <c r="B2162" s="66" t="s">
        <v>3835</v>
      </c>
      <c r="C2162" s="66" t="s">
        <v>3836</v>
      </c>
      <c r="D2162" s="98" t="s">
        <v>3837</v>
      </c>
      <c r="E2162" s="98"/>
      <c r="F2162" s="67"/>
      <c r="G2162" s="66" t="s">
        <v>29</v>
      </c>
      <c r="H2162" s="68"/>
      <c r="I2162" s="36"/>
      <c r="J2162" s="68"/>
      <c r="K2162" s="69"/>
      <c r="L2162" s="69"/>
      <c r="M2162" s="69"/>
      <c r="N2162" s="69"/>
      <c r="O2162" s="69">
        <f>O2163</f>
        <v>0</v>
      </c>
      <c r="P2162" s="69">
        <f>P2163</f>
        <v>0</v>
      </c>
      <c r="Q2162" s="69">
        <f>Q2163</f>
        <v>0</v>
      </c>
      <c r="R2162" s="69">
        <f>R2163</f>
        <v>0</v>
      </c>
      <c r="S2162" s="69"/>
      <c r="T2162" s="36"/>
      <c r="XDA2162"/>
      <c r="XDB2162"/>
      <c r="XDC2162"/>
      <c r="XDD2162"/>
      <c r="XDE2162"/>
      <c r="XDF2162"/>
      <c r="XDG2162"/>
      <c r="XDH2162"/>
      <c r="XDI2162"/>
      <c r="XDJ2162"/>
      <c r="XDK2162"/>
      <c r="XDL2162"/>
      <c r="XDM2162"/>
      <c r="XDN2162"/>
      <c r="XDO2162"/>
      <c r="XDP2162"/>
      <c r="XDQ2162"/>
      <c r="XDR2162"/>
      <c r="XDS2162"/>
      <c r="XDT2162"/>
      <c r="XDU2162"/>
      <c r="XDV2162"/>
      <c r="XDW2162"/>
      <c r="XDX2162"/>
      <c r="XDY2162"/>
      <c r="XDZ2162"/>
      <c r="XEA2162"/>
      <c r="XEB2162"/>
      <c r="XEC2162"/>
      <c r="XED2162"/>
      <c r="XEE2162"/>
      <c r="XEF2162"/>
      <c r="XEG2162"/>
      <c r="XEH2162"/>
      <c r="XEI2162"/>
      <c r="XEJ2162"/>
      <c r="XEK2162"/>
      <c r="XEL2162"/>
      <c r="XEM2162"/>
      <c r="XEN2162"/>
      <c r="XEO2162"/>
      <c r="XEP2162"/>
      <c r="XEQ2162"/>
      <c r="XER2162"/>
      <c r="XES2162"/>
      <c r="XET2162"/>
      <c r="XEU2162"/>
      <c r="XEV2162"/>
      <c r="XEW2162"/>
      <c r="XEX2162"/>
      <c r="XEY2162"/>
      <c r="XEZ2162"/>
      <c r="XFA2162"/>
      <c r="XFB2162"/>
      <c r="XFC2162"/>
    </row>
    <row r="2163" spans="1:20 16329:16383" s="38" customFormat="1" ht="29.1" customHeight="1" outlineLevel="6" x14ac:dyDescent="0.25">
      <c r="A2163" s="49" t="s">
        <v>3838</v>
      </c>
      <c r="B2163" s="50"/>
      <c r="C2163" s="50"/>
      <c r="D2163" s="3" t="s">
        <v>3839</v>
      </c>
      <c r="E2163" s="3"/>
      <c r="F2163" s="51"/>
      <c r="G2163" s="50" t="s">
        <v>29</v>
      </c>
      <c r="H2163" s="52">
        <f>1</f>
        <v>1</v>
      </c>
      <c r="I2163" s="36"/>
      <c r="J2163" s="52">
        <v>1</v>
      </c>
      <c r="K2163" s="53">
        <f>0</f>
        <v>0</v>
      </c>
      <c r="L2163" s="53">
        <f>0</f>
        <v>0</v>
      </c>
      <c r="M2163" s="53">
        <f>0</f>
        <v>0</v>
      </c>
      <c r="N2163" s="54">
        <f>SUM(K2163:M2163)</f>
        <v>0</v>
      </c>
      <c r="O2163" s="54">
        <f>ROUND((H2163*K2163),2)</f>
        <v>0</v>
      </c>
      <c r="P2163" s="54">
        <f>ROUND((H2163*L2163),2)</f>
        <v>0</v>
      </c>
      <c r="Q2163" s="54">
        <f>ROUND((H2163*M2163),2)</f>
        <v>0</v>
      </c>
      <c r="R2163" s="54">
        <f>ROUND((H2163*N2163),2)</f>
        <v>0</v>
      </c>
      <c r="S2163" s="54"/>
      <c r="T2163" s="36"/>
      <c r="XDA2163"/>
      <c r="XDB2163"/>
      <c r="XDC2163"/>
      <c r="XDD2163"/>
      <c r="XDE2163"/>
      <c r="XDF2163"/>
      <c r="XDG2163"/>
      <c r="XDH2163"/>
      <c r="XDI2163"/>
      <c r="XDJ2163"/>
      <c r="XDK2163"/>
      <c r="XDL2163"/>
      <c r="XDM2163"/>
      <c r="XDN2163"/>
      <c r="XDO2163"/>
      <c r="XDP2163"/>
      <c r="XDQ2163"/>
      <c r="XDR2163"/>
      <c r="XDS2163"/>
      <c r="XDT2163"/>
      <c r="XDU2163"/>
      <c r="XDV2163"/>
      <c r="XDW2163"/>
      <c r="XDX2163"/>
      <c r="XDY2163"/>
      <c r="XDZ2163"/>
      <c r="XEA2163"/>
      <c r="XEB2163"/>
      <c r="XEC2163"/>
      <c r="XED2163"/>
      <c r="XEE2163"/>
      <c r="XEF2163"/>
      <c r="XEG2163"/>
      <c r="XEH2163"/>
      <c r="XEI2163"/>
      <c r="XEJ2163"/>
      <c r="XEK2163"/>
      <c r="XEL2163"/>
      <c r="XEM2163"/>
      <c r="XEN2163"/>
      <c r="XEO2163"/>
      <c r="XEP2163"/>
      <c r="XEQ2163"/>
      <c r="XER2163"/>
      <c r="XES2163"/>
      <c r="XET2163"/>
      <c r="XEU2163"/>
      <c r="XEV2163"/>
      <c r="XEW2163"/>
      <c r="XEX2163"/>
      <c r="XEY2163"/>
      <c r="XEZ2163"/>
      <c r="XFA2163"/>
      <c r="XFB2163"/>
      <c r="XFC2163"/>
    </row>
    <row r="2164" spans="1:20 16329:16383" s="38" customFormat="1" ht="29.1" customHeight="1" outlineLevel="4" x14ac:dyDescent="0.25">
      <c r="A2164" s="60" t="s">
        <v>3840</v>
      </c>
      <c r="B2164" s="61" t="s">
        <v>3841</v>
      </c>
      <c r="C2164" s="61" t="s">
        <v>3842</v>
      </c>
      <c r="D2164" s="1" t="s">
        <v>3843</v>
      </c>
      <c r="E2164" s="1"/>
      <c r="F2164" s="62"/>
      <c r="G2164" s="61" t="s">
        <v>29</v>
      </c>
      <c r="H2164" s="63"/>
      <c r="I2164" s="36"/>
      <c r="J2164" s="63"/>
      <c r="K2164" s="64"/>
      <c r="L2164" s="64"/>
      <c r="M2164" s="64"/>
      <c r="N2164" s="64"/>
      <c r="O2164" s="64">
        <f>O2165+O2168+O2171+O2174+O2177+O2180</f>
        <v>0</v>
      </c>
      <c r="P2164" s="64">
        <f>P2165+P2168+P2171+P2174+P2177+P2180</f>
        <v>0</v>
      </c>
      <c r="Q2164" s="64">
        <f>Q2165+Q2168+Q2171+Q2174+Q2177+Q2180</f>
        <v>0</v>
      </c>
      <c r="R2164" s="64">
        <f>R2165+R2168+R2171+R2174+R2177+R2180</f>
        <v>0</v>
      </c>
      <c r="S2164" s="64"/>
      <c r="T2164" s="36"/>
      <c r="XDA2164"/>
      <c r="XDB2164"/>
      <c r="XDC2164"/>
      <c r="XDD2164"/>
      <c r="XDE2164"/>
      <c r="XDF2164"/>
      <c r="XDG2164"/>
      <c r="XDH2164"/>
      <c r="XDI2164"/>
      <c r="XDJ2164"/>
      <c r="XDK2164"/>
      <c r="XDL2164"/>
      <c r="XDM2164"/>
      <c r="XDN2164"/>
      <c r="XDO2164"/>
      <c r="XDP2164"/>
      <c r="XDQ2164"/>
      <c r="XDR2164"/>
      <c r="XDS2164"/>
      <c r="XDT2164"/>
      <c r="XDU2164"/>
      <c r="XDV2164"/>
      <c r="XDW2164"/>
      <c r="XDX2164"/>
      <c r="XDY2164"/>
      <c r="XDZ2164"/>
      <c r="XEA2164"/>
      <c r="XEB2164"/>
      <c r="XEC2164"/>
      <c r="XED2164"/>
      <c r="XEE2164"/>
      <c r="XEF2164"/>
      <c r="XEG2164"/>
      <c r="XEH2164"/>
      <c r="XEI2164"/>
      <c r="XEJ2164"/>
      <c r="XEK2164"/>
      <c r="XEL2164"/>
      <c r="XEM2164"/>
      <c r="XEN2164"/>
      <c r="XEO2164"/>
      <c r="XEP2164"/>
      <c r="XEQ2164"/>
      <c r="XER2164"/>
      <c r="XES2164"/>
      <c r="XET2164"/>
      <c r="XEU2164"/>
      <c r="XEV2164"/>
      <c r="XEW2164"/>
      <c r="XEX2164"/>
      <c r="XEY2164"/>
      <c r="XEZ2164"/>
      <c r="XFA2164"/>
      <c r="XFB2164"/>
      <c r="XFC2164"/>
    </row>
    <row r="2165" spans="1:20 16329:16383" s="38" customFormat="1" ht="29.1" customHeight="1" outlineLevel="5" x14ac:dyDescent="0.25">
      <c r="A2165" s="65" t="s">
        <v>3844</v>
      </c>
      <c r="B2165" s="66" t="s">
        <v>3845</v>
      </c>
      <c r="C2165" s="66" t="s">
        <v>3846</v>
      </c>
      <c r="D2165" s="98" t="s">
        <v>3847</v>
      </c>
      <c r="E2165" s="98"/>
      <c r="F2165" s="67"/>
      <c r="G2165" s="66" t="s">
        <v>29</v>
      </c>
      <c r="H2165" s="68"/>
      <c r="I2165" s="36"/>
      <c r="J2165" s="68"/>
      <c r="K2165" s="69"/>
      <c r="L2165" s="69"/>
      <c r="M2165" s="69"/>
      <c r="N2165" s="69"/>
      <c r="O2165" s="69">
        <f>O2166+O2167</f>
        <v>0</v>
      </c>
      <c r="P2165" s="69">
        <f>P2166+P2167</f>
        <v>0</v>
      </c>
      <c r="Q2165" s="69">
        <f>Q2166+Q2167</f>
        <v>0</v>
      </c>
      <c r="R2165" s="69">
        <f>R2166+R2167</f>
        <v>0</v>
      </c>
      <c r="S2165" s="69"/>
      <c r="T2165" s="36"/>
      <c r="XDA2165"/>
      <c r="XDB2165"/>
      <c r="XDC2165"/>
      <c r="XDD2165"/>
      <c r="XDE2165"/>
      <c r="XDF2165"/>
      <c r="XDG2165"/>
      <c r="XDH2165"/>
      <c r="XDI2165"/>
      <c r="XDJ2165"/>
      <c r="XDK2165"/>
      <c r="XDL2165"/>
      <c r="XDM2165"/>
      <c r="XDN2165"/>
      <c r="XDO2165"/>
      <c r="XDP2165"/>
      <c r="XDQ2165"/>
      <c r="XDR2165"/>
      <c r="XDS2165"/>
      <c r="XDT2165"/>
      <c r="XDU2165"/>
      <c r="XDV2165"/>
      <c r="XDW2165"/>
      <c r="XDX2165"/>
      <c r="XDY2165"/>
      <c r="XDZ2165"/>
      <c r="XEA2165"/>
      <c r="XEB2165"/>
      <c r="XEC2165"/>
      <c r="XED2165"/>
      <c r="XEE2165"/>
      <c r="XEF2165"/>
      <c r="XEG2165"/>
      <c r="XEH2165"/>
      <c r="XEI2165"/>
      <c r="XEJ2165"/>
      <c r="XEK2165"/>
      <c r="XEL2165"/>
      <c r="XEM2165"/>
      <c r="XEN2165"/>
      <c r="XEO2165"/>
      <c r="XEP2165"/>
      <c r="XEQ2165"/>
      <c r="XER2165"/>
      <c r="XES2165"/>
      <c r="XET2165"/>
      <c r="XEU2165"/>
      <c r="XEV2165"/>
      <c r="XEW2165"/>
      <c r="XEX2165"/>
      <c r="XEY2165"/>
      <c r="XEZ2165"/>
      <c r="XFA2165"/>
      <c r="XFB2165"/>
      <c r="XFC2165"/>
    </row>
    <row r="2166" spans="1:20 16329:16383" s="38" customFormat="1" ht="29.1" customHeight="1" outlineLevel="6" x14ac:dyDescent="0.25">
      <c r="A2166" s="49" t="s">
        <v>3848</v>
      </c>
      <c r="B2166" s="50"/>
      <c r="C2166" s="50"/>
      <c r="D2166" s="3" t="s">
        <v>3849</v>
      </c>
      <c r="E2166" s="3"/>
      <c r="F2166" s="51"/>
      <c r="G2166" s="50" t="s">
        <v>29</v>
      </c>
      <c r="H2166" s="52">
        <f>1</f>
        <v>1</v>
      </c>
      <c r="I2166" s="36"/>
      <c r="J2166" s="52">
        <v>1</v>
      </c>
      <c r="K2166" s="53">
        <f>0</f>
        <v>0</v>
      </c>
      <c r="L2166" s="53">
        <f>0</f>
        <v>0</v>
      </c>
      <c r="M2166" s="53">
        <f>0</f>
        <v>0</v>
      </c>
      <c r="N2166" s="54">
        <f>SUM(K2166:M2166)</f>
        <v>0</v>
      </c>
      <c r="O2166" s="54">
        <f>ROUND((H2166*K2166),2)</f>
        <v>0</v>
      </c>
      <c r="P2166" s="54">
        <f>ROUND((H2166*L2166),2)</f>
        <v>0</v>
      </c>
      <c r="Q2166" s="54">
        <f>ROUND((H2166*M2166),2)</f>
        <v>0</v>
      </c>
      <c r="R2166" s="54">
        <f>ROUND((H2166*N2166),2)</f>
        <v>0</v>
      </c>
      <c r="S2166" s="54"/>
      <c r="T2166" s="36"/>
      <c r="XDA2166"/>
      <c r="XDB2166"/>
      <c r="XDC2166"/>
      <c r="XDD2166"/>
      <c r="XDE2166"/>
      <c r="XDF2166"/>
      <c r="XDG2166"/>
      <c r="XDH2166"/>
      <c r="XDI2166"/>
      <c r="XDJ2166"/>
      <c r="XDK2166"/>
      <c r="XDL2166"/>
      <c r="XDM2166"/>
      <c r="XDN2166"/>
      <c r="XDO2166"/>
      <c r="XDP2166"/>
      <c r="XDQ2166"/>
      <c r="XDR2166"/>
      <c r="XDS2166"/>
      <c r="XDT2166"/>
      <c r="XDU2166"/>
      <c r="XDV2166"/>
      <c r="XDW2166"/>
      <c r="XDX2166"/>
      <c r="XDY2166"/>
      <c r="XDZ2166"/>
      <c r="XEA2166"/>
      <c r="XEB2166"/>
      <c r="XEC2166"/>
      <c r="XED2166"/>
      <c r="XEE2166"/>
      <c r="XEF2166"/>
      <c r="XEG2166"/>
      <c r="XEH2166"/>
      <c r="XEI2166"/>
      <c r="XEJ2166"/>
      <c r="XEK2166"/>
      <c r="XEL2166"/>
      <c r="XEM2166"/>
      <c r="XEN2166"/>
      <c r="XEO2166"/>
      <c r="XEP2166"/>
      <c r="XEQ2166"/>
      <c r="XER2166"/>
      <c r="XES2166"/>
      <c r="XET2166"/>
      <c r="XEU2166"/>
      <c r="XEV2166"/>
      <c r="XEW2166"/>
      <c r="XEX2166"/>
      <c r="XEY2166"/>
      <c r="XEZ2166"/>
      <c r="XFA2166"/>
      <c r="XFB2166"/>
      <c r="XFC2166"/>
    </row>
    <row r="2167" spans="1:20 16329:16383" s="38" customFormat="1" ht="29.1" customHeight="1" outlineLevel="6" x14ac:dyDescent="0.25">
      <c r="A2167" s="49" t="s">
        <v>3850</v>
      </c>
      <c r="B2167" s="50"/>
      <c r="C2167" s="50"/>
      <c r="D2167" s="3" t="s">
        <v>3851</v>
      </c>
      <c r="E2167" s="3"/>
      <c r="F2167" s="51"/>
      <c r="G2167" s="50" t="s">
        <v>29</v>
      </c>
      <c r="H2167" s="52">
        <f>1</f>
        <v>1</v>
      </c>
      <c r="I2167" s="36"/>
      <c r="J2167" s="52">
        <v>1</v>
      </c>
      <c r="K2167" s="53">
        <f>0</f>
        <v>0</v>
      </c>
      <c r="L2167" s="53">
        <f>0</f>
        <v>0</v>
      </c>
      <c r="M2167" s="53">
        <f>0</f>
        <v>0</v>
      </c>
      <c r="N2167" s="54">
        <f>SUM(K2167:M2167)</f>
        <v>0</v>
      </c>
      <c r="O2167" s="54">
        <f>ROUND((H2167*K2167),2)</f>
        <v>0</v>
      </c>
      <c r="P2167" s="54">
        <f>ROUND((H2167*L2167),2)</f>
        <v>0</v>
      </c>
      <c r="Q2167" s="54">
        <f>ROUND((H2167*M2167),2)</f>
        <v>0</v>
      </c>
      <c r="R2167" s="54">
        <f>ROUND((H2167*N2167),2)</f>
        <v>0</v>
      </c>
      <c r="S2167" s="54"/>
      <c r="T2167" s="36"/>
      <c r="XDA2167"/>
      <c r="XDB2167"/>
      <c r="XDC2167"/>
      <c r="XDD2167"/>
      <c r="XDE2167"/>
      <c r="XDF2167"/>
      <c r="XDG2167"/>
      <c r="XDH2167"/>
      <c r="XDI2167"/>
      <c r="XDJ2167"/>
      <c r="XDK2167"/>
      <c r="XDL2167"/>
      <c r="XDM2167"/>
      <c r="XDN2167"/>
      <c r="XDO2167"/>
      <c r="XDP2167"/>
      <c r="XDQ2167"/>
      <c r="XDR2167"/>
      <c r="XDS2167"/>
      <c r="XDT2167"/>
      <c r="XDU2167"/>
      <c r="XDV2167"/>
      <c r="XDW2167"/>
      <c r="XDX2167"/>
      <c r="XDY2167"/>
      <c r="XDZ2167"/>
      <c r="XEA2167"/>
      <c r="XEB2167"/>
      <c r="XEC2167"/>
      <c r="XED2167"/>
      <c r="XEE2167"/>
      <c r="XEF2167"/>
      <c r="XEG2167"/>
      <c r="XEH2167"/>
      <c r="XEI2167"/>
      <c r="XEJ2167"/>
      <c r="XEK2167"/>
      <c r="XEL2167"/>
      <c r="XEM2167"/>
      <c r="XEN2167"/>
      <c r="XEO2167"/>
      <c r="XEP2167"/>
      <c r="XEQ2167"/>
      <c r="XER2167"/>
      <c r="XES2167"/>
      <c r="XET2167"/>
      <c r="XEU2167"/>
      <c r="XEV2167"/>
      <c r="XEW2167"/>
      <c r="XEX2167"/>
      <c r="XEY2167"/>
      <c r="XEZ2167"/>
      <c r="XFA2167"/>
      <c r="XFB2167"/>
      <c r="XFC2167"/>
    </row>
    <row r="2168" spans="1:20 16329:16383" s="38" customFormat="1" ht="29.1" customHeight="1" outlineLevel="5" x14ac:dyDescent="0.25">
      <c r="A2168" s="65" t="s">
        <v>3852</v>
      </c>
      <c r="B2168" s="66" t="s">
        <v>3853</v>
      </c>
      <c r="C2168" s="66" t="s">
        <v>3854</v>
      </c>
      <c r="D2168" s="98" t="s">
        <v>3855</v>
      </c>
      <c r="E2168" s="98"/>
      <c r="F2168" s="67"/>
      <c r="G2168" s="66" t="s">
        <v>29</v>
      </c>
      <c r="H2168" s="68"/>
      <c r="I2168" s="36"/>
      <c r="J2168" s="68"/>
      <c r="K2168" s="69"/>
      <c r="L2168" s="69"/>
      <c r="M2168" s="69"/>
      <c r="N2168" s="69"/>
      <c r="O2168" s="69">
        <f>O2169+O2170</f>
        <v>0</v>
      </c>
      <c r="P2168" s="69">
        <f>P2169+P2170</f>
        <v>0</v>
      </c>
      <c r="Q2168" s="69">
        <f>Q2169+Q2170</f>
        <v>0</v>
      </c>
      <c r="R2168" s="69">
        <f>R2169+R2170</f>
        <v>0</v>
      </c>
      <c r="S2168" s="69"/>
      <c r="T2168" s="36"/>
      <c r="XDA2168"/>
      <c r="XDB2168"/>
      <c r="XDC2168"/>
      <c r="XDD2168"/>
      <c r="XDE2168"/>
      <c r="XDF2168"/>
      <c r="XDG2168"/>
      <c r="XDH2168"/>
      <c r="XDI2168"/>
      <c r="XDJ2168"/>
      <c r="XDK2168"/>
      <c r="XDL2168"/>
      <c r="XDM2168"/>
      <c r="XDN2168"/>
      <c r="XDO2168"/>
      <c r="XDP2168"/>
      <c r="XDQ2168"/>
      <c r="XDR2168"/>
      <c r="XDS2168"/>
      <c r="XDT2168"/>
      <c r="XDU2168"/>
      <c r="XDV2168"/>
      <c r="XDW2168"/>
      <c r="XDX2168"/>
      <c r="XDY2168"/>
      <c r="XDZ2168"/>
      <c r="XEA2168"/>
      <c r="XEB2168"/>
      <c r="XEC2168"/>
      <c r="XED2168"/>
      <c r="XEE2168"/>
      <c r="XEF2168"/>
      <c r="XEG2168"/>
      <c r="XEH2168"/>
      <c r="XEI2168"/>
      <c r="XEJ2168"/>
      <c r="XEK2168"/>
      <c r="XEL2168"/>
      <c r="XEM2168"/>
      <c r="XEN2168"/>
      <c r="XEO2168"/>
      <c r="XEP2168"/>
      <c r="XEQ2168"/>
      <c r="XER2168"/>
      <c r="XES2168"/>
      <c r="XET2168"/>
      <c r="XEU2168"/>
      <c r="XEV2168"/>
      <c r="XEW2168"/>
      <c r="XEX2168"/>
      <c r="XEY2168"/>
      <c r="XEZ2168"/>
      <c r="XFA2168"/>
      <c r="XFB2168"/>
      <c r="XFC2168"/>
    </row>
    <row r="2169" spans="1:20 16329:16383" s="38" customFormat="1" ht="29.1" customHeight="1" outlineLevel="6" x14ac:dyDescent="0.25">
      <c r="A2169" s="49" t="s">
        <v>3856</v>
      </c>
      <c r="B2169" s="50"/>
      <c r="C2169" s="50"/>
      <c r="D2169" s="3" t="s">
        <v>3857</v>
      </c>
      <c r="E2169" s="3"/>
      <c r="F2169" s="51"/>
      <c r="G2169" s="50" t="s">
        <v>29</v>
      </c>
      <c r="H2169" s="52">
        <f>1</f>
        <v>1</v>
      </c>
      <c r="I2169" s="36"/>
      <c r="J2169" s="52">
        <v>1</v>
      </c>
      <c r="K2169" s="53">
        <f>0</f>
        <v>0</v>
      </c>
      <c r="L2169" s="53">
        <f>0</f>
        <v>0</v>
      </c>
      <c r="M2169" s="53">
        <f>0</f>
        <v>0</v>
      </c>
      <c r="N2169" s="54">
        <f>SUM(K2169:M2169)</f>
        <v>0</v>
      </c>
      <c r="O2169" s="54">
        <f>ROUND((H2169*K2169),2)</f>
        <v>0</v>
      </c>
      <c r="P2169" s="54">
        <f>ROUND((H2169*L2169),2)</f>
        <v>0</v>
      </c>
      <c r="Q2169" s="54">
        <f>ROUND((H2169*M2169),2)</f>
        <v>0</v>
      </c>
      <c r="R2169" s="54">
        <f>ROUND((H2169*N2169),2)</f>
        <v>0</v>
      </c>
      <c r="S2169" s="54"/>
      <c r="T2169" s="36"/>
      <c r="XDA2169"/>
      <c r="XDB2169"/>
      <c r="XDC2169"/>
      <c r="XDD2169"/>
      <c r="XDE2169"/>
      <c r="XDF2169"/>
      <c r="XDG2169"/>
      <c r="XDH2169"/>
      <c r="XDI2169"/>
      <c r="XDJ2169"/>
      <c r="XDK2169"/>
      <c r="XDL2169"/>
      <c r="XDM2169"/>
      <c r="XDN2169"/>
      <c r="XDO2169"/>
      <c r="XDP2169"/>
      <c r="XDQ2169"/>
      <c r="XDR2169"/>
      <c r="XDS2169"/>
      <c r="XDT2169"/>
      <c r="XDU2169"/>
      <c r="XDV2169"/>
      <c r="XDW2169"/>
      <c r="XDX2169"/>
      <c r="XDY2169"/>
      <c r="XDZ2169"/>
      <c r="XEA2169"/>
      <c r="XEB2169"/>
      <c r="XEC2169"/>
      <c r="XED2169"/>
      <c r="XEE2169"/>
      <c r="XEF2169"/>
      <c r="XEG2169"/>
      <c r="XEH2169"/>
      <c r="XEI2169"/>
      <c r="XEJ2169"/>
      <c r="XEK2169"/>
      <c r="XEL2169"/>
      <c r="XEM2169"/>
      <c r="XEN2169"/>
      <c r="XEO2169"/>
      <c r="XEP2169"/>
      <c r="XEQ2169"/>
      <c r="XER2169"/>
      <c r="XES2169"/>
      <c r="XET2169"/>
      <c r="XEU2169"/>
      <c r="XEV2169"/>
      <c r="XEW2169"/>
      <c r="XEX2169"/>
      <c r="XEY2169"/>
      <c r="XEZ2169"/>
      <c r="XFA2169"/>
      <c r="XFB2169"/>
      <c r="XFC2169"/>
    </row>
    <row r="2170" spans="1:20 16329:16383" s="38" customFormat="1" ht="29.1" customHeight="1" outlineLevel="6" x14ac:dyDescent="0.25">
      <c r="A2170" s="49" t="s">
        <v>3858</v>
      </c>
      <c r="B2170" s="50"/>
      <c r="C2170" s="50"/>
      <c r="D2170" s="3" t="s">
        <v>3859</v>
      </c>
      <c r="E2170" s="3"/>
      <c r="F2170" s="51"/>
      <c r="G2170" s="50" t="s">
        <v>29</v>
      </c>
      <c r="H2170" s="52">
        <f>1</f>
        <v>1</v>
      </c>
      <c r="I2170" s="36"/>
      <c r="J2170" s="52">
        <v>1</v>
      </c>
      <c r="K2170" s="53">
        <f>0</f>
        <v>0</v>
      </c>
      <c r="L2170" s="53">
        <f>0</f>
        <v>0</v>
      </c>
      <c r="M2170" s="53">
        <f>0</f>
        <v>0</v>
      </c>
      <c r="N2170" s="54">
        <f>SUM(K2170:M2170)</f>
        <v>0</v>
      </c>
      <c r="O2170" s="54">
        <f>ROUND((H2170*K2170),2)</f>
        <v>0</v>
      </c>
      <c r="P2170" s="54">
        <f>ROUND((H2170*L2170),2)</f>
        <v>0</v>
      </c>
      <c r="Q2170" s="54">
        <f>ROUND((H2170*M2170),2)</f>
        <v>0</v>
      </c>
      <c r="R2170" s="54">
        <f>ROUND((H2170*N2170),2)</f>
        <v>0</v>
      </c>
      <c r="S2170" s="54"/>
      <c r="T2170" s="36"/>
      <c r="XDA2170"/>
      <c r="XDB2170"/>
      <c r="XDC2170"/>
      <c r="XDD2170"/>
      <c r="XDE2170"/>
      <c r="XDF2170"/>
      <c r="XDG2170"/>
      <c r="XDH2170"/>
      <c r="XDI2170"/>
      <c r="XDJ2170"/>
      <c r="XDK2170"/>
      <c r="XDL2170"/>
      <c r="XDM2170"/>
      <c r="XDN2170"/>
      <c r="XDO2170"/>
      <c r="XDP2170"/>
      <c r="XDQ2170"/>
      <c r="XDR2170"/>
      <c r="XDS2170"/>
      <c r="XDT2170"/>
      <c r="XDU2170"/>
      <c r="XDV2170"/>
      <c r="XDW2170"/>
      <c r="XDX2170"/>
      <c r="XDY2170"/>
      <c r="XDZ2170"/>
      <c r="XEA2170"/>
      <c r="XEB2170"/>
      <c r="XEC2170"/>
      <c r="XED2170"/>
      <c r="XEE2170"/>
      <c r="XEF2170"/>
      <c r="XEG2170"/>
      <c r="XEH2170"/>
      <c r="XEI2170"/>
      <c r="XEJ2170"/>
      <c r="XEK2170"/>
      <c r="XEL2170"/>
      <c r="XEM2170"/>
      <c r="XEN2170"/>
      <c r="XEO2170"/>
      <c r="XEP2170"/>
      <c r="XEQ2170"/>
      <c r="XER2170"/>
      <c r="XES2170"/>
      <c r="XET2170"/>
      <c r="XEU2170"/>
      <c r="XEV2170"/>
      <c r="XEW2170"/>
      <c r="XEX2170"/>
      <c r="XEY2170"/>
      <c r="XEZ2170"/>
      <c r="XFA2170"/>
      <c r="XFB2170"/>
      <c r="XFC2170"/>
    </row>
    <row r="2171" spans="1:20 16329:16383" s="38" customFormat="1" ht="29.1" customHeight="1" outlineLevel="5" x14ac:dyDescent="0.25">
      <c r="A2171" s="65" t="s">
        <v>3860</v>
      </c>
      <c r="B2171" s="66" t="s">
        <v>3861</v>
      </c>
      <c r="C2171" s="66" t="s">
        <v>3862</v>
      </c>
      <c r="D2171" s="98" t="s">
        <v>3863</v>
      </c>
      <c r="E2171" s="98"/>
      <c r="F2171" s="67"/>
      <c r="G2171" s="66" t="s">
        <v>29</v>
      </c>
      <c r="H2171" s="68"/>
      <c r="I2171" s="36"/>
      <c r="J2171" s="68"/>
      <c r="K2171" s="69"/>
      <c r="L2171" s="69"/>
      <c r="M2171" s="69"/>
      <c r="N2171" s="69"/>
      <c r="O2171" s="69">
        <f>O2172+O2173</f>
        <v>0</v>
      </c>
      <c r="P2171" s="69">
        <f>P2172+P2173</f>
        <v>0</v>
      </c>
      <c r="Q2171" s="69">
        <f>Q2172+Q2173</f>
        <v>0</v>
      </c>
      <c r="R2171" s="69">
        <f>R2172+R2173</f>
        <v>0</v>
      </c>
      <c r="S2171" s="69"/>
      <c r="T2171" s="36"/>
      <c r="XDA2171"/>
      <c r="XDB2171"/>
      <c r="XDC2171"/>
      <c r="XDD2171"/>
      <c r="XDE2171"/>
      <c r="XDF2171"/>
      <c r="XDG2171"/>
      <c r="XDH2171"/>
      <c r="XDI2171"/>
      <c r="XDJ2171"/>
      <c r="XDK2171"/>
      <c r="XDL2171"/>
      <c r="XDM2171"/>
      <c r="XDN2171"/>
      <c r="XDO2171"/>
      <c r="XDP2171"/>
      <c r="XDQ2171"/>
      <c r="XDR2171"/>
      <c r="XDS2171"/>
      <c r="XDT2171"/>
      <c r="XDU2171"/>
      <c r="XDV2171"/>
      <c r="XDW2171"/>
      <c r="XDX2171"/>
      <c r="XDY2171"/>
      <c r="XDZ2171"/>
      <c r="XEA2171"/>
      <c r="XEB2171"/>
      <c r="XEC2171"/>
      <c r="XED2171"/>
      <c r="XEE2171"/>
      <c r="XEF2171"/>
      <c r="XEG2171"/>
      <c r="XEH2171"/>
      <c r="XEI2171"/>
      <c r="XEJ2171"/>
      <c r="XEK2171"/>
      <c r="XEL2171"/>
      <c r="XEM2171"/>
      <c r="XEN2171"/>
      <c r="XEO2171"/>
      <c r="XEP2171"/>
      <c r="XEQ2171"/>
      <c r="XER2171"/>
      <c r="XES2171"/>
      <c r="XET2171"/>
      <c r="XEU2171"/>
      <c r="XEV2171"/>
      <c r="XEW2171"/>
      <c r="XEX2171"/>
      <c r="XEY2171"/>
      <c r="XEZ2171"/>
      <c r="XFA2171"/>
      <c r="XFB2171"/>
      <c r="XFC2171"/>
    </row>
    <row r="2172" spans="1:20 16329:16383" s="38" customFormat="1" ht="29.1" customHeight="1" outlineLevel="6" x14ac:dyDescent="0.25">
      <c r="A2172" s="49" t="s">
        <v>3864</v>
      </c>
      <c r="B2172" s="50"/>
      <c r="C2172" s="50"/>
      <c r="D2172" s="3" t="s">
        <v>3865</v>
      </c>
      <c r="E2172" s="3"/>
      <c r="F2172" s="51"/>
      <c r="G2172" s="50" t="s">
        <v>29</v>
      </c>
      <c r="H2172" s="52">
        <f>1</f>
        <v>1</v>
      </c>
      <c r="I2172" s="36"/>
      <c r="J2172" s="52">
        <v>1</v>
      </c>
      <c r="K2172" s="53">
        <f>0</f>
        <v>0</v>
      </c>
      <c r="L2172" s="53">
        <f>0</f>
        <v>0</v>
      </c>
      <c r="M2172" s="53">
        <f>0</f>
        <v>0</v>
      </c>
      <c r="N2172" s="54">
        <f>SUM(K2172:M2172)</f>
        <v>0</v>
      </c>
      <c r="O2172" s="54">
        <f>ROUND((H2172*K2172),2)</f>
        <v>0</v>
      </c>
      <c r="P2172" s="54">
        <f>ROUND((H2172*L2172),2)</f>
        <v>0</v>
      </c>
      <c r="Q2172" s="54">
        <f>ROUND((H2172*M2172),2)</f>
        <v>0</v>
      </c>
      <c r="R2172" s="54">
        <f>ROUND((H2172*N2172),2)</f>
        <v>0</v>
      </c>
      <c r="S2172" s="54"/>
      <c r="T2172" s="36"/>
      <c r="XDA2172"/>
      <c r="XDB2172"/>
      <c r="XDC2172"/>
      <c r="XDD2172"/>
      <c r="XDE2172"/>
      <c r="XDF2172"/>
      <c r="XDG2172"/>
      <c r="XDH2172"/>
      <c r="XDI2172"/>
      <c r="XDJ2172"/>
      <c r="XDK2172"/>
      <c r="XDL2172"/>
      <c r="XDM2172"/>
      <c r="XDN2172"/>
      <c r="XDO2172"/>
      <c r="XDP2172"/>
      <c r="XDQ2172"/>
      <c r="XDR2172"/>
      <c r="XDS2172"/>
      <c r="XDT2172"/>
      <c r="XDU2172"/>
      <c r="XDV2172"/>
      <c r="XDW2172"/>
      <c r="XDX2172"/>
      <c r="XDY2172"/>
      <c r="XDZ2172"/>
      <c r="XEA2172"/>
      <c r="XEB2172"/>
      <c r="XEC2172"/>
      <c r="XED2172"/>
      <c r="XEE2172"/>
      <c r="XEF2172"/>
      <c r="XEG2172"/>
      <c r="XEH2172"/>
      <c r="XEI2172"/>
      <c r="XEJ2172"/>
      <c r="XEK2172"/>
      <c r="XEL2172"/>
      <c r="XEM2172"/>
      <c r="XEN2172"/>
      <c r="XEO2172"/>
      <c r="XEP2172"/>
      <c r="XEQ2172"/>
      <c r="XER2172"/>
      <c r="XES2172"/>
      <c r="XET2172"/>
      <c r="XEU2172"/>
      <c r="XEV2172"/>
      <c r="XEW2172"/>
      <c r="XEX2172"/>
      <c r="XEY2172"/>
      <c r="XEZ2172"/>
      <c r="XFA2172"/>
      <c r="XFB2172"/>
      <c r="XFC2172"/>
    </row>
    <row r="2173" spans="1:20 16329:16383" s="38" customFormat="1" ht="29.1" customHeight="1" outlineLevel="6" x14ac:dyDescent="0.25">
      <c r="A2173" s="49" t="s">
        <v>3866</v>
      </c>
      <c r="B2173" s="50"/>
      <c r="C2173" s="50"/>
      <c r="D2173" s="3" t="s">
        <v>3867</v>
      </c>
      <c r="E2173" s="3"/>
      <c r="F2173" s="51"/>
      <c r="G2173" s="50" t="s">
        <v>29</v>
      </c>
      <c r="H2173" s="52">
        <f>1</f>
        <v>1</v>
      </c>
      <c r="I2173" s="36"/>
      <c r="J2173" s="52">
        <v>1</v>
      </c>
      <c r="K2173" s="53">
        <f>0</f>
        <v>0</v>
      </c>
      <c r="L2173" s="53">
        <f>0</f>
        <v>0</v>
      </c>
      <c r="M2173" s="53">
        <f>0</f>
        <v>0</v>
      </c>
      <c r="N2173" s="54">
        <f>SUM(K2173:M2173)</f>
        <v>0</v>
      </c>
      <c r="O2173" s="54">
        <f>ROUND((H2173*K2173),2)</f>
        <v>0</v>
      </c>
      <c r="P2173" s="54">
        <f>ROUND((H2173*L2173),2)</f>
        <v>0</v>
      </c>
      <c r="Q2173" s="54">
        <f>ROUND((H2173*M2173),2)</f>
        <v>0</v>
      </c>
      <c r="R2173" s="54">
        <f>ROUND((H2173*N2173),2)</f>
        <v>0</v>
      </c>
      <c r="S2173" s="54"/>
      <c r="T2173" s="36"/>
      <c r="XDA2173"/>
      <c r="XDB2173"/>
      <c r="XDC2173"/>
      <c r="XDD2173"/>
      <c r="XDE2173"/>
      <c r="XDF2173"/>
      <c r="XDG2173"/>
      <c r="XDH2173"/>
      <c r="XDI2173"/>
      <c r="XDJ2173"/>
      <c r="XDK2173"/>
      <c r="XDL2173"/>
      <c r="XDM2173"/>
      <c r="XDN2173"/>
      <c r="XDO2173"/>
      <c r="XDP2173"/>
      <c r="XDQ2173"/>
      <c r="XDR2173"/>
      <c r="XDS2173"/>
      <c r="XDT2173"/>
      <c r="XDU2173"/>
      <c r="XDV2173"/>
      <c r="XDW2173"/>
      <c r="XDX2173"/>
      <c r="XDY2173"/>
      <c r="XDZ2173"/>
      <c r="XEA2173"/>
      <c r="XEB2173"/>
      <c r="XEC2173"/>
      <c r="XED2173"/>
      <c r="XEE2173"/>
      <c r="XEF2173"/>
      <c r="XEG2173"/>
      <c r="XEH2173"/>
      <c r="XEI2173"/>
      <c r="XEJ2173"/>
      <c r="XEK2173"/>
      <c r="XEL2173"/>
      <c r="XEM2173"/>
      <c r="XEN2173"/>
      <c r="XEO2173"/>
      <c r="XEP2173"/>
      <c r="XEQ2173"/>
      <c r="XER2173"/>
      <c r="XES2173"/>
      <c r="XET2173"/>
      <c r="XEU2173"/>
      <c r="XEV2173"/>
      <c r="XEW2173"/>
      <c r="XEX2173"/>
      <c r="XEY2173"/>
      <c r="XEZ2173"/>
      <c r="XFA2173"/>
      <c r="XFB2173"/>
      <c r="XFC2173"/>
    </row>
    <row r="2174" spans="1:20 16329:16383" s="38" customFormat="1" ht="29.1" customHeight="1" outlineLevel="5" x14ac:dyDescent="0.25">
      <c r="A2174" s="65" t="s">
        <v>3868</v>
      </c>
      <c r="B2174" s="66" t="s">
        <v>3869</v>
      </c>
      <c r="C2174" s="66" t="s">
        <v>3870</v>
      </c>
      <c r="D2174" s="98" t="s">
        <v>3871</v>
      </c>
      <c r="E2174" s="98"/>
      <c r="F2174" s="67"/>
      <c r="G2174" s="66" t="s">
        <v>29</v>
      </c>
      <c r="H2174" s="68"/>
      <c r="I2174" s="36"/>
      <c r="J2174" s="68"/>
      <c r="K2174" s="69"/>
      <c r="L2174" s="69"/>
      <c r="M2174" s="69"/>
      <c r="N2174" s="69"/>
      <c r="O2174" s="69">
        <f>O2175+O2176</f>
        <v>0</v>
      </c>
      <c r="P2174" s="69">
        <f>P2175+P2176</f>
        <v>0</v>
      </c>
      <c r="Q2174" s="69">
        <f>Q2175+Q2176</f>
        <v>0</v>
      </c>
      <c r="R2174" s="69">
        <f>R2175+R2176</f>
        <v>0</v>
      </c>
      <c r="S2174" s="69"/>
      <c r="T2174" s="36"/>
      <c r="XDA2174"/>
      <c r="XDB2174"/>
      <c r="XDC2174"/>
      <c r="XDD2174"/>
      <c r="XDE2174"/>
      <c r="XDF2174"/>
      <c r="XDG2174"/>
      <c r="XDH2174"/>
      <c r="XDI2174"/>
      <c r="XDJ2174"/>
      <c r="XDK2174"/>
      <c r="XDL2174"/>
      <c r="XDM2174"/>
      <c r="XDN2174"/>
      <c r="XDO2174"/>
      <c r="XDP2174"/>
      <c r="XDQ2174"/>
      <c r="XDR2174"/>
      <c r="XDS2174"/>
      <c r="XDT2174"/>
      <c r="XDU2174"/>
      <c r="XDV2174"/>
      <c r="XDW2174"/>
      <c r="XDX2174"/>
      <c r="XDY2174"/>
      <c r="XDZ2174"/>
      <c r="XEA2174"/>
      <c r="XEB2174"/>
      <c r="XEC2174"/>
      <c r="XED2174"/>
      <c r="XEE2174"/>
      <c r="XEF2174"/>
      <c r="XEG2174"/>
      <c r="XEH2174"/>
      <c r="XEI2174"/>
      <c r="XEJ2174"/>
      <c r="XEK2174"/>
      <c r="XEL2174"/>
      <c r="XEM2174"/>
      <c r="XEN2174"/>
      <c r="XEO2174"/>
      <c r="XEP2174"/>
      <c r="XEQ2174"/>
      <c r="XER2174"/>
      <c r="XES2174"/>
      <c r="XET2174"/>
      <c r="XEU2174"/>
      <c r="XEV2174"/>
      <c r="XEW2174"/>
      <c r="XEX2174"/>
      <c r="XEY2174"/>
      <c r="XEZ2174"/>
      <c r="XFA2174"/>
      <c r="XFB2174"/>
      <c r="XFC2174"/>
    </row>
    <row r="2175" spans="1:20 16329:16383" s="38" customFormat="1" ht="29.1" customHeight="1" outlineLevel="6" x14ac:dyDescent="0.25">
      <c r="A2175" s="49" t="s">
        <v>3872</v>
      </c>
      <c r="B2175" s="50"/>
      <c r="C2175" s="50"/>
      <c r="D2175" s="3" t="s">
        <v>3873</v>
      </c>
      <c r="E2175" s="3"/>
      <c r="F2175" s="51"/>
      <c r="G2175" s="50" t="s">
        <v>29</v>
      </c>
      <c r="H2175" s="52">
        <f>1</f>
        <v>1</v>
      </c>
      <c r="I2175" s="36"/>
      <c r="J2175" s="52">
        <v>1</v>
      </c>
      <c r="K2175" s="53">
        <f>0</f>
        <v>0</v>
      </c>
      <c r="L2175" s="53">
        <f>0</f>
        <v>0</v>
      </c>
      <c r="M2175" s="53">
        <f>0</f>
        <v>0</v>
      </c>
      <c r="N2175" s="54">
        <f>SUM(K2175:M2175)</f>
        <v>0</v>
      </c>
      <c r="O2175" s="54">
        <f>ROUND((H2175*K2175),2)</f>
        <v>0</v>
      </c>
      <c r="P2175" s="54">
        <f>ROUND((H2175*L2175),2)</f>
        <v>0</v>
      </c>
      <c r="Q2175" s="54">
        <f>ROUND((H2175*M2175),2)</f>
        <v>0</v>
      </c>
      <c r="R2175" s="54">
        <f>ROUND((H2175*N2175),2)</f>
        <v>0</v>
      </c>
      <c r="S2175" s="54"/>
      <c r="T2175" s="36"/>
      <c r="XDA2175"/>
      <c r="XDB2175"/>
      <c r="XDC2175"/>
      <c r="XDD2175"/>
      <c r="XDE2175"/>
      <c r="XDF2175"/>
      <c r="XDG2175"/>
      <c r="XDH2175"/>
      <c r="XDI2175"/>
      <c r="XDJ2175"/>
      <c r="XDK2175"/>
      <c r="XDL2175"/>
      <c r="XDM2175"/>
      <c r="XDN2175"/>
      <c r="XDO2175"/>
      <c r="XDP2175"/>
      <c r="XDQ2175"/>
      <c r="XDR2175"/>
      <c r="XDS2175"/>
      <c r="XDT2175"/>
      <c r="XDU2175"/>
      <c r="XDV2175"/>
      <c r="XDW2175"/>
      <c r="XDX2175"/>
      <c r="XDY2175"/>
      <c r="XDZ2175"/>
      <c r="XEA2175"/>
      <c r="XEB2175"/>
      <c r="XEC2175"/>
      <c r="XED2175"/>
      <c r="XEE2175"/>
      <c r="XEF2175"/>
      <c r="XEG2175"/>
      <c r="XEH2175"/>
      <c r="XEI2175"/>
      <c r="XEJ2175"/>
      <c r="XEK2175"/>
      <c r="XEL2175"/>
      <c r="XEM2175"/>
      <c r="XEN2175"/>
      <c r="XEO2175"/>
      <c r="XEP2175"/>
      <c r="XEQ2175"/>
      <c r="XER2175"/>
      <c r="XES2175"/>
      <c r="XET2175"/>
      <c r="XEU2175"/>
      <c r="XEV2175"/>
      <c r="XEW2175"/>
      <c r="XEX2175"/>
      <c r="XEY2175"/>
      <c r="XEZ2175"/>
      <c r="XFA2175"/>
      <c r="XFB2175"/>
      <c r="XFC2175"/>
    </row>
    <row r="2176" spans="1:20 16329:16383" s="38" customFormat="1" ht="29.1" customHeight="1" outlineLevel="6" x14ac:dyDescent="0.25">
      <c r="A2176" s="49" t="s">
        <v>3874</v>
      </c>
      <c r="B2176" s="50"/>
      <c r="C2176" s="50"/>
      <c r="D2176" s="3" t="s">
        <v>3875</v>
      </c>
      <c r="E2176" s="3"/>
      <c r="F2176" s="51"/>
      <c r="G2176" s="50" t="s">
        <v>29</v>
      </c>
      <c r="H2176" s="52">
        <f>1</f>
        <v>1</v>
      </c>
      <c r="I2176" s="36"/>
      <c r="J2176" s="52">
        <v>1</v>
      </c>
      <c r="K2176" s="53">
        <f>0</f>
        <v>0</v>
      </c>
      <c r="L2176" s="53">
        <f>0</f>
        <v>0</v>
      </c>
      <c r="M2176" s="53">
        <f>0</f>
        <v>0</v>
      </c>
      <c r="N2176" s="54">
        <f>SUM(K2176:M2176)</f>
        <v>0</v>
      </c>
      <c r="O2176" s="54">
        <f>ROUND((H2176*K2176),2)</f>
        <v>0</v>
      </c>
      <c r="P2176" s="54">
        <f>ROUND((H2176*L2176),2)</f>
        <v>0</v>
      </c>
      <c r="Q2176" s="54">
        <f>ROUND((H2176*M2176),2)</f>
        <v>0</v>
      </c>
      <c r="R2176" s="54">
        <f>ROUND((H2176*N2176),2)</f>
        <v>0</v>
      </c>
      <c r="S2176" s="54"/>
      <c r="T2176" s="36"/>
      <c r="XDA2176"/>
      <c r="XDB2176"/>
      <c r="XDC2176"/>
      <c r="XDD2176"/>
      <c r="XDE2176"/>
      <c r="XDF2176"/>
      <c r="XDG2176"/>
      <c r="XDH2176"/>
      <c r="XDI2176"/>
      <c r="XDJ2176"/>
      <c r="XDK2176"/>
      <c r="XDL2176"/>
      <c r="XDM2176"/>
      <c r="XDN2176"/>
      <c r="XDO2176"/>
      <c r="XDP2176"/>
      <c r="XDQ2176"/>
      <c r="XDR2176"/>
      <c r="XDS2176"/>
      <c r="XDT2176"/>
      <c r="XDU2176"/>
      <c r="XDV2176"/>
      <c r="XDW2176"/>
      <c r="XDX2176"/>
      <c r="XDY2176"/>
      <c r="XDZ2176"/>
      <c r="XEA2176"/>
      <c r="XEB2176"/>
      <c r="XEC2176"/>
      <c r="XED2176"/>
      <c r="XEE2176"/>
      <c r="XEF2176"/>
      <c r="XEG2176"/>
      <c r="XEH2176"/>
      <c r="XEI2176"/>
      <c r="XEJ2176"/>
      <c r="XEK2176"/>
      <c r="XEL2176"/>
      <c r="XEM2176"/>
      <c r="XEN2176"/>
      <c r="XEO2176"/>
      <c r="XEP2176"/>
      <c r="XEQ2176"/>
      <c r="XER2176"/>
      <c r="XES2176"/>
      <c r="XET2176"/>
      <c r="XEU2176"/>
      <c r="XEV2176"/>
      <c r="XEW2176"/>
      <c r="XEX2176"/>
      <c r="XEY2176"/>
      <c r="XEZ2176"/>
      <c r="XFA2176"/>
      <c r="XFB2176"/>
      <c r="XFC2176"/>
    </row>
    <row r="2177" spans="1:20 16329:16383" s="38" customFormat="1" ht="29.1" customHeight="1" outlineLevel="5" x14ac:dyDescent="0.25">
      <c r="A2177" s="65" t="s">
        <v>3876</v>
      </c>
      <c r="B2177" s="66" t="s">
        <v>3877</v>
      </c>
      <c r="C2177" s="66" t="s">
        <v>3878</v>
      </c>
      <c r="D2177" s="98" t="s">
        <v>3879</v>
      </c>
      <c r="E2177" s="98"/>
      <c r="F2177" s="67"/>
      <c r="G2177" s="66" t="s">
        <v>29</v>
      </c>
      <c r="H2177" s="68"/>
      <c r="I2177" s="36"/>
      <c r="J2177" s="68"/>
      <c r="K2177" s="69"/>
      <c r="L2177" s="69"/>
      <c r="M2177" s="69"/>
      <c r="N2177" s="69"/>
      <c r="O2177" s="69">
        <f>O2178+O2179</f>
        <v>0</v>
      </c>
      <c r="P2177" s="69">
        <f>P2178+P2179</f>
        <v>0</v>
      </c>
      <c r="Q2177" s="69">
        <f>Q2178+Q2179</f>
        <v>0</v>
      </c>
      <c r="R2177" s="69">
        <f>R2178+R2179</f>
        <v>0</v>
      </c>
      <c r="S2177" s="69"/>
      <c r="T2177" s="36"/>
      <c r="XDA2177"/>
      <c r="XDB2177"/>
      <c r="XDC2177"/>
      <c r="XDD2177"/>
      <c r="XDE2177"/>
      <c r="XDF2177"/>
      <c r="XDG2177"/>
      <c r="XDH2177"/>
      <c r="XDI2177"/>
      <c r="XDJ2177"/>
      <c r="XDK2177"/>
      <c r="XDL2177"/>
      <c r="XDM2177"/>
      <c r="XDN2177"/>
      <c r="XDO2177"/>
      <c r="XDP2177"/>
      <c r="XDQ2177"/>
      <c r="XDR2177"/>
      <c r="XDS2177"/>
      <c r="XDT2177"/>
      <c r="XDU2177"/>
      <c r="XDV2177"/>
      <c r="XDW2177"/>
      <c r="XDX2177"/>
      <c r="XDY2177"/>
      <c r="XDZ2177"/>
      <c r="XEA2177"/>
      <c r="XEB2177"/>
      <c r="XEC2177"/>
      <c r="XED2177"/>
      <c r="XEE2177"/>
      <c r="XEF2177"/>
      <c r="XEG2177"/>
      <c r="XEH2177"/>
      <c r="XEI2177"/>
      <c r="XEJ2177"/>
      <c r="XEK2177"/>
      <c r="XEL2177"/>
      <c r="XEM2177"/>
      <c r="XEN2177"/>
      <c r="XEO2177"/>
      <c r="XEP2177"/>
      <c r="XEQ2177"/>
      <c r="XER2177"/>
      <c r="XES2177"/>
      <c r="XET2177"/>
      <c r="XEU2177"/>
      <c r="XEV2177"/>
      <c r="XEW2177"/>
      <c r="XEX2177"/>
      <c r="XEY2177"/>
      <c r="XEZ2177"/>
      <c r="XFA2177"/>
      <c r="XFB2177"/>
      <c r="XFC2177"/>
    </row>
    <row r="2178" spans="1:20 16329:16383" s="38" customFormat="1" ht="29.1" customHeight="1" outlineLevel="6" x14ac:dyDescent="0.25">
      <c r="A2178" s="49" t="s">
        <v>3880</v>
      </c>
      <c r="B2178" s="50"/>
      <c r="C2178" s="50"/>
      <c r="D2178" s="3" t="s">
        <v>3881</v>
      </c>
      <c r="E2178" s="3"/>
      <c r="F2178" s="51"/>
      <c r="G2178" s="50" t="s">
        <v>29</v>
      </c>
      <c r="H2178" s="52">
        <f>1</f>
        <v>1</v>
      </c>
      <c r="I2178" s="36"/>
      <c r="J2178" s="52">
        <v>1</v>
      </c>
      <c r="K2178" s="53">
        <f>0</f>
        <v>0</v>
      </c>
      <c r="L2178" s="53">
        <f>0</f>
        <v>0</v>
      </c>
      <c r="M2178" s="53">
        <f>0</f>
        <v>0</v>
      </c>
      <c r="N2178" s="54">
        <f>SUM(K2178:M2178)</f>
        <v>0</v>
      </c>
      <c r="O2178" s="54">
        <f>ROUND((H2178*K2178),2)</f>
        <v>0</v>
      </c>
      <c r="P2178" s="54">
        <f>ROUND((H2178*L2178),2)</f>
        <v>0</v>
      </c>
      <c r="Q2178" s="54">
        <f>ROUND((H2178*M2178),2)</f>
        <v>0</v>
      </c>
      <c r="R2178" s="54">
        <f>ROUND((H2178*N2178),2)</f>
        <v>0</v>
      </c>
      <c r="S2178" s="54"/>
      <c r="T2178" s="36"/>
      <c r="XDA2178"/>
      <c r="XDB2178"/>
      <c r="XDC2178"/>
      <c r="XDD2178"/>
      <c r="XDE2178"/>
      <c r="XDF2178"/>
      <c r="XDG2178"/>
      <c r="XDH2178"/>
      <c r="XDI2178"/>
      <c r="XDJ2178"/>
      <c r="XDK2178"/>
      <c r="XDL2178"/>
      <c r="XDM2178"/>
      <c r="XDN2178"/>
      <c r="XDO2178"/>
      <c r="XDP2178"/>
      <c r="XDQ2178"/>
      <c r="XDR2178"/>
      <c r="XDS2178"/>
      <c r="XDT2178"/>
      <c r="XDU2178"/>
      <c r="XDV2178"/>
      <c r="XDW2178"/>
      <c r="XDX2178"/>
      <c r="XDY2178"/>
      <c r="XDZ2178"/>
      <c r="XEA2178"/>
      <c r="XEB2178"/>
      <c r="XEC2178"/>
      <c r="XED2178"/>
      <c r="XEE2178"/>
      <c r="XEF2178"/>
      <c r="XEG2178"/>
      <c r="XEH2178"/>
      <c r="XEI2178"/>
      <c r="XEJ2178"/>
      <c r="XEK2178"/>
      <c r="XEL2178"/>
      <c r="XEM2178"/>
      <c r="XEN2178"/>
      <c r="XEO2178"/>
      <c r="XEP2178"/>
      <c r="XEQ2178"/>
      <c r="XER2178"/>
      <c r="XES2178"/>
      <c r="XET2178"/>
      <c r="XEU2178"/>
      <c r="XEV2178"/>
      <c r="XEW2178"/>
      <c r="XEX2178"/>
      <c r="XEY2178"/>
      <c r="XEZ2178"/>
      <c r="XFA2178"/>
      <c r="XFB2178"/>
      <c r="XFC2178"/>
    </row>
    <row r="2179" spans="1:20 16329:16383" s="38" customFormat="1" ht="29.1" customHeight="1" outlineLevel="6" x14ac:dyDescent="0.25">
      <c r="A2179" s="49" t="s">
        <v>3882</v>
      </c>
      <c r="B2179" s="50"/>
      <c r="C2179" s="50"/>
      <c r="D2179" s="3" t="s">
        <v>3883</v>
      </c>
      <c r="E2179" s="3"/>
      <c r="F2179" s="51"/>
      <c r="G2179" s="50" t="s">
        <v>29</v>
      </c>
      <c r="H2179" s="52">
        <f>1</f>
        <v>1</v>
      </c>
      <c r="I2179" s="36"/>
      <c r="J2179" s="52">
        <v>1</v>
      </c>
      <c r="K2179" s="53">
        <f>0</f>
        <v>0</v>
      </c>
      <c r="L2179" s="53">
        <f>0</f>
        <v>0</v>
      </c>
      <c r="M2179" s="53">
        <f>0</f>
        <v>0</v>
      </c>
      <c r="N2179" s="54">
        <f>SUM(K2179:M2179)</f>
        <v>0</v>
      </c>
      <c r="O2179" s="54">
        <f>ROUND((H2179*K2179),2)</f>
        <v>0</v>
      </c>
      <c r="P2179" s="54">
        <f>ROUND((H2179*L2179),2)</f>
        <v>0</v>
      </c>
      <c r="Q2179" s="54">
        <f>ROUND((H2179*M2179),2)</f>
        <v>0</v>
      </c>
      <c r="R2179" s="54">
        <f>ROUND((H2179*N2179),2)</f>
        <v>0</v>
      </c>
      <c r="S2179" s="54"/>
      <c r="T2179" s="36"/>
      <c r="XDA2179"/>
      <c r="XDB2179"/>
      <c r="XDC2179"/>
      <c r="XDD2179"/>
      <c r="XDE2179"/>
      <c r="XDF2179"/>
      <c r="XDG2179"/>
      <c r="XDH2179"/>
      <c r="XDI2179"/>
      <c r="XDJ2179"/>
      <c r="XDK2179"/>
      <c r="XDL2179"/>
      <c r="XDM2179"/>
      <c r="XDN2179"/>
      <c r="XDO2179"/>
      <c r="XDP2179"/>
      <c r="XDQ2179"/>
      <c r="XDR2179"/>
      <c r="XDS2179"/>
      <c r="XDT2179"/>
      <c r="XDU2179"/>
      <c r="XDV2179"/>
      <c r="XDW2179"/>
      <c r="XDX2179"/>
      <c r="XDY2179"/>
      <c r="XDZ2179"/>
      <c r="XEA2179"/>
      <c r="XEB2179"/>
      <c r="XEC2179"/>
      <c r="XED2179"/>
      <c r="XEE2179"/>
      <c r="XEF2179"/>
      <c r="XEG2179"/>
      <c r="XEH2179"/>
      <c r="XEI2179"/>
      <c r="XEJ2179"/>
      <c r="XEK2179"/>
      <c r="XEL2179"/>
      <c r="XEM2179"/>
      <c r="XEN2179"/>
      <c r="XEO2179"/>
      <c r="XEP2179"/>
      <c r="XEQ2179"/>
      <c r="XER2179"/>
      <c r="XES2179"/>
      <c r="XET2179"/>
      <c r="XEU2179"/>
      <c r="XEV2179"/>
      <c r="XEW2179"/>
      <c r="XEX2179"/>
      <c r="XEY2179"/>
      <c r="XEZ2179"/>
      <c r="XFA2179"/>
      <c r="XFB2179"/>
      <c r="XFC2179"/>
    </row>
    <row r="2180" spans="1:20 16329:16383" s="38" customFormat="1" ht="29.1" customHeight="1" outlineLevel="5" x14ac:dyDescent="0.25">
      <c r="A2180" s="65" t="s">
        <v>3884</v>
      </c>
      <c r="B2180" s="66" t="s">
        <v>3885</v>
      </c>
      <c r="C2180" s="66" t="s">
        <v>3886</v>
      </c>
      <c r="D2180" s="98" t="s">
        <v>3887</v>
      </c>
      <c r="E2180" s="98"/>
      <c r="F2180" s="67"/>
      <c r="G2180" s="66" t="s">
        <v>3285</v>
      </c>
      <c r="H2180" s="68"/>
      <c r="I2180" s="36"/>
      <c r="J2180" s="68"/>
      <c r="K2180" s="69"/>
      <c r="L2180" s="69"/>
      <c r="M2180" s="69"/>
      <c r="N2180" s="69"/>
      <c r="O2180" s="69">
        <f>SUM(O2181:O2185)</f>
        <v>0</v>
      </c>
      <c r="P2180" s="69">
        <f>SUM(P2181:P2185)</f>
        <v>0</v>
      </c>
      <c r="Q2180" s="69">
        <f>SUM(Q2181:Q2185)</f>
        <v>0</v>
      </c>
      <c r="R2180" s="69">
        <f>SUM(R2181:R2185)</f>
        <v>0</v>
      </c>
      <c r="S2180" s="69"/>
      <c r="T2180" s="36"/>
      <c r="XDA2180"/>
      <c r="XDB2180"/>
      <c r="XDC2180"/>
      <c r="XDD2180"/>
      <c r="XDE2180"/>
      <c r="XDF2180"/>
      <c r="XDG2180"/>
      <c r="XDH2180"/>
      <c r="XDI2180"/>
      <c r="XDJ2180"/>
      <c r="XDK2180"/>
      <c r="XDL2180"/>
      <c r="XDM2180"/>
      <c r="XDN2180"/>
      <c r="XDO2180"/>
      <c r="XDP2180"/>
      <c r="XDQ2180"/>
      <c r="XDR2180"/>
      <c r="XDS2180"/>
      <c r="XDT2180"/>
      <c r="XDU2180"/>
      <c r="XDV2180"/>
      <c r="XDW2180"/>
      <c r="XDX2180"/>
      <c r="XDY2180"/>
      <c r="XDZ2180"/>
      <c r="XEA2180"/>
      <c r="XEB2180"/>
      <c r="XEC2180"/>
      <c r="XED2180"/>
      <c r="XEE2180"/>
      <c r="XEF2180"/>
      <c r="XEG2180"/>
      <c r="XEH2180"/>
      <c r="XEI2180"/>
      <c r="XEJ2180"/>
      <c r="XEK2180"/>
      <c r="XEL2180"/>
      <c r="XEM2180"/>
      <c r="XEN2180"/>
      <c r="XEO2180"/>
      <c r="XEP2180"/>
      <c r="XEQ2180"/>
      <c r="XER2180"/>
      <c r="XES2180"/>
      <c r="XET2180"/>
      <c r="XEU2180"/>
      <c r="XEV2180"/>
      <c r="XEW2180"/>
      <c r="XEX2180"/>
      <c r="XEY2180"/>
      <c r="XEZ2180"/>
      <c r="XFA2180"/>
      <c r="XFB2180"/>
      <c r="XFC2180"/>
    </row>
    <row r="2181" spans="1:20 16329:16383" s="38" customFormat="1" ht="29.1" customHeight="1" outlineLevel="6" x14ac:dyDescent="0.25">
      <c r="A2181" s="49" t="s">
        <v>3888</v>
      </c>
      <c r="B2181" s="50"/>
      <c r="C2181" s="50"/>
      <c r="D2181" s="3" t="s">
        <v>3889</v>
      </c>
      <c r="E2181" s="3"/>
      <c r="F2181" s="51"/>
      <c r="G2181" s="50" t="s">
        <v>29</v>
      </c>
      <c r="H2181" s="52">
        <f>1</f>
        <v>1</v>
      </c>
      <c r="I2181" s="36"/>
      <c r="J2181" s="52">
        <v>1</v>
      </c>
      <c r="K2181" s="53">
        <f>0</f>
        <v>0</v>
      </c>
      <c r="L2181" s="53">
        <f>0</f>
        <v>0</v>
      </c>
      <c r="M2181" s="53">
        <f>0</f>
        <v>0</v>
      </c>
      <c r="N2181" s="54">
        <f>SUM(K2181:M2181)</f>
        <v>0</v>
      </c>
      <c r="O2181" s="54">
        <f>ROUND((H2181*K2181),2)</f>
        <v>0</v>
      </c>
      <c r="P2181" s="54">
        <f>ROUND((H2181*L2181),2)</f>
        <v>0</v>
      </c>
      <c r="Q2181" s="54">
        <f>ROUND((H2181*M2181),2)</f>
        <v>0</v>
      </c>
      <c r="R2181" s="54">
        <f>ROUND((H2181*N2181),2)</f>
        <v>0</v>
      </c>
      <c r="S2181" s="54"/>
      <c r="T2181" s="36"/>
      <c r="XDA2181"/>
      <c r="XDB2181"/>
      <c r="XDC2181"/>
      <c r="XDD2181"/>
      <c r="XDE2181"/>
      <c r="XDF2181"/>
      <c r="XDG2181"/>
      <c r="XDH2181"/>
      <c r="XDI2181"/>
      <c r="XDJ2181"/>
      <c r="XDK2181"/>
      <c r="XDL2181"/>
      <c r="XDM2181"/>
      <c r="XDN2181"/>
      <c r="XDO2181"/>
      <c r="XDP2181"/>
      <c r="XDQ2181"/>
      <c r="XDR2181"/>
      <c r="XDS2181"/>
      <c r="XDT2181"/>
      <c r="XDU2181"/>
      <c r="XDV2181"/>
      <c r="XDW2181"/>
      <c r="XDX2181"/>
      <c r="XDY2181"/>
      <c r="XDZ2181"/>
      <c r="XEA2181"/>
      <c r="XEB2181"/>
      <c r="XEC2181"/>
      <c r="XED2181"/>
      <c r="XEE2181"/>
      <c r="XEF2181"/>
      <c r="XEG2181"/>
      <c r="XEH2181"/>
      <c r="XEI2181"/>
      <c r="XEJ2181"/>
      <c r="XEK2181"/>
      <c r="XEL2181"/>
      <c r="XEM2181"/>
      <c r="XEN2181"/>
      <c r="XEO2181"/>
      <c r="XEP2181"/>
      <c r="XEQ2181"/>
      <c r="XER2181"/>
      <c r="XES2181"/>
      <c r="XET2181"/>
      <c r="XEU2181"/>
      <c r="XEV2181"/>
      <c r="XEW2181"/>
      <c r="XEX2181"/>
      <c r="XEY2181"/>
      <c r="XEZ2181"/>
      <c r="XFA2181"/>
      <c r="XFB2181"/>
      <c r="XFC2181"/>
    </row>
    <row r="2182" spans="1:20 16329:16383" s="38" customFormat="1" ht="29.1" customHeight="1" outlineLevel="6" x14ac:dyDescent="0.25">
      <c r="A2182" s="49" t="s">
        <v>3890</v>
      </c>
      <c r="B2182" s="50"/>
      <c r="C2182" s="50"/>
      <c r="D2182" s="3" t="s">
        <v>3891</v>
      </c>
      <c r="E2182" s="3"/>
      <c r="F2182" s="51"/>
      <c r="G2182" s="50" t="s">
        <v>29</v>
      </c>
      <c r="H2182" s="52">
        <f>1</f>
        <v>1</v>
      </c>
      <c r="I2182" s="36"/>
      <c r="J2182" s="52">
        <v>1</v>
      </c>
      <c r="K2182" s="53">
        <f>0</f>
        <v>0</v>
      </c>
      <c r="L2182" s="53">
        <f>0</f>
        <v>0</v>
      </c>
      <c r="M2182" s="53">
        <f>0</f>
        <v>0</v>
      </c>
      <c r="N2182" s="54">
        <f>SUM(K2182:M2182)</f>
        <v>0</v>
      </c>
      <c r="O2182" s="54">
        <f>ROUND((H2182*K2182),2)</f>
        <v>0</v>
      </c>
      <c r="P2182" s="54">
        <f>ROUND((H2182*L2182),2)</f>
        <v>0</v>
      </c>
      <c r="Q2182" s="54">
        <f>ROUND((H2182*M2182),2)</f>
        <v>0</v>
      </c>
      <c r="R2182" s="54">
        <f>ROUND((H2182*N2182),2)</f>
        <v>0</v>
      </c>
      <c r="S2182" s="54"/>
      <c r="T2182" s="36"/>
      <c r="XDA2182"/>
      <c r="XDB2182"/>
      <c r="XDC2182"/>
      <c r="XDD2182"/>
      <c r="XDE2182"/>
      <c r="XDF2182"/>
      <c r="XDG2182"/>
      <c r="XDH2182"/>
      <c r="XDI2182"/>
      <c r="XDJ2182"/>
      <c r="XDK2182"/>
      <c r="XDL2182"/>
      <c r="XDM2182"/>
      <c r="XDN2182"/>
      <c r="XDO2182"/>
      <c r="XDP2182"/>
      <c r="XDQ2182"/>
      <c r="XDR2182"/>
      <c r="XDS2182"/>
      <c r="XDT2182"/>
      <c r="XDU2182"/>
      <c r="XDV2182"/>
      <c r="XDW2182"/>
      <c r="XDX2182"/>
      <c r="XDY2182"/>
      <c r="XDZ2182"/>
      <c r="XEA2182"/>
      <c r="XEB2182"/>
      <c r="XEC2182"/>
      <c r="XED2182"/>
      <c r="XEE2182"/>
      <c r="XEF2182"/>
      <c r="XEG2182"/>
      <c r="XEH2182"/>
      <c r="XEI2182"/>
      <c r="XEJ2182"/>
      <c r="XEK2182"/>
      <c r="XEL2182"/>
      <c r="XEM2182"/>
      <c r="XEN2182"/>
      <c r="XEO2182"/>
      <c r="XEP2182"/>
      <c r="XEQ2182"/>
      <c r="XER2182"/>
      <c r="XES2182"/>
      <c r="XET2182"/>
      <c r="XEU2182"/>
      <c r="XEV2182"/>
      <c r="XEW2182"/>
      <c r="XEX2182"/>
      <c r="XEY2182"/>
      <c r="XEZ2182"/>
      <c r="XFA2182"/>
      <c r="XFB2182"/>
      <c r="XFC2182"/>
    </row>
    <row r="2183" spans="1:20 16329:16383" s="38" customFormat="1" ht="29.1" customHeight="1" outlineLevel="6" x14ac:dyDescent="0.25">
      <c r="A2183" s="49" t="s">
        <v>3892</v>
      </c>
      <c r="B2183" s="50"/>
      <c r="C2183" s="50"/>
      <c r="D2183" s="3" t="s">
        <v>3893</v>
      </c>
      <c r="E2183" s="3"/>
      <c r="F2183" s="51"/>
      <c r="G2183" s="50" t="s">
        <v>29</v>
      </c>
      <c r="H2183" s="52">
        <f>1</f>
        <v>1</v>
      </c>
      <c r="I2183" s="36"/>
      <c r="J2183" s="52">
        <v>1</v>
      </c>
      <c r="K2183" s="53">
        <f>0</f>
        <v>0</v>
      </c>
      <c r="L2183" s="53">
        <f>0</f>
        <v>0</v>
      </c>
      <c r="M2183" s="53">
        <f>0</f>
        <v>0</v>
      </c>
      <c r="N2183" s="54">
        <f>SUM(K2183:M2183)</f>
        <v>0</v>
      </c>
      <c r="O2183" s="54">
        <f>ROUND((H2183*K2183),2)</f>
        <v>0</v>
      </c>
      <c r="P2183" s="54">
        <f>ROUND((H2183*L2183),2)</f>
        <v>0</v>
      </c>
      <c r="Q2183" s="54">
        <f>ROUND((H2183*M2183),2)</f>
        <v>0</v>
      </c>
      <c r="R2183" s="54">
        <f>ROUND((H2183*N2183),2)</f>
        <v>0</v>
      </c>
      <c r="S2183" s="54"/>
      <c r="T2183" s="36"/>
      <c r="XDA2183"/>
      <c r="XDB2183"/>
      <c r="XDC2183"/>
      <c r="XDD2183"/>
      <c r="XDE2183"/>
      <c r="XDF2183"/>
      <c r="XDG2183"/>
      <c r="XDH2183"/>
      <c r="XDI2183"/>
      <c r="XDJ2183"/>
      <c r="XDK2183"/>
      <c r="XDL2183"/>
      <c r="XDM2183"/>
      <c r="XDN2183"/>
      <c r="XDO2183"/>
      <c r="XDP2183"/>
      <c r="XDQ2183"/>
      <c r="XDR2183"/>
      <c r="XDS2183"/>
      <c r="XDT2183"/>
      <c r="XDU2183"/>
      <c r="XDV2183"/>
      <c r="XDW2183"/>
      <c r="XDX2183"/>
      <c r="XDY2183"/>
      <c r="XDZ2183"/>
      <c r="XEA2183"/>
      <c r="XEB2183"/>
      <c r="XEC2183"/>
      <c r="XED2183"/>
      <c r="XEE2183"/>
      <c r="XEF2183"/>
      <c r="XEG2183"/>
      <c r="XEH2183"/>
      <c r="XEI2183"/>
      <c r="XEJ2183"/>
      <c r="XEK2183"/>
      <c r="XEL2183"/>
      <c r="XEM2183"/>
      <c r="XEN2183"/>
      <c r="XEO2183"/>
      <c r="XEP2183"/>
      <c r="XEQ2183"/>
      <c r="XER2183"/>
      <c r="XES2183"/>
      <c r="XET2183"/>
      <c r="XEU2183"/>
      <c r="XEV2183"/>
      <c r="XEW2183"/>
      <c r="XEX2183"/>
      <c r="XEY2183"/>
      <c r="XEZ2183"/>
      <c r="XFA2183"/>
      <c r="XFB2183"/>
      <c r="XFC2183"/>
    </row>
    <row r="2184" spans="1:20 16329:16383" s="38" customFormat="1" ht="29.1" customHeight="1" outlineLevel="6" x14ac:dyDescent="0.25">
      <c r="A2184" s="49" t="s">
        <v>3894</v>
      </c>
      <c r="B2184" s="50"/>
      <c r="C2184" s="50"/>
      <c r="D2184" s="3" t="s">
        <v>3895</v>
      </c>
      <c r="E2184" s="3"/>
      <c r="F2184" s="51"/>
      <c r="G2184" s="50" t="s">
        <v>29</v>
      </c>
      <c r="H2184" s="52">
        <f>1</f>
        <v>1</v>
      </c>
      <c r="I2184" s="36"/>
      <c r="J2184" s="52">
        <v>1</v>
      </c>
      <c r="K2184" s="53">
        <f>0</f>
        <v>0</v>
      </c>
      <c r="L2184" s="53">
        <f>0</f>
        <v>0</v>
      </c>
      <c r="M2184" s="53">
        <f>0</f>
        <v>0</v>
      </c>
      <c r="N2184" s="54">
        <f>SUM(K2184:M2184)</f>
        <v>0</v>
      </c>
      <c r="O2184" s="54">
        <f>ROUND((H2184*K2184),2)</f>
        <v>0</v>
      </c>
      <c r="P2184" s="54">
        <f>ROUND((H2184*L2184),2)</f>
        <v>0</v>
      </c>
      <c r="Q2184" s="54">
        <f>ROUND((H2184*M2184),2)</f>
        <v>0</v>
      </c>
      <c r="R2184" s="54">
        <f>ROUND((H2184*N2184),2)</f>
        <v>0</v>
      </c>
      <c r="S2184" s="54"/>
      <c r="T2184" s="36"/>
      <c r="XDA2184"/>
      <c r="XDB2184"/>
      <c r="XDC2184"/>
      <c r="XDD2184"/>
      <c r="XDE2184"/>
      <c r="XDF2184"/>
      <c r="XDG2184"/>
      <c r="XDH2184"/>
      <c r="XDI2184"/>
      <c r="XDJ2184"/>
      <c r="XDK2184"/>
      <c r="XDL2184"/>
      <c r="XDM2184"/>
      <c r="XDN2184"/>
      <c r="XDO2184"/>
      <c r="XDP2184"/>
      <c r="XDQ2184"/>
      <c r="XDR2184"/>
      <c r="XDS2184"/>
      <c r="XDT2184"/>
      <c r="XDU2184"/>
      <c r="XDV2184"/>
      <c r="XDW2184"/>
      <c r="XDX2184"/>
      <c r="XDY2184"/>
      <c r="XDZ2184"/>
      <c r="XEA2184"/>
      <c r="XEB2184"/>
      <c r="XEC2184"/>
      <c r="XED2184"/>
      <c r="XEE2184"/>
      <c r="XEF2184"/>
      <c r="XEG2184"/>
      <c r="XEH2184"/>
      <c r="XEI2184"/>
      <c r="XEJ2184"/>
      <c r="XEK2184"/>
      <c r="XEL2184"/>
      <c r="XEM2184"/>
      <c r="XEN2184"/>
      <c r="XEO2184"/>
      <c r="XEP2184"/>
      <c r="XEQ2184"/>
      <c r="XER2184"/>
      <c r="XES2184"/>
      <c r="XET2184"/>
      <c r="XEU2184"/>
      <c r="XEV2184"/>
      <c r="XEW2184"/>
      <c r="XEX2184"/>
      <c r="XEY2184"/>
      <c r="XEZ2184"/>
      <c r="XFA2184"/>
      <c r="XFB2184"/>
      <c r="XFC2184"/>
    </row>
    <row r="2185" spans="1:20 16329:16383" s="38" customFormat="1" ht="29.1" customHeight="1" outlineLevel="6" x14ac:dyDescent="0.25">
      <c r="A2185" s="49" t="s">
        <v>3896</v>
      </c>
      <c r="B2185" s="50"/>
      <c r="C2185" s="50"/>
      <c r="D2185" s="3" t="s">
        <v>3897</v>
      </c>
      <c r="E2185" s="3"/>
      <c r="F2185" s="51"/>
      <c r="G2185" s="50" t="s">
        <v>29</v>
      </c>
      <c r="H2185" s="52">
        <f>1</f>
        <v>1</v>
      </c>
      <c r="I2185" s="36"/>
      <c r="J2185" s="52">
        <v>1</v>
      </c>
      <c r="K2185" s="53">
        <f>0</f>
        <v>0</v>
      </c>
      <c r="L2185" s="53">
        <f>0</f>
        <v>0</v>
      </c>
      <c r="M2185" s="53">
        <f>0</f>
        <v>0</v>
      </c>
      <c r="N2185" s="54">
        <f>SUM(K2185:M2185)</f>
        <v>0</v>
      </c>
      <c r="O2185" s="54">
        <f>ROUND((H2185*K2185),2)</f>
        <v>0</v>
      </c>
      <c r="P2185" s="54">
        <f>ROUND((H2185*L2185),2)</f>
        <v>0</v>
      </c>
      <c r="Q2185" s="54">
        <f>ROUND((H2185*M2185),2)</f>
        <v>0</v>
      </c>
      <c r="R2185" s="54">
        <f>ROUND((H2185*N2185),2)</f>
        <v>0</v>
      </c>
      <c r="S2185" s="54"/>
      <c r="T2185" s="36"/>
      <c r="XDA2185"/>
      <c r="XDB2185"/>
      <c r="XDC2185"/>
      <c r="XDD2185"/>
      <c r="XDE2185"/>
      <c r="XDF2185"/>
      <c r="XDG2185"/>
      <c r="XDH2185"/>
      <c r="XDI2185"/>
      <c r="XDJ2185"/>
      <c r="XDK2185"/>
      <c r="XDL2185"/>
      <c r="XDM2185"/>
      <c r="XDN2185"/>
      <c r="XDO2185"/>
      <c r="XDP2185"/>
      <c r="XDQ2185"/>
      <c r="XDR2185"/>
      <c r="XDS2185"/>
      <c r="XDT2185"/>
      <c r="XDU2185"/>
      <c r="XDV2185"/>
      <c r="XDW2185"/>
      <c r="XDX2185"/>
      <c r="XDY2185"/>
      <c r="XDZ2185"/>
      <c r="XEA2185"/>
      <c r="XEB2185"/>
      <c r="XEC2185"/>
      <c r="XED2185"/>
      <c r="XEE2185"/>
      <c r="XEF2185"/>
      <c r="XEG2185"/>
      <c r="XEH2185"/>
      <c r="XEI2185"/>
      <c r="XEJ2185"/>
      <c r="XEK2185"/>
      <c r="XEL2185"/>
      <c r="XEM2185"/>
      <c r="XEN2185"/>
      <c r="XEO2185"/>
      <c r="XEP2185"/>
      <c r="XEQ2185"/>
      <c r="XER2185"/>
      <c r="XES2185"/>
      <c r="XET2185"/>
      <c r="XEU2185"/>
      <c r="XEV2185"/>
      <c r="XEW2185"/>
      <c r="XEX2185"/>
      <c r="XEY2185"/>
      <c r="XEZ2185"/>
      <c r="XFA2185"/>
      <c r="XFB2185"/>
      <c r="XFC2185"/>
    </row>
    <row r="2186" spans="1:20 16329:16383" s="38" customFormat="1" ht="29.1" customHeight="1" outlineLevel="4" x14ac:dyDescent="0.25">
      <c r="A2186" s="60" t="s">
        <v>3898</v>
      </c>
      <c r="B2186" s="61" t="s">
        <v>3899</v>
      </c>
      <c r="C2186" s="61" t="s">
        <v>3900</v>
      </c>
      <c r="D2186" s="1" t="s">
        <v>3901</v>
      </c>
      <c r="E2186" s="1"/>
      <c r="F2186" s="62"/>
      <c r="G2186" s="61" t="s">
        <v>29</v>
      </c>
      <c r="H2186" s="63"/>
      <c r="I2186" s="36"/>
      <c r="J2186" s="63"/>
      <c r="K2186" s="64"/>
      <c r="L2186" s="64"/>
      <c r="M2186" s="64"/>
      <c r="N2186" s="64"/>
      <c r="O2186" s="64">
        <f>O2187+O2191+O2193+O2195+O2197+O2199+O2201</f>
        <v>0</v>
      </c>
      <c r="P2186" s="64">
        <f>P2187+P2191+P2193+P2195+P2197+P2199+P2201</f>
        <v>0</v>
      </c>
      <c r="Q2186" s="64">
        <f>Q2187+Q2191+Q2193+Q2195+Q2197+Q2199+Q2201</f>
        <v>0</v>
      </c>
      <c r="R2186" s="64">
        <f>R2187+R2191+R2193+R2195+R2197+R2199+R2201</f>
        <v>0</v>
      </c>
      <c r="S2186" s="64"/>
      <c r="T2186" s="36"/>
      <c r="XDA2186"/>
      <c r="XDB2186"/>
      <c r="XDC2186"/>
      <c r="XDD2186"/>
      <c r="XDE2186"/>
      <c r="XDF2186"/>
      <c r="XDG2186"/>
      <c r="XDH2186"/>
      <c r="XDI2186"/>
      <c r="XDJ2186"/>
      <c r="XDK2186"/>
      <c r="XDL2186"/>
      <c r="XDM2186"/>
      <c r="XDN2186"/>
      <c r="XDO2186"/>
      <c r="XDP2186"/>
      <c r="XDQ2186"/>
      <c r="XDR2186"/>
      <c r="XDS2186"/>
      <c r="XDT2186"/>
      <c r="XDU2186"/>
      <c r="XDV2186"/>
      <c r="XDW2186"/>
      <c r="XDX2186"/>
      <c r="XDY2186"/>
      <c r="XDZ2186"/>
      <c r="XEA2186"/>
      <c r="XEB2186"/>
      <c r="XEC2186"/>
      <c r="XED2186"/>
      <c r="XEE2186"/>
      <c r="XEF2186"/>
      <c r="XEG2186"/>
      <c r="XEH2186"/>
      <c r="XEI2186"/>
      <c r="XEJ2186"/>
      <c r="XEK2186"/>
      <c r="XEL2186"/>
      <c r="XEM2186"/>
      <c r="XEN2186"/>
      <c r="XEO2186"/>
      <c r="XEP2186"/>
      <c r="XEQ2186"/>
      <c r="XER2186"/>
      <c r="XES2186"/>
      <c r="XET2186"/>
      <c r="XEU2186"/>
      <c r="XEV2186"/>
      <c r="XEW2186"/>
      <c r="XEX2186"/>
      <c r="XEY2186"/>
      <c r="XEZ2186"/>
      <c r="XFA2186"/>
      <c r="XFB2186"/>
      <c r="XFC2186"/>
    </row>
    <row r="2187" spans="1:20 16329:16383" s="38" customFormat="1" ht="29.1" customHeight="1" outlineLevel="5" x14ac:dyDescent="0.25">
      <c r="A2187" s="65" t="s">
        <v>3902</v>
      </c>
      <c r="B2187" s="66" t="s">
        <v>3903</v>
      </c>
      <c r="C2187" s="66" t="s">
        <v>3904</v>
      </c>
      <c r="D2187" s="98" t="s">
        <v>3905</v>
      </c>
      <c r="E2187" s="98"/>
      <c r="F2187" s="67"/>
      <c r="G2187" s="66" t="s">
        <v>29</v>
      </c>
      <c r="H2187" s="68"/>
      <c r="I2187" s="36"/>
      <c r="J2187" s="68"/>
      <c r="K2187" s="69"/>
      <c r="L2187" s="69"/>
      <c r="M2187" s="69"/>
      <c r="N2187" s="69"/>
      <c r="O2187" s="69">
        <f>SUM(O2188:O2190)</f>
        <v>0</v>
      </c>
      <c r="P2187" s="69">
        <f>SUM(P2188:P2190)</f>
        <v>0</v>
      </c>
      <c r="Q2187" s="69">
        <f>SUM(Q2188:Q2190)</f>
        <v>0</v>
      </c>
      <c r="R2187" s="69">
        <f>SUM(R2188:R2190)</f>
        <v>0</v>
      </c>
      <c r="S2187" s="69"/>
      <c r="T2187" s="36"/>
      <c r="XDA2187"/>
      <c r="XDB2187"/>
      <c r="XDC2187"/>
      <c r="XDD2187"/>
      <c r="XDE2187"/>
      <c r="XDF2187"/>
      <c r="XDG2187"/>
      <c r="XDH2187"/>
      <c r="XDI2187"/>
      <c r="XDJ2187"/>
      <c r="XDK2187"/>
      <c r="XDL2187"/>
      <c r="XDM2187"/>
      <c r="XDN2187"/>
      <c r="XDO2187"/>
      <c r="XDP2187"/>
      <c r="XDQ2187"/>
      <c r="XDR2187"/>
      <c r="XDS2187"/>
      <c r="XDT2187"/>
      <c r="XDU2187"/>
      <c r="XDV2187"/>
      <c r="XDW2187"/>
      <c r="XDX2187"/>
      <c r="XDY2187"/>
      <c r="XDZ2187"/>
      <c r="XEA2187"/>
      <c r="XEB2187"/>
      <c r="XEC2187"/>
      <c r="XED2187"/>
      <c r="XEE2187"/>
      <c r="XEF2187"/>
      <c r="XEG2187"/>
      <c r="XEH2187"/>
      <c r="XEI2187"/>
      <c r="XEJ2187"/>
      <c r="XEK2187"/>
      <c r="XEL2187"/>
      <c r="XEM2187"/>
      <c r="XEN2187"/>
      <c r="XEO2187"/>
      <c r="XEP2187"/>
      <c r="XEQ2187"/>
      <c r="XER2187"/>
      <c r="XES2187"/>
      <c r="XET2187"/>
      <c r="XEU2187"/>
      <c r="XEV2187"/>
      <c r="XEW2187"/>
      <c r="XEX2187"/>
      <c r="XEY2187"/>
      <c r="XEZ2187"/>
      <c r="XFA2187"/>
      <c r="XFB2187"/>
      <c r="XFC2187"/>
    </row>
    <row r="2188" spans="1:20 16329:16383" s="38" customFormat="1" ht="29.1" customHeight="1" outlineLevel="6" x14ac:dyDescent="0.25">
      <c r="A2188" s="49" t="s">
        <v>3906</v>
      </c>
      <c r="B2188" s="50"/>
      <c r="C2188" s="50"/>
      <c r="D2188" s="3" t="s">
        <v>3905</v>
      </c>
      <c r="E2188" s="3"/>
      <c r="F2188" s="51"/>
      <c r="G2188" s="50" t="s">
        <v>29</v>
      </c>
      <c r="H2188" s="52">
        <f>1</f>
        <v>1</v>
      </c>
      <c r="I2188" s="36"/>
      <c r="J2188" s="52">
        <v>1</v>
      </c>
      <c r="K2188" s="53">
        <f>0</f>
        <v>0</v>
      </c>
      <c r="L2188" s="53">
        <f>0</f>
        <v>0</v>
      </c>
      <c r="M2188" s="53">
        <f>0</f>
        <v>0</v>
      </c>
      <c r="N2188" s="54">
        <f>SUM(K2188:M2188)</f>
        <v>0</v>
      </c>
      <c r="O2188" s="54">
        <f>ROUND((H2188*K2188),2)</f>
        <v>0</v>
      </c>
      <c r="P2188" s="54">
        <f>ROUND((H2188*L2188),2)</f>
        <v>0</v>
      </c>
      <c r="Q2188" s="54">
        <f>ROUND((H2188*M2188),2)</f>
        <v>0</v>
      </c>
      <c r="R2188" s="54">
        <f>ROUND((H2188*N2188),2)</f>
        <v>0</v>
      </c>
      <c r="S2188" s="54"/>
      <c r="T2188" s="36"/>
      <c r="XDA2188"/>
      <c r="XDB2188"/>
      <c r="XDC2188"/>
      <c r="XDD2188"/>
      <c r="XDE2188"/>
      <c r="XDF2188"/>
      <c r="XDG2188"/>
      <c r="XDH2188"/>
      <c r="XDI2188"/>
      <c r="XDJ2188"/>
      <c r="XDK2188"/>
      <c r="XDL2188"/>
      <c r="XDM2188"/>
      <c r="XDN2188"/>
      <c r="XDO2188"/>
      <c r="XDP2188"/>
      <c r="XDQ2188"/>
      <c r="XDR2188"/>
      <c r="XDS2188"/>
      <c r="XDT2188"/>
      <c r="XDU2188"/>
      <c r="XDV2188"/>
      <c r="XDW2188"/>
      <c r="XDX2188"/>
      <c r="XDY2188"/>
      <c r="XDZ2188"/>
      <c r="XEA2188"/>
      <c r="XEB2188"/>
      <c r="XEC2188"/>
      <c r="XED2188"/>
      <c r="XEE2188"/>
      <c r="XEF2188"/>
      <c r="XEG2188"/>
      <c r="XEH2188"/>
      <c r="XEI2188"/>
      <c r="XEJ2188"/>
      <c r="XEK2188"/>
      <c r="XEL2188"/>
      <c r="XEM2188"/>
      <c r="XEN2188"/>
      <c r="XEO2188"/>
      <c r="XEP2188"/>
      <c r="XEQ2188"/>
      <c r="XER2188"/>
      <c r="XES2188"/>
      <c r="XET2188"/>
      <c r="XEU2188"/>
      <c r="XEV2188"/>
      <c r="XEW2188"/>
      <c r="XEX2188"/>
      <c r="XEY2188"/>
      <c r="XEZ2188"/>
      <c r="XFA2188"/>
      <c r="XFB2188"/>
      <c r="XFC2188"/>
    </row>
    <row r="2189" spans="1:20 16329:16383" s="38" customFormat="1" ht="29.1" customHeight="1" outlineLevel="6" x14ac:dyDescent="0.25">
      <c r="A2189" s="49" t="s">
        <v>3907</v>
      </c>
      <c r="B2189" s="50"/>
      <c r="C2189" s="50"/>
      <c r="D2189" s="3" t="s">
        <v>3908</v>
      </c>
      <c r="E2189" s="3"/>
      <c r="F2189" s="51"/>
      <c r="G2189" s="50" t="s">
        <v>29</v>
      </c>
      <c r="H2189" s="52">
        <f>1</f>
        <v>1</v>
      </c>
      <c r="I2189" s="36"/>
      <c r="J2189" s="52">
        <v>1</v>
      </c>
      <c r="K2189" s="53">
        <f>0</f>
        <v>0</v>
      </c>
      <c r="L2189" s="53">
        <f>0</f>
        <v>0</v>
      </c>
      <c r="M2189" s="53">
        <f>0</f>
        <v>0</v>
      </c>
      <c r="N2189" s="54">
        <f>SUM(K2189:M2189)</f>
        <v>0</v>
      </c>
      <c r="O2189" s="54">
        <f>ROUND((H2189*K2189),2)</f>
        <v>0</v>
      </c>
      <c r="P2189" s="54">
        <f>ROUND((H2189*L2189),2)</f>
        <v>0</v>
      </c>
      <c r="Q2189" s="54">
        <f>ROUND((H2189*M2189),2)</f>
        <v>0</v>
      </c>
      <c r="R2189" s="54">
        <f>ROUND((H2189*N2189),2)</f>
        <v>0</v>
      </c>
      <c r="S2189" s="54"/>
      <c r="T2189" s="36"/>
      <c r="XDA2189"/>
      <c r="XDB2189"/>
      <c r="XDC2189"/>
      <c r="XDD2189"/>
      <c r="XDE2189"/>
      <c r="XDF2189"/>
      <c r="XDG2189"/>
      <c r="XDH2189"/>
      <c r="XDI2189"/>
      <c r="XDJ2189"/>
      <c r="XDK2189"/>
      <c r="XDL2189"/>
      <c r="XDM2189"/>
      <c r="XDN2189"/>
      <c r="XDO2189"/>
      <c r="XDP2189"/>
      <c r="XDQ2189"/>
      <c r="XDR2189"/>
      <c r="XDS2189"/>
      <c r="XDT2189"/>
      <c r="XDU2189"/>
      <c r="XDV2189"/>
      <c r="XDW2189"/>
      <c r="XDX2189"/>
      <c r="XDY2189"/>
      <c r="XDZ2189"/>
      <c r="XEA2189"/>
      <c r="XEB2189"/>
      <c r="XEC2189"/>
      <c r="XED2189"/>
      <c r="XEE2189"/>
      <c r="XEF2189"/>
      <c r="XEG2189"/>
      <c r="XEH2189"/>
      <c r="XEI2189"/>
      <c r="XEJ2189"/>
      <c r="XEK2189"/>
      <c r="XEL2189"/>
      <c r="XEM2189"/>
      <c r="XEN2189"/>
      <c r="XEO2189"/>
      <c r="XEP2189"/>
      <c r="XEQ2189"/>
      <c r="XER2189"/>
      <c r="XES2189"/>
      <c r="XET2189"/>
      <c r="XEU2189"/>
      <c r="XEV2189"/>
      <c r="XEW2189"/>
      <c r="XEX2189"/>
      <c r="XEY2189"/>
      <c r="XEZ2189"/>
      <c r="XFA2189"/>
      <c r="XFB2189"/>
      <c r="XFC2189"/>
    </row>
    <row r="2190" spans="1:20 16329:16383" s="38" customFormat="1" ht="29.1" customHeight="1" outlineLevel="6" x14ac:dyDescent="0.25">
      <c r="A2190" s="49" t="s">
        <v>3909</v>
      </c>
      <c r="B2190" s="50"/>
      <c r="C2190" s="50"/>
      <c r="D2190" s="3" t="s">
        <v>3910</v>
      </c>
      <c r="E2190" s="3"/>
      <c r="F2190" s="51"/>
      <c r="G2190" s="50" t="s">
        <v>29</v>
      </c>
      <c r="H2190" s="52">
        <f>1</f>
        <v>1</v>
      </c>
      <c r="I2190" s="36"/>
      <c r="J2190" s="52">
        <v>1</v>
      </c>
      <c r="K2190" s="53">
        <f>0</f>
        <v>0</v>
      </c>
      <c r="L2190" s="53">
        <f>0</f>
        <v>0</v>
      </c>
      <c r="M2190" s="53">
        <f>0</f>
        <v>0</v>
      </c>
      <c r="N2190" s="54">
        <f>SUM(K2190:M2190)</f>
        <v>0</v>
      </c>
      <c r="O2190" s="54">
        <f>ROUND((H2190*K2190),2)</f>
        <v>0</v>
      </c>
      <c r="P2190" s="54">
        <f>ROUND((H2190*L2190),2)</f>
        <v>0</v>
      </c>
      <c r="Q2190" s="54">
        <f>ROUND((H2190*M2190),2)</f>
        <v>0</v>
      </c>
      <c r="R2190" s="54">
        <f>ROUND((H2190*N2190),2)</f>
        <v>0</v>
      </c>
      <c r="S2190" s="54"/>
      <c r="T2190" s="36"/>
      <c r="XDA2190"/>
      <c r="XDB2190"/>
      <c r="XDC2190"/>
      <c r="XDD2190"/>
      <c r="XDE2190"/>
      <c r="XDF2190"/>
      <c r="XDG2190"/>
      <c r="XDH2190"/>
      <c r="XDI2190"/>
      <c r="XDJ2190"/>
      <c r="XDK2190"/>
      <c r="XDL2190"/>
      <c r="XDM2190"/>
      <c r="XDN2190"/>
      <c r="XDO2190"/>
      <c r="XDP2190"/>
      <c r="XDQ2190"/>
      <c r="XDR2190"/>
      <c r="XDS2190"/>
      <c r="XDT2190"/>
      <c r="XDU2190"/>
      <c r="XDV2190"/>
      <c r="XDW2190"/>
      <c r="XDX2190"/>
      <c r="XDY2190"/>
      <c r="XDZ2190"/>
      <c r="XEA2190"/>
      <c r="XEB2190"/>
      <c r="XEC2190"/>
      <c r="XED2190"/>
      <c r="XEE2190"/>
      <c r="XEF2190"/>
      <c r="XEG2190"/>
      <c r="XEH2190"/>
      <c r="XEI2190"/>
      <c r="XEJ2190"/>
      <c r="XEK2190"/>
      <c r="XEL2190"/>
      <c r="XEM2190"/>
      <c r="XEN2190"/>
      <c r="XEO2190"/>
      <c r="XEP2190"/>
      <c r="XEQ2190"/>
      <c r="XER2190"/>
      <c r="XES2190"/>
      <c r="XET2190"/>
      <c r="XEU2190"/>
      <c r="XEV2190"/>
      <c r="XEW2190"/>
      <c r="XEX2190"/>
      <c r="XEY2190"/>
      <c r="XEZ2190"/>
      <c r="XFA2190"/>
      <c r="XFB2190"/>
      <c r="XFC2190"/>
    </row>
    <row r="2191" spans="1:20 16329:16383" s="38" customFormat="1" ht="29.1" customHeight="1" outlineLevel="5" x14ac:dyDescent="0.25">
      <c r="A2191" s="65" t="s">
        <v>3911</v>
      </c>
      <c r="B2191" s="66" t="s">
        <v>3912</v>
      </c>
      <c r="C2191" s="66" t="s">
        <v>3913</v>
      </c>
      <c r="D2191" s="98" t="s">
        <v>3914</v>
      </c>
      <c r="E2191" s="98"/>
      <c r="F2191" s="67"/>
      <c r="G2191" s="66" t="s">
        <v>29</v>
      </c>
      <c r="H2191" s="68"/>
      <c r="I2191" s="36"/>
      <c r="J2191" s="68"/>
      <c r="K2191" s="69"/>
      <c r="L2191" s="69"/>
      <c r="M2191" s="69"/>
      <c r="N2191" s="69"/>
      <c r="O2191" s="69">
        <f>O2192</f>
        <v>0</v>
      </c>
      <c r="P2191" s="69">
        <f>P2192</f>
        <v>0</v>
      </c>
      <c r="Q2191" s="69">
        <f>Q2192</f>
        <v>0</v>
      </c>
      <c r="R2191" s="69">
        <f>R2192</f>
        <v>0</v>
      </c>
      <c r="S2191" s="69"/>
      <c r="T2191" s="36"/>
      <c r="XDA2191"/>
      <c r="XDB2191"/>
      <c r="XDC2191"/>
      <c r="XDD2191"/>
      <c r="XDE2191"/>
      <c r="XDF2191"/>
      <c r="XDG2191"/>
      <c r="XDH2191"/>
      <c r="XDI2191"/>
      <c r="XDJ2191"/>
      <c r="XDK2191"/>
      <c r="XDL2191"/>
      <c r="XDM2191"/>
      <c r="XDN2191"/>
      <c r="XDO2191"/>
      <c r="XDP2191"/>
      <c r="XDQ2191"/>
      <c r="XDR2191"/>
      <c r="XDS2191"/>
      <c r="XDT2191"/>
      <c r="XDU2191"/>
      <c r="XDV2191"/>
      <c r="XDW2191"/>
      <c r="XDX2191"/>
      <c r="XDY2191"/>
      <c r="XDZ2191"/>
      <c r="XEA2191"/>
      <c r="XEB2191"/>
      <c r="XEC2191"/>
      <c r="XED2191"/>
      <c r="XEE2191"/>
      <c r="XEF2191"/>
      <c r="XEG2191"/>
      <c r="XEH2191"/>
      <c r="XEI2191"/>
      <c r="XEJ2191"/>
      <c r="XEK2191"/>
      <c r="XEL2191"/>
      <c r="XEM2191"/>
      <c r="XEN2191"/>
      <c r="XEO2191"/>
      <c r="XEP2191"/>
      <c r="XEQ2191"/>
      <c r="XER2191"/>
      <c r="XES2191"/>
      <c r="XET2191"/>
      <c r="XEU2191"/>
      <c r="XEV2191"/>
      <c r="XEW2191"/>
      <c r="XEX2191"/>
      <c r="XEY2191"/>
      <c r="XEZ2191"/>
      <c r="XFA2191"/>
      <c r="XFB2191"/>
      <c r="XFC2191"/>
    </row>
    <row r="2192" spans="1:20 16329:16383" s="38" customFormat="1" ht="29.1" customHeight="1" outlineLevel="6" x14ac:dyDescent="0.25">
      <c r="A2192" s="49" t="s">
        <v>3915</v>
      </c>
      <c r="B2192" s="50"/>
      <c r="C2192" s="50"/>
      <c r="D2192" s="3" t="s">
        <v>3914</v>
      </c>
      <c r="E2192" s="3"/>
      <c r="F2192" s="51"/>
      <c r="G2192" s="50" t="s">
        <v>29</v>
      </c>
      <c r="H2192" s="52">
        <f>1</f>
        <v>1</v>
      </c>
      <c r="I2192" s="36"/>
      <c r="J2192" s="52">
        <v>1</v>
      </c>
      <c r="K2192" s="53">
        <f>0</f>
        <v>0</v>
      </c>
      <c r="L2192" s="53">
        <f>0</f>
        <v>0</v>
      </c>
      <c r="M2192" s="53">
        <f>0</f>
        <v>0</v>
      </c>
      <c r="N2192" s="54">
        <f>SUM(K2192:M2192)</f>
        <v>0</v>
      </c>
      <c r="O2192" s="54">
        <f>ROUND((H2192*K2192),2)</f>
        <v>0</v>
      </c>
      <c r="P2192" s="54">
        <f>ROUND((H2192*L2192),2)</f>
        <v>0</v>
      </c>
      <c r="Q2192" s="54">
        <f>ROUND((H2192*M2192),2)</f>
        <v>0</v>
      </c>
      <c r="R2192" s="54">
        <f>ROUND((H2192*N2192),2)</f>
        <v>0</v>
      </c>
      <c r="S2192" s="54"/>
      <c r="T2192" s="36"/>
      <c r="XDA2192"/>
      <c r="XDB2192"/>
      <c r="XDC2192"/>
      <c r="XDD2192"/>
      <c r="XDE2192"/>
      <c r="XDF2192"/>
      <c r="XDG2192"/>
      <c r="XDH2192"/>
      <c r="XDI2192"/>
      <c r="XDJ2192"/>
      <c r="XDK2192"/>
      <c r="XDL2192"/>
      <c r="XDM2192"/>
      <c r="XDN2192"/>
      <c r="XDO2192"/>
      <c r="XDP2192"/>
      <c r="XDQ2192"/>
      <c r="XDR2192"/>
      <c r="XDS2192"/>
      <c r="XDT2192"/>
      <c r="XDU2192"/>
      <c r="XDV2192"/>
      <c r="XDW2192"/>
      <c r="XDX2192"/>
      <c r="XDY2192"/>
      <c r="XDZ2192"/>
      <c r="XEA2192"/>
      <c r="XEB2192"/>
      <c r="XEC2192"/>
      <c r="XED2192"/>
      <c r="XEE2192"/>
      <c r="XEF2192"/>
      <c r="XEG2192"/>
      <c r="XEH2192"/>
      <c r="XEI2192"/>
      <c r="XEJ2192"/>
      <c r="XEK2192"/>
      <c r="XEL2192"/>
      <c r="XEM2192"/>
      <c r="XEN2192"/>
      <c r="XEO2192"/>
      <c r="XEP2192"/>
      <c r="XEQ2192"/>
      <c r="XER2192"/>
      <c r="XES2192"/>
      <c r="XET2192"/>
      <c r="XEU2192"/>
      <c r="XEV2192"/>
      <c r="XEW2192"/>
      <c r="XEX2192"/>
      <c r="XEY2192"/>
      <c r="XEZ2192"/>
      <c r="XFA2192"/>
      <c r="XFB2192"/>
      <c r="XFC2192"/>
    </row>
    <row r="2193" spans="1:20 16329:16383" s="38" customFormat="1" ht="29.1" customHeight="1" outlineLevel="5" x14ac:dyDescent="0.25">
      <c r="A2193" s="65" t="s">
        <v>3916</v>
      </c>
      <c r="B2193" s="66" t="s">
        <v>3917</v>
      </c>
      <c r="C2193" s="66" t="s">
        <v>3918</v>
      </c>
      <c r="D2193" s="98" t="s">
        <v>3919</v>
      </c>
      <c r="E2193" s="98"/>
      <c r="F2193" s="67"/>
      <c r="G2193" s="66" t="s">
        <v>29</v>
      </c>
      <c r="H2193" s="68"/>
      <c r="I2193" s="36"/>
      <c r="J2193" s="68"/>
      <c r="K2193" s="69"/>
      <c r="L2193" s="69"/>
      <c r="M2193" s="69"/>
      <c r="N2193" s="69"/>
      <c r="O2193" s="69">
        <f>O2194</f>
        <v>0</v>
      </c>
      <c r="P2193" s="69">
        <f>P2194</f>
        <v>0</v>
      </c>
      <c r="Q2193" s="69">
        <f>Q2194</f>
        <v>0</v>
      </c>
      <c r="R2193" s="69">
        <f>R2194</f>
        <v>0</v>
      </c>
      <c r="S2193" s="69"/>
      <c r="T2193" s="36"/>
      <c r="XDA2193"/>
      <c r="XDB2193"/>
      <c r="XDC2193"/>
      <c r="XDD2193"/>
      <c r="XDE2193"/>
      <c r="XDF2193"/>
      <c r="XDG2193"/>
      <c r="XDH2193"/>
      <c r="XDI2193"/>
      <c r="XDJ2193"/>
      <c r="XDK2193"/>
      <c r="XDL2193"/>
      <c r="XDM2193"/>
      <c r="XDN2193"/>
      <c r="XDO2193"/>
      <c r="XDP2193"/>
      <c r="XDQ2193"/>
      <c r="XDR2193"/>
      <c r="XDS2193"/>
      <c r="XDT2193"/>
      <c r="XDU2193"/>
      <c r="XDV2193"/>
      <c r="XDW2193"/>
      <c r="XDX2193"/>
      <c r="XDY2193"/>
      <c r="XDZ2193"/>
      <c r="XEA2193"/>
      <c r="XEB2193"/>
      <c r="XEC2193"/>
      <c r="XED2193"/>
      <c r="XEE2193"/>
      <c r="XEF2193"/>
      <c r="XEG2193"/>
      <c r="XEH2193"/>
      <c r="XEI2193"/>
      <c r="XEJ2193"/>
      <c r="XEK2193"/>
      <c r="XEL2193"/>
      <c r="XEM2193"/>
      <c r="XEN2193"/>
      <c r="XEO2193"/>
      <c r="XEP2193"/>
      <c r="XEQ2193"/>
      <c r="XER2193"/>
      <c r="XES2193"/>
      <c r="XET2193"/>
      <c r="XEU2193"/>
      <c r="XEV2193"/>
      <c r="XEW2193"/>
      <c r="XEX2193"/>
      <c r="XEY2193"/>
      <c r="XEZ2193"/>
      <c r="XFA2193"/>
      <c r="XFB2193"/>
      <c r="XFC2193"/>
    </row>
    <row r="2194" spans="1:20 16329:16383" s="38" customFormat="1" ht="29.1" customHeight="1" outlineLevel="6" x14ac:dyDescent="0.25">
      <c r="A2194" s="49" t="s">
        <v>3920</v>
      </c>
      <c r="B2194" s="50"/>
      <c r="C2194" s="50"/>
      <c r="D2194" s="3" t="s">
        <v>3919</v>
      </c>
      <c r="E2194" s="3"/>
      <c r="F2194" s="51"/>
      <c r="G2194" s="50" t="s">
        <v>29</v>
      </c>
      <c r="H2194" s="52">
        <f>1</f>
        <v>1</v>
      </c>
      <c r="I2194" s="36"/>
      <c r="J2194" s="52">
        <v>1</v>
      </c>
      <c r="K2194" s="53">
        <f>0</f>
        <v>0</v>
      </c>
      <c r="L2194" s="53">
        <f>0</f>
        <v>0</v>
      </c>
      <c r="M2194" s="53">
        <f>0</f>
        <v>0</v>
      </c>
      <c r="N2194" s="54">
        <f>SUM(K2194:M2194)</f>
        <v>0</v>
      </c>
      <c r="O2194" s="54">
        <f>ROUND((H2194*K2194),2)</f>
        <v>0</v>
      </c>
      <c r="P2194" s="54">
        <f>ROUND((H2194*L2194),2)</f>
        <v>0</v>
      </c>
      <c r="Q2194" s="54">
        <f>ROUND((H2194*M2194),2)</f>
        <v>0</v>
      </c>
      <c r="R2194" s="54">
        <f>ROUND((H2194*N2194),2)</f>
        <v>0</v>
      </c>
      <c r="S2194" s="54"/>
      <c r="T2194" s="36"/>
      <c r="XDA2194"/>
      <c r="XDB2194"/>
      <c r="XDC2194"/>
      <c r="XDD2194"/>
      <c r="XDE2194"/>
      <c r="XDF2194"/>
      <c r="XDG2194"/>
      <c r="XDH2194"/>
      <c r="XDI2194"/>
      <c r="XDJ2194"/>
      <c r="XDK2194"/>
      <c r="XDL2194"/>
      <c r="XDM2194"/>
      <c r="XDN2194"/>
      <c r="XDO2194"/>
      <c r="XDP2194"/>
      <c r="XDQ2194"/>
      <c r="XDR2194"/>
      <c r="XDS2194"/>
      <c r="XDT2194"/>
      <c r="XDU2194"/>
      <c r="XDV2194"/>
      <c r="XDW2194"/>
      <c r="XDX2194"/>
      <c r="XDY2194"/>
      <c r="XDZ2194"/>
      <c r="XEA2194"/>
      <c r="XEB2194"/>
      <c r="XEC2194"/>
      <c r="XED2194"/>
      <c r="XEE2194"/>
      <c r="XEF2194"/>
      <c r="XEG2194"/>
      <c r="XEH2194"/>
      <c r="XEI2194"/>
      <c r="XEJ2194"/>
      <c r="XEK2194"/>
      <c r="XEL2194"/>
      <c r="XEM2194"/>
      <c r="XEN2194"/>
      <c r="XEO2194"/>
      <c r="XEP2194"/>
      <c r="XEQ2194"/>
      <c r="XER2194"/>
      <c r="XES2194"/>
      <c r="XET2194"/>
      <c r="XEU2194"/>
      <c r="XEV2194"/>
      <c r="XEW2194"/>
      <c r="XEX2194"/>
      <c r="XEY2194"/>
      <c r="XEZ2194"/>
      <c r="XFA2194"/>
      <c r="XFB2194"/>
      <c r="XFC2194"/>
    </row>
    <row r="2195" spans="1:20 16329:16383" s="38" customFormat="1" ht="29.1" customHeight="1" outlineLevel="5" x14ac:dyDescent="0.25">
      <c r="A2195" s="65" t="s">
        <v>3921</v>
      </c>
      <c r="B2195" s="66" t="s">
        <v>3922</v>
      </c>
      <c r="C2195" s="66" t="s">
        <v>3923</v>
      </c>
      <c r="D2195" s="98" t="s">
        <v>3924</v>
      </c>
      <c r="E2195" s="98"/>
      <c r="F2195" s="67"/>
      <c r="G2195" s="66" t="s">
        <v>29</v>
      </c>
      <c r="H2195" s="68"/>
      <c r="I2195" s="36"/>
      <c r="J2195" s="68"/>
      <c r="K2195" s="69"/>
      <c r="L2195" s="69"/>
      <c r="M2195" s="69"/>
      <c r="N2195" s="69"/>
      <c r="O2195" s="69">
        <f>O2196</f>
        <v>0</v>
      </c>
      <c r="P2195" s="69">
        <f>P2196</f>
        <v>0</v>
      </c>
      <c r="Q2195" s="69">
        <f>Q2196</f>
        <v>0</v>
      </c>
      <c r="R2195" s="69">
        <f>R2196</f>
        <v>0</v>
      </c>
      <c r="S2195" s="69"/>
      <c r="T2195" s="36"/>
      <c r="XDA2195"/>
      <c r="XDB2195"/>
      <c r="XDC2195"/>
      <c r="XDD2195"/>
      <c r="XDE2195"/>
      <c r="XDF2195"/>
      <c r="XDG2195"/>
      <c r="XDH2195"/>
      <c r="XDI2195"/>
      <c r="XDJ2195"/>
      <c r="XDK2195"/>
      <c r="XDL2195"/>
      <c r="XDM2195"/>
      <c r="XDN2195"/>
      <c r="XDO2195"/>
      <c r="XDP2195"/>
      <c r="XDQ2195"/>
      <c r="XDR2195"/>
      <c r="XDS2195"/>
      <c r="XDT2195"/>
      <c r="XDU2195"/>
      <c r="XDV2195"/>
      <c r="XDW2195"/>
      <c r="XDX2195"/>
      <c r="XDY2195"/>
      <c r="XDZ2195"/>
      <c r="XEA2195"/>
      <c r="XEB2195"/>
      <c r="XEC2195"/>
      <c r="XED2195"/>
      <c r="XEE2195"/>
      <c r="XEF2195"/>
      <c r="XEG2195"/>
      <c r="XEH2195"/>
      <c r="XEI2195"/>
      <c r="XEJ2195"/>
      <c r="XEK2195"/>
      <c r="XEL2195"/>
      <c r="XEM2195"/>
      <c r="XEN2195"/>
      <c r="XEO2195"/>
      <c r="XEP2195"/>
      <c r="XEQ2195"/>
      <c r="XER2195"/>
      <c r="XES2195"/>
      <c r="XET2195"/>
      <c r="XEU2195"/>
      <c r="XEV2195"/>
      <c r="XEW2195"/>
      <c r="XEX2195"/>
      <c r="XEY2195"/>
      <c r="XEZ2195"/>
      <c r="XFA2195"/>
      <c r="XFB2195"/>
      <c r="XFC2195"/>
    </row>
    <row r="2196" spans="1:20 16329:16383" s="38" customFormat="1" ht="29.1" customHeight="1" outlineLevel="6" x14ac:dyDescent="0.25">
      <c r="A2196" s="49" t="s">
        <v>3925</v>
      </c>
      <c r="B2196" s="50"/>
      <c r="C2196" s="50"/>
      <c r="D2196" s="3" t="s">
        <v>3924</v>
      </c>
      <c r="E2196" s="3"/>
      <c r="F2196" s="51"/>
      <c r="G2196" s="50" t="s">
        <v>29</v>
      </c>
      <c r="H2196" s="52">
        <f>1</f>
        <v>1</v>
      </c>
      <c r="I2196" s="36"/>
      <c r="J2196" s="52">
        <v>1</v>
      </c>
      <c r="K2196" s="53">
        <f>0</f>
        <v>0</v>
      </c>
      <c r="L2196" s="53">
        <f>0</f>
        <v>0</v>
      </c>
      <c r="M2196" s="53">
        <f>0</f>
        <v>0</v>
      </c>
      <c r="N2196" s="54">
        <f>SUM(K2196:M2196)</f>
        <v>0</v>
      </c>
      <c r="O2196" s="54">
        <f>ROUND((H2196*K2196),2)</f>
        <v>0</v>
      </c>
      <c r="P2196" s="54">
        <f>ROUND((H2196*L2196),2)</f>
        <v>0</v>
      </c>
      <c r="Q2196" s="54">
        <f>ROUND((H2196*M2196),2)</f>
        <v>0</v>
      </c>
      <c r="R2196" s="54">
        <f>ROUND((H2196*N2196),2)</f>
        <v>0</v>
      </c>
      <c r="S2196" s="54"/>
      <c r="T2196" s="36"/>
      <c r="XDA2196"/>
      <c r="XDB2196"/>
      <c r="XDC2196"/>
      <c r="XDD2196"/>
      <c r="XDE2196"/>
      <c r="XDF2196"/>
      <c r="XDG2196"/>
      <c r="XDH2196"/>
      <c r="XDI2196"/>
      <c r="XDJ2196"/>
      <c r="XDK2196"/>
      <c r="XDL2196"/>
      <c r="XDM2196"/>
      <c r="XDN2196"/>
      <c r="XDO2196"/>
      <c r="XDP2196"/>
      <c r="XDQ2196"/>
      <c r="XDR2196"/>
      <c r="XDS2196"/>
      <c r="XDT2196"/>
      <c r="XDU2196"/>
      <c r="XDV2196"/>
      <c r="XDW2196"/>
      <c r="XDX2196"/>
      <c r="XDY2196"/>
      <c r="XDZ2196"/>
      <c r="XEA2196"/>
      <c r="XEB2196"/>
      <c r="XEC2196"/>
      <c r="XED2196"/>
      <c r="XEE2196"/>
      <c r="XEF2196"/>
      <c r="XEG2196"/>
      <c r="XEH2196"/>
      <c r="XEI2196"/>
      <c r="XEJ2196"/>
      <c r="XEK2196"/>
      <c r="XEL2196"/>
      <c r="XEM2196"/>
      <c r="XEN2196"/>
      <c r="XEO2196"/>
      <c r="XEP2196"/>
      <c r="XEQ2196"/>
      <c r="XER2196"/>
      <c r="XES2196"/>
      <c r="XET2196"/>
      <c r="XEU2196"/>
      <c r="XEV2196"/>
      <c r="XEW2196"/>
      <c r="XEX2196"/>
      <c r="XEY2196"/>
      <c r="XEZ2196"/>
      <c r="XFA2196"/>
      <c r="XFB2196"/>
      <c r="XFC2196"/>
    </row>
    <row r="2197" spans="1:20 16329:16383" s="38" customFormat="1" ht="29.1" customHeight="1" outlineLevel="5" x14ac:dyDescent="0.25">
      <c r="A2197" s="65" t="s">
        <v>3926</v>
      </c>
      <c r="B2197" s="66" t="s">
        <v>3927</v>
      </c>
      <c r="C2197" s="66" t="s">
        <v>3928</v>
      </c>
      <c r="D2197" s="98" t="s">
        <v>3929</v>
      </c>
      <c r="E2197" s="98"/>
      <c r="F2197" s="67"/>
      <c r="G2197" s="66" t="s">
        <v>29</v>
      </c>
      <c r="H2197" s="68"/>
      <c r="I2197" s="36"/>
      <c r="J2197" s="68"/>
      <c r="K2197" s="69"/>
      <c r="L2197" s="69"/>
      <c r="M2197" s="69"/>
      <c r="N2197" s="69"/>
      <c r="O2197" s="69">
        <f>O2198</f>
        <v>0</v>
      </c>
      <c r="P2197" s="69">
        <f>P2198</f>
        <v>0</v>
      </c>
      <c r="Q2197" s="69">
        <f>Q2198</f>
        <v>0</v>
      </c>
      <c r="R2197" s="69">
        <f>R2198</f>
        <v>0</v>
      </c>
      <c r="S2197" s="69"/>
      <c r="T2197" s="36"/>
      <c r="XDA2197"/>
      <c r="XDB2197"/>
      <c r="XDC2197"/>
      <c r="XDD2197"/>
      <c r="XDE2197"/>
      <c r="XDF2197"/>
      <c r="XDG2197"/>
      <c r="XDH2197"/>
      <c r="XDI2197"/>
      <c r="XDJ2197"/>
      <c r="XDK2197"/>
      <c r="XDL2197"/>
      <c r="XDM2197"/>
      <c r="XDN2197"/>
      <c r="XDO2197"/>
      <c r="XDP2197"/>
      <c r="XDQ2197"/>
      <c r="XDR2197"/>
      <c r="XDS2197"/>
      <c r="XDT2197"/>
      <c r="XDU2197"/>
      <c r="XDV2197"/>
      <c r="XDW2197"/>
      <c r="XDX2197"/>
      <c r="XDY2197"/>
      <c r="XDZ2197"/>
      <c r="XEA2197"/>
      <c r="XEB2197"/>
      <c r="XEC2197"/>
      <c r="XED2197"/>
      <c r="XEE2197"/>
      <c r="XEF2197"/>
      <c r="XEG2197"/>
      <c r="XEH2197"/>
      <c r="XEI2197"/>
      <c r="XEJ2197"/>
      <c r="XEK2197"/>
      <c r="XEL2197"/>
      <c r="XEM2197"/>
      <c r="XEN2197"/>
      <c r="XEO2197"/>
      <c r="XEP2197"/>
      <c r="XEQ2197"/>
      <c r="XER2197"/>
      <c r="XES2197"/>
      <c r="XET2197"/>
      <c r="XEU2197"/>
      <c r="XEV2197"/>
      <c r="XEW2197"/>
      <c r="XEX2197"/>
      <c r="XEY2197"/>
      <c r="XEZ2197"/>
      <c r="XFA2197"/>
      <c r="XFB2197"/>
      <c r="XFC2197"/>
    </row>
    <row r="2198" spans="1:20 16329:16383" s="38" customFormat="1" ht="29.1" customHeight="1" outlineLevel="6" x14ac:dyDescent="0.25">
      <c r="A2198" s="49" t="s">
        <v>3930</v>
      </c>
      <c r="B2198" s="50"/>
      <c r="C2198" s="50"/>
      <c r="D2198" s="3" t="s">
        <v>3929</v>
      </c>
      <c r="E2198" s="3"/>
      <c r="F2198" s="51"/>
      <c r="G2198" s="50" t="s">
        <v>29</v>
      </c>
      <c r="H2198" s="52">
        <f>1</f>
        <v>1</v>
      </c>
      <c r="I2198" s="36"/>
      <c r="J2198" s="52">
        <v>1</v>
      </c>
      <c r="K2198" s="53">
        <f>0</f>
        <v>0</v>
      </c>
      <c r="L2198" s="53">
        <f>0</f>
        <v>0</v>
      </c>
      <c r="M2198" s="53">
        <f>0</f>
        <v>0</v>
      </c>
      <c r="N2198" s="54">
        <f>SUM(K2198:M2198)</f>
        <v>0</v>
      </c>
      <c r="O2198" s="54">
        <f>ROUND((H2198*K2198),2)</f>
        <v>0</v>
      </c>
      <c r="P2198" s="54">
        <f>ROUND((H2198*L2198),2)</f>
        <v>0</v>
      </c>
      <c r="Q2198" s="54">
        <f>ROUND((H2198*M2198),2)</f>
        <v>0</v>
      </c>
      <c r="R2198" s="54">
        <f>ROUND((H2198*N2198),2)</f>
        <v>0</v>
      </c>
      <c r="S2198" s="54"/>
      <c r="T2198" s="36"/>
      <c r="XDA2198"/>
      <c r="XDB2198"/>
      <c r="XDC2198"/>
      <c r="XDD2198"/>
      <c r="XDE2198"/>
      <c r="XDF2198"/>
      <c r="XDG2198"/>
      <c r="XDH2198"/>
      <c r="XDI2198"/>
      <c r="XDJ2198"/>
      <c r="XDK2198"/>
      <c r="XDL2198"/>
      <c r="XDM2198"/>
      <c r="XDN2198"/>
      <c r="XDO2198"/>
      <c r="XDP2198"/>
      <c r="XDQ2198"/>
      <c r="XDR2198"/>
      <c r="XDS2198"/>
      <c r="XDT2198"/>
      <c r="XDU2198"/>
      <c r="XDV2198"/>
      <c r="XDW2198"/>
      <c r="XDX2198"/>
      <c r="XDY2198"/>
      <c r="XDZ2198"/>
      <c r="XEA2198"/>
      <c r="XEB2198"/>
      <c r="XEC2198"/>
      <c r="XED2198"/>
      <c r="XEE2198"/>
      <c r="XEF2198"/>
      <c r="XEG2198"/>
      <c r="XEH2198"/>
      <c r="XEI2198"/>
      <c r="XEJ2198"/>
      <c r="XEK2198"/>
      <c r="XEL2198"/>
      <c r="XEM2198"/>
      <c r="XEN2198"/>
      <c r="XEO2198"/>
      <c r="XEP2198"/>
      <c r="XEQ2198"/>
      <c r="XER2198"/>
      <c r="XES2198"/>
      <c r="XET2198"/>
      <c r="XEU2198"/>
      <c r="XEV2198"/>
      <c r="XEW2198"/>
      <c r="XEX2198"/>
      <c r="XEY2198"/>
      <c r="XEZ2198"/>
      <c r="XFA2198"/>
      <c r="XFB2198"/>
      <c r="XFC2198"/>
    </row>
    <row r="2199" spans="1:20 16329:16383" s="38" customFormat="1" ht="29.1" customHeight="1" outlineLevel="5" x14ac:dyDescent="0.25">
      <c r="A2199" s="65" t="s">
        <v>3931</v>
      </c>
      <c r="B2199" s="66" t="s">
        <v>3932</v>
      </c>
      <c r="C2199" s="66" t="s">
        <v>3933</v>
      </c>
      <c r="D2199" s="98" t="s">
        <v>3934</v>
      </c>
      <c r="E2199" s="98"/>
      <c r="F2199" s="67"/>
      <c r="G2199" s="66" t="s">
        <v>29</v>
      </c>
      <c r="H2199" s="68"/>
      <c r="I2199" s="36"/>
      <c r="J2199" s="68"/>
      <c r="K2199" s="69"/>
      <c r="L2199" s="69"/>
      <c r="M2199" s="69"/>
      <c r="N2199" s="69"/>
      <c r="O2199" s="69">
        <f>O2200</f>
        <v>0</v>
      </c>
      <c r="P2199" s="69">
        <f>P2200</f>
        <v>0</v>
      </c>
      <c r="Q2199" s="69">
        <f>Q2200</f>
        <v>0</v>
      </c>
      <c r="R2199" s="69">
        <f>R2200</f>
        <v>0</v>
      </c>
      <c r="S2199" s="69"/>
      <c r="T2199" s="36"/>
      <c r="XDA2199"/>
      <c r="XDB2199"/>
      <c r="XDC2199"/>
      <c r="XDD2199"/>
      <c r="XDE2199"/>
      <c r="XDF2199"/>
      <c r="XDG2199"/>
      <c r="XDH2199"/>
      <c r="XDI2199"/>
      <c r="XDJ2199"/>
      <c r="XDK2199"/>
      <c r="XDL2199"/>
      <c r="XDM2199"/>
      <c r="XDN2199"/>
      <c r="XDO2199"/>
      <c r="XDP2199"/>
      <c r="XDQ2199"/>
      <c r="XDR2199"/>
      <c r="XDS2199"/>
      <c r="XDT2199"/>
      <c r="XDU2199"/>
      <c r="XDV2199"/>
      <c r="XDW2199"/>
      <c r="XDX2199"/>
      <c r="XDY2199"/>
      <c r="XDZ2199"/>
      <c r="XEA2199"/>
      <c r="XEB2199"/>
      <c r="XEC2199"/>
      <c r="XED2199"/>
      <c r="XEE2199"/>
      <c r="XEF2199"/>
      <c r="XEG2199"/>
      <c r="XEH2199"/>
      <c r="XEI2199"/>
      <c r="XEJ2199"/>
      <c r="XEK2199"/>
      <c r="XEL2199"/>
      <c r="XEM2199"/>
      <c r="XEN2199"/>
      <c r="XEO2199"/>
      <c r="XEP2199"/>
      <c r="XEQ2199"/>
      <c r="XER2199"/>
      <c r="XES2199"/>
      <c r="XET2199"/>
      <c r="XEU2199"/>
      <c r="XEV2199"/>
      <c r="XEW2199"/>
      <c r="XEX2199"/>
      <c r="XEY2199"/>
      <c r="XEZ2199"/>
      <c r="XFA2199"/>
      <c r="XFB2199"/>
      <c r="XFC2199"/>
    </row>
    <row r="2200" spans="1:20 16329:16383" s="38" customFormat="1" ht="29.1" customHeight="1" outlineLevel="6" x14ac:dyDescent="0.25">
      <c r="A2200" s="49" t="s">
        <v>3935</v>
      </c>
      <c r="B2200" s="50"/>
      <c r="C2200" s="50"/>
      <c r="D2200" s="3" t="s">
        <v>3934</v>
      </c>
      <c r="E2200" s="3"/>
      <c r="F2200" s="51"/>
      <c r="G2200" s="50" t="s">
        <v>29</v>
      </c>
      <c r="H2200" s="52">
        <f>1</f>
        <v>1</v>
      </c>
      <c r="I2200" s="36"/>
      <c r="J2200" s="52">
        <v>1</v>
      </c>
      <c r="K2200" s="53">
        <f>0</f>
        <v>0</v>
      </c>
      <c r="L2200" s="53">
        <f>0</f>
        <v>0</v>
      </c>
      <c r="M2200" s="53">
        <f>0</f>
        <v>0</v>
      </c>
      <c r="N2200" s="54">
        <f>SUM(K2200:M2200)</f>
        <v>0</v>
      </c>
      <c r="O2200" s="54">
        <f>ROUND((H2200*K2200),2)</f>
        <v>0</v>
      </c>
      <c r="P2200" s="54">
        <f>ROUND((H2200*L2200),2)</f>
        <v>0</v>
      </c>
      <c r="Q2200" s="54">
        <f>ROUND((H2200*M2200),2)</f>
        <v>0</v>
      </c>
      <c r="R2200" s="54">
        <f>ROUND((H2200*N2200),2)</f>
        <v>0</v>
      </c>
      <c r="S2200" s="54"/>
      <c r="T2200" s="36"/>
      <c r="XDA2200"/>
      <c r="XDB2200"/>
      <c r="XDC2200"/>
      <c r="XDD2200"/>
      <c r="XDE2200"/>
      <c r="XDF2200"/>
      <c r="XDG2200"/>
      <c r="XDH2200"/>
      <c r="XDI2200"/>
      <c r="XDJ2200"/>
      <c r="XDK2200"/>
      <c r="XDL2200"/>
      <c r="XDM2200"/>
      <c r="XDN2200"/>
      <c r="XDO2200"/>
      <c r="XDP2200"/>
      <c r="XDQ2200"/>
      <c r="XDR2200"/>
      <c r="XDS2200"/>
      <c r="XDT2200"/>
      <c r="XDU2200"/>
      <c r="XDV2200"/>
      <c r="XDW2200"/>
      <c r="XDX2200"/>
      <c r="XDY2200"/>
      <c r="XDZ2200"/>
      <c r="XEA2200"/>
      <c r="XEB2200"/>
      <c r="XEC2200"/>
      <c r="XED2200"/>
      <c r="XEE2200"/>
      <c r="XEF2200"/>
      <c r="XEG2200"/>
      <c r="XEH2200"/>
      <c r="XEI2200"/>
      <c r="XEJ2200"/>
      <c r="XEK2200"/>
      <c r="XEL2200"/>
      <c r="XEM2200"/>
      <c r="XEN2200"/>
      <c r="XEO2200"/>
      <c r="XEP2200"/>
      <c r="XEQ2200"/>
      <c r="XER2200"/>
      <c r="XES2200"/>
      <c r="XET2200"/>
      <c r="XEU2200"/>
      <c r="XEV2200"/>
      <c r="XEW2200"/>
      <c r="XEX2200"/>
      <c r="XEY2200"/>
      <c r="XEZ2200"/>
      <c r="XFA2200"/>
      <c r="XFB2200"/>
      <c r="XFC2200"/>
    </row>
    <row r="2201" spans="1:20 16329:16383" s="38" customFormat="1" ht="29.1" customHeight="1" outlineLevel="5" x14ac:dyDescent="0.25">
      <c r="A2201" s="65" t="s">
        <v>3936</v>
      </c>
      <c r="B2201" s="66" t="s">
        <v>3937</v>
      </c>
      <c r="C2201" s="66" t="s">
        <v>3938</v>
      </c>
      <c r="D2201" s="98" t="s">
        <v>3939</v>
      </c>
      <c r="E2201" s="98"/>
      <c r="F2201" s="67"/>
      <c r="G2201" s="66" t="s">
        <v>29</v>
      </c>
      <c r="H2201" s="68"/>
      <c r="I2201" s="36"/>
      <c r="J2201" s="68"/>
      <c r="K2201" s="69"/>
      <c r="L2201" s="69"/>
      <c r="M2201" s="69"/>
      <c r="N2201" s="69"/>
      <c r="O2201" s="69">
        <f>O2202+O2203</f>
        <v>0</v>
      </c>
      <c r="P2201" s="69">
        <f>P2202+P2203</f>
        <v>0</v>
      </c>
      <c r="Q2201" s="69">
        <f>Q2202+Q2203</f>
        <v>0</v>
      </c>
      <c r="R2201" s="69">
        <f>R2202+R2203</f>
        <v>0</v>
      </c>
      <c r="S2201" s="69"/>
      <c r="T2201" s="36"/>
      <c r="XDA2201"/>
      <c r="XDB2201"/>
      <c r="XDC2201"/>
      <c r="XDD2201"/>
      <c r="XDE2201"/>
      <c r="XDF2201"/>
      <c r="XDG2201"/>
      <c r="XDH2201"/>
      <c r="XDI2201"/>
      <c r="XDJ2201"/>
      <c r="XDK2201"/>
      <c r="XDL2201"/>
      <c r="XDM2201"/>
      <c r="XDN2201"/>
      <c r="XDO2201"/>
      <c r="XDP2201"/>
      <c r="XDQ2201"/>
      <c r="XDR2201"/>
      <c r="XDS2201"/>
      <c r="XDT2201"/>
      <c r="XDU2201"/>
      <c r="XDV2201"/>
      <c r="XDW2201"/>
      <c r="XDX2201"/>
      <c r="XDY2201"/>
      <c r="XDZ2201"/>
      <c r="XEA2201"/>
      <c r="XEB2201"/>
      <c r="XEC2201"/>
      <c r="XED2201"/>
      <c r="XEE2201"/>
      <c r="XEF2201"/>
      <c r="XEG2201"/>
      <c r="XEH2201"/>
      <c r="XEI2201"/>
      <c r="XEJ2201"/>
      <c r="XEK2201"/>
      <c r="XEL2201"/>
      <c r="XEM2201"/>
      <c r="XEN2201"/>
      <c r="XEO2201"/>
      <c r="XEP2201"/>
      <c r="XEQ2201"/>
      <c r="XER2201"/>
      <c r="XES2201"/>
      <c r="XET2201"/>
      <c r="XEU2201"/>
      <c r="XEV2201"/>
      <c r="XEW2201"/>
      <c r="XEX2201"/>
      <c r="XEY2201"/>
      <c r="XEZ2201"/>
      <c r="XFA2201"/>
      <c r="XFB2201"/>
      <c r="XFC2201"/>
    </row>
    <row r="2202" spans="1:20 16329:16383" s="38" customFormat="1" ht="29.1" customHeight="1" outlineLevel="6" x14ac:dyDescent="0.25">
      <c r="A2202" s="49" t="s">
        <v>3940</v>
      </c>
      <c r="B2202" s="50"/>
      <c r="C2202" s="50"/>
      <c r="D2202" s="3" t="s">
        <v>3939</v>
      </c>
      <c r="E2202" s="3"/>
      <c r="F2202" s="51"/>
      <c r="G2202" s="50" t="s">
        <v>29</v>
      </c>
      <c r="H2202" s="52">
        <f>1</f>
        <v>1</v>
      </c>
      <c r="I2202" s="36"/>
      <c r="J2202" s="52">
        <v>1</v>
      </c>
      <c r="K2202" s="53">
        <f>0</f>
        <v>0</v>
      </c>
      <c r="L2202" s="53">
        <f>0</f>
        <v>0</v>
      </c>
      <c r="M2202" s="53">
        <f>0</f>
        <v>0</v>
      </c>
      <c r="N2202" s="54">
        <f>SUM(K2202:M2202)</f>
        <v>0</v>
      </c>
      <c r="O2202" s="54">
        <f>ROUND((H2202*K2202),2)</f>
        <v>0</v>
      </c>
      <c r="P2202" s="54">
        <f>ROUND((H2202*L2202),2)</f>
        <v>0</v>
      </c>
      <c r="Q2202" s="54">
        <f>ROUND((H2202*M2202),2)</f>
        <v>0</v>
      </c>
      <c r="R2202" s="54">
        <f>ROUND((H2202*N2202),2)</f>
        <v>0</v>
      </c>
      <c r="S2202" s="54"/>
      <c r="T2202" s="36"/>
      <c r="XDA2202"/>
      <c r="XDB2202"/>
      <c r="XDC2202"/>
      <c r="XDD2202"/>
      <c r="XDE2202"/>
      <c r="XDF2202"/>
      <c r="XDG2202"/>
      <c r="XDH2202"/>
      <c r="XDI2202"/>
      <c r="XDJ2202"/>
      <c r="XDK2202"/>
      <c r="XDL2202"/>
      <c r="XDM2202"/>
      <c r="XDN2202"/>
      <c r="XDO2202"/>
      <c r="XDP2202"/>
      <c r="XDQ2202"/>
      <c r="XDR2202"/>
      <c r="XDS2202"/>
      <c r="XDT2202"/>
      <c r="XDU2202"/>
      <c r="XDV2202"/>
      <c r="XDW2202"/>
      <c r="XDX2202"/>
      <c r="XDY2202"/>
      <c r="XDZ2202"/>
      <c r="XEA2202"/>
      <c r="XEB2202"/>
      <c r="XEC2202"/>
      <c r="XED2202"/>
      <c r="XEE2202"/>
      <c r="XEF2202"/>
      <c r="XEG2202"/>
      <c r="XEH2202"/>
      <c r="XEI2202"/>
      <c r="XEJ2202"/>
      <c r="XEK2202"/>
      <c r="XEL2202"/>
      <c r="XEM2202"/>
      <c r="XEN2202"/>
      <c r="XEO2202"/>
      <c r="XEP2202"/>
      <c r="XEQ2202"/>
      <c r="XER2202"/>
      <c r="XES2202"/>
      <c r="XET2202"/>
      <c r="XEU2202"/>
      <c r="XEV2202"/>
      <c r="XEW2202"/>
      <c r="XEX2202"/>
      <c r="XEY2202"/>
      <c r="XEZ2202"/>
      <c r="XFA2202"/>
      <c r="XFB2202"/>
      <c r="XFC2202"/>
    </row>
    <row r="2203" spans="1:20 16329:16383" s="38" customFormat="1" ht="29.1" customHeight="1" outlineLevel="6" x14ac:dyDescent="0.25">
      <c r="A2203" s="49" t="s">
        <v>3941</v>
      </c>
      <c r="B2203" s="50"/>
      <c r="C2203" s="50"/>
      <c r="D2203" s="3" t="s">
        <v>3942</v>
      </c>
      <c r="E2203" s="3"/>
      <c r="F2203" s="51"/>
      <c r="G2203" s="50" t="s">
        <v>29</v>
      </c>
      <c r="H2203" s="52">
        <f>1</f>
        <v>1</v>
      </c>
      <c r="I2203" s="36"/>
      <c r="J2203" s="52">
        <v>1</v>
      </c>
      <c r="K2203" s="53">
        <f>0</f>
        <v>0</v>
      </c>
      <c r="L2203" s="53">
        <f>0</f>
        <v>0</v>
      </c>
      <c r="M2203" s="53">
        <f>0</f>
        <v>0</v>
      </c>
      <c r="N2203" s="54">
        <f>SUM(K2203:M2203)</f>
        <v>0</v>
      </c>
      <c r="O2203" s="54">
        <f>ROUND((H2203*K2203),2)</f>
        <v>0</v>
      </c>
      <c r="P2203" s="54">
        <f>ROUND((H2203*L2203),2)</f>
        <v>0</v>
      </c>
      <c r="Q2203" s="54">
        <f>ROUND((H2203*M2203),2)</f>
        <v>0</v>
      </c>
      <c r="R2203" s="54">
        <f>ROUND((H2203*N2203),2)</f>
        <v>0</v>
      </c>
      <c r="S2203" s="54"/>
      <c r="T2203" s="36"/>
      <c r="XDA2203"/>
      <c r="XDB2203"/>
      <c r="XDC2203"/>
      <c r="XDD2203"/>
      <c r="XDE2203"/>
      <c r="XDF2203"/>
      <c r="XDG2203"/>
      <c r="XDH2203"/>
      <c r="XDI2203"/>
      <c r="XDJ2203"/>
      <c r="XDK2203"/>
      <c r="XDL2203"/>
      <c r="XDM2203"/>
      <c r="XDN2203"/>
      <c r="XDO2203"/>
      <c r="XDP2203"/>
      <c r="XDQ2203"/>
      <c r="XDR2203"/>
      <c r="XDS2203"/>
      <c r="XDT2203"/>
      <c r="XDU2203"/>
      <c r="XDV2203"/>
      <c r="XDW2203"/>
      <c r="XDX2203"/>
      <c r="XDY2203"/>
      <c r="XDZ2203"/>
      <c r="XEA2203"/>
      <c r="XEB2203"/>
      <c r="XEC2203"/>
      <c r="XED2203"/>
      <c r="XEE2203"/>
      <c r="XEF2203"/>
      <c r="XEG2203"/>
      <c r="XEH2203"/>
      <c r="XEI2203"/>
      <c r="XEJ2203"/>
      <c r="XEK2203"/>
      <c r="XEL2203"/>
      <c r="XEM2203"/>
      <c r="XEN2203"/>
      <c r="XEO2203"/>
      <c r="XEP2203"/>
      <c r="XEQ2203"/>
      <c r="XER2203"/>
      <c r="XES2203"/>
      <c r="XET2203"/>
      <c r="XEU2203"/>
      <c r="XEV2203"/>
      <c r="XEW2203"/>
      <c r="XEX2203"/>
      <c r="XEY2203"/>
      <c r="XEZ2203"/>
      <c r="XFA2203"/>
      <c r="XFB2203"/>
      <c r="XFC2203"/>
    </row>
    <row r="2204" spans="1:20 16329:16383" s="38" customFormat="1" ht="29.1" customHeight="1" outlineLevel="4" x14ac:dyDescent="0.25">
      <c r="A2204" s="60" t="s">
        <v>3943</v>
      </c>
      <c r="B2204" s="61" t="s">
        <v>3944</v>
      </c>
      <c r="C2204" s="61" t="s">
        <v>3945</v>
      </c>
      <c r="D2204" s="1" t="s">
        <v>3946</v>
      </c>
      <c r="E2204" s="1"/>
      <c r="F2204" s="62"/>
      <c r="G2204" s="61" t="s">
        <v>29</v>
      </c>
      <c r="H2204" s="63"/>
      <c r="I2204" s="36"/>
      <c r="J2204" s="63"/>
      <c r="K2204" s="64"/>
      <c r="L2204" s="64"/>
      <c r="M2204" s="64"/>
      <c r="N2204" s="64"/>
      <c r="O2204" s="64">
        <f>O2205+O2207</f>
        <v>0</v>
      </c>
      <c r="P2204" s="64">
        <f>P2205+P2207</f>
        <v>0</v>
      </c>
      <c r="Q2204" s="64">
        <f>Q2205+Q2207</f>
        <v>0</v>
      </c>
      <c r="R2204" s="64">
        <f>R2205+R2207</f>
        <v>0</v>
      </c>
      <c r="S2204" s="64"/>
      <c r="T2204" s="36"/>
      <c r="XDA2204"/>
      <c r="XDB2204"/>
      <c r="XDC2204"/>
      <c r="XDD2204"/>
      <c r="XDE2204"/>
      <c r="XDF2204"/>
      <c r="XDG2204"/>
      <c r="XDH2204"/>
      <c r="XDI2204"/>
      <c r="XDJ2204"/>
      <c r="XDK2204"/>
      <c r="XDL2204"/>
      <c r="XDM2204"/>
      <c r="XDN2204"/>
      <c r="XDO2204"/>
      <c r="XDP2204"/>
      <c r="XDQ2204"/>
      <c r="XDR2204"/>
      <c r="XDS2204"/>
      <c r="XDT2204"/>
      <c r="XDU2204"/>
      <c r="XDV2204"/>
      <c r="XDW2204"/>
      <c r="XDX2204"/>
      <c r="XDY2204"/>
      <c r="XDZ2204"/>
      <c r="XEA2204"/>
      <c r="XEB2204"/>
      <c r="XEC2204"/>
      <c r="XED2204"/>
      <c r="XEE2204"/>
      <c r="XEF2204"/>
      <c r="XEG2204"/>
      <c r="XEH2204"/>
      <c r="XEI2204"/>
      <c r="XEJ2204"/>
      <c r="XEK2204"/>
      <c r="XEL2204"/>
      <c r="XEM2204"/>
      <c r="XEN2204"/>
      <c r="XEO2204"/>
      <c r="XEP2204"/>
      <c r="XEQ2204"/>
      <c r="XER2204"/>
      <c r="XES2204"/>
      <c r="XET2204"/>
      <c r="XEU2204"/>
      <c r="XEV2204"/>
      <c r="XEW2204"/>
      <c r="XEX2204"/>
      <c r="XEY2204"/>
      <c r="XEZ2204"/>
      <c r="XFA2204"/>
      <c r="XFB2204"/>
      <c r="XFC2204"/>
    </row>
    <row r="2205" spans="1:20 16329:16383" s="38" customFormat="1" ht="29.1" customHeight="1" outlineLevel="5" x14ac:dyDescent="0.25">
      <c r="A2205" s="65" t="s">
        <v>3947</v>
      </c>
      <c r="B2205" s="66" t="s">
        <v>3948</v>
      </c>
      <c r="C2205" s="66" t="s">
        <v>3949</v>
      </c>
      <c r="D2205" s="98" t="s">
        <v>3950</v>
      </c>
      <c r="E2205" s="98"/>
      <c r="F2205" s="67"/>
      <c r="G2205" s="66" t="s">
        <v>29</v>
      </c>
      <c r="H2205" s="68"/>
      <c r="I2205" s="36"/>
      <c r="J2205" s="68"/>
      <c r="K2205" s="69"/>
      <c r="L2205" s="69"/>
      <c r="M2205" s="69"/>
      <c r="N2205" s="69"/>
      <c r="O2205" s="69">
        <f>O2206</f>
        <v>0</v>
      </c>
      <c r="P2205" s="69">
        <f>P2206</f>
        <v>0</v>
      </c>
      <c r="Q2205" s="69">
        <f>Q2206</f>
        <v>0</v>
      </c>
      <c r="R2205" s="69">
        <f>R2206</f>
        <v>0</v>
      </c>
      <c r="S2205" s="69"/>
      <c r="T2205" s="36"/>
      <c r="XDA2205"/>
      <c r="XDB2205"/>
      <c r="XDC2205"/>
      <c r="XDD2205"/>
      <c r="XDE2205"/>
      <c r="XDF2205"/>
      <c r="XDG2205"/>
      <c r="XDH2205"/>
      <c r="XDI2205"/>
      <c r="XDJ2205"/>
      <c r="XDK2205"/>
      <c r="XDL2205"/>
      <c r="XDM2205"/>
      <c r="XDN2205"/>
      <c r="XDO2205"/>
      <c r="XDP2205"/>
      <c r="XDQ2205"/>
      <c r="XDR2205"/>
      <c r="XDS2205"/>
      <c r="XDT2205"/>
      <c r="XDU2205"/>
      <c r="XDV2205"/>
      <c r="XDW2205"/>
      <c r="XDX2205"/>
      <c r="XDY2205"/>
      <c r="XDZ2205"/>
      <c r="XEA2205"/>
      <c r="XEB2205"/>
      <c r="XEC2205"/>
      <c r="XED2205"/>
      <c r="XEE2205"/>
      <c r="XEF2205"/>
      <c r="XEG2205"/>
      <c r="XEH2205"/>
      <c r="XEI2205"/>
      <c r="XEJ2205"/>
      <c r="XEK2205"/>
      <c r="XEL2205"/>
      <c r="XEM2205"/>
      <c r="XEN2205"/>
      <c r="XEO2205"/>
      <c r="XEP2205"/>
      <c r="XEQ2205"/>
      <c r="XER2205"/>
      <c r="XES2205"/>
      <c r="XET2205"/>
      <c r="XEU2205"/>
      <c r="XEV2205"/>
      <c r="XEW2205"/>
      <c r="XEX2205"/>
      <c r="XEY2205"/>
      <c r="XEZ2205"/>
      <c r="XFA2205"/>
      <c r="XFB2205"/>
      <c r="XFC2205"/>
    </row>
    <row r="2206" spans="1:20 16329:16383" s="38" customFormat="1" ht="29.1" customHeight="1" outlineLevel="6" x14ac:dyDescent="0.25">
      <c r="A2206" s="49" t="s">
        <v>3951</v>
      </c>
      <c r="B2206" s="50"/>
      <c r="C2206" s="50"/>
      <c r="D2206" s="3" t="s">
        <v>3950</v>
      </c>
      <c r="E2206" s="3"/>
      <c r="F2206" s="51"/>
      <c r="G2206" s="50" t="s">
        <v>29</v>
      </c>
      <c r="H2206" s="52">
        <f>1</f>
        <v>1</v>
      </c>
      <c r="I2206" s="36"/>
      <c r="J2206" s="52">
        <v>1</v>
      </c>
      <c r="K2206" s="53">
        <f>0</f>
        <v>0</v>
      </c>
      <c r="L2206" s="53">
        <f>0</f>
        <v>0</v>
      </c>
      <c r="M2206" s="53">
        <f>0</f>
        <v>0</v>
      </c>
      <c r="N2206" s="54">
        <f>SUM(K2206:M2206)</f>
        <v>0</v>
      </c>
      <c r="O2206" s="54">
        <f>ROUND((H2206*K2206),2)</f>
        <v>0</v>
      </c>
      <c r="P2206" s="54">
        <f>ROUND((H2206*L2206),2)</f>
        <v>0</v>
      </c>
      <c r="Q2206" s="54">
        <f>ROUND((H2206*M2206),2)</f>
        <v>0</v>
      </c>
      <c r="R2206" s="54">
        <f>ROUND((H2206*N2206),2)</f>
        <v>0</v>
      </c>
      <c r="S2206" s="54"/>
      <c r="T2206" s="36"/>
      <c r="XDA2206"/>
      <c r="XDB2206"/>
      <c r="XDC2206"/>
      <c r="XDD2206"/>
      <c r="XDE2206"/>
      <c r="XDF2206"/>
      <c r="XDG2206"/>
      <c r="XDH2206"/>
      <c r="XDI2206"/>
      <c r="XDJ2206"/>
      <c r="XDK2206"/>
      <c r="XDL2206"/>
      <c r="XDM2206"/>
      <c r="XDN2206"/>
      <c r="XDO2206"/>
      <c r="XDP2206"/>
      <c r="XDQ2206"/>
      <c r="XDR2206"/>
      <c r="XDS2206"/>
      <c r="XDT2206"/>
      <c r="XDU2206"/>
      <c r="XDV2206"/>
      <c r="XDW2206"/>
      <c r="XDX2206"/>
      <c r="XDY2206"/>
      <c r="XDZ2206"/>
      <c r="XEA2206"/>
      <c r="XEB2206"/>
      <c r="XEC2206"/>
      <c r="XED2206"/>
      <c r="XEE2206"/>
      <c r="XEF2206"/>
      <c r="XEG2206"/>
      <c r="XEH2206"/>
      <c r="XEI2206"/>
      <c r="XEJ2206"/>
      <c r="XEK2206"/>
      <c r="XEL2206"/>
      <c r="XEM2206"/>
      <c r="XEN2206"/>
      <c r="XEO2206"/>
      <c r="XEP2206"/>
      <c r="XEQ2206"/>
      <c r="XER2206"/>
      <c r="XES2206"/>
      <c r="XET2206"/>
      <c r="XEU2206"/>
      <c r="XEV2206"/>
      <c r="XEW2206"/>
      <c r="XEX2206"/>
      <c r="XEY2206"/>
      <c r="XEZ2206"/>
      <c r="XFA2206"/>
      <c r="XFB2206"/>
      <c r="XFC2206"/>
    </row>
    <row r="2207" spans="1:20 16329:16383" s="38" customFormat="1" ht="29.1" customHeight="1" outlineLevel="5" x14ac:dyDescent="0.25">
      <c r="A2207" s="65" t="s">
        <v>3952</v>
      </c>
      <c r="B2207" s="66" t="s">
        <v>3953</v>
      </c>
      <c r="C2207" s="66" t="s">
        <v>3954</v>
      </c>
      <c r="D2207" s="98" t="s">
        <v>3955</v>
      </c>
      <c r="E2207" s="98"/>
      <c r="F2207" s="67"/>
      <c r="G2207" s="66" t="s">
        <v>29</v>
      </c>
      <c r="H2207" s="68"/>
      <c r="I2207" s="36"/>
      <c r="J2207" s="68"/>
      <c r="K2207" s="69"/>
      <c r="L2207" s="69"/>
      <c r="M2207" s="69"/>
      <c r="N2207" s="69"/>
      <c r="O2207" s="69">
        <f>O2208+O2209</f>
        <v>0</v>
      </c>
      <c r="P2207" s="69">
        <f>P2208+P2209</f>
        <v>0</v>
      </c>
      <c r="Q2207" s="69">
        <f>Q2208+Q2209</f>
        <v>0</v>
      </c>
      <c r="R2207" s="69">
        <f>R2208+R2209</f>
        <v>0</v>
      </c>
      <c r="S2207" s="69"/>
      <c r="T2207" s="36"/>
      <c r="XDA2207"/>
      <c r="XDB2207"/>
      <c r="XDC2207"/>
      <c r="XDD2207"/>
      <c r="XDE2207"/>
      <c r="XDF2207"/>
      <c r="XDG2207"/>
      <c r="XDH2207"/>
      <c r="XDI2207"/>
      <c r="XDJ2207"/>
      <c r="XDK2207"/>
      <c r="XDL2207"/>
      <c r="XDM2207"/>
      <c r="XDN2207"/>
      <c r="XDO2207"/>
      <c r="XDP2207"/>
      <c r="XDQ2207"/>
      <c r="XDR2207"/>
      <c r="XDS2207"/>
      <c r="XDT2207"/>
      <c r="XDU2207"/>
      <c r="XDV2207"/>
      <c r="XDW2207"/>
      <c r="XDX2207"/>
      <c r="XDY2207"/>
      <c r="XDZ2207"/>
      <c r="XEA2207"/>
      <c r="XEB2207"/>
      <c r="XEC2207"/>
      <c r="XED2207"/>
      <c r="XEE2207"/>
      <c r="XEF2207"/>
      <c r="XEG2207"/>
      <c r="XEH2207"/>
      <c r="XEI2207"/>
      <c r="XEJ2207"/>
      <c r="XEK2207"/>
      <c r="XEL2207"/>
      <c r="XEM2207"/>
      <c r="XEN2207"/>
      <c r="XEO2207"/>
      <c r="XEP2207"/>
      <c r="XEQ2207"/>
      <c r="XER2207"/>
      <c r="XES2207"/>
      <c r="XET2207"/>
      <c r="XEU2207"/>
      <c r="XEV2207"/>
      <c r="XEW2207"/>
      <c r="XEX2207"/>
      <c r="XEY2207"/>
      <c r="XEZ2207"/>
      <c r="XFA2207"/>
      <c r="XFB2207"/>
      <c r="XFC2207"/>
    </row>
    <row r="2208" spans="1:20 16329:16383" s="38" customFormat="1" ht="29.1" customHeight="1" outlineLevel="6" x14ac:dyDescent="0.25">
      <c r="A2208" s="49" t="s">
        <v>3956</v>
      </c>
      <c r="B2208" s="50"/>
      <c r="C2208" s="50"/>
      <c r="D2208" s="3" t="s">
        <v>3955</v>
      </c>
      <c r="E2208" s="3"/>
      <c r="F2208" s="51"/>
      <c r="G2208" s="50" t="s">
        <v>29</v>
      </c>
      <c r="H2208" s="52">
        <f>1</f>
        <v>1</v>
      </c>
      <c r="I2208" s="36"/>
      <c r="J2208" s="52">
        <v>1</v>
      </c>
      <c r="K2208" s="53">
        <f>0</f>
        <v>0</v>
      </c>
      <c r="L2208" s="53">
        <f>0</f>
        <v>0</v>
      </c>
      <c r="M2208" s="53">
        <f>0</f>
        <v>0</v>
      </c>
      <c r="N2208" s="54">
        <f>SUM(K2208:M2208)</f>
        <v>0</v>
      </c>
      <c r="O2208" s="54">
        <f>ROUND((H2208*K2208),2)</f>
        <v>0</v>
      </c>
      <c r="P2208" s="54">
        <f>ROUND((H2208*L2208),2)</f>
        <v>0</v>
      </c>
      <c r="Q2208" s="54">
        <f>ROUND((H2208*M2208),2)</f>
        <v>0</v>
      </c>
      <c r="R2208" s="54">
        <f>ROUND((H2208*N2208),2)</f>
        <v>0</v>
      </c>
      <c r="S2208" s="54"/>
      <c r="T2208" s="36"/>
      <c r="XDA2208"/>
      <c r="XDB2208"/>
      <c r="XDC2208"/>
      <c r="XDD2208"/>
      <c r="XDE2208"/>
      <c r="XDF2208"/>
      <c r="XDG2208"/>
      <c r="XDH2208"/>
      <c r="XDI2208"/>
      <c r="XDJ2208"/>
      <c r="XDK2208"/>
      <c r="XDL2208"/>
      <c r="XDM2208"/>
      <c r="XDN2208"/>
      <c r="XDO2208"/>
      <c r="XDP2208"/>
      <c r="XDQ2208"/>
      <c r="XDR2208"/>
      <c r="XDS2208"/>
      <c r="XDT2208"/>
      <c r="XDU2208"/>
      <c r="XDV2208"/>
      <c r="XDW2208"/>
      <c r="XDX2208"/>
      <c r="XDY2208"/>
      <c r="XDZ2208"/>
      <c r="XEA2208"/>
      <c r="XEB2208"/>
      <c r="XEC2208"/>
      <c r="XED2208"/>
      <c r="XEE2208"/>
      <c r="XEF2208"/>
      <c r="XEG2208"/>
      <c r="XEH2208"/>
      <c r="XEI2208"/>
      <c r="XEJ2208"/>
      <c r="XEK2208"/>
      <c r="XEL2208"/>
      <c r="XEM2208"/>
      <c r="XEN2208"/>
      <c r="XEO2208"/>
      <c r="XEP2208"/>
      <c r="XEQ2208"/>
      <c r="XER2208"/>
      <c r="XES2208"/>
      <c r="XET2208"/>
      <c r="XEU2208"/>
      <c r="XEV2208"/>
      <c r="XEW2208"/>
      <c r="XEX2208"/>
      <c r="XEY2208"/>
      <c r="XEZ2208"/>
      <c r="XFA2208"/>
      <c r="XFB2208"/>
      <c r="XFC2208"/>
    </row>
    <row r="2209" spans="1:20 16329:16383" s="38" customFormat="1" ht="29.1" customHeight="1" outlineLevel="6" x14ac:dyDescent="0.25">
      <c r="A2209" s="49" t="s">
        <v>3957</v>
      </c>
      <c r="B2209" s="50"/>
      <c r="C2209" s="50"/>
      <c r="D2209" s="3" t="s">
        <v>3958</v>
      </c>
      <c r="E2209" s="3"/>
      <c r="F2209" s="51"/>
      <c r="G2209" s="50" t="s">
        <v>29</v>
      </c>
      <c r="H2209" s="52">
        <f>1</f>
        <v>1</v>
      </c>
      <c r="I2209" s="36"/>
      <c r="J2209" s="52">
        <v>1</v>
      </c>
      <c r="K2209" s="53">
        <f>0</f>
        <v>0</v>
      </c>
      <c r="L2209" s="53">
        <f>0</f>
        <v>0</v>
      </c>
      <c r="M2209" s="53">
        <f>0</f>
        <v>0</v>
      </c>
      <c r="N2209" s="54">
        <f>SUM(K2209:M2209)</f>
        <v>0</v>
      </c>
      <c r="O2209" s="54">
        <f>ROUND((H2209*K2209),2)</f>
        <v>0</v>
      </c>
      <c r="P2209" s="54">
        <f>ROUND((H2209*L2209),2)</f>
        <v>0</v>
      </c>
      <c r="Q2209" s="54">
        <f>ROUND((H2209*M2209),2)</f>
        <v>0</v>
      </c>
      <c r="R2209" s="54">
        <f>ROUND((H2209*N2209),2)</f>
        <v>0</v>
      </c>
      <c r="S2209" s="54"/>
      <c r="T2209" s="36"/>
      <c r="XDA2209"/>
      <c r="XDB2209"/>
      <c r="XDC2209"/>
      <c r="XDD2209"/>
      <c r="XDE2209"/>
      <c r="XDF2209"/>
      <c r="XDG2209"/>
      <c r="XDH2209"/>
      <c r="XDI2209"/>
      <c r="XDJ2209"/>
      <c r="XDK2209"/>
      <c r="XDL2209"/>
      <c r="XDM2209"/>
      <c r="XDN2209"/>
      <c r="XDO2209"/>
      <c r="XDP2209"/>
      <c r="XDQ2209"/>
      <c r="XDR2209"/>
      <c r="XDS2209"/>
      <c r="XDT2209"/>
      <c r="XDU2209"/>
      <c r="XDV2209"/>
      <c r="XDW2209"/>
      <c r="XDX2209"/>
      <c r="XDY2209"/>
      <c r="XDZ2209"/>
      <c r="XEA2209"/>
      <c r="XEB2209"/>
      <c r="XEC2209"/>
      <c r="XED2209"/>
      <c r="XEE2209"/>
      <c r="XEF2209"/>
      <c r="XEG2209"/>
      <c r="XEH2209"/>
      <c r="XEI2209"/>
      <c r="XEJ2209"/>
      <c r="XEK2209"/>
      <c r="XEL2209"/>
      <c r="XEM2209"/>
      <c r="XEN2209"/>
      <c r="XEO2209"/>
      <c r="XEP2209"/>
      <c r="XEQ2209"/>
      <c r="XER2209"/>
      <c r="XES2209"/>
      <c r="XET2209"/>
      <c r="XEU2209"/>
      <c r="XEV2209"/>
      <c r="XEW2209"/>
      <c r="XEX2209"/>
      <c r="XEY2209"/>
      <c r="XEZ2209"/>
      <c r="XFA2209"/>
      <c r="XFB2209"/>
      <c r="XFC2209"/>
    </row>
    <row r="2210" spans="1:20 16329:16383" s="38" customFormat="1" ht="29.1" customHeight="1" outlineLevel="1" x14ac:dyDescent="0.25">
      <c r="A2210" s="39" t="s">
        <v>3959</v>
      </c>
      <c r="B2210" s="40" t="s">
        <v>52</v>
      </c>
      <c r="C2210" s="40" t="s">
        <v>3960</v>
      </c>
      <c r="D2210" s="5" t="s">
        <v>3961</v>
      </c>
      <c r="E2210" s="5"/>
      <c r="F2210" s="41"/>
      <c r="G2210" s="40" t="s">
        <v>102</v>
      </c>
      <c r="H2210" s="42"/>
      <c r="I2210" s="36"/>
      <c r="J2210" s="42"/>
      <c r="K2210" s="43"/>
      <c r="L2210" s="43"/>
      <c r="M2210" s="43"/>
      <c r="N2210" s="43"/>
      <c r="O2210" s="43">
        <f>O2211+O2228+O2313+O2355+O2410+O2413+O2460+O2463+O2466</f>
        <v>0</v>
      </c>
      <c r="P2210" s="43">
        <f>P2211+P2228+P2313+P2355+P2410+P2413+P2460+P2463+P2466</f>
        <v>0</v>
      </c>
      <c r="Q2210" s="43">
        <f>Q2211+Q2228+Q2313+Q2355+Q2410+Q2413+Q2460+Q2463+Q2466</f>
        <v>0</v>
      </c>
      <c r="R2210" s="43">
        <f>R2211+R2228+R2313+R2355+R2410+R2413+R2460+R2463+R2466</f>
        <v>0</v>
      </c>
      <c r="S2210" s="43"/>
      <c r="T2210" s="36"/>
      <c r="XDA2210"/>
      <c r="XDB2210"/>
      <c r="XDC2210"/>
      <c r="XDD2210"/>
      <c r="XDE2210"/>
      <c r="XDF2210"/>
      <c r="XDG2210"/>
      <c r="XDH2210"/>
      <c r="XDI2210"/>
      <c r="XDJ2210"/>
      <c r="XDK2210"/>
      <c r="XDL2210"/>
      <c r="XDM2210"/>
      <c r="XDN2210"/>
      <c r="XDO2210"/>
      <c r="XDP2210"/>
      <c r="XDQ2210"/>
      <c r="XDR2210"/>
      <c r="XDS2210"/>
      <c r="XDT2210"/>
      <c r="XDU2210"/>
      <c r="XDV2210"/>
      <c r="XDW2210"/>
      <c r="XDX2210"/>
      <c r="XDY2210"/>
      <c r="XDZ2210"/>
      <c r="XEA2210"/>
      <c r="XEB2210"/>
      <c r="XEC2210"/>
      <c r="XED2210"/>
      <c r="XEE2210"/>
      <c r="XEF2210"/>
      <c r="XEG2210"/>
      <c r="XEH2210"/>
      <c r="XEI2210"/>
      <c r="XEJ2210"/>
      <c r="XEK2210"/>
      <c r="XEL2210"/>
      <c r="XEM2210"/>
      <c r="XEN2210"/>
      <c r="XEO2210"/>
      <c r="XEP2210"/>
      <c r="XEQ2210"/>
      <c r="XER2210"/>
      <c r="XES2210"/>
      <c r="XET2210"/>
      <c r="XEU2210"/>
      <c r="XEV2210"/>
      <c r="XEW2210"/>
      <c r="XEX2210"/>
      <c r="XEY2210"/>
      <c r="XEZ2210"/>
      <c r="XFA2210"/>
      <c r="XFB2210"/>
      <c r="XFC2210"/>
    </row>
    <row r="2211" spans="1:20 16329:16383" s="38" customFormat="1" ht="29.1" customHeight="1" outlineLevel="2" x14ac:dyDescent="0.25">
      <c r="A2211" s="44" t="s">
        <v>3962</v>
      </c>
      <c r="B2211" s="45" t="s">
        <v>3963</v>
      </c>
      <c r="C2211" s="45" t="s">
        <v>3964</v>
      </c>
      <c r="D2211" s="4" t="s">
        <v>121</v>
      </c>
      <c r="E2211" s="4"/>
      <c r="F2211" s="46"/>
      <c r="G2211" s="45" t="s">
        <v>117</v>
      </c>
      <c r="H2211" s="47"/>
      <c r="I2211" s="36"/>
      <c r="J2211" s="47"/>
      <c r="K2211" s="48"/>
      <c r="L2211" s="48"/>
      <c r="M2211" s="48"/>
      <c r="N2211" s="48"/>
      <c r="O2211" s="48">
        <f>O2212+O2218+O2225</f>
        <v>0</v>
      </c>
      <c r="P2211" s="48">
        <f>P2212+P2218+P2225</f>
        <v>0</v>
      </c>
      <c r="Q2211" s="48">
        <f>Q2212+Q2218+Q2225</f>
        <v>0</v>
      </c>
      <c r="R2211" s="48">
        <f>R2212+R2218+R2225</f>
        <v>0</v>
      </c>
      <c r="S2211" s="48"/>
      <c r="T2211" s="36"/>
      <c r="XDA2211"/>
      <c r="XDB2211"/>
      <c r="XDC2211"/>
      <c r="XDD2211"/>
      <c r="XDE2211"/>
      <c r="XDF2211"/>
      <c r="XDG2211"/>
      <c r="XDH2211"/>
      <c r="XDI2211"/>
      <c r="XDJ2211"/>
      <c r="XDK2211"/>
      <c r="XDL2211"/>
      <c r="XDM2211"/>
      <c r="XDN2211"/>
      <c r="XDO2211"/>
      <c r="XDP2211"/>
      <c r="XDQ2211"/>
      <c r="XDR2211"/>
      <c r="XDS2211"/>
      <c r="XDT2211"/>
      <c r="XDU2211"/>
      <c r="XDV2211"/>
      <c r="XDW2211"/>
      <c r="XDX2211"/>
      <c r="XDY2211"/>
      <c r="XDZ2211"/>
      <c r="XEA2211"/>
      <c r="XEB2211"/>
      <c r="XEC2211"/>
      <c r="XED2211"/>
      <c r="XEE2211"/>
      <c r="XEF2211"/>
      <c r="XEG2211"/>
      <c r="XEH2211"/>
      <c r="XEI2211"/>
      <c r="XEJ2211"/>
      <c r="XEK2211"/>
      <c r="XEL2211"/>
      <c r="XEM2211"/>
      <c r="XEN2211"/>
      <c r="XEO2211"/>
      <c r="XEP2211"/>
      <c r="XEQ2211"/>
      <c r="XER2211"/>
      <c r="XES2211"/>
      <c r="XET2211"/>
      <c r="XEU2211"/>
      <c r="XEV2211"/>
      <c r="XEW2211"/>
      <c r="XEX2211"/>
      <c r="XEY2211"/>
      <c r="XEZ2211"/>
      <c r="XFA2211"/>
      <c r="XFB2211"/>
      <c r="XFC2211"/>
    </row>
    <row r="2212" spans="1:20 16329:16383" s="38" customFormat="1" ht="29.1" customHeight="1" outlineLevel="3" x14ac:dyDescent="0.25">
      <c r="A2212" s="55" t="s">
        <v>3965</v>
      </c>
      <c r="B2212" s="56" t="s">
        <v>3966</v>
      </c>
      <c r="C2212" s="56"/>
      <c r="D2212" s="2" t="s">
        <v>3967</v>
      </c>
      <c r="E2212" s="2"/>
      <c r="F2212" s="57"/>
      <c r="G2212" s="56"/>
      <c r="H2212" s="58"/>
      <c r="I2212" s="36"/>
      <c r="J2212" s="58"/>
      <c r="K2212" s="59"/>
      <c r="L2212" s="59"/>
      <c r="M2212" s="59"/>
      <c r="N2212" s="59"/>
      <c r="O2212" s="59">
        <f>SUM(O2213:O2217)</f>
        <v>0</v>
      </c>
      <c r="P2212" s="59">
        <f>SUM(P2213:P2217)</f>
        <v>0</v>
      </c>
      <c r="Q2212" s="59">
        <f>SUM(Q2213:Q2217)</f>
        <v>0</v>
      </c>
      <c r="R2212" s="59">
        <f>SUM(R2213:R2217)</f>
        <v>0</v>
      </c>
      <c r="S2212" s="59"/>
      <c r="T2212" s="36"/>
      <c r="XDA2212"/>
      <c r="XDB2212"/>
      <c r="XDC2212"/>
      <c r="XDD2212"/>
      <c r="XDE2212"/>
      <c r="XDF2212"/>
      <c r="XDG2212"/>
      <c r="XDH2212"/>
      <c r="XDI2212"/>
      <c r="XDJ2212"/>
      <c r="XDK2212"/>
      <c r="XDL2212"/>
      <c r="XDM2212"/>
      <c r="XDN2212"/>
      <c r="XDO2212"/>
      <c r="XDP2212"/>
      <c r="XDQ2212"/>
      <c r="XDR2212"/>
      <c r="XDS2212"/>
      <c r="XDT2212"/>
      <c r="XDU2212"/>
      <c r="XDV2212"/>
      <c r="XDW2212"/>
      <c r="XDX2212"/>
      <c r="XDY2212"/>
      <c r="XDZ2212"/>
      <c r="XEA2212"/>
      <c r="XEB2212"/>
      <c r="XEC2212"/>
      <c r="XED2212"/>
      <c r="XEE2212"/>
      <c r="XEF2212"/>
      <c r="XEG2212"/>
      <c r="XEH2212"/>
      <c r="XEI2212"/>
      <c r="XEJ2212"/>
      <c r="XEK2212"/>
      <c r="XEL2212"/>
      <c r="XEM2212"/>
      <c r="XEN2212"/>
      <c r="XEO2212"/>
      <c r="XEP2212"/>
      <c r="XEQ2212"/>
      <c r="XER2212"/>
      <c r="XES2212"/>
      <c r="XET2212"/>
      <c r="XEU2212"/>
      <c r="XEV2212"/>
      <c r="XEW2212"/>
      <c r="XEX2212"/>
      <c r="XEY2212"/>
      <c r="XEZ2212"/>
      <c r="XFA2212"/>
      <c r="XFB2212"/>
      <c r="XFC2212"/>
    </row>
    <row r="2213" spans="1:20 16329:16383" s="38" customFormat="1" ht="29.1" customHeight="1" outlineLevel="4" x14ac:dyDescent="0.25">
      <c r="A2213" s="49" t="s">
        <v>3968</v>
      </c>
      <c r="B2213" s="50"/>
      <c r="C2213" s="50"/>
      <c r="D2213" s="3" t="s">
        <v>3969</v>
      </c>
      <c r="E2213" s="3"/>
      <c r="F2213" s="51"/>
      <c r="G2213" s="50" t="s">
        <v>117</v>
      </c>
      <c r="H2213" s="52">
        <f>1</f>
        <v>1</v>
      </c>
      <c r="I2213" s="36"/>
      <c r="J2213" s="52">
        <v>1</v>
      </c>
      <c r="K2213" s="53">
        <f>0</f>
        <v>0</v>
      </c>
      <c r="L2213" s="53">
        <f>0</f>
        <v>0</v>
      </c>
      <c r="M2213" s="53">
        <f>0</f>
        <v>0</v>
      </c>
      <c r="N2213" s="54">
        <f>SUM(K2213:M2213)</f>
        <v>0</v>
      </c>
      <c r="O2213" s="54">
        <f>ROUND((H2213*K2213),2)</f>
        <v>0</v>
      </c>
      <c r="P2213" s="54">
        <f>ROUND((H2213*L2213),2)</f>
        <v>0</v>
      </c>
      <c r="Q2213" s="54">
        <f>ROUND((H2213*M2213),2)</f>
        <v>0</v>
      </c>
      <c r="R2213" s="54">
        <f>ROUND((H2213*N2213),2)</f>
        <v>0</v>
      </c>
      <c r="S2213" s="54"/>
      <c r="T2213" s="36"/>
      <c r="XDA2213"/>
      <c r="XDB2213"/>
      <c r="XDC2213"/>
      <c r="XDD2213"/>
      <c r="XDE2213"/>
      <c r="XDF2213"/>
      <c r="XDG2213"/>
      <c r="XDH2213"/>
      <c r="XDI2213"/>
      <c r="XDJ2213"/>
      <c r="XDK2213"/>
      <c r="XDL2213"/>
      <c r="XDM2213"/>
      <c r="XDN2213"/>
      <c r="XDO2213"/>
      <c r="XDP2213"/>
      <c r="XDQ2213"/>
      <c r="XDR2213"/>
      <c r="XDS2213"/>
      <c r="XDT2213"/>
      <c r="XDU2213"/>
      <c r="XDV2213"/>
      <c r="XDW2213"/>
      <c r="XDX2213"/>
      <c r="XDY2213"/>
      <c r="XDZ2213"/>
      <c r="XEA2213"/>
      <c r="XEB2213"/>
      <c r="XEC2213"/>
      <c r="XED2213"/>
      <c r="XEE2213"/>
      <c r="XEF2213"/>
      <c r="XEG2213"/>
      <c r="XEH2213"/>
      <c r="XEI2213"/>
      <c r="XEJ2213"/>
      <c r="XEK2213"/>
      <c r="XEL2213"/>
      <c r="XEM2213"/>
      <c r="XEN2213"/>
      <c r="XEO2213"/>
      <c r="XEP2213"/>
      <c r="XEQ2213"/>
      <c r="XER2213"/>
      <c r="XES2213"/>
      <c r="XET2213"/>
      <c r="XEU2213"/>
      <c r="XEV2213"/>
      <c r="XEW2213"/>
      <c r="XEX2213"/>
      <c r="XEY2213"/>
      <c r="XEZ2213"/>
      <c r="XFA2213"/>
      <c r="XFB2213"/>
      <c r="XFC2213"/>
    </row>
    <row r="2214" spans="1:20 16329:16383" s="38" customFormat="1" ht="29.1" customHeight="1" outlineLevel="4" x14ac:dyDescent="0.25">
      <c r="A2214" s="49" t="s">
        <v>3970</v>
      </c>
      <c r="B2214" s="50"/>
      <c r="C2214" s="50"/>
      <c r="D2214" s="3" t="s">
        <v>3971</v>
      </c>
      <c r="E2214" s="3"/>
      <c r="F2214" s="51"/>
      <c r="G2214" s="50" t="s">
        <v>117</v>
      </c>
      <c r="H2214" s="52">
        <f>1</f>
        <v>1</v>
      </c>
      <c r="I2214" s="36"/>
      <c r="J2214" s="52">
        <v>1</v>
      </c>
      <c r="K2214" s="53">
        <f>0</f>
        <v>0</v>
      </c>
      <c r="L2214" s="53">
        <f>0</f>
        <v>0</v>
      </c>
      <c r="M2214" s="53">
        <f>0</f>
        <v>0</v>
      </c>
      <c r="N2214" s="54">
        <f>SUM(K2214:M2214)</f>
        <v>0</v>
      </c>
      <c r="O2214" s="54">
        <f>ROUND((H2214*K2214),2)</f>
        <v>0</v>
      </c>
      <c r="P2214" s="54">
        <f>ROUND((H2214*L2214),2)</f>
        <v>0</v>
      </c>
      <c r="Q2214" s="54">
        <f>ROUND((H2214*M2214),2)</f>
        <v>0</v>
      </c>
      <c r="R2214" s="54">
        <f>ROUND((H2214*N2214),2)</f>
        <v>0</v>
      </c>
      <c r="S2214" s="54"/>
      <c r="T2214" s="36"/>
      <c r="XDA2214"/>
      <c r="XDB2214"/>
      <c r="XDC2214"/>
      <c r="XDD2214"/>
      <c r="XDE2214"/>
      <c r="XDF2214"/>
      <c r="XDG2214"/>
      <c r="XDH2214"/>
      <c r="XDI2214"/>
      <c r="XDJ2214"/>
      <c r="XDK2214"/>
      <c r="XDL2214"/>
      <c r="XDM2214"/>
      <c r="XDN2214"/>
      <c r="XDO2214"/>
      <c r="XDP2214"/>
      <c r="XDQ2214"/>
      <c r="XDR2214"/>
      <c r="XDS2214"/>
      <c r="XDT2214"/>
      <c r="XDU2214"/>
      <c r="XDV2214"/>
      <c r="XDW2214"/>
      <c r="XDX2214"/>
      <c r="XDY2214"/>
      <c r="XDZ2214"/>
      <c r="XEA2214"/>
      <c r="XEB2214"/>
      <c r="XEC2214"/>
      <c r="XED2214"/>
      <c r="XEE2214"/>
      <c r="XEF2214"/>
      <c r="XEG2214"/>
      <c r="XEH2214"/>
      <c r="XEI2214"/>
      <c r="XEJ2214"/>
      <c r="XEK2214"/>
      <c r="XEL2214"/>
      <c r="XEM2214"/>
      <c r="XEN2214"/>
      <c r="XEO2214"/>
      <c r="XEP2214"/>
      <c r="XEQ2214"/>
      <c r="XER2214"/>
      <c r="XES2214"/>
      <c r="XET2214"/>
      <c r="XEU2214"/>
      <c r="XEV2214"/>
      <c r="XEW2214"/>
      <c r="XEX2214"/>
      <c r="XEY2214"/>
      <c r="XEZ2214"/>
      <c r="XFA2214"/>
      <c r="XFB2214"/>
      <c r="XFC2214"/>
    </row>
    <row r="2215" spans="1:20 16329:16383" s="38" customFormat="1" ht="29.1" customHeight="1" outlineLevel="4" x14ac:dyDescent="0.25">
      <c r="A2215" s="49" t="s">
        <v>3972</v>
      </c>
      <c r="B2215" s="50"/>
      <c r="C2215" s="50"/>
      <c r="D2215" s="3" t="s">
        <v>3973</v>
      </c>
      <c r="E2215" s="3"/>
      <c r="F2215" s="51"/>
      <c r="G2215" s="50" t="s">
        <v>117</v>
      </c>
      <c r="H2215" s="52">
        <f>1</f>
        <v>1</v>
      </c>
      <c r="I2215" s="36"/>
      <c r="J2215" s="52">
        <v>1</v>
      </c>
      <c r="K2215" s="53">
        <f>0</f>
        <v>0</v>
      </c>
      <c r="L2215" s="53">
        <f>0</f>
        <v>0</v>
      </c>
      <c r="M2215" s="53">
        <f>0</f>
        <v>0</v>
      </c>
      <c r="N2215" s="54">
        <f>SUM(K2215:M2215)</f>
        <v>0</v>
      </c>
      <c r="O2215" s="54">
        <f>ROUND((H2215*K2215),2)</f>
        <v>0</v>
      </c>
      <c r="P2215" s="54">
        <f>ROUND((H2215*L2215),2)</f>
        <v>0</v>
      </c>
      <c r="Q2215" s="54">
        <f>ROUND((H2215*M2215),2)</f>
        <v>0</v>
      </c>
      <c r="R2215" s="54">
        <f>ROUND((H2215*N2215),2)</f>
        <v>0</v>
      </c>
      <c r="S2215" s="54"/>
      <c r="T2215" s="36"/>
      <c r="XDA2215"/>
      <c r="XDB2215"/>
      <c r="XDC2215"/>
      <c r="XDD2215"/>
      <c r="XDE2215"/>
      <c r="XDF2215"/>
      <c r="XDG2215"/>
      <c r="XDH2215"/>
      <c r="XDI2215"/>
      <c r="XDJ2215"/>
      <c r="XDK2215"/>
      <c r="XDL2215"/>
      <c r="XDM2215"/>
      <c r="XDN2215"/>
      <c r="XDO2215"/>
      <c r="XDP2215"/>
      <c r="XDQ2215"/>
      <c r="XDR2215"/>
      <c r="XDS2215"/>
      <c r="XDT2215"/>
      <c r="XDU2215"/>
      <c r="XDV2215"/>
      <c r="XDW2215"/>
      <c r="XDX2215"/>
      <c r="XDY2215"/>
      <c r="XDZ2215"/>
      <c r="XEA2215"/>
      <c r="XEB2215"/>
      <c r="XEC2215"/>
      <c r="XED2215"/>
      <c r="XEE2215"/>
      <c r="XEF2215"/>
      <c r="XEG2215"/>
      <c r="XEH2215"/>
      <c r="XEI2215"/>
      <c r="XEJ2215"/>
      <c r="XEK2215"/>
      <c r="XEL2215"/>
      <c r="XEM2215"/>
      <c r="XEN2215"/>
      <c r="XEO2215"/>
      <c r="XEP2215"/>
      <c r="XEQ2215"/>
      <c r="XER2215"/>
      <c r="XES2215"/>
      <c r="XET2215"/>
      <c r="XEU2215"/>
      <c r="XEV2215"/>
      <c r="XEW2215"/>
      <c r="XEX2215"/>
      <c r="XEY2215"/>
      <c r="XEZ2215"/>
      <c r="XFA2215"/>
      <c r="XFB2215"/>
      <c r="XFC2215"/>
    </row>
    <row r="2216" spans="1:20 16329:16383" s="38" customFormat="1" ht="29.1" customHeight="1" outlineLevel="4" x14ac:dyDescent="0.25">
      <c r="A2216" s="49" t="s">
        <v>3974</v>
      </c>
      <c r="B2216" s="50"/>
      <c r="C2216" s="50"/>
      <c r="D2216" s="3" t="s">
        <v>3975</v>
      </c>
      <c r="E2216" s="3"/>
      <c r="F2216" s="51"/>
      <c r="G2216" s="50" t="s">
        <v>117</v>
      </c>
      <c r="H2216" s="52">
        <f>1</f>
        <v>1</v>
      </c>
      <c r="I2216" s="36"/>
      <c r="J2216" s="52">
        <v>1</v>
      </c>
      <c r="K2216" s="53">
        <f>0</f>
        <v>0</v>
      </c>
      <c r="L2216" s="53">
        <f>0</f>
        <v>0</v>
      </c>
      <c r="M2216" s="53">
        <f>0</f>
        <v>0</v>
      </c>
      <c r="N2216" s="54">
        <f>SUM(K2216:M2216)</f>
        <v>0</v>
      </c>
      <c r="O2216" s="54">
        <f>ROUND((H2216*K2216),2)</f>
        <v>0</v>
      </c>
      <c r="P2216" s="54">
        <f>ROUND((H2216*L2216),2)</f>
        <v>0</v>
      </c>
      <c r="Q2216" s="54">
        <f>ROUND((H2216*M2216),2)</f>
        <v>0</v>
      </c>
      <c r="R2216" s="54">
        <f>ROUND((H2216*N2216),2)</f>
        <v>0</v>
      </c>
      <c r="S2216" s="54"/>
      <c r="T2216" s="36"/>
      <c r="XDA2216"/>
      <c r="XDB2216"/>
      <c r="XDC2216"/>
      <c r="XDD2216"/>
      <c r="XDE2216"/>
      <c r="XDF2216"/>
      <c r="XDG2216"/>
      <c r="XDH2216"/>
      <c r="XDI2216"/>
      <c r="XDJ2216"/>
      <c r="XDK2216"/>
      <c r="XDL2216"/>
      <c r="XDM2216"/>
      <c r="XDN2216"/>
      <c r="XDO2216"/>
      <c r="XDP2216"/>
      <c r="XDQ2216"/>
      <c r="XDR2216"/>
      <c r="XDS2216"/>
      <c r="XDT2216"/>
      <c r="XDU2216"/>
      <c r="XDV2216"/>
      <c r="XDW2216"/>
      <c r="XDX2216"/>
      <c r="XDY2216"/>
      <c r="XDZ2216"/>
      <c r="XEA2216"/>
      <c r="XEB2216"/>
      <c r="XEC2216"/>
      <c r="XED2216"/>
      <c r="XEE2216"/>
      <c r="XEF2216"/>
      <c r="XEG2216"/>
      <c r="XEH2216"/>
      <c r="XEI2216"/>
      <c r="XEJ2216"/>
      <c r="XEK2216"/>
      <c r="XEL2216"/>
      <c r="XEM2216"/>
      <c r="XEN2216"/>
      <c r="XEO2216"/>
      <c r="XEP2216"/>
      <c r="XEQ2216"/>
      <c r="XER2216"/>
      <c r="XES2216"/>
      <c r="XET2216"/>
      <c r="XEU2216"/>
      <c r="XEV2216"/>
      <c r="XEW2216"/>
      <c r="XEX2216"/>
      <c r="XEY2216"/>
      <c r="XEZ2216"/>
      <c r="XFA2216"/>
      <c r="XFB2216"/>
      <c r="XFC2216"/>
    </row>
    <row r="2217" spans="1:20 16329:16383" s="38" customFormat="1" ht="29.1" customHeight="1" outlineLevel="4" x14ac:dyDescent="0.25">
      <c r="A2217" s="49" t="s">
        <v>3976</v>
      </c>
      <c r="B2217" s="50"/>
      <c r="C2217" s="50"/>
      <c r="D2217" s="3" t="s">
        <v>3977</v>
      </c>
      <c r="E2217" s="3"/>
      <c r="F2217" s="51"/>
      <c r="G2217" s="50" t="s">
        <v>117</v>
      </c>
      <c r="H2217" s="52">
        <f>1</f>
        <v>1</v>
      </c>
      <c r="I2217" s="36"/>
      <c r="J2217" s="52">
        <v>1</v>
      </c>
      <c r="K2217" s="53">
        <f>0</f>
        <v>0</v>
      </c>
      <c r="L2217" s="53">
        <f>0</f>
        <v>0</v>
      </c>
      <c r="M2217" s="53">
        <f>0</f>
        <v>0</v>
      </c>
      <c r="N2217" s="54">
        <f>SUM(K2217:M2217)</f>
        <v>0</v>
      </c>
      <c r="O2217" s="54">
        <f>ROUND((H2217*K2217),2)</f>
        <v>0</v>
      </c>
      <c r="P2217" s="54">
        <f>ROUND((H2217*L2217),2)</f>
        <v>0</v>
      </c>
      <c r="Q2217" s="54">
        <f>ROUND((H2217*M2217),2)</f>
        <v>0</v>
      </c>
      <c r="R2217" s="54">
        <f>ROUND((H2217*N2217),2)</f>
        <v>0</v>
      </c>
      <c r="S2217" s="54"/>
      <c r="T2217" s="36"/>
      <c r="XDA2217"/>
      <c r="XDB2217"/>
      <c r="XDC2217"/>
      <c r="XDD2217"/>
      <c r="XDE2217"/>
      <c r="XDF2217"/>
      <c r="XDG2217"/>
      <c r="XDH2217"/>
      <c r="XDI2217"/>
      <c r="XDJ2217"/>
      <c r="XDK2217"/>
      <c r="XDL2217"/>
      <c r="XDM2217"/>
      <c r="XDN2217"/>
      <c r="XDO2217"/>
      <c r="XDP2217"/>
      <c r="XDQ2217"/>
      <c r="XDR2217"/>
      <c r="XDS2217"/>
      <c r="XDT2217"/>
      <c r="XDU2217"/>
      <c r="XDV2217"/>
      <c r="XDW2217"/>
      <c r="XDX2217"/>
      <c r="XDY2217"/>
      <c r="XDZ2217"/>
      <c r="XEA2217"/>
      <c r="XEB2217"/>
      <c r="XEC2217"/>
      <c r="XED2217"/>
      <c r="XEE2217"/>
      <c r="XEF2217"/>
      <c r="XEG2217"/>
      <c r="XEH2217"/>
      <c r="XEI2217"/>
      <c r="XEJ2217"/>
      <c r="XEK2217"/>
      <c r="XEL2217"/>
      <c r="XEM2217"/>
      <c r="XEN2217"/>
      <c r="XEO2217"/>
      <c r="XEP2217"/>
      <c r="XEQ2217"/>
      <c r="XER2217"/>
      <c r="XES2217"/>
      <c r="XET2217"/>
      <c r="XEU2217"/>
      <c r="XEV2217"/>
      <c r="XEW2217"/>
      <c r="XEX2217"/>
      <c r="XEY2217"/>
      <c r="XEZ2217"/>
      <c r="XFA2217"/>
      <c r="XFB2217"/>
      <c r="XFC2217"/>
    </row>
    <row r="2218" spans="1:20 16329:16383" s="38" customFormat="1" ht="29.1" customHeight="1" outlineLevel="3" x14ac:dyDescent="0.25">
      <c r="A2218" s="55" t="s">
        <v>3978</v>
      </c>
      <c r="B2218" s="56" t="s">
        <v>3979</v>
      </c>
      <c r="C2218" s="56"/>
      <c r="D2218" s="2" t="s">
        <v>3980</v>
      </c>
      <c r="E2218" s="2"/>
      <c r="F2218" s="57"/>
      <c r="G2218" s="56"/>
      <c r="H2218" s="58"/>
      <c r="I2218" s="36"/>
      <c r="J2218" s="58"/>
      <c r="K2218" s="59"/>
      <c r="L2218" s="59"/>
      <c r="M2218" s="59"/>
      <c r="N2218" s="59"/>
      <c r="O2218" s="59">
        <f>SUM(O2219:O2224)</f>
        <v>0</v>
      </c>
      <c r="P2218" s="59">
        <f>SUM(P2219:P2224)</f>
        <v>0</v>
      </c>
      <c r="Q2218" s="59">
        <f>SUM(Q2219:Q2224)</f>
        <v>0</v>
      </c>
      <c r="R2218" s="59">
        <f>SUM(R2219:R2224)</f>
        <v>0</v>
      </c>
      <c r="S2218" s="59"/>
      <c r="T2218" s="36"/>
      <c r="XDA2218"/>
      <c r="XDB2218"/>
      <c r="XDC2218"/>
      <c r="XDD2218"/>
      <c r="XDE2218"/>
      <c r="XDF2218"/>
      <c r="XDG2218"/>
      <c r="XDH2218"/>
      <c r="XDI2218"/>
      <c r="XDJ2218"/>
      <c r="XDK2218"/>
      <c r="XDL2218"/>
      <c r="XDM2218"/>
      <c r="XDN2218"/>
      <c r="XDO2218"/>
      <c r="XDP2218"/>
      <c r="XDQ2218"/>
      <c r="XDR2218"/>
      <c r="XDS2218"/>
      <c r="XDT2218"/>
      <c r="XDU2218"/>
      <c r="XDV2218"/>
      <c r="XDW2218"/>
      <c r="XDX2218"/>
      <c r="XDY2218"/>
      <c r="XDZ2218"/>
      <c r="XEA2218"/>
      <c r="XEB2218"/>
      <c r="XEC2218"/>
      <c r="XED2218"/>
      <c r="XEE2218"/>
      <c r="XEF2218"/>
      <c r="XEG2218"/>
      <c r="XEH2218"/>
      <c r="XEI2218"/>
      <c r="XEJ2218"/>
      <c r="XEK2218"/>
      <c r="XEL2218"/>
      <c r="XEM2218"/>
      <c r="XEN2218"/>
      <c r="XEO2218"/>
      <c r="XEP2218"/>
      <c r="XEQ2218"/>
      <c r="XER2218"/>
      <c r="XES2218"/>
      <c r="XET2218"/>
      <c r="XEU2218"/>
      <c r="XEV2218"/>
      <c r="XEW2218"/>
      <c r="XEX2218"/>
      <c r="XEY2218"/>
      <c r="XEZ2218"/>
      <c r="XFA2218"/>
      <c r="XFB2218"/>
      <c r="XFC2218"/>
    </row>
    <row r="2219" spans="1:20 16329:16383" s="38" customFormat="1" ht="29.1" customHeight="1" outlineLevel="4" x14ac:dyDescent="0.25">
      <c r="A2219" s="49" t="s">
        <v>3981</v>
      </c>
      <c r="B2219" s="50"/>
      <c r="C2219" s="50"/>
      <c r="D2219" s="3" t="s">
        <v>3982</v>
      </c>
      <c r="E2219" s="3"/>
      <c r="F2219" s="51"/>
      <c r="G2219" s="50" t="s">
        <v>29</v>
      </c>
      <c r="H2219" s="52">
        <f>1</f>
        <v>1</v>
      </c>
      <c r="I2219" s="36"/>
      <c r="J2219" s="52">
        <v>1</v>
      </c>
      <c r="K2219" s="53">
        <f>0</f>
        <v>0</v>
      </c>
      <c r="L2219" s="53">
        <f>0</f>
        <v>0</v>
      </c>
      <c r="M2219" s="53">
        <f>0</f>
        <v>0</v>
      </c>
      <c r="N2219" s="54">
        <f t="shared" ref="N2219:N2224" si="414">SUM(K2219:M2219)</f>
        <v>0</v>
      </c>
      <c r="O2219" s="54">
        <f t="shared" ref="O2219:O2224" si="415">ROUND((H2219*K2219),2)</f>
        <v>0</v>
      </c>
      <c r="P2219" s="54">
        <f t="shared" ref="P2219:P2224" si="416">ROUND((H2219*L2219),2)</f>
        <v>0</v>
      </c>
      <c r="Q2219" s="54">
        <f t="shared" ref="Q2219:Q2224" si="417">ROUND((H2219*M2219),2)</f>
        <v>0</v>
      </c>
      <c r="R2219" s="54">
        <f t="shared" ref="R2219:R2224" si="418">ROUND((H2219*N2219),2)</f>
        <v>0</v>
      </c>
      <c r="S2219" s="54"/>
      <c r="T2219" s="36"/>
      <c r="XDA2219"/>
      <c r="XDB2219"/>
      <c r="XDC2219"/>
      <c r="XDD2219"/>
      <c r="XDE2219"/>
      <c r="XDF2219"/>
      <c r="XDG2219"/>
      <c r="XDH2219"/>
      <c r="XDI2219"/>
      <c r="XDJ2219"/>
      <c r="XDK2219"/>
      <c r="XDL2219"/>
      <c r="XDM2219"/>
      <c r="XDN2219"/>
      <c r="XDO2219"/>
      <c r="XDP2219"/>
      <c r="XDQ2219"/>
      <c r="XDR2219"/>
      <c r="XDS2219"/>
      <c r="XDT2219"/>
      <c r="XDU2219"/>
      <c r="XDV2219"/>
      <c r="XDW2219"/>
      <c r="XDX2219"/>
      <c r="XDY2219"/>
      <c r="XDZ2219"/>
      <c r="XEA2219"/>
      <c r="XEB2219"/>
      <c r="XEC2219"/>
      <c r="XED2219"/>
      <c r="XEE2219"/>
      <c r="XEF2219"/>
      <c r="XEG2219"/>
      <c r="XEH2219"/>
      <c r="XEI2219"/>
      <c r="XEJ2219"/>
      <c r="XEK2219"/>
      <c r="XEL2219"/>
      <c r="XEM2219"/>
      <c r="XEN2219"/>
      <c r="XEO2219"/>
      <c r="XEP2219"/>
      <c r="XEQ2219"/>
      <c r="XER2219"/>
      <c r="XES2219"/>
      <c r="XET2219"/>
      <c r="XEU2219"/>
      <c r="XEV2219"/>
      <c r="XEW2219"/>
      <c r="XEX2219"/>
      <c r="XEY2219"/>
      <c r="XEZ2219"/>
      <c r="XFA2219"/>
      <c r="XFB2219"/>
      <c r="XFC2219"/>
    </row>
    <row r="2220" spans="1:20 16329:16383" s="38" customFormat="1" ht="29.1" customHeight="1" outlineLevel="4" x14ac:dyDescent="0.25">
      <c r="A2220" s="49" t="s">
        <v>3983</v>
      </c>
      <c r="B2220" s="50"/>
      <c r="C2220" s="50"/>
      <c r="D2220" s="3" t="s">
        <v>3984</v>
      </c>
      <c r="E2220" s="3"/>
      <c r="F2220" s="51" t="s">
        <v>3985</v>
      </c>
      <c r="G2220" s="50" t="s">
        <v>29</v>
      </c>
      <c r="H2220" s="52">
        <f>1</f>
        <v>1</v>
      </c>
      <c r="I2220" s="36"/>
      <c r="J2220" s="52">
        <v>1</v>
      </c>
      <c r="K2220" s="53">
        <f>0</f>
        <v>0</v>
      </c>
      <c r="L2220" s="53">
        <f>0</f>
        <v>0</v>
      </c>
      <c r="M2220" s="53">
        <f>0</f>
        <v>0</v>
      </c>
      <c r="N2220" s="54">
        <f t="shared" si="414"/>
        <v>0</v>
      </c>
      <c r="O2220" s="54">
        <f t="shared" si="415"/>
        <v>0</v>
      </c>
      <c r="P2220" s="54">
        <f t="shared" si="416"/>
        <v>0</v>
      </c>
      <c r="Q2220" s="54">
        <f t="shared" si="417"/>
        <v>0</v>
      </c>
      <c r="R2220" s="54">
        <f t="shared" si="418"/>
        <v>0</v>
      </c>
      <c r="S2220" s="54"/>
      <c r="T2220" s="36"/>
      <c r="XDA2220"/>
      <c r="XDB2220"/>
      <c r="XDC2220"/>
      <c r="XDD2220"/>
      <c r="XDE2220"/>
      <c r="XDF2220"/>
      <c r="XDG2220"/>
      <c r="XDH2220"/>
      <c r="XDI2220"/>
      <c r="XDJ2220"/>
      <c r="XDK2220"/>
      <c r="XDL2220"/>
      <c r="XDM2220"/>
      <c r="XDN2220"/>
      <c r="XDO2220"/>
      <c r="XDP2220"/>
      <c r="XDQ2220"/>
      <c r="XDR2220"/>
      <c r="XDS2220"/>
      <c r="XDT2220"/>
      <c r="XDU2220"/>
      <c r="XDV2220"/>
      <c r="XDW2220"/>
      <c r="XDX2220"/>
      <c r="XDY2220"/>
      <c r="XDZ2220"/>
      <c r="XEA2220"/>
      <c r="XEB2220"/>
      <c r="XEC2220"/>
      <c r="XED2220"/>
      <c r="XEE2220"/>
      <c r="XEF2220"/>
      <c r="XEG2220"/>
      <c r="XEH2220"/>
      <c r="XEI2220"/>
      <c r="XEJ2220"/>
      <c r="XEK2220"/>
      <c r="XEL2220"/>
      <c r="XEM2220"/>
      <c r="XEN2220"/>
      <c r="XEO2220"/>
      <c r="XEP2220"/>
      <c r="XEQ2220"/>
      <c r="XER2220"/>
      <c r="XES2220"/>
      <c r="XET2220"/>
      <c r="XEU2220"/>
      <c r="XEV2220"/>
      <c r="XEW2220"/>
      <c r="XEX2220"/>
      <c r="XEY2220"/>
      <c r="XEZ2220"/>
      <c r="XFA2220"/>
      <c r="XFB2220"/>
      <c r="XFC2220"/>
    </row>
    <row r="2221" spans="1:20 16329:16383" s="38" customFormat="1" ht="29.1" customHeight="1" outlineLevel="4" x14ac:dyDescent="0.25">
      <c r="A2221" s="49" t="s">
        <v>3986</v>
      </c>
      <c r="B2221" s="50"/>
      <c r="C2221" s="50"/>
      <c r="D2221" s="3" t="s">
        <v>3987</v>
      </c>
      <c r="E2221" s="3"/>
      <c r="F2221" s="51"/>
      <c r="G2221" s="50" t="s">
        <v>117</v>
      </c>
      <c r="H2221" s="52">
        <f>1</f>
        <v>1</v>
      </c>
      <c r="I2221" s="36"/>
      <c r="J2221" s="52">
        <v>1</v>
      </c>
      <c r="K2221" s="53">
        <f>0</f>
        <v>0</v>
      </c>
      <c r="L2221" s="53">
        <f>0</f>
        <v>0</v>
      </c>
      <c r="M2221" s="53">
        <f>0</f>
        <v>0</v>
      </c>
      <c r="N2221" s="54">
        <f t="shared" si="414"/>
        <v>0</v>
      </c>
      <c r="O2221" s="54">
        <f t="shared" si="415"/>
        <v>0</v>
      </c>
      <c r="P2221" s="54">
        <f t="shared" si="416"/>
        <v>0</v>
      </c>
      <c r="Q2221" s="54">
        <f t="shared" si="417"/>
        <v>0</v>
      </c>
      <c r="R2221" s="54">
        <f t="shared" si="418"/>
        <v>0</v>
      </c>
      <c r="S2221" s="54"/>
      <c r="T2221" s="36"/>
      <c r="XDA2221"/>
      <c r="XDB2221"/>
      <c r="XDC2221"/>
      <c r="XDD2221"/>
      <c r="XDE2221"/>
      <c r="XDF2221"/>
      <c r="XDG2221"/>
      <c r="XDH2221"/>
      <c r="XDI2221"/>
      <c r="XDJ2221"/>
      <c r="XDK2221"/>
      <c r="XDL2221"/>
      <c r="XDM2221"/>
      <c r="XDN2221"/>
      <c r="XDO2221"/>
      <c r="XDP2221"/>
      <c r="XDQ2221"/>
      <c r="XDR2221"/>
      <c r="XDS2221"/>
      <c r="XDT2221"/>
      <c r="XDU2221"/>
      <c r="XDV2221"/>
      <c r="XDW2221"/>
      <c r="XDX2221"/>
      <c r="XDY2221"/>
      <c r="XDZ2221"/>
      <c r="XEA2221"/>
      <c r="XEB2221"/>
      <c r="XEC2221"/>
      <c r="XED2221"/>
      <c r="XEE2221"/>
      <c r="XEF2221"/>
      <c r="XEG2221"/>
      <c r="XEH2221"/>
      <c r="XEI2221"/>
      <c r="XEJ2221"/>
      <c r="XEK2221"/>
      <c r="XEL2221"/>
      <c r="XEM2221"/>
      <c r="XEN2221"/>
      <c r="XEO2221"/>
      <c r="XEP2221"/>
      <c r="XEQ2221"/>
      <c r="XER2221"/>
      <c r="XES2221"/>
      <c r="XET2221"/>
      <c r="XEU2221"/>
      <c r="XEV2221"/>
      <c r="XEW2221"/>
      <c r="XEX2221"/>
      <c r="XEY2221"/>
      <c r="XEZ2221"/>
      <c r="XFA2221"/>
      <c r="XFB2221"/>
      <c r="XFC2221"/>
    </row>
    <row r="2222" spans="1:20 16329:16383" s="38" customFormat="1" ht="29.1" customHeight="1" outlineLevel="4" x14ac:dyDescent="0.25">
      <c r="A2222" s="49" t="s">
        <v>3988</v>
      </c>
      <c r="B2222" s="50"/>
      <c r="C2222" s="50"/>
      <c r="D2222" s="3" t="s">
        <v>3989</v>
      </c>
      <c r="E2222" s="3"/>
      <c r="F2222" s="51"/>
      <c r="G2222" s="50" t="s">
        <v>102</v>
      </c>
      <c r="H2222" s="52">
        <f>1</f>
        <v>1</v>
      </c>
      <c r="I2222" s="36"/>
      <c r="J2222" s="52">
        <v>1</v>
      </c>
      <c r="K2222" s="53">
        <f>0</f>
        <v>0</v>
      </c>
      <c r="L2222" s="53">
        <f>0</f>
        <v>0</v>
      </c>
      <c r="M2222" s="53">
        <f>0</f>
        <v>0</v>
      </c>
      <c r="N2222" s="54">
        <f t="shared" si="414"/>
        <v>0</v>
      </c>
      <c r="O2222" s="54">
        <f t="shared" si="415"/>
        <v>0</v>
      </c>
      <c r="P2222" s="54">
        <f t="shared" si="416"/>
        <v>0</v>
      </c>
      <c r="Q2222" s="54">
        <f t="shared" si="417"/>
        <v>0</v>
      </c>
      <c r="R2222" s="54">
        <f t="shared" si="418"/>
        <v>0</v>
      </c>
      <c r="S2222" s="54"/>
      <c r="T2222" s="36"/>
      <c r="XDA2222"/>
      <c r="XDB2222"/>
      <c r="XDC2222"/>
      <c r="XDD2222"/>
      <c r="XDE2222"/>
      <c r="XDF2222"/>
      <c r="XDG2222"/>
      <c r="XDH2222"/>
      <c r="XDI2222"/>
      <c r="XDJ2222"/>
      <c r="XDK2222"/>
      <c r="XDL2222"/>
      <c r="XDM2222"/>
      <c r="XDN2222"/>
      <c r="XDO2222"/>
      <c r="XDP2222"/>
      <c r="XDQ2222"/>
      <c r="XDR2222"/>
      <c r="XDS2222"/>
      <c r="XDT2222"/>
      <c r="XDU2222"/>
      <c r="XDV2222"/>
      <c r="XDW2222"/>
      <c r="XDX2222"/>
      <c r="XDY2222"/>
      <c r="XDZ2222"/>
      <c r="XEA2222"/>
      <c r="XEB2222"/>
      <c r="XEC2222"/>
      <c r="XED2222"/>
      <c r="XEE2222"/>
      <c r="XEF2222"/>
      <c r="XEG2222"/>
      <c r="XEH2222"/>
      <c r="XEI2222"/>
      <c r="XEJ2222"/>
      <c r="XEK2222"/>
      <c r="XEL2222"/>
      <c r="XEM2222"/>
      <c r="XEN2222"/>
      <c r="XEO2222"/>
      <c r="XEP2222"/>
      <c r="XEQ2222"/>
      <c r="XER2222"/>
      <c r="XES2222"/>
      <c r="XET2222"/>
      <c r="XEU2222"/>
      <c r="XEV2222"/>
      <c r="XEW2222"/>
      <c r="XEX2222"/>
      <c r="XEY2222"/>
      <c r="XEZ2222"/>
      <c r="XFA2222"/>
      <c r="XFB2222"/>
      <c r="XFC2222"/>
    </row>
    <row r="2223" spans="1:20 16329:16383" s="38" customFormat="1" ht="29.1" customHeight="1" outlineLevel="4" x14ac:dyDescent="0.25">
      <c r="A2223" s="49" t="s">
        <v>3990</v>
      </c>
      <c r="B2223" s="50"/>
      <c r="C2223" s="50"/>
      <c r="D2223" s="3" t="s">
        <v>3991</v>
      </c>
      <c r="E2223" s="3"/>
      <c r="F2223" s="51"/>
      <c r="G2223" s="50" t="s">
        <v>102</v>
      </c>
      <c r="H2223" s="52">
        <f>1</f>
        <v>1</v>
      </c>
      <c r="I2223" s="36"/>
      <c r="J2223" s="52">
        <v>1</v>
      </c>
      <c r="K2223" s="53">
        <f>0</f>
        <v>0</v>
      </c>
      <c r="L2223" s="53">
        <f>0</f>
        <v>0</v>
      </c>
      <c r="M2223" s="53">
        <f>0</f>
        <v>0</v>
      </c>
      <c r="N2223" s="54">
        <f t="shared" si="414"/>
        <v>0</v>
      </c>
      <c r="O2223" s="54">
        <f t="shared" si="415"/>
        <v>0</v>
      </c>
      <c r="P2223" s="54">
        <f t="shared" si="416"/>
        <v>0</v>
      </c>
      <c r="Q2223" s="54">
        <f t="shared" si="417"/>
        <v>0</v>
      </c>
      <c r="R2223" s="54">
        <f t="shared" si="418"/>
        <v>0</v>
      </c>
      <c r="S2223" s="54"/>
      <c r="T2223" s="36"/>
      <c r="XDA2223"/>
      <c r="XDB2223"/>
      <c r="XDC2223"/>
      <c r="XDD2223"/>
      <c r="XDE2223"/>
      <c r="XDF2223"/>
      <c r="XDG2223"/>
      <c r="XDH2223"/>
      <c r="XDI2223"/>
      <c r="XDJ2223"/>
      <c r="XDK2223"/>
      <c r="XDL2223"/>
      <c r="XDM2223"/>
      <c r="XDN2223"/>
      <c r="XDO2223"/>
      <c r="XDP2223"/>
      <c r="XDQ2223"/>
      <c r="XDR2223"/>
      <c r="XDS2223"/>
      <c r="XDT2223"/>
      <c r="XDU2223"/>
      <c r="XDV2223"/>
      <c r="XDW2223"/>
      <c r="XDX2223"/>
      <c r="XDY2223"/>
      <c r="XDZ2223"/>
      <c r="XEA2223"/>
      <c r="XEB2223"/>
      <c r="XEC2223"/>
      <c r="XED2223"/>
      <c r="XEE2223"/>
      <c r="XEF2223"/>
      <c r="XEG2223"/>
      <c r="XEH2223"/>
      <c r="XEI2223"/>
      <c r="XEJ2223"/>
      <c r="XEK2223"/>
      <c r="XEL2223"/>
      <c r="XEM2223"/>
      <c r="XEN2223"/>
      <c r="XEO2223"/>
      <c r="XEP2223"/>
      <c r="XEQ2223"/>
      <c r="XER2223"/>
      <c r="XES2223"/>
      <c r="XET2223"/>
      <c r="XEU2223"/>
      <c r="XEV2223"/>
      <c r="XEW2223"/>
      <c r="XEX2223"/>
      <c r="XEY2223"/>
      <c r="XEZ2223"/>
      <c r="XFA2223"/>
      <c r="XFB2223"/>
      <c r="XFC2223"/>
    </row>
    <row r="2224" spans="1:20 16329:16383" s="38" customFormat="1" ht="29.1" customHeight="1" outlineLevel="4" x14ac:dyDescent="0.25">
      <c r="A2224" s="49" t="s">
        <v>3992</v>
      </c>
      <c r="B2224" s="50"/>
      <c r="C2224" s="50"/>
      <c r="D2224" s="3" t="s">
        <v>3993</v>
      </c>
      <c r="E2224" s="3"/>
      <c r="F2224" s="51"/>
      <c r="G2224" s="50" t="s">
        <v>102</v>
      </c>
      <c r="H2224" s="52">
        <f>1</f>
        <v>1</v>
      </c>
      <c r="I2224" s="36"/>
      <c r="J2224" s="52">
        <v>1</v>
      </c>
      <c r="K2224" s="53">
        <f>0</f>
        <v>0</v>
      </c>
      <c r="L2224" s="53">
        <f>0</f>
        <v>0</v>
      </c>
      <c r="M2224" s="53">
        <f>0</f>
        <v>0</v>
      </c>
      <c r="N2224" s="54">
        <f t="shared" si="414"/>
        <v>0</v>
      </c>
      <c r="O2224" s="54">
        <f t="shared" si="415"/>
        <v>0</v>
      </c>
      <c r="P2224" s="54">
        <f t="shared" si="416"/>
        <v>0</v>
      </c>
      <c r="Q2224" s="54">
        <f t="shared" si="417"/>
        <v>0</v>
      </c>
      <c r="R2224" s="54">
        <f t="shared" si="418"/>
        <v>0</v>
      </c>
      <c r="S2224" s="54"/>
      <c r="T2224" s="36"/>
      <c r="XDA2224"/>
      <c r="XDB2224"/>
      <c r="XDC2224"/>
      <c r="XDD2224"/>
      <c r="XDE2224"/>
      <c r="XDF2224"/>
      <c r="XDG2224"/>
      <c r="XDH2224"/>
      <c r="XDI2224"/>
      <c r="XDJ2224"/>
      <c r="XDK2224"/>
      <c r="XDL2224"/>
      <c r="XDM2224"/>
      <c r="XDN2224"/>
      <c r="XDO2224"/>
      <c r="XDP2224"/>
      <c r="XDQ2224"/>
      <c r="XDR2224"/>
      <c r="XDS2224"/>
      <c r="XDT2224"/>
      <c r="XDU2224"/>
      <c r="XDV2224"/>
      <c r="XDW2224"/>
      <c r="XDX2224"/>
      <c r="XDY2224"/>
      <c r="XDZ2224"/>
      <c r="XEA2224"/>
      <c r="XEB2224"/>
      <c r="XEC2224"/>
      <c r="XED2224"/>
      <c r="XEE2224"/>
      <c r="XEF2224"/>
      <c r="XEG2224"/>
      <c r="XEH2224"/>
      <c r="XEI2224"/>
      <c r="XEJ2224"/>
      <c r="XEK2224"/>
      <c r="XEL2224"/>
      <c r="XEM2224"/>
      <c r="XEN2224"/>
      <c r="XEO2224"/>
      <c r="XEP2224"/>
      <c r="XEQ2224"/>
      <c r="XER2224"/>
      <c r="XES2224"/>
      <c r="XET2224"/>
      <c r="XEU2224"/>
      <c r="XEV2224"/>
      <c r="XEW2224"/>
      <c r="XEX2224"/>
      <c r="XEY2224"/>
      <c r="XEZ2224"/>
      <c r="XFA2224"/>
      <c r="XFB2224"/>
      <c r="XFC2224"/>
    </row>
    <row r="2225" spans="1:20 16329:16383" s="38" customFormat="1" ht="29.1" customHeight="1" outlineLevel="3" x14ac:dyDescent="0.25">
      <c r="A2225" s="55" t="s">
        <v>3994</v>
      </c>
      <c r="B2225" s="56" t="s">
        <v>3995</v>
      </c>
      <c r="C2225" s="56"/>
      <c r="D2225" s="2" t="s">
        <v>3996</v>
      </c>
      <c r="E2225" s="2"/>
      <c r="F2225" s="57"/>
      <c r="G2225" s="56"/>
      <c r="H2225" s="58"/>
      <c r="I2225" s="36"/>
      <c r="J2225" s="58"/>
      <c r="K2225" s="59"/>
      <c r="L2225" s="59"/>
      <c r="M2225" s="59"/>
      <c r="N2225" s="59"/>
      <c r="O2225" s="59">
        <f>O2226+O2227</f>
        <v>0</v>
      </c>
      <c r="P2225" s="59">
        <f>P2226+P2227</f>
        <v>0</v>
      </c>
      <c r="Q2225" s="59">
        <f>Q2226+Q2227</f>
        <v>0</v>
      </c>
      <c r="R2225" s="59">
        <f>R2226+R2227</f>
        <v>0</v>
      </c>
      <c r="S2225" s="59"/>
      <c r="T2225" s="36"/>
      <c r="XDA2225"/>
      <c r="XDB2225"/>
      <c r="XDC2225"/>
      <c r="XDD2225"/>
      <c r="XDE2225"/>
      <c r="XDF2225"/>
      <c r="XDG2225"/>
      <c r="XDH2225"/>
      <c r="XDI2225"/>
      <c r="XDJ2225"/>
      <c r="XDK2225"/>
      <c r="XDL2225"/>
      <c r="XDM2225"/>
      <c r="XDN2225"/>
      <c r="XDO2225"/>
      <c r="XDP2225"/>
      <c r="XDQ2225"/>
      <c r="XDR2225"/>
      <c r="XDS2225"/>
      <c r="XDT2225"/>
      <c r="XDU2225"/>
      <c r="XDV2225"/>
      <c r="XDW2225"/>
      <c r="XDX2225"/>
      <c r="XDY2225"/>
      <c r="XDZ2225"/>
      <c r="XEA2225"/>
      <c r="XEB2225"/>
      <c r="XEC2225"/>
      <c r="XED2225"/>
      <c r="XEE2225"/>
      <c r="XEF2225"/>
      <c r="XEG2225"/>
      <c r="XEH2225"/>
      <c r="XEI2225"/>
      <c r="XEJ2225"/>
      <c r="XEK2225"/>
      <c r="XEL2225"/>
      <c r="XEM2225"/>
      <c r="XEN2225"/>
      <c r="XEO2225"/>
      <c r="XEP2225"/>
      <c r="XEQ2225"/>
      <c r="XER2225"/>
      <c r="XES2225"/>
      <c r="XET2225"/>
      <c r="XEU2225"/>
      <c r="XEV2225"/>
      <c r="XEW2225"/>
      <c r="XEX2225"/>
      <c r="XEY2225"/>
      <c r="XEZ2225"/>
      <c r="XFA2225"/>
      <c r="XFB2225"/>
      <c r="XFC2225"/>
    </row>
    <row r="2226" spans="1:20 16329:16383" s="38" customFormat="1" ht="29.1" customHeight="1" outlineLevel="4" x14ac:dyDescent="0.25">
      <c r="A2226" s="49" t="s">
        <v>3997</v>
      </c>
      <c r="B2226" s="50"/>
      <c r="C2226" s="50"/>
      <c r="D2226" s="3" t="s">
        <v>3982</v>
      </c>
      <c r="E2226" s="3"/>
      <c r="F2226" s="51"/>
      <c r="G2226" s="50" t="s">
        <v>29</v>
      </c>
      <c r="H2226" s="52">
        <f>1</f>
        <v>1</v>
      </c>
      <c r="I2226" s="36"/>
      <c r="J2226" s="52">
        <v>1</v>
      </c>
      <c r="K2226" s="53">
        <f>0</f>
        <v>0</v>
      </c>
      <c r="L2226" s="53">
        <f>0</f>
        <v>0</v>
      </c>
      <c r="M2226" s="53">
        <f>0</f>
        <v>0</v>
      </c>
      <c r="N2226" s="54">
        <f>SUM(K2226:M2226)</f>
        <v>0</v>
      </c>
      <c r="O2226" s="54">
        <f>ROUND((H2226*K2226),2)</f>
        <v>0</v>
      </c>
      <c r="P2226" s="54">
        <f>ROUND((H2226*L2226),2)</f>
        <v>0</v>
      </c>
      <c r="Q2226" s="54">
        <f>ROUND((H2226*M2226),2)</f>
        <v>0</v>
      </c>
      <c r="R2226" s="54">
        <f>ROUND((H2226*N2226),2)</f>
        <v>0</v>
      </c>
      <c r="S2226" s="54"/>
      <c r="T2226" s="36"/>
      <c r="XDA2226"/>
      <c r="XDB2226"/>
      <c r="XDC2226"/>
      <c r="XDD2226"/>
      <c r="XDE2226"/>
      <c r="XDF2226"/>
      <c r="XDG2226"/>
      <c r="XDH2226"/>
      <c r="XDI2226"/>
      <c r="XDJ2226"/>
      <c r="XDK2226"/>
      <c r="XDL2226"/>
      <c r="XDM2226"/>
      <c r="XDN2226"/>
      <c r="XDO2226"/>
      <c r="XDP2226"/>
      <c r="XDQ2226"/>
      <c r="XDR2226"/>
      <c r="XDS2226"/>
      <c r="XDT2226"/>
      <c r="XDU2226"/>
      <c r="XDV2226"/>
      <c r="XDW2226"/>
      <c r="XDX2226"/>
      <c r="XDY2226"/>
      <c r="XDZ2226"/>
      <c r="XEA2226"/>
      <c r="XEB2226"/>
      <c r="XEC2226"/>
      <c r="XED2226"/>
      <c r="XEE2226"/>
      <c r="XEF2226"/>
      <c r="XEG2226"/>
      <c r="XEH2226"/>
      <c r="XEI2226"/>
      <c r="XEJ2226"/>
      <c r="XEK2226"/>
      <c r="XEL2226"/>
      <c r="XEM2226"/>
      <c r="XEN2226"/>
      <c r="XEO2226"/>
      <c r="XEP2226"/>
      <c r="XEQ2226"/>
      <c r="XER2226"/>
      <c r="XES2226"/>
      <c r="XET2226"/>
      <c r="XEU2226"/>
      <c r="XEV2226"/>
      <c r="XEW2226"/>
      <c r="XEX2226"/>
      <c r="XEY2226"/>
      <c r="XEZ2226"/>
      <c r="XFA2226"/>
      <c r="XFB2226"/>
      <c r="XFC2226"/>
    </row>
    <row r="2227" spans="1:20 16329:16383" s="38" customFormat="1" ht="29.1" customHeight="1" outlineLevel="4" x14ac:dyDescent="0.25">
      <c r="A2227" s="49" t="s">
        <v>3998</v>
      </c>
      <c r="B2227" s="50"/>
      <c r="C2227" s="50"/>
      <c r="D2227" s="3" t="s">
        <v>3999</v>
      </c>
      <c r="E2227" s="3"/>
      <c r="F2227" s="51"/>
      <c r="G2227" s="50" t="s">
        <v>102</v>
      </c>
      <c r="H2227" s="52">
        <f>1</f>
        <v>1</v>
      </c>
      <c r="I2227" s="36"/>
      <c r="J2227" s="52">
        <v>1</v>
      </c>
      <c r="K2227" s="53">
        <f>0</f>
        <v>0</v>
      </c>
      <c r="L2227" s="53">
        <f>0</f>
        <v>0</v>
      </c>
      <c r="M2227" s="53">
        <f>0</f>
        <v>0</v>
      </c>
      <c r="N2227" s="54">
        <f>SUM(K2227:M2227)</f>
        <v>0</v>
      </c>
      <c r="O2227" s="54">
        <f>ROUND((H2227*K2227),2)</f>
        <v>0</v>
      </c>
      <c r="P2227" s="54">
        <f>ROUND((H2227*L2227),2)</f>
        <v>0</v>
      </c>
      <c r="Q2227" s="54">
        <f>ROUND((H2227*M2227),2)</f>
        <v>0</v>
      </c>
      <c r="R2227" s="54">
        <f>ROUND((H2227*N2227),2)</f>
        <v>0</v>
      </c>
      <c r="S2227" s="54"/>
      <c r="T2227" s="36"/>
      <c r="XDA2227"/>
      <c r="XDB2227"/>
      <c r="XDC2227"/>
      <c r="XDD2227"/>
      <c r="XDE2227"/>
      <c r="XDF2227"/>
      <c r="XDG2227"/>
      <c r="XDH2227"/>
      <c r="XDI2227"/>
      <c r="XDJ2227"/>
      <c r="XDK2227"/>
      <c r="XDL2227"/>
      <c r="XDM2227"/>
      <c r="XDN2227"/>
      <c r="XDO2227"/>
      <c r="XDP2227"/>
      <c r="XDQ2227"/>
      <c r="XDR2227"/>
      <c r="XDS2227"/>
      <c r="XDT2227"/>
      <c r="XDU2227"/>
      <c r="XDV2227"/>
      <c r="XDW2227"/>
      <c r="XDX2227"/>
      <c r="XDY2227"/>
      <c r="XDZ2227"/>
      <c r="XEA2227"/>
      <c r="XEB2227"/>
      <c r="XEC2227"/>
      <c r="XED2227"/>
      <c r="XEE2227"/>
      <c r="XEF2227"/>
      <c r="XEG2227"/>
      <c r="XEH2227"/>
      <c r="XEI2227"/>
      <c r="XEJ2227"/>
      <c r="XEK2227"/>
      <c r="XEL2227"/>
      <c r="XEM2227"/>
      <c r="XEN2227"/>
      <c r="XEO2227"/>
      <c r="XEP2227"/>
      <c r="XEQ2227"/>
      <c r="XER2227"/>
      <c r="XES2227"/>
      <c r="XET2227"/>
      <c r="XEU2227"/>
      <c r="XEV2227"/>
      <c r="XEW2227"/>
      <c r="XEX2227"/>
      <c r="XEY2227"/>
      <c r="XEZ2227"/>
      <c r="XFA2227"/>
      <c r="XFB2227"/>
      <c r="XFC2227"/>
    </row>
    <row r="2228" spans="1:20 16329:16383" s="38" customFormat="1" ht="29.1" customHeight="1" outlineLevel="2" x14ac:dyDescent="0.25">
      <c r="A2228" s="44" t="s">
        <v>4000</v>
      </c>
      <c r="B2228" s="45" t="s">
        <v>4001</v>
      </c>
      <c r="C2228" s="45" t="s">
        <v>4002</v>
      </c>
      <c r="D2228" s="4" t="s">
        <v>4003</v>
      </c>
      <c r="E2228" s="4"/>
      <c r="F2228" s="46"/>
      <c r="G2228" s="45" t="s">
        <v>102</v>
      </c>
      <c r="H2228" s="47"/>
      <c r="I2228" s="36"/>
      <c r="J2228" s="47"/>
      <c r="K2228" s="48"/>
      <c r="L2228" s="48"/>
      <c r="M2228" s="48"/>
      <c r="N2228" s="48"/>
      <c r="O2228" s="48">
        <f>O2229+O2272+O2297</f>
        <v>0</v>
      </c>
      <c r="P2228" s="48">
        <f>P2229+P2272+P2297</f>
        <v>0</v>
      </c>
      <c r="Q2228" s="48">
        <f>Q2229+Q2272+Q2297</f>
        <v>0</v>
      </c>
      <c r="R2228" s="48">
        <f>R2229+R2272+R2297</f>
        <v>0</v>
      </c>
      <c r="S2228" s="48"/>
      <c r="T2228" s="36"/>
      <c r="XDA2228"/>
      <c r="XDB2228"/>
      <c r="XDC2228"/>
      <c r="XDD2228"/>
      <c r="XDE2228"/>
      <c r="XDF2228"/>
      <c r="XDG2228"/>
      <c r="XDH2228"/>
      <c r="XDI2228"/>
      <c r="XDJ2228"/>
      <c r="XDK2228"/>
      <c r="XDL2228"/>
      <c r="XDM2228"/>
      <c r="XDN2228"/>
      <c r="XDO2228"/>
      <c r="XDP2228"/>
      <c r="XDQ2228"/>
      <c r="XDR2228"/>
      <c r="XDS2228"/>
      <c r="XDT2228"/>
      <c r="XDU2228"/>
      <c r="XDV2228"/>
      <c r="XDW2228"/>
      <c r="XDX2228"/>
      <c r="XDY2228"/>
      <c r="XDZ2228"/>
      <c r="XEA2228"/>
      <c r="XEB2228"/>
      <c r="XEC2228"/>
      <c r="XED2228"/>
      <c r="XEE2228"/>
      <c r="XEF2228"/>
      <c r="XEG2228"/>
      <c r="XEH2228"/>
      <c r="XEI2228"/>
      <c r="XEJ2228"/>
      <c r="XEK2228"/>
      <c r="XEL2228"/>
      <c r="XEM2228"/>
      <c r="XEN2228"/>
      <c r="XEO2228"/>
      <c r="XEP2228"/>
      <c r="XEQ2228"/>
      <c r="XER2228"/>
      <c r="XES2228"/>
      <c r="XET2228"/>
      <c r="XEU2228"/>
      <c r="XEV2228"/>
      <c r="XEW2228"/>
      <c r="XEX2228"/>
      <c r="XEY2228"/>
      <c r="XEZ2228"/>
      <c r="XFA2228"/>
      <c r="XFB2228"/>
      <c r="XFC2228"/>
    </row>
    <row r="2229" spans="1:20 16329:16383" s="38" customFormat="1" ht="29.1" customHeight="1" outlineLevel="3" x14ac:dyDescent="0.25">
      <c r="A2229" s="55" t="s">
        <v>4004</v>
      </c>
      <c r="B2229" s="56" t="s">
        <v>4005</v>
      </c>
      <c r="C2229" s="56"/>
      <c r="D2229" s="2" t="s">
        <v>4006</v>
      </c>
      <c r="E2229" s="2"/>
      <c r="F2229" s="57"/>
      <c r="G2229" s="56"/>
      <c r="H2229" s="58"/>
      <c r="I2229" s="36"/>
      <c r="J2229" s="58"/>
      <c r="K2229" s="59"/>
      <c r="L2229" s="59"/>
      <c r="M2229" s="59"/>
      <c r="N2229" s="59"/>
      <c r="O2229" s="59">
        <f>O2230+O2236+O2242+O2247+O2253+O2260+O2267</f>
        <v>0</v>
      </c>
      <c r="P2229" s="59">
        <f>P2230+P2236+P2242+P2247+P2253+P2260+P2267</f>
        <v>0</v>
      </c>
      <c r="Q2229" s="59">
        <f>Q2230+Q2236+Q2242+Q2247+Q2253+Q2260+Q2267</f>
        <v>0</v>
      </c>
      <c r="R2229" s="59">
        <f>R2230+R2236+R2242+R2247+R2253+R2260+R2267</f>
        <v>0</v>
      </c>
      <c r="S2229" s="59"/>
      <c r="T2229" s="36"/>
      <c r="XDA2229"/>
      <c r="XDB2229"/>
      <c r="XDC2229"/>
      <c r="XDD2229"/>
      <c r="XDE2229"/>
      <c r="XDF2229"/>
      <c r="XDG2229"/>
      <c r="XDH2229"/>
      <c r="XDI2229"/>
      <c r="XDJ2229"/>
      <c r="XDK2229"/>
      <c r="XDL2229"/>
      <c r="XDM2229"/>
      <c r="XDN2229"/>
      <c r="XDO2229"/>
      <c r="XDP2229"/>
      <c r="XDQ2229"/>
      <c r="XDR2229"/>
      <c r="XDS2229"/>
      <c r="XDT2229"/>
      <c r="XDU2229"/>
      <c r="XDV2229"/>
      <c r="XDW2229"/>
      <c r="XDX2229"/>
      <c r="XDY2229"/>
      <c r="XDZ2229"/>
      <c r="XEA2229"/>
      <c r="XEB2229"/>
      <c r="XEC2229"/>
      <c r="XED2229"/>
      <c r="XEE2229"/>
      <c r="XEF2229"/>
      <c r="XEG2229"/>
      <c r="XEH2229"/>
      <c r="XEI2229"/>
      <c r="XEJ2229"/>
      <c r="XEK2229"/>
      <c r="XEL2229"/>
      <c r="XEM2229"/>
      <c r="XEN2229"/>
      <c r="XEO2229"/>
      <c r="XEP2229"/>
      <c r="XEQ2229"/>
      <c r="XER2229"/>
      <c r="XES2229"/>
      <c r="XET2229"/>
      <c r="XEU2229"/>
      <c r="XEV2229"/>
      <c r="XEW2229"/>
      <c r="XEX2229"/>
      <c r="XEY2229"/>
      <c r="XEZ2229"/>
      <c r="XFA2229"/>
      <c r="XFB2229"/>
      <c r="XFC2229"/>
    </row>
    <row r="2230" spans="1:20 16329:16383" s="38" customFormat="1" ht="29.1" customHeight="1" outlineLevel="4" x14ac:dyDescent="0.25">
      <c r="A2230" s="60" t="s">
        <v>4007</v>
      </c>
      <c r="B2230" s="61" t="s">
        <v>4008</v>
      </c>
      <c r="C2230" s="61"/>
      <c r="D2230" s="1" t="s">
        <v>4009</v>
      </c>
      <c r="E2230" s="1"/>
      <c r="F2230" s="62" t="s">
        <v>4010</v>
      </c>
      <c r="G2230" s="61"/>
      <c r="H2230" s="63"/>
      <c r="I2230" s="36"/>
      <c r="J2230" s="63"/>
      <c r="K2230" s="64"/>
      <c r="L2230" s="64"/>
      <c r="M2230" s="64"/>
      <c r="N2230" s="64"/>
      <c r="O2230" s="64">
        <f>SUM(O2231:O2235)</f>
        <v>0</v>
      </c>
      <c r="P2230" s="64">
        <f>SUM(P2231:P2235)</f>
        <v>0</v>
      </c>
      <c r="Q2230" s="64">
        <f>SUM(Q2231:Q2235)</f>
        <v>0</v>
      </c>
      <c r="R2230" s="64">
        <f>SUM(R2231:R2235)</f>
        <v>0</v>
      </c>
      <c r="S2230" s="64"/>
      <c r="T2230" s="36"/>
      <c r="XDA2230"/>
      <c r="XDB2230"/>
      <c r="XDC2230"/>
      <c r="XDD2230"/>
      <c r="XDE2230"/>
      <c r="XDF2230"/>
      <c r="XDG2230"/>
      <c r="XDH2230"/>
      <c r="XDI2230"/>
      <c r="XDJ2230"/>
      <c r="XDK2230"/>
      <c r="XDL2230"/>
      <c r="XDM2230"/>
      <c r="XDN2230"/>
      <c r="XDO2230"/>
      <c r="XDP2230"/>
      <c r="XDQ2230"/>
      <c r="XDR2230"/>
      <c r="XDS2230"/>
      <c r="XDT2230"/>
      <c r="XDU2230"/>
      <c r="XDV2230"/>
      <c r="XDW2230"/>
      <c r="XDX2230"/>
      <c r="XDY2230"/>
      <c r="XDZ2230"/>
      <c r="XEA2230"/>
      <c r="XEB2230"/>
      <c r="XEC2230"/>
      <c r="XED2230"/>
      <c r="XEE2230"/>
      <c r="XEF2230"/>
      <c r="XEG2230"/>
      <c r="XEH2230"/>
      <c r="XEI2230"/>
      <c r="XEJ2230"/>
      <c r="XEK2230"/>
      <c r="XEL2230"/>
      <c r="XEM2230"/>
      <c r="XEN2230"/>
      <c r="XEO2230"/>
      <c r="XEP2230"/>
      <c r="XEQ2230"/>
      <c r="XER2230"/>
      <c r="XES2230"/>
      <c r="XET2230"/>
      <c r="XEU2230"/>
      <c r="XEV2230"/>
      <c r="XEW2230"/>
      <c r="XEX2230"/>
      <c r="XEY2230"/>
      <c r="XEZ2230"/>
      <c r="XFA2230"/>
      <c r="XFB2230"/>
      <c r="XFC2230"/>
    </row>
    <row r="2231" spans="1:20 16329:16383" s="38" customFormat="1" ht="29.1" customHeight="1" outlineLevel="5" x14ac:dyDescent="0.25">
      <c r="A2231" s="49" t="s">
        <v>4011</v>
      </c>
      <c r="B2231" s="50"/>
      <c r="C2231" s="50"/>
      <c r="D2231" s="3" t="s">
        <v>4012</v>
      </c>
      <c r="E2231" s="3"/>
      <c r="F2231" s="51"/>
      <c r="G2231" s="50" t="s">
        <v>102</v>
      </c>
      <c r="H2231" s="52">
        <f>1</f>
        <v>1</v>
      </c>
      <c r="I2231" s="36"/>
      <c r="J2231" s="52">
        <v>1</v>
      </c>
      <c r="K2231" s="53">
        <f>0</f>
        <v>0</v>
      </c>
      <c r="L2231" s="53">
        <f>0</f>
        <v>0</v>
      </c>
      <c r="M2231" s="53">
        <f>0</f>
        <v>0</v>
      </c>
      <c r="N2231" s="54">
        <f>SUM(K2231:M2231)</f>
        <v>0</v>
      </c>
      <c r="O2231" s="54">
        <f>ROUND((H2231*K2231),2)</f>
        <v>0</v>
      </c>
      <c r="P2231" s="54">
        <f>ROUND((H2231*L2231),2)</f>
        <v>0</v>
      </c>
      <c r="Q2231" s="54">
        <f>ROUND((H2231*M2231),2)</f>
        <v>0</v>
      </c>
      <c r="R2231" s="54">
        <f>ROUND((H2231*N2231),2)</f>
        <v>0</v>
      </c>
      <c r="S2231" s="54"/>
      <c r="T2231" s="36"/>
      <c r="XDA2231"/>
      <c r="XDB2231"/>
      <c r="XDC2231"/>
      <c r="XDD2231"/>
      <c r="XDE2231"/>
      <c r="XDF2231"/>
      <c r="XDG2231"/>
      <c r="XDH2231"/>
      <c r="XDI2231"/>
      <c r="XDJ2231"/>
      <c r="XDK2231"/>
      <c r="XDL2231"/>
      <c r="XDM2231"/>
      <c r="XDN2231"/>
      <c r="XDO2231"/>
      <c r="XDP2231"/>
      <c r="XDQ2231"/>
      <c r="XDR2231"/>
      <c r="XDS2231"/>
      <c r="XDT2231"/>
      <c r="XDU2231"/>
      <c r="XDV2231"/>
      <c r="XDW2231"/>
      <c r="XDX2231"/>
      <c r="XDY2231"/>
      <c r="XDZ2231"/>
      <c r="XEA2231"/>
      <c r="XEB2231"/>
      <c r="XEC2231"/>
      <c r="XED2231"/>
      <c r="XEE2231"/>
      <c r="XEF2231"/>
      <c r="XEG2231"/>
      <c r="XEH2231"/>
      <c r="XEI2231"/>
      <c r="XEJ2231"/>
      <c r="XEK2231"/>
      <c r="XEL2231"/>
      <c r="XEM2231"/>
      <c r="XEN2231"/>
      <c r="XEO2231"/>
      <c r="XEP2231"/>
      <c r="XEQ2231"/>
      <c r="XER2231"/>
      <c r="XES2231"/>
      <c r="XET2231"/>
      <c r="XEU2231"/>
      <c r="XEV2231"/>
      <c r="XEW2231"/>
      <c r="XEX2231"/>
      <c r="XEY2231"/>
      <c r="XEZ2231"/>
      <c r="XFA2231"/>
      <c r="XFB2231"/>
      <c r="XFC2231"/>
    </row>
    <row r="2232" spans="1:20 16329:16383" s="38" customFormat="1" ht="29.1" customHeight="1" outlineLevel="5" x14ac:dyDescent="0.25">
      <c r="A2232" s="49" t="s">
        <v>4013</v>
      </c>
      <c r="B2232" s="50"/>
      <c r="C2232" s="50"/>
      <c r="D2232" s="3" t="s">
        <v>4014</v>
      </c>
      <c r="E2232" s="3"/>
      <c r="F2232" s="51"/>
      <c r="G2232" s="50" t="s">
        <v>102</v>
      </c>
      <c r="H2232" s="52">
        <f>1</f>
        <v>1</v>
      </c>
      <c r="I2232" s="36"/>
      <c r="J2232" s="52">
        <v>1</v>
      </c>
      <c r="K2232" s="53">
        <f>0</f>
        <v>0</v>
      </c>
      <c r="L2232" s="53">
        <f>0</f>
        <v>0</v>
      </c>
      <c r="M2232" s="53">
        <f>0</f>
        <v>0</v>
      </c>
      <c r="N2232" s="54">
        <f>SUM(K2232:M2232)</f>
        <v>0</v>
      </c>
      <c r="O2232" s="54">
        <f>ROUND((H2232*K2232),2)</f>
        <v>0</v>
      </c>
      <c r="P2232" s="54">
        <f>ROUND((H2232*L2232),2)</f>
        <v>0</v>
      </c>
      <c r="Q2232" s="54">
        <f>ROUND((H2232*M2232),2)</f>
        <v>0</v>
      </c>
      <c r="R2232" s="54">
        <f>ROUND((H2232*N2232),2)</f>
        <v>0</v>
      </c>
      <c r="S2232" s="54"/>
      <c r="T2232" s="36"/>
      <c r="XDA2232"/>
      <c r="XDB2232"/>
      <c r="XDC2232"/>
      <c r="XDD2232"/>
      <c r="XDE2232"/>
      <c r="XDF2232"/>
      <c r="XDG2232"/>
      <c r="XDH2232"/>
      <c r="XDI2232"/>
      <c r="XDJ2232"/>
      <c r="XDK2232"/>
      <c r="XDL2232"/>
      <c r="XDM2232"/>
      <c r="XDN2232"/>
      <c r="XDO2232"/>
      <c r="XDP2232"/>
      <c r="XDQ2232"/>
      <c r="XDR2232"/>
      <c r="XDS2232"/>
      <c r="XDT2232"/>
      <c r="XDU2232"/>
      <c r="XDV2232"/>
      <c r="XDW2232"/>
      <c r="XDX2232"/>
      <c r="XDY2232"/>
      <c r="XDZ2232"/>
      <c r="XEA2232"/>
      <c r="XEB2232"/>
      <c r="XEC2232"/>
      <c r="XED2232"/>
      <c r="XEE2232"/>
      <c r="XEF2232"/>
      <c r="XEG2232"/>
      <c r="XEH2232"/>
      <c r="XEI2232"/>
      <c r="XEJ2232"/>
      <c r="XEK2232"/>
      <c r="XEL2232"/>
      <c r="XEM2232"/>
      <c r="XEN2232"/>
      <c r="XEO2232"/>
      <c r="XEP2232"/>
      <c r="XEQ2232"/>
      <c r="XER2232"/>
      <c r="XES2232"/>
      <c r="XET2232"/>
      <c r="XEU2232"/>
      <c r="XEV2232"/>
      <c r="XEW2232"/>
      <c r="XEX2232"/>
      <c r="XEY2232"/>
      <c r="XEZ2232"/>
      <c r="XFA2232"/>
      <c r="XFB2232"/>
      <c r="XFC2232"/>
    </row>
    <row r="2233" spans="1:20 16329:16383" s="38" customFormat="1" ht="29.1" customHeight="1" outlineLevel="5" x14ac:dyDescent="0.25">
      <c r="A2233" s="49" t="s">
        <v>4015</v>
      </c>
      <c r="B2233" s="50"/>
      <c r="C2233" s="50"/>
      <c r="D2233" s="3" t="s">
        <v>4016</v>
      </c>
      <c r="E2233" s="3"/>
      <c r="F2233" s="51"/>
      <c r="G2233" s="50" t="s">
        <v>102</v>
      </c>
      <c r="H2233" s="52">
        <f>1</f>
        <v>1</v>
      </c>
      <c r="I2233" s="36"/>
      <c r="J2233" s="52">
        <v>1</v>
      </c>
      <c r="K2233" s="53">
        <f>0</f>
        <v>0</v>
      </c>
      <c r="L2233" s="53">
        <f>0</f>
        <v>0</v>
      </c>
      <c r="M2233" s="53">
        <f>0</f>
        <v>0</v>
      </c>
      <c r="N2233" s="54">
        <f>SUM(K2233:M2233)</f>
        <v>0</v>
      </c>
      <c r="O2233" s="54">
        <f>ROUND((H2233*K2233),2)</f>
        <v>0</v>
      </c>
      <c r="P2233" s="54">
        <f>ROUND((H2233*L2233),2)</f>
        <v>0</v>
      </c>
      <c r="Q2233" s="54">
        <f>ROUND((H2233*M2233),2)</f>
        <v>0</v>
      </c>
      <c r="R2233" s="54">
        <f>ROUND((H2233*N2233),2)</f>
        <v>0</v>
      </c>
      <c r="S2233" s="54"/>
      <c r="T2233" s="36"/>
      <c r="XDA2233"/>
      <c r="XDB2233"/>
      <c r="XDC2233"/>
      <c r="XDD2233"/>
      <c r="XDE2233"/>
      <c r="XDF2233"/>
      <c r="XDG2233"/>
      <c r="XDH2233"/>
      <c r="XDI2233"/>
      <c r="XDJ2233"/>
      <c r="XDK2233"/>
      <c r="XDL2233"/>
      <c r="XDM2233"/>
      <c r="XDN2233"/>
      <c r="XDO2233"/>
      <c r="XDP2233"/>
      <c r="XDQ2233"/>
      <c r="XDR2233"/>
      <c r="XDS2233"/>
      <c r="XDT2233"/>
      <c r="XDU2233"/>
      <c r="XDV2233"/>
      <c r="XDW2233"/>
      <c r="XDX2233"/>
      <c r="XDY2233"/>
      <c r="XDZ2233"/>
      <c r="XEA2233"/>
      <c r="XEB2233"/>
      <c r="XEC2233"/>
      <c r="XED2233"/>
      <c r="XEE2233"/>
      <c r="XEF2233"/>
      <c r="XEG2233"/>
      <c r="XEH2233"/>
      <c r="XEI2233"/>
      <c r="XEJ2233"/>
      <c r="XEK2233"/>
      <c r="XEL2233"/>
      <c r="XEM2233"/>
      <c r="XEN2233"/>
      <c r="XEO2233"/>
      <c r="XEP2233"/>
      <c r="XEQ2233"/>
      <c r="XER2233"/>
      <c r="XES2233"/>
      <c r="XET2233"/>
      <c r="XEU2233"/>
      <c r="XEV2233"/>
      <c r="XEW2233"/>
      <c r="XEX2233"/>
      <c r="XEY2233"/>
      <c r="XEZ2233"/>
      <c r="XFA2233"/>
      <c r="XFB2233"/>
      <c r="XFC2233"/>
    </row>
    <row r="2234" spans="1:20 16329:16383" s="38" customFormat="1" ht="29.1" customHeight="1" outlineLevel="5" x14ac:dyDescent="0.25">
      <c r="A2234" s="49" t="s">
        <v>4017</v>
      </c>
      <c r="B2234" s="50"/>
      <c r="C2234" s="50"/>
      <c r="D2234" s="3" t="s">
        <v>4018</v>
      </c>
      <c r="E2234" s="3"/>
      <c r="F2234" s="51"/>
      <c r="G2234" s="50" t="s">
        <v>102</v>
      </c>
      <c r="H2234" s="52">
        <f>1</f>
        <v>1</v>
      </c>
      <c r="I2234" s="36"/>
      <c r="J2234" s="52">
        <v>1</v>
      </c>
      <c r="K2234" s="53">
        <f>0</f>
        <v>0</v>
      </c>
      <c r="L2234" s="53">
        <f>0</f>
        <v>0</v>
      </c>
      <c r="M2234" s="53">
        <f>0</f>
        <v>0</v>
      </c>
      <c r="N2234" s="54">
        <f>SUM(K2234:M2234)</f>
        <v>0</v>
      </c>
      <c r="O2234" s="54">
        <f>ROUND((H2234*K2234),2)</f>
        <v>0</v>
      </c>
      <c r="P2234" s="54">
        <f>ROUND((H2234*L2234),2)</f>
        <v>0</v>
      </c>
      <c r="Q2234" s="54">
        <f>ROUND((H2234*M2234),2)</f>
        <v>0</v>
      </c>
      <c r="R2234" s="54">
        <f>ROUND((H2234*N2234),2)</f>
        <v>0</v>
      </c>
      <c r="S2234" s="54"/>
      <c r="T2234" s="36"/>
      <c r="XDA2234"/>
      <c r="XDB2234"/>
      <c r="XDC2234"/>
      <c r="XDD2234"/>
      <c r="XDE2234"/>
      <c r="XDF2234"/>
      <c r="XDG2234"/>
      <c r="XDH2234"/>
      <c r="XDI2234"/>
      <c r="XDJ2234"/>
      <c r="XDK2234"/>
      <c r="XDL2234"/>
      <c r="XDM2234"/>
      <c r="XDN2234"/>
      <c r="XDO2234"/>
      <c r="XDP2234"/>
      <c r="XDQ2234"/>
      <c r="XDR2234"/>
      <c r="XDS2234"/>
      <c r="XDT2234"/>
      <c r="XDU2234"/>
      <c r="XDV2234"/>
      <c r="XDW2234"/>
      <c r="XDX2234"/>
      <c r="XDY2234"/>
      <c r="XDZ2234"/>
      <c r="XEA2234"/>
      <c r="XEB2234"/>
      <c r="XEC2234"/>
      <c r="XED2234"/>
      <c r="XEE2234"/>
      <c r="XEF2234"/>
      <c r="XEG2234"/>
      <c r="XEH2234"/>
      <c r="XEI2234"/>
      <c r="XEJ2234"/>
      <c r="XEK2234"/>
      <c r="XEL2234"/>
      <c r="XEM2234"/>
      <c r="XEN2234"/>
      <c r="XEO2234"/>
      <c r="XEP2234"/>
      <c r="XEQ2234"/>
      <c r="XER2234"/>
      <c r="XES2234"/>
      <c r="XET2234"/>
      <c r="XEU2234"/>
      <c r="XEV2234"/>
      <c r="XEW2234"/>
      <c r="XEX2234"/>
      <c r="XEY2234"/>
      <c r="XEZ2234"/>
      <c r="XFA2234"/>
      <c r="XFB2234"/>
      <c r="XFC2234"/>
    </row>
    <row r="2235" spans="1:20 16329:16383" s="38" customFormat="1" ht="29.1" customHeight="1" outlineLevel="5" x14ac:dyDescent="0.25">
      <c r="A2235" s="49" t="s">
        <v>4019</v>
      </c>
      <c r="B2235" s="50"/>
      <c r="C2235" s="50"/>
      <c r="D2235" s="3" t="s">
        <v>4020</v>
      </c>
      <c r="E2235" s="3"/>
      <c r="F2235" s="51"/>
      <c r="G2235" s="50" t="s">
        <v>102</v>
      </c>
      <c r="H2235" s="52">
        <f>1</f>
        <v>1</v>
      </c>
      <c r="I2235" s="36"/>
      <c r="J2235" s="52">
        <v>1</v>
      </c>
      <c r="K2235" s="53">
        <f>0</f>
        <v>0</v>
      </c>
      <c r="L2235" s="53">
        <f>0</f>
        <v>0</v>
      </c>
      <c r="M2235" s="53">
        <f>0</f>
        <v>0</v>
      </c>
      <c r="N2235" s="54">
        <f>SUM(K2235:M2235)</f>
        <v>0</v>
      </c>
      <c r="O2235" s="54">
        <f>ROUND((H2235*K2235),2)</f>
        <v>0</v>
      </c>
      <c r="P2235" s="54">
        <f>ROUND((H2235*L2235),2)</f>
        <v>0</v>
      </c>
      <c r="Q2235" s="54">
        <f>ROUND((H2235*M2235),2)</f>
        <v>0</v>
      </c>
      <c r="R2235" s="54">
        <f>ROUND((H2235*N2235),2)</f>
        <v>0</v>
      </c>
      <c r="S2235" s="54"/>
      <c r="T2235" s="36"/>
      <c r="XDA2235"/>
      <c r="XDB2235"/>
      <c r="XDC2235"/>
      <c r="XDD2235"/>
      <c r="XDE2235"/>
      <c r="XDF2235"/>
      <c r="XDG2235"/>
      <c r="XDH2235"/>
      <c r="XDI2235"/>
      <c r="XDJ2235"/>
      <c r="XDK2235"/>
      <c r="XDL2235"/>
      <c r="XDM2235"/>
      <c r="XDN2235"/>
      <c r="XDO2235"/>
      <c r="XDP2235"/>
      <c r="XDQ2235"/>
      <c r="XDR2235"/>
      <c r="XDS2235"/>
      <c r="XDT2235"/>
      <c r="XDU2235"/>
      <c r="XDV2235"/>
      <c r="XDW2235"/>
      <c r="XDX2235"/>
      <c r="XDY2235"/>
      <c r="XDZ2235"/>
      <c r="XEA2235"/>
      <c r="XEB2235"/>
      <c r="XEC2235"/>
      <c r="XED2235"/>
      <c r="XEE2235"/>
      <c r="XEF2235"/>
      <c r="XEG2235"/>
      <c r="XEH2235"/>
      <c r="XEI2235"/>
      <c r="XEJ2235"/>
      <c r="XEK2235"/>
      <c r="XEL2235"/>
      <c r="XEM2235"/>
      <c r="XEN2235"/>
      <c r="XEO2235"/>
      <c r="XEP2235"/>
      <c r="XEQ2235"/>
      <c r="XER2235"/>
      <c r="XES2235"/>
      <c r="XET2235"/>
      <c r="XEU2235"/>
      <c r="XEV2235"/>
      <c r="XEW2235"/>
      <c r="XEX2235"/>
      <c r="XEY2235"/>
      <c r="XEZ2235"/>
      <c r="XFA2235"/>
      <c r="XFB2235"/>
      <c r="XFC2235"/>
    </row>
    <row r="2236" spans="1:20 16329:16383" s="38" customFormat="1" ht="29.1" customHeight="1" outlineLevel="4" x14ac:dyDescent="0.25">
      <c r="A2236" s="60" t="s">
        <v>4021</v>
      </c>
      <c r="B2236" s="61" t="s">
        <v>4022</v>
      </c>
      <c r="C2236" s="61"/>
      <c r="D2236" s="1" t="s">
        <v>4023</v>
      </c>
      <c r="E2236" s="1"/>
      <c r="F2236" s="62" t="s">
        <v>4010</v>
      </c>
      <c r="G2236" s="61"/>
      <c r="H2236" s="63"/>
      <c r="I2236" s="36"/>
      <c r="J2236" s="63"/>
      <c r="K2236" s="64"/>
      <c r="L2236" s="64"/>
      <c r="M2236" s="64"/>
      <c r="N2236" s="64"/>
      <c r="O2236" s="64">
        <f>SUM(O2237:O2241)</f>
        <v>0</v>
      </c>
      <c r="P2236" s="64">
        <f>SUM(P2237:P2241)</f>
        <v>0</v>
      </c>
      <c r="Q2236" s="64">
        <f>SUM(Q2237:Q2241)</f>
        <v>0</v>
      </c>
      <c r="R2236" s="64">
        <f>SUM(R2237:R2241)</f>
        <v>0</v>
      </c>
      <c r="S2236" s="64"/>
      <c r="T2236" s="36"/>
      <c r="XDA2236"/>
      <c r="XDB2236"/>
      <c r="XDC2236"/>
      <c r="XDD2236"/>
      <c r="XDE2236"/>
      <c r="XDF2236"/>
      <c r="XDG2236"/>
      <c r="XDH2236"/>
      <c r="XDI2236"/>
      <c r="XDJ2236"/>
      <c r="XDK2236"/>
      <c r="XDL2236"/>
      <c r="XDM2236"/>
      <c r="XDN2236"/>
      <c r="XDO2236"/>
      <c r="XDP2236"/>
      <c r="XDQ2236"/>
      <c r="XDR2236"/>
      <c r="XDS2236"/>
      <c r="XDT2236"/>
      <c r="XDU2236"/>
      <c r="XDV2236"/>
      <c r="XDW2236"/>
      <c r="XDX2236"/>
      <c r="XDY2236"/>
      <c r="XDZ2236"/>
      <c r="XEA2236"/>
      <c r="XEB2236"/>
      <c r="XEC2236"/>
      <c r="XED2236"/>
      <c r="XEE2236"/>
      <c r="XEF2236"/>
      <c r="XEG2236"/>
      <c r="XEH2236"/>
      <c r="XEI2236"/>
      <c r="XEJ2236"/>
      <c r="XEK2236"/>
      <c r="XEL2236"/>
      <c r="XEM2236"/>
      <c r="XEN2236"/>
      <c r="XEO2236"/>
      <c r="XEP2236"/>
      <c r="XEQ2236"/>
      <c r="XER2236"/>
      <c r="XES2236"/>
      <c r="XET2236"/>
      <c r="XEU2236"/>
      <c r="XEV2236"/>
      <c r="XEW2236"/>
      <c r="XEX2236"/>
      <c r="XEY2236"/>
      <c r="XEZ2236"/>
      <c r="XFA2236"/>
      <c r="XFB2236"/>
      <c r="XFC2236"/>
    </row>
    <row r="2237" spans="1:20 16329:16383" s="38" customFormat="1" ht="29.1" customHeight="1" outlineLevel="5" x14ac:dyDescent="0.25">
      <c r="A2237" s="49" t="s">
        <v>4024</v>
      </c>
      <c r="B2237" s="50"/>
      <c r="C2237" s="50"/>
      <c r="D2237" s="3" t="s">
        <v>4012</v>
      </c>
      <c r="E2237" s="3"/>
      <c r="F2237" s="51"/>
      <c r="G2237" s="50" t="s">
        <v>102</v>
      </c>
      <c r="H2237" s="52">
        <f>1</f>
        <v>1</v>
      </c>
      <c r="I2237" s="36"/>
      <c r="J2237" s="52">
        <v>1</v>
      </c>
      <c r="K2237" s="53">
        <f>0</f>
        <v>0</v>
      </c>
      <c r="L2237" s="53">
        <f>0</f>
        <v>0</v>
      </c>
      <c r="M2237" s="53">
        <f>0</f>
        <v>0</v>
      </c>
      <c r="N2237" s="54">
        <f>SUM(K2237:M2237)</f>
        <v>0</v>
      </c>
      <c r="O2237" s="54">
        <f>ROUND((H2237*K2237),2)</f>
        <v>0</v>
      </c>
      <c r="P2237" s="54">
        <f>ROUND((H2237*L2237),2)</f>
        <v>0</v>
      </c>
      <c r="Q2237" s="54">
        <f>ROUND((H2237*M2237),2)</f>
        <v>0</v>
      </c>
      <c r="R2237" s="54">
        <f>ROUND((H2237*N2237),2)</f>
        <v>0</v>
      </c>
      <c r="S2237" s="54"/>
      <c r="T2237" s="36"/>
      <c r="XDA2237"/>
      <c r="XDB2237"/>
      <c r="XDC2237"/>
      <c r="XDD2237"/>
      <c r="XDE2237"/>
      <c r="XDF2237"/>
      <c r="XDG2237"/>
      <c r="XDH2237"/>
      <c r="XDI2237"/>
      <c r="XDJ2237"/>
      <c r="XDK2237"/>
      <c r="XDL2237"/>
      <c r="XDM2237"/>
      <c r="XDN2237"/>
      <c r="XDO2237"/>
      <c r="XDP2237"/>
      <c r="XDQ2237"/>
      <c r="XDR2237"/>
      <c r="XDS2237"/>
      <c r="XDT2237"/>
      <c r="XDU2237"/>
      <c r="XDV2237"/>
      <c r="XDW2237"/>
      <c r="XDX2237"/>
      <c r="XDY2237"/>
      <c r="XDZ2237"/>
      <c r="XEA2237"/>
      <c r="XEB2237"/>
      <c r="XEC2237"/>
      <c r="XED2237"/>
      <c r="XEE2237"/>
      <c r="XEF2237"/>
      <c r="XEG2237"/>
      <c r="XEH2237"/>
      <c r="XEI2237"/>
      <c r="XEJ2237"/>
      <c r="XEK2237"/>
      <c r="XEL2237"/>
      <c r="XEM2237"/>
      <c r="XEN2237"/>
      <c r="XEO2237"/>
      <c r="XEP2237"/>
      <c r="XEQ2237"/>
      <c r="XER2237"/>
      <c r="XES2237"/>
      <c r="XET2237"/>
      <c r="XEU2237"/>
      <c r="XEV2237"/>
      <c r="XEW2237"/>
      <c r="XEX2237"/>
      <c r="XEY2237"/>
      <c r="XEZ2237"/>
      <c r="XFA2237"/>
      <c r="XFB2237"/>
      <c r="XFC2237"/>
    </row>
    <row r="2238" spans="1:20 16329:16383" s="38" customFormat="1" ht="29.1" customHeight="1" outlineLevel="5" x14ac:dyDescent="0.25">
      <c r="A2238" s="49" t="s">
        <v>4025</v>
      </c>
      <c r="B2238" s="50"/>
      <c r="C2238" s="50"/>
      <c r="D2238" s="3" t="s">
        <v>4014</v>
      </c>
      <c r="E2238" s="3"/>
      <c r="F2238" s="51"/>
      <c r="G2238" s="50" t="s">
        <v>102</v>
      </c>
      <c r="H2238" s="52">
        <f>1</f>
        <v>1</v>
      </c>
      <c r="I2238" s="36"/>
      <c r="J2238" s="52">
        <v>1</v>
      </c>
      <c r="K2238" s="53">
        <f>0</f>
        <v>0</v>
      </c>
      <c r="L2238" s="53">
        <f>0</f>
        <v>0</v>
      </c>
      <c r="M2238" s="53">
        <f>0</f>
        <v>0</v>
      </c>
      <c r="N2238" s="54">
        <f>SUM(K2238:M2238)</f>
        <v>0</v>
      </c>
      <c r="O2238" s="54">
        <f>ROUND((H2238*K2238),2)</f>
        <v>0</v>
      </c>
      <c r="P2238" s="54">
        <f>ROUND((H2238*L2238),2)</f>
        <v>0</v>
      </c>
      <c r="Q2238" s="54">
        <f>ROUND((H2238*M2238),2)</f>
        <v>0</v>
      </c>
      <c r="R2238" s="54">
        <f>ROUND((H2238*N2238),2)</f>
        <v>0</v>
      </c>
      <c r="S2238" s="54"/>
      <c r="T2238" s="36"/>
      <c r="XDA2238"/>
      <c r="XDB2238"/>
      <c r="XDC2238"/>
      <c r="XDD2238"/>
      <c r="XDE2238"/>
      <c r="XDF2238"/>
      <c r="XDG2238"/>
      <c r="XDH2238"/>
      <c r="XDI2238"/>
      <c r="XDJ2238"/>
      <c r="XDK2238"/>
      <c r="XDL2238"/>
      <c r="XDM2238"/>
      <c r="XDN2238"/>
      <c r="XDO2238"/>
      <c r="XDP2238"/>
      <c r="XDQ2238"/>
      <c r="XDR2238"/>
      <c r="XDS2238"/>
      <c r="XDT2238"/>
      <c r="XDU2238"/>
      <c r="XDV2238"/>
      <c r="XDW2238"/>
      <c r="XDX2238"/>
      <c r="XDY2238"/>
      <c r="XDZ2238"/>
      <c r="XEA2238"/>
      <c r="XEB2238"/>
      <c r="XEC2238"/>
      <c r="XED2238"/>
      <c r="XEE2238"/>
      <c r="XEF2238"/>
      <c r="XEG2238"/>
      <c r="XEH2238"/>
      <c r="XEI2238"/>
      <c r="XEJ2238"/>
      <c r="XEK2238"/>
      <c r="XEL2238"/>
      <c r="XEM2238"/>
      <c r="XEN2238"/>
      <c r="XEO2238"/>
      <c r="XEP2238"/>
      <c r="XEQ2238"/>
      <c r="XER2238"/>
      <c r="XES2238"/>
      <c r="XET2238"/>
      <c r="XEU2238"/>
      <c r="XEV2238"/>
      <c r="XEW2238"/>
      <c r="XEX2238"/>
      <c r="XEY2238"/>
      <c r="XEZ2238"/>
      <c r="XFA2238"/>
      <c r="XFB2238"/>
      <c r="XFC2238"/>
    </row>
    <row r="2239" spans="1:20 16329:16383" s="38" customFormat="1" ht="29.1" customHeight="1" outlineLevel="5" x14ac:dyDescent="0.25">
      <c r="A2239" s="49" t="s">
        <v>4026</v>
      </c>
      <c r="B2239" s="50"/>
      <c r="C2239" s="50"/>
      <c r="D2239" s="3" t="s">
        <v>4016</v>
      </c>
      <c r="E2239" s="3"/>
      <c r="F2239" s="51"/>
      <c r="G2239" s="50" t="s">
        <v>102</v>
      </c>
      <c r="H2239" s="52">
        <f>1</f>
        <v>1</v>
      </c>
      <c r="I2239" s="36"/>
      <c r="J2239" s="52">
        <v>1</v>
      </c>
      <c r="K2239" s="53">
        <f>0</f>
        <v>0</v>
      </c>
      <c r="L2239" s="53">
        <f>0</f>
        <v>0</v>
      </c>
      <c r="M2239" s="53">
        <f>0</f>
        <v>0</v>
      </c>
      <c r="N2239" s="54">
        <f>SUM(K2239:M2239)</f>
        <v>0</v>
      </c>
      <c r="O2239" s="54">
        <f>ROUND((H2239*K2239),2)</f>
        <v>0</v>
      </c>
      <c r="P2239" s="54">
        <f>ROUND((H2239*L2239),2)</f>
        <v>0</v>
      </c>
      <c r="Q2239" s="54">
        <f>ROUND((H2239*M2239),2)</f>
        <v>0</v>
      </c>
      <c r="R2239" s="54">
        <f>ROUND((H2239*N2239),2)</f>
        <v>0</v>
      </c>
      <c r="S2239" s="54"/>
      <c r="T2239" s="36"/>
      <c r="XDA2239"/>
      <c r="XDB2239"/>
      <c r="XDC2239"/>
      <c r="XDD2239"/>
      <c r="XDE2239"/>
      <c r="XDF2239"/>
      <c r="XDG2239"/>
      <c r="XDH2239"/>
      <c r="XDI2239"/>
      <c r="XDJ2239"/>
      <c r="XDK2239"/>
      <c r="XDL2239"/>
      <c r="XDM2239"/>
      <c r="XDN2239"/>
      <c r="XDO2239"/>
      <c r="XDP2239"/>
      <c r="XDQ2239"/>
      <c r="XDR2239"/>
      <c r="XDS2239"/>
      <c r="XDT2239"/>
      <c r="XDU2239"/>
      <c r="XDV2239"/>
      <c r="XDW2239"/>
      <c r="XDX2239"/>
      <c r="XDY2239"/>
      <c r="XDZ2239"/>
      <c r="XEA2239"/>
      <c r="XEB2239"/>
      <c r="XEC2239"/>
      <c r="XED2239"/>
      <c r="XEE2239"/>
      <c r="XEF2239"/>
      <c r="XEG2239"/>
      <c r="XEH2239"/>
      <c r="XEI2239"/>
      <c r="XEJ2239"/>
      <c r="XEK2239"/>
      <c r="XEL2239"/>
      <c r="XEM2239"/>
      <c r="XEN2239"/>
      <c r="XEO2239"/>
      <c r="XEP2239"/>
      <c r="XEQ2239"/>
      <c r="XER2239"/>
      <c r="XES2239"/>
      <c r="XET2239"/>
      <c r="XEU2239"/>
      <c r="XEV2239"/>
      <c r="XEW2239"/>
      <c r="XEX2239"/>
      <c r="XEY2239"/>
      <c r="XEZ2239"/>
      <c r="XFA2239"/>
      <c r="XFB2239"/>
      <c r="XFC2239"/>
    </row>
    <row r="2240" spans="1:20 16329:16383" s="38" customFormat="1" ht="29.1" customHeight="1" outlineLevel="5" x14ac:dyDescent="0.25">
      <c r="A2240" s="49" t="s">
        <v>4027</v>
      </c>
      <c r="B2240" s="50"/>
      <c r="C2240" s="50"/>
      <c r="D2240" s="3" t="s">
        <v>4018</v>
      </c>
      <c r="E2240" s="3"/>
      <c r="F2240" s="51"/>
      <c r="G2240" s="50" t="s">
        <v>102</v>
      </c>
      <c r="H2240" s="52">
        <f>1</f>
        <v>1</v>
      </c>
      <c r="I2240" s="36"/>
      <c r="J2240" s="52">
        <v>1</v>
      </c>
      <c r="K2240" s="53">
        <f>0</f>
        <v>0</v>
      </c>
      <c r="L2240" s="53">
        <f>0</f>
        <v>0</v>
      </c>
      <c r="M2240" s="53">
        <f>0</f>
        <v>0</v>
      </c>
      <c r="N2240" s="54">
        <f>SUM(K2240:M2240)</f>
        <v>0</v>
      </c>
      <c r="O2240" s="54">
        <f>ROUND((H2240*K2240),2)</f>
        <v>0</v>
      </c>
      <c r="P2240" s="54">
        <f>ROUND((H2240*L2240),2)</f>
        <v>0</v>
      </c>
      <c r="Q2240" s="54">
        <f>ROUND((H2240*M2240),2)</f>
        <v>0</v>
      </c>
      <c r="R2240" s="54">
        <f>ROUND((H2240*N2240),2)</f>
        <v>0</v>
      </c>
      <c r="S2240" s="54"/>
      <c r="T2240" s="36"/>
      <c r="XDA2240"/>
      <c r="XDB2240"/>
      <c r="XDC2240"/>
      <c r="XDD2240"/>
      <c r="XDE2240"/>
      <c r="XDF2240"/>
      <c r="XDG2240"/>
      <c r="XDH2240"/>
      <c r="XDI2240"/>
      <c r="XDJ2240"/>
      <c r="XDK2240"/>
      <c r="XDL2240"/>
      <c r="XDM2240"/>
      <c r="XDN2240"/>
      <c r="XDO2240"/>
      <c r="XDP2240"/>
      <c r="XDQ2240"/>
      <c r="XDR2240"/>
      <c r="XDS2240"/>
      <c r="XDT2240"/>
      <c r="XDU2240"/>
      <c r="XDV2240"/>
      <c r="XDW2240"/>
      <c r="XDX2240"/>
      <c r="XDY2240"/>
      <c r="XDZ2240"/>
      <c r="XEA2240"/>
      <c r="XEB2240"/>
      <c r="XEC2240"/>
      <c r="XED2240"/>
      <c r="XEE2240"/>
      <c r="XEF2240"/>
      <c r="XEG2240"/>
      <c r="XEH2240"/>
      <c r="XEI2240"/>
      <c r="XEJ2240"/>
      <c r="XEK2240"/>
      <c r="XEL2240"/>
      <c r="XEM2240"/>
      <c r="XEN2240"/>
      <c r="XEO2240"/>
      <c r="XEP2240"/>
      <c r="XEQ2240"/>
      <c r="XER2240"/>
      <c r="XES2240"/>
      <c r="XET2240"/>
      <c r="XEU2240"/>
      <c r="XEV2240"/>
      <c r="XEW2240"/>
      <c r="XEX2240"/>
      <c r="XEY2240"/>
      <c r="XEZ2240"/>
      <c r="XFA2240"/>
      <c r="XFB2240"/>
      <c r="XFC2240"/>
    </row>
    <row r="2241" spans="1:20 16329:16383" s="38" customFormat="1" ht="29.1" customHeight="1" outlineLevel="5" x14ac:dyDescent="0.25">
      <c r="A2241" s="49" t="s">
        <v>4028</v>
      </c>
      <c r="B2241" s="50"/>
      <c r="C2241" s="50"/>
      <c r="D2241" s="3" t="s">
        <v>4020</v>
      </c>
      <c r="E2241" s="3"/>
      <c r="F2241" s="51"/>
      <c r="G2241" s="50" t="s">
        <v>102</v>
      </c>
      <c r="H2241" s="52">
        <f>1</f>
        <v>1</v>
      </c>
      <c r="I2241" s="36"/>
      <c r="J2241" s="52">
        <v>1</v>
      </c>
      <c r="K2241" s="53">
        <f>0</f>
        <v>0</v>
      </c>
      <c r="L2241" s="53">
        <f>0</f>
        <v>0</v>
      </c>
      <c r="M2241" s="53">
        <f>0</f>
        <v>0</v>
      </c>
      <c r="N2241" s="54">
        <f>SUM(K2241:M2241)</f>
        <v>0</v>
      </c>
      <c r="O2241" s="54">
        <f>ROUND((H2241*K2241),2)</f>
        <v>0</v>
      </c>
      <c r="P2241" s="54">
        <f>ROUND((H2241*L2241),2)</f>
        <v>0</v>
      </c>
      <c r="Q2241" s="54">
        <f>ROUND((H2241*M2241),2)</f>
        <v>0</v>
      </c>
      <c r="R2241" s="54">
        <f>ROUND((H2241*N2241),2)</f>
        <v>0</v>
      </c>
      <c r="S2241" s="54"/>
      <c r="T2241" s="36"/>
      <c r="XDA2241"/>
      <c r="XDB2241"/>
      <c r="XDC2241"/>
      <c r="XDD2241"/>
      <c r="XDE2241"/>
      <c r="XDF2241"/>
      <c r="XDG2241"/>
      <c r="XDH2241"/>
      <c r="XDI2241"/>
      <c r="XDJ2241"/>
      <c r="XDK2241"/>
      <c r="XDL2241"/>
      <c r="XDM2241"/>
      <c r="XDN2241"/>
      <c r="XDO2241"/>
      <c r="XDP2241"/>
      <c r="XDQ2241"/>
      <c r="XDR2241"/>
      <c r="XDS2241"/>
      <c r="XDT2241"/>
      <c r="XDU2241"/>
      <c r="XDV2241"/>
      <c r="XDW2241"/>
      <c r="XDX2241"/>
      <c r="XDY2241"/>
      <c r="XDZ2241"/>
      <c r="XEA2241"/>
      <c r="XEB2241"/>
      <c r="XEC2241"/>
      <c r="XED2241"/>
      <c r="XEE2241"/>
      <c r="XEF2241"/>
      <c r="XEG2241"/>
      <c r="XEH2241"/>
      <c r="XEI2241"/>
      <c r="XEJ2241"/>
      <c r="XEK2241"/>
      <c r="XEL2241"/>
      <c r="XEM2241"/>
      <c r="XEN2241"/>
      <c r="XEO2241"/>
      <c r="XEP2241"/>
      <c r="XEQ2241"/>
      <c r="XER2241"/>
      <c r="XES2241"/>
      <c r="XET2241"/>
      <c r="XEU2241"/>
      <c r="XEV2241"/>
      <c r="XEW2241"/>
      <c r="XEX2241"/>
      <c r="XEY2241"/>
      <c r="XEZ2241"/>
      <c r="XFA2241"/>
      <c r="XFB2241"/>
      <c r="XFC2241"/>
    </row>
    <row r="2242" spans="1:20 16329:16383" s="38" customFormat="1" ht="29.1" customHeight="1" outlineLevel="4" x14ac:dyDescent="0.25">
      <c r="A2242" s="60" t="s">
        <v>4029</v>
      </c>
      <c r="B2242" s="61" t="s">
        <v>4030</v>
      </c>
      <c r="C2242" s="61"/>
      <c r="D2242" s="1" t="s">
        <v>4031</v>
      </c>
      <c r="E2242" s="1"/>
      <c r="F2242" s="62" t="s">
        <v>4032</v>
      </c>
      <c r="G2242" s="61"/>
      <c r="H2242" s="63"/>
      <c r="I2242" s="36"/>
      <c r="J2242" s="63"/>
      <c r="K2242" s="64"/>
      <c r="L2242" s="64"/>
      <c r="M2242" s="64"/>
      <c r="N2242" s="64"/>
      <c r="O2242" s="64">
        <f>SUM(O2243:O2246)</f>
        <v>0</v>
      </c>
      <c r="P2242" s="64">
        <f>SUM(P2243:P2246)</f>
        <v>0</v>
      </c>
      <c r="Q2242" s="64">
        <f>SUM(Q2243:Q2246)</f>
        <v>0</v>
      </c>
      <c r="R2242" s="64">
        <f>SUM(R2243:R2246)</f>
        <v>0</v>
      </c>
      <c r="S2242" s="64"/>
      <c r="T2242" s="36"/>
      <c r="XDA2242"/>
      <c r="XDB2242"/>
      <c r="XDC2242"/>
      <c r="XDD2242"/>
      <c r="XDE2242"/>
      <c r="XDF2242"/>
      <c r="XDG2242"/>
      <c r="XDH2242"/>
      <c r="XDI2242"/>
      <c r="XDJ2242"/>
      <c r="XDK2242"/>
      <c r="XDL2242"/>
      <c r="XDM2242"/>
      <c r="XDN2242"/>
      <c r="XDO2242"/>
      <c r="XDP2242"/>
      <c r="XDQ2242"/>
      <c r="XDR2242"/>
      <c r="XDS2242"/>
      <c r="XDT2242"/>
      <c r="XDU2242"/>
      <c r="XDV2242"/>
      <c r="XDW2242"/>
      <c r="XDX2242"/>
      <c r="XDY2242"/>
      <c r="XDZ2242"/>
      <c r="XEA2242"/>
      <c r="XEB2242"/>
      <c r="XEC2242"/>
      <c r="XED2242"/>
      <c r="XEE2242"/>
      <c r="XEF2242"/>
      <c r="XEG2242"/>
      <c r="XEH2242"/>
      <c r="XEI2242"/>
      <c r="XEJ2242"/>
      <c r="XEK2242"/>
      <c r="XEL2242"/>
      <c r="XEM2242"/>
      <c r="XEN2242"/>
      <c r="XEO2242"/>
      <c r="XEP2242"/>
      <c r="XEQ2242"/>
      <c r="XER2242"/>
      <c r="XES2242"/>
      <c r="XET2242"/>
      <c r="XEU2242"/>
      <c r="XEV2242"/>
      <c r="XEW2242"/>
      <c r="XEX2242"/>
      <c r="XEY2242"/>
      <c r="XEZ2242"/>
      <c r="XFA2242"/>
      <c r="XFB2242"/>
      <c r="XFC2242"/>
    </row>
    <row r="2243" spans="1:20 16329:16383" s="38" customFormat="1" ht="29.1" customHeight="1" outlineLevel="5" x14ac:dyDescent="0.25">
      <c r="A2243" s="49" t="s">
        <v>4033</v>
      </c>
      <c r="B2243" s="50"/>
      <c r="C2243" s="50"/>
      <c r="D2243" s="3" t="s">
        <v>4034</v>
      </c>
      <c r="E2243" s="3"/>
      <c r="F2243" s="51"/>
      <c r="G2243" s="50" t="s">
        <v>102</v>
      </c>
      <c r="H2243" s="52">
        <f>1</f>
        <v>1</v>
      </c>
      <c r="I2243" s="36"/>
      <c r="J2243" s="52">
        <v>1</v>
      </c>
      <c r="K2243" s="53">
        <f>0</f>
        <v>0</v>
      </c>
      <c r="L2243" s="53">
        <f>0</f>
        <v>0</v>
      </c>
      <c r="M2243" s="53">
        <f>0</f>
        <v>0</v>
      </c>
      <c r="N2243" s="54">
        <f>SUM(K2243:M2243)</f>
        <v>0</v>
      </c>
      <c r="O2243" s="54">
        <f>ROUND((H2243*K2243),2)</f>
        <v>0</v>
      </c>
      <c r="P2243" s="54">
        <f>ROUND((H2243*L2243),2)</f>
        <v>0</v>
      </c>
      <c r="Q2243" s="54">
        <f>ROUND((H2243*M2243),2)</f>
        <v>0</v>
      </c>
      <c r="R2243" s="54">
        <f>ROUND((H2243*N2243),2)</f>
        <v>0</v>
      </c>
      <c r="S2243" s="54"/>
      <c r="T2243" s="36"/>
      <c r="XDA2243"/>
      <c r="XDB2243"/>
      <c r="XDC2243"/>
      <c r="XDD2243"/>
      <c r="XDE2243"/>
      <c r="XDF2243"/>
      <c r="XDG2243"/>
      <c r="XDH2243"/>
      <c r="XDI2243"/>
      <c r="XDJ2243"/>
      <c r="XDK2243"/>
      <c r="XDL2243"/>
      <c r="XDM2243"/>
      <c r="XDN2243"/>
      <c r="XDO2243"/>
      <c r="XDP2243"/>
      <c r="XDQ2243"/>
      <c r="XDR2243"/>
      <c r="XDS2243"/>
      <c r="XDT2243"/>
      <c r="XDU2243"/>
      <c r="XDV2243"/>
      <c r="XDW2243"/>
      <c r="XDX2243"/>
      <c r="XDY2243"/>
      <c r="XDZ2243"/>
      <c r="XEA2243"/>
      <c r="XEB2243"/>
      <c r="XEC2243"/>
      <c r="XED2243"/>
      <c r="XEE2243"/>
      <c r="XEF2243"/>
      <c r="XEG2243"/>
      <c r="XEH2243"/>
      <c r="XEI2243"/>
      <c r="XEJ2243"/>
      <c r="XEK2243"/>
      <c r="XEL2243"/>
      <c r="XEM2243"/>
      <c r="XEN2243"/>
      <c r="XEO2243"/>
      <c r="XEP2243"/>
      <c r="XEQ2243"/>
      <c r="XER2243"/>
      <c r="XES2243"/>
      <c r="XET2243"/>
      <c r="XEU2243"/>
      <c r="XEV2243"/>
      <c r="XEW2243"/>
      <c r="XEX2243"/>
      <c r="XEY2243"/>
      <c r="XEZ2243"/>
      <c r="XFA2243"/>
      <c r="XFB2243"/>
      <c r="XFC2243"/>
    </row>
    <row r="2244" spans="1:20 16329:16383" s="38" customFormat="1" ht="29.1" customHeight="1" outlineLevel="5" x14ac:dyDescent="0.25">
      <c r="A2244" s="49" t="s">
        <v>4035</v>
      </c>
      <c r="B2244" s="50"/>
      <c r="C2244" s="50"/>
      <c r="D2244" s="3" t="s">
        <v>4036</v>
      </c>
      <c r="E2244" s="3"/>
      <c r="F2244" s="51"/>
      <c r="G2244" s="50" t="s">
        <v>102</v>
      </c>
      <c r="H2244" s="52">
        <f>1</f>
        <v>1</v>
      </c>
      <c r="I2244" s="36"/>
      <c r="J2244" s="52">
        <v>1</v>
      </c>
      <c r="K2244" s="53">
        <f>0</f>
        <v>0</v>
      </c>
      <c r="L2244" s="53">
        <f>0</f>
        <v>0</v>
      </c>
      <c r="M2244" s="53">
        <f>0</f>
        <v>0</v>
      </c>
      <c r="N2244" s="54">
        <f>SUM(K2244:M2244)</f>
        <v>0</v>
      </c>
      <c r="O2244" s="54">
        <f>ROUND((H2244*K2244),2)</f>
        <v>0</v>
      </c>
      <c r="P2244" s="54">
        <f>ROUND((H2244*L2244),2)</f>
        <v>0</v>
      </c>
      <c r="Q2244" s="54">
        <f>ROUND((H2244*M2244),2)</f>
        <v>0</v>
      </c>
      <c r="R2244" s="54">
        <f>ROUND((H2244*N2244),2)</f>
        <v>0</v>
      </c>
      <c r="S2244" s="54"/>
      <c r="T2244" s="36"/>
      <c r="XDA2244"/>
      <c r="XDB2244"/>
      <c r="XDC2244"/>
      <c r="XDD2244"/>
      <c r="XDE2244"/>
      <c r="XDF2244"/>
      <c r="XDG2244"/>
      <c r="XDH2244"/>
      <c r="XDI2244"/>
      <c r="XDJ2244"/>
      <c r="XDK2244"/>
      <c r="XDL2244"/>
      <c r="XDM2244"/>
      <c r="XDN2244"/>
      <c r="XDO2244"/>
      <c r="XDP2244"/>
      <c r="XDQ2244"/>
      <c r="XDR2244"/>
      <c r="XDS2244"/>
      <c r="XDT2244"/>
      <c r="XDU2244"/>
      <c r="XDV2244"/>
      <c r="XDW2244"/>
      <c r="XDX2244"/>
      <c r="XDY2244"/>
      <c r="XDZ2244"/>
      <c r="XEA2244"/>
      <c r="XEB2244"/>
      <c r="XEC2244"/>
      <c r="XED2244"/>
      <c r="XEE2244"/>
      <c r="XEF2244"/>
      <c r="XEG2244"/>
      <c r="XEH2244"/>
      <c r="XEI2244"/>
      <c r="XEJ2244"/>
      <c r="XEK2244"/>
      <c r="XEL2244"/>
      <c r="XEM2244"/>
      <c r="XEN2244"/>
      <c r="XEO2244"/>
      <c r="XEP2244"/>
      <c r="XEQ2244"/>
      <c r="XER2244"/>
      <c r="XES2244"/>
      <c r="XET2244"/>
      <c r="XEU2244"/>
      <c r="XEV2244"/>
      <c r="XEW2244"/>
      <c r="XEX2244"/>
      <c r="XEY2244"/>
      <c r="XEZ2244"/>
      <c r="XFA2244"/>
      <c r="XFB2244"/>
      <c r="XFC2244"/>
    </row>
    <row r="2245" spans="1:20 16329:16383" s="38" customFormat="1" ht="29.1" customHeight="1" outlineLevel="5" x14ac:dyDescent="0.25">
      <c r="A2245" s="49" t="s">
        <v>4037</v>
      </c>
      <c r="B2245" s="50"/>
      <c r="C2245" s="50"/>
      <c r="D2245" s="3" t="s">
        <v>4038</v>
      </c>
      <c r="E2245" s="3"/>
      <c r="F2245" s="51"/>
      <c r="G2245" s="50" t="s">
        <v>102</v>
      </c>
      <c r="H2245" s="52">
        <f>1</f>
        <v>1</v>
      </c>
      <c r="I2245" s="36"/>
      <c r="J2245" s="52">
        <v>1</v>
      </c>
      <c r="K2245" s="53">
        <f>0</f>
        <v>0</v>
      </c>
      <c r="L2245" s="53">
        <f>0</f>
        <v>0</v>
      </c>
      <c r="M2245" s="53">
        <f>0</f>
        <v>0</v>
      </c>
      <c r="N2245" s="54">
        <f>SUM(K2245:M2245)</f>
        <v>0</v>
      </c>
      <c r="O2245" s="54">
        <f>ROUND((H2245*K2245),2)</f>
        <v>0</v>
      </c>
      <c r="P2245" s="54">
        <f>ROUND((H2245*L2245),2)</f>
        <v>0</v>
      </c>
      <c r="Q2245" s="54">
        <f>ROUND((H2245*M2245),2)</f>
        <v>0</v>
      </c>
      <c r="R2245" s="54">
        <f>ROUND((H2245*N2245),2)</f>
        <v>0</v>
      </c>
      <c r="S2245" s="54"/>
      <c r="T2245" s="36"/>
      <c r="XDA2245"/>
      <c r="XDB2245"/>
      <c r="XDC2245"/>
      <c r="XDD2245"/>
      <c r="XDE2245"/>
      <c r="XDF2245"/>
      <c r="XDG2245"/>
      <c r="XDH2245"/>
      <c r="XDI2245"/>
      <c r="XDJ2245"/>
      <c r="XDK2245"/>
      <c r="XDL2245"/>
      <c r="XDM2245"/>
      <c r="XDN2245"/>
      <c r="XDO2245"/>
      <c r="XDP2245"/>
      <c r="XDQ2245"/>
      <c r="XDR2245"/>
      <c r="XDS2245"/>
      <c r="XDT2245"/>
      <c r="XDU2245"/>
      <c r="XDV2245"/>
      <c r="XDW2245"/>
      <c r="XDX2245"/>
      <c r="XDY2245"/>
      <c r="XDZ2245"/>
      <c r="XEA2245"/>
      <c r="XEB2245"/>
      <c r="XEC2245"/>
      <c r="XED2245"/>
      <c r="XEE2245"/>
      <c r="XEF2245"/>
      <c r="XEG2245"/>
      <c r="XEH2245"/>
      <c r="XEI2245"/>
      <c r="XEJ2245"/>
      <c r="XEK2245"/>
      <c r="XEL2245"/>
      <c r="XEM2245"/>
      <c r="XEN2245"/>
      <c r="XEO2245"/>
      <c r="XEP2245"/>
      <c r="XEQ2245"/>
      <c r="XER2245"/>
      <c r="XES2245"/>
      <c r="XET2245"/>
      <c r="XEU2245"/>
      <c r="XEV2245"/>
      <c r="XEW2245"/>
      <c r="XEX2245"/>
      <c r="XEY2245"/>
      <c r="XEZ2245"/>
      <c r="XFA2245"/>
      <c r="XFB2245"/>
      <c r="XFC2245"/>
    </row>
    <row r="2246" spans="1:20 16329:16383" s="38" customFormat="1" ht="29.1" customHeight="1" outlineLevel="5" x14ac:dyDescent="0.25">
      <c r="A2246" s="49" t="s">
        <v>4039</v>
      </c>
      <c r="B2246" s="50"/>
      <c r="C2246" s="50"/>
      <c r="D2246" s="3" t="s">
        <v>4020</v>
      </c>
      <c r="E2246" s="3"/>
      <c r="F2246" s="51"/>
      <c r="G2246" s="50" t="s">
        <v>102</v>
      </c>
      <c r="H2246" s="52">
        <f>1</f>
        <v>1</v>
      </c>
      <c r="I2246" s="36"/>
      <c r="J2246" s="52">
        <v>1</v>
      </c>
      <c r="K2246" s="53">
        <f>0</f>
        <v>0</v>
      </c>
      <c r="L2246" s="53">
        <f>0</f>
        <v>0</v>
      </c>
      <c r="M2246" s="53">
        <f>0</f>
        <v>0</v>
      </c>
      <c r="N2246" s="54">
        <f>SUM(K2246:M2246)</f>
        <v>0</v>
      </c>
      <c r="O2246" s="54">
        <f>ROUND((H2246*K2246),2)</f>
        <v>0</v>
      </c>
      <c r="P2246" s="54">
        <f>ROUND((H2246*L2246),2)</f>
        <v>0</v>
      </c>
      <c r="Q2246" s="54">
        <f>ROUND((H2246*M2246),2)</f>
        <v>0</v>
      </c>
      <c r="R2246" s="54">
        <f>ROUND((H2246*N2246),2)</f>
        <v>0</v>
      </c>
      <c r="S2246" s="54"/>
      <c r="T2246" s="36"/>
      <c r="XDA2246"/>
      <c r="XDB2246"/>
      <c r="XDC2246"/>
      <c r="XDD2246"/>
      <c r="XDE2246"/>
      <c r="XDF2246"/>
      <c r="XDG2246"/>
      <c r="XDH2246"/>
      <c r="XDI2246"/>
      <c r="XDJ2246"/>
      <c r="XDK2246"/>
      <c r="XDL2246"/>
      <c r="XDM2246"/>
      <c r="XDN2246"/>
      <c r="XDO2246"/>
      <c r="XDP2246"/>
      <c r="XDQ2246"/>
      <c r="XDR2246"/>
      <c r="XDS2246"/>
      <c r="XDT2246"/>
      <c r="XDU2246"/>
      <c r="XDV2246"/>
      <c r="XDW2246"/>
      <c r="XDX2246"/>
      <c r="XDY2246"/>
      <c r="XDZ2246"/>
      <c r="XEA2246"/>
      <c r="XEB2246"/>
      <c r="XEC2246"/>
      <c r="XED2246"/>
      <c r="XEE2246"/>
      <c r="XEF2246"/>
      <c r="XEG2246"/>
      <c r="XEH2246"/>
      <c r="XEI2246"/>
      <c r="XEJ2246"/>
      <c r="XEK2246"/>
      <c r="XEL2246"/>
      <c r="XEM2246"/>
      <c r="XEN2246"/>
      <c r="XEO2246"/>
      <c r="XEP2246"/>
      <c r="XEQ2246"/>
      <c r="XER2246"/>
      <c r="XES2246"/>
      <c r="XET2246"/>
      <c r="XEU2246"/>
      <c r="XEV2246"/>
      <c r="XEW2246"/>
      <c r="XEX2246"/>
      <c r="XEY2246"/>
      <c r="XEZ2246"/>
      <c r="XFA2246"/>
      <c r="XFB2246"/>
      <c r="XFC2246"/>
    </row>
    <row r="2247" spans="1:20 16329:16383" s="38" customFormat="1" ht="29.1" customHeight="1" outlineLevel="4" x14ac:dyDescent="0.25">
      <c r="A2247" s="60" t="s">
        <v>4040</v>
      </c>
      <c r="B2247" s="61" t="s">
        <v>4041</v>
      </c>
      <c r="C2247" s="61"/>
      <c r="D2247" s="1" t="s">
        <v>4042</v>
      </c>
      <c r="E2247" s="1"/>
      <c r="F2247" s="62" t="s">
        <v>4043</v>
      </c>
      <c r="G2247" s="61"/>
      <c r="H2247" s="63"/>
      <c r="I2247" s="36"/>
      <c r="J2247" s="63"/>
      <c r="K2247" s="64"/>
      <c r="L2247" s="64"/>
      <c r="M2247" s="64"/>
      <c r="N2247" s="64"/>
      <c r="O2247" s="64">
        <f>SUM(O2248:O2252)</f>
        <v>0</v>
      </c>
      <c r="P2247" s="64">
        <f>SUM(P2248:P2252)</f>
        <v>0</v>
      </c>
      <c r="Q2247" s="64">
        <f>SUM(Q2248:Q2252)</f>
        <v>0</v>
      </c>
      <c r="R2247" s="64">
        <f>SUM(R2248:R2252)</f>
        <v>0</v>
      </c>
      <c r="S2247" s="64"/>
      <c r="T2247" s="36"/>
      <c r="XDA2247"/>
      <c r="XDB2247"/>
      <c r="XDC2247"/>
      <c r="XDD2247"/>
      <c r="XDE2247"/>
      <c r="XDF2247"/>
      <c r="XDG2247"/>
      <c r="XDH2247"/>
      <c r="XDI2247"/>
      <c r="XDJ2247"/>
      <c r="XDK2247"/>
      <c r="XDL2247"/>
      <c r="XDM2247"/>
      <c r="XDN2247"/>
      <c r="XDO2247"/>
      <c r="XDP2247"/>
      <c r="XDQ2247"/>
      <c r="XDR2247"/>
      <c r="XDS2247"/>
      <c r="XDT2247"/>
      <c r="XDU2247"/>
      <c r="XDV2247"/>
      <c r="XDW2247"/>
      <c r="XDX2247"/>
      <c r="XDY2247"/>
      <c r="XDZ2247"/>
      <c r="XEA2247"/>
      <c r="XEB2247"/>
      <c r="XEC2247"/>
      <c r="XED2247"/>
      <c r="XEE2247"/>
      <c r="XEF2247"/>
      <c r="XEG2247"/>
      <c r="XEH2247"/>
      <c r="XEI2247"/>
      <c r="XEJ2247"/>
      <c r="XEK2247"/>
      <c r="XEL2247"/>
      <c r="XEM2247"/>
      <c r="XEN2247"/>
      <c r="XEO2247"/>
      <c r="XEP2247"/>
      <c r="XEQ2247"/>
      <c r="XER2247"/>
      <c r="XES2247"/>
      <c r="XET2247"/>
      <c r="XEU2247"/>
      <c r="XEV2247"/>
      <c r="XEW2247"/>
      <c r="XEX2247"/>
      <c r="XEY2247"/>
      <c r="XEZ2247"/>
      <c r="XFA2247"/>
      <c r="XFB2247"/>
      <c r="XFC2247"/>
    </row>
    <row r="2248" spans="1:20 16329:16383" s="38" customFormat="1" ht="29.1" customHeight="1" outlineLevel="5" x14ac:dyDescent="0.25">
      <c r="A2248" s="49" t="s">
        <v>4044</v>
      </c>
      <c r="B2248" s="50"/>
      <c r="C2248" s="50"/>
      <c r="D2248" s="3" t="s">
        <v>4045</v>
      </c>
      <c r="E2248" s="3"/>
      <c r="F2248" s="51"/>
      <c r="G2248" s="50" t="s">
        <v>102</v>
      </c>
      <c r="H2248" s="52">
        <f>1</f>
        <v>1</v>
      </c>
      <c r="I2248" s="36"/>
      <c r="J2248" s="52">
        <v>1</v>
      </c>
      <c r="K2248" s="53">
        <f>0</f>
        <v>0</v>
      </c>
      <c r="L2248" s="53">
        <f>0</f>
        <v>0</v>
      </c>
      <c r="M2248" s="53">
        <f>0</f>
        <v>0</v>
      </c>
      <c r="N2248" s="54">
        <f>SUM(K2248:M2248)</f>
        <v>0</v>
      </c>
      <c r="O2248" s="54">
        <f>ROUND((H2248*K2248),2)</f>
        <v>0</v>
      </c>
      <c r="P2248" s="54">
        <f>ROUND((H2248*L2248),2)</f>
        <v>0</v>
      </c>
      <c r="Q2248" s="54">
        <f>ROUND((H2248*M2248),2)</f>
        <v>0</v>
      </c>
      <c r="R2248" s="54">
        <f>ROUND((H2248*N2248),2)</f>
        <v>0</v>
      </c>
      <c r="S2248" s="54"/>
      <c r="T2248" s="36"/>
      <c r="XDA2248"/>
      <c r="XDB2248"/>
      <c r="XDC2248"/>
      <c r="XDD2248"/>
      <c r="XDE2248"/>
      <c r="XDF2248"/>
      <c r="XDG2248"/>
      <c r="XDH2248"/>
      <c r="XDI2248"/>
      <c r="XDJ2248"/>
      <c r="XDK2248"/>
      <c r="XDL2248"/>
      <c r="XDM2248"/>
      <c r="XDN2248"/>
      <c r="XDO2248"/>
      <c r="XDP2248"/>
      <c r="XDQ2248"/>
      <c r="XDR2248"/>
      <c r="XDS2248"/>
      <c r="XDT2248"/>
      <c r="XDU2248"/>
      <c r="XDV2248"/>
      <c r="XDW2248"/>
      <c r="XDX2248"/>
      <c r="XDY2248"/>
      <c r="XDZ2248"/>
      <c r="XEA2248"/>
      <c r="XEB2248"/>
      <c r="XEC2248"/>
      <c r="XED2248"/>
      <c r="XEE2248"/>
      <c r="XEF2248"/>
      <c r="XEG2248"/>
      <c r="XEH2248"/>
      <c r="XEI2248"/>
      <c r="XEJ2248"/>
      <c r="XEK2248"/>
      <c r="XEL2248"/>
      <c r="XEM2248"/>
      <c r="XEN2248"/>
      <c r="XEO2248"/>
      <c r="XEP2248"/>
      <c r="XEQ2248"/>
      <c r="XER2248"/>
      <c r="XES2248"/>
      <c r="XET2248"/>
      <c r="XEU2248"/>
      <c r="XEV2248"/>
      <c r="XEW2248"/>
      <c r="XEX2248"/>
      <c r="XEY2248"/>
      <c r="XEZ2248"/>
      <c r="XFA2248"/>
      <c r="XFB2248"/>
      <c r="XFC2248"/>
    </row>
    <row r="2249" spans="1:20 16329:16383" s="38" customFormat="1" ht="29.1" customHeight="1" outlineLevel="5" x14ac:dyDescent="0.25">
      <c r="A2249" s="49" t="s">
        <v>4046</v>
      </c>
      <c r="B2249" s="50"/>
      <c r="C2249" s="50"/>
      <c r="D2249" s="3" t="s">
        <v>4047</v>
      </c>
      <c r="E2249" s="3"/>
      <c r="F2249" s="51"/>
      <c r="G2249" s="50" t="s">
        <v>102</v>
      </c>
      <c r="H2249" s="52">
        <f>1</f>
        <v>1</v>
      </c>
      <c r="I2249" s="36"/>
      <c r="J2249" s="52">
        <v>1</v>
      </c>
      <c r="K2249" s="53">
        <f>0</f>
        <v>0</v>
      </c>
      <c r="L2249" s="53">
        <f>0</f>
        <v>0</v>
      </c>
      <c r="M2249" s="53">
        <f>0</f>
        <v>0</v>
      </c>
      <c r="N2249" s="54">
        <f>SUM(K2249:M2249)</f>
        <v>0</v>
      </c>
      <c r="O2249" s="54">
        <f>ROUND((H2249*K2249),2)</f>
        <v>0</v>
      </c>
      <c r="P2249" s="54">
        <f>ROUND((H2249*L2249),2)</f>
        <v>0</v>
      </c>
      <c r="Q2249" s="54">
        <f>ROUND((H2249*M2249),2)</f>
        <v>0</v>
      </c>
      <c r="R2249" s="54">
        <f>ROUND((H2249*N2249),2)</f>
        <v>0</v>
      </c>
      <c r="S2249" s="54"/>
      <c r="T2249" s="36"/>
      <c r="XDA2249"/>
      <c r="XDB2249"/>
      <c r="XDC2249"/>
      <c r="XDD2249"/>
      <c r="XDE2249"/>
      <c r="XDF2249"/>
      <c r="XDG2249"/>
      <c r="XDH2249"/>
      <c r="XDI2249"/>
      <c r="XDJ2249"/>
      <c r="XDK2249"/>
      <c r="XDL2249"/>
      <c r="XDM2249"/>
      <c r="XDN2249"/>
      <c r="XDO2249"/>
      <c r="XDP2249"/>
      <c r="XDQ2249"/>
      <c r="XDR2249"/>
      <c r="XDS2249"/>
      <c r="XDT2249"/>
      <c r="XDU2249"/>
      <c r="XDV2249"/>
      <c r="XDW2249"/>
      <c r="XDX2249"/>
      <c r="XDY2249"/>
      <c r="XDZ2249"/>
      <c r="XEA2249"/>
      <c r="XEB2249"/>
      <c r="XEC2249"/>
      <c r="XED2249"/>
      <c r="XEE2249"/>
      <c r="XEF2249"/>
      <c r="XEG2249"/>
      <c r="XEH2249"/>
      <c r="XEI2249"/>
      <c r="XEJ2249"/>
      <c r="XEK2249"/>
      <c r="XEL2249"/>
      <c r="XEM2249"/>
      <c r="XEN2249"/>
      <c r="XEO2249"/>
      <c r="XEP2249"/>
      <c r="XEQ2249"/>
      <c r="XER2249"/>
      <c r="XES2249"/>
      <c r="XET2249"/>
      <c r="XEU2249"/>
      <c r="XEV2249"/>
      <c r="XEW2249"/>
      <c r="XEX2249"/>
      <c r="XEY2249"/>
      <c r="XEZ2249"/>
      <c r="XFA2249"/>
      <c r="XFB2249"/>
      <c r="XFC2249"/>
    </row>
    <row r="2250" spans="1:20 16329:16383" s="38" customFormat="1" ht="29.1" customHeight="1" outlineLevel="5" x14ac:dyDescent="0.25">
      <c r="A2250" s="49" t="s">
        <v>4048</v>
      </c>
      <c r="B2250" s="50"/>
      <c r="C2250" s="50"/>
      <c r="D2250" s="3" t="s">
        <v>4049</v>
      </c>
      <c r="E2250" s="3"/>
      <c r="F2250" s="51"/>
      <c r="G2250" s="50" t="s">
        <v>102</v>
      </c>
      <c r="H2250" s="52">
        <f>1</f>
        <v>1</v>
      </c>
      <c r="I2250" s="36"/>
      <c r="J2250" s="52">
        <v>1</v>
      </c>
      <c r="K2250" s="53">
        <f>0</f>
        <v>0</v>
      </c>
      <c r="L2250" s="53">
        <f>0</f>
        <v>0</v>
      </c>
      <c r="M2250" s="53">
        <f>0</f>
        <v>0</v>
      </c>
      <c r="N2250" s="54">
        <f>SUM(K2250:M2250)</f>
        <v>0</v>
      </c>
      <c r="O2250" s="54">
        <f>ROUND((H2250*K2250),2)</f>
        <v>0</v>
      </c>
      <c r="P2250" s="54">
        <f>ROUND((H2250*L2250),2)</f>
        <v>0</v>
      </c>
      <c r="Q2250" s="54">
        <f>ROUND((H2250*M2250),2)</f>
        <v>0</v>
      </c>
      <c r="R2250" s="54">
        <f>ROUND((H2250*N2250),2)</f>
        <v>0</v>
      </c>
      <c r="S2250" s="54"/>
      <c r="T2250" s="36"/>
      <c r="XDA2250"/>
      <c r="XDB2250"/>
      <c r="XDC2250"/>
      <c r="XDD2250"/>
      <c r="XDE2250"/>
      <c r="XDF2250"/>
      <c r="XDG2250"/>
      <c r="XDH2250"/>
      <c r="XDI2250"/>
      <c r="XDJ2250"/>
      <c r="XDK2250"/>
      <c r="XDL2250"/>
      <c r="XDM2250"/>
      <c r="XDN2250"/>
      <c r="XDO2250"/>
      <c r="XDP2250"/>
      <c r="XDQ2250"/>
      <c r="XDR2250"/>
      <c r="XDS2250"/>
      <c r="XDT2250"/>
      <c r="XDU2250"/>
      <c r="XDV2250"/>
      <c r="XDW2250"/>
      <c r="XDX2250"/>
      <c r="XDY2250"/>
      <c r="XDZ2250"/>
      <c r="XEA2250"/>
      <c r="XEB2250"/>
      <c r="XEC2250"/>
      <c r="XED2250"/>
      <c r="XEE2250"/>
      <c r="XEF2250"/>
      <c r="XEG2250"/>
      <c r="XEH2250"/>
      <c r="XEI2250"/>
      <c r="XEJ2250"/>
      <c r="XEK2250"/>
      <c r="XEL2250"/>
      <c r="XEM2250"/>
      <c r="XEN2250"/>
      <c r="XEO2250"/>
      <c r="XEP2250"/>
      <c r="XEQ2250"/>
      <c r="XER2250"/>
      <c r="XES2250"/>
      <c r="XET2250"/>
      <c r="XEU2250"/>
      <c r="XEV2250"/>
      <c r="XEW2250"/>
      <c r="XEX2250"/>
      <c r="XEY2250"/>
      <c r="XEZ2250"/>
      <c r="XFA2250"/>
      <c r="XFB2250"/>
      <c r="XFC2250"/>
    </row>
    <row r="2251" spans="1:20 16329:16383" s="38" customFormat="1" ht="29.1" customHeight="1" outlineLevel="5" x14ac:dyDescent="0.25">
      <c r="A2251" s="49" t="s">
        <v>4050</v>
      </c>
      <c r="B2251" s="50"/>
      <c r="C2251" s="50"/>
      <c r="D2251" s="3" t="s">
        <v>4051</v>
      </c>
      <c r="E2251" s="3"/>
      <c r="F2251" s="51"/>
      <c r="G2251" s="50" t="s">
        <v>102</v>
      </c>
      <c r="H2251" s="52">
        <f>1</f>
        <v>1</v>
      </c>
      <c r="I2251" s="36"/>
      <c r="J2251" s="52">
        <v>1</v>
      </c>
      <c r="K2251" s="53">
        <f>0</f>
        <v>0</v>
      </c>
      <c r="L2251" s="53">
        <f>0</f>
        <v>0</v>
      </c>
      <c r="M2251" s="53">
        <f>0</f>
        <v>0</v>
      </c>
      <c r="N2251" s="54">
        <f>SUM(K2251:M2251)</f>
        <v>0</v>
      </c>
      <c r="O2251" s="54">
        <f>ROUND((H2251*K2251),2)</f>
        <v>0</v>
      </c>
      <c r="P2251" s="54">
        <f>ROUND((H2251*L2251),2)</f>
        <v>0</v>
      </c>
      <c r="Q2251" s="54">
        <f>ROUND((H2251*M2251),2)</f>
        <v>0</v>
      </c>
      <c r="R2251" s="54">
        <f>ROUND((H2251*N2251),2)</f>
        <v>0</v>
      </c>
      <c r="S2251" s="54"/>
      <c r="T2251" s="36"/>
      <c r="XDA2251"/>
      <c r="XDB2251"/>
      <c r="XDC2251"/>
      <c r="XDD2251"/>
      <c r="XDE2251"/>
      <c r="XDF2251"/>
      <c r="XDG2251"/>
      <c r="XDH2251"/>
      <c r="XDI2251"/>
      <c r="XDJ2251"/>
      <c r="XDK2251"/>
      <c r="XDL2251"/>
      <c r="XDM2251"/>
      <c r="XDN2251"/>
      <c r="XDO2251"/>
      <c r="XDP2251"/>
      <c r="XDQ2251"/>
      <c r="XDR2251"/>
      <c r="XDS2251"/>
      <c r="XDT2251"/>
      <c r="XDU2251"/>
      <c r="XDV2251"/>
      <c r="XDW2251"/>
      <c r="XDX2251"/>
      <c r="XDY2251"/>
      <c r="XDZ2251"/>
      <c r="XEA2251"/>
      <c r="XEB2251"/>
      <c r="XEC2251"/>
      <c r="XED2251"/>
      <c r="XEE2251"/>
      <c r="XEF2251"/>
      <c r="XEG2251"/>
      <c r="XEH2251"/>
      <c r="XEI2251"/>
      <c r="XEJ2251"/>
      <c r="XEK2251"/>
      <c r="XEL2251"/>
      <c r="XEM2251"/>
      <c r="XEN2251"/>
      <c r="XEO2251"/>
      <c r="XEP2251"/>
      <c r="XEQ2251"/>
      <c r="XER2251"/>
      <c r="XES2251"/>
      <c r="XET2251"/>
      <c r="XEU2251"/>
      <c r="XEV2251"/>
      <c r="XEW2251"/>
      <c r="XEX2251"/>
      <c r="XEY2251"/>
      <c r="XEZ2251"/>
      <c r="XFA2251"/>
      <c r="XFB2251"/>
      <c r="XFC2251"/>
    </row>
    <row r="2252" spans="1:20 16329:16383" s="38" customFormat="1" ht="29.1" customHeight="1" outlineLevel="5" x14ac:dyDescent="0.25">
      <c r="A2252" s="49" t="s">
        <v>4052</v>
      </c>
      <c r="B2252" s="50"/>
      <c r="C2252" s="50"/>
      <c r="D2252" s="3" t="s">
        <v>4020</v>
      </c>
      <c r="E2252" s="3"/>
      <c r="F2252" s="51"/>
      <c r="G2252" s="50" t="s">
        <v>102</v>
      </c>
      <c r="H2252" s="52">
        <f>1</f>
        <v>1</v>
      </c>
      <c r="I2252" s="36"/>
      <c r="J2252" s="52">
        <v>1</v>
      </c>
      <c r="K2252" s="53">
        <f>0</f>
        <v>0</v>
      </c>
      <c r="L2252" s="53">
        <f>0</f>
        <v>0</v>
      </c>
      <c r="M2252" s="53">
        <f>0</f>
        <v>0</v>
      </c>
      <c r="N2252" s="54">
        <f>SUM(K2252:M2252)</f>
        <v>0</v>
      </c>
      <c r="O2252" s="54">
        <f>ROUND((H2252*K2252),2)</f>
        <v>0</v>
      </c>
      <c r="P2252" s="54">
        <f>ROUND((H2252*L2252),2)</f>
        <v>0</v>
      </c>
      <c r="Q2252" s="54">
        <f>ROUND((H2252*M2252),2)</f>
        <v>0</v>
      </c>
      <c r="R2252" s="54">
        <f>ROUND((H2252*N2252),2)</f>
        <v>0</v>
      </c>
      <c r="S2252" s="54"/>
      <c r="T2252" s="36"/>
      <c r="XDA2252"/>
      <c r="XDB2252"/>
      <c r="XDC2252"/>
      <c r="XDD2252"/>
      <c r="XDE2252"/>
      <c r="XDF2252"/>
      <c r="XDG2252"/>
      <c r="XDH2252"/>
      <c r="XDI2252"/>
      <c r="XDJ2252"/>
      <c r="XDK2252"/>
      <c r="XDL2252"/>
      <c r="XDM2252"/>
      <c r="XDN2252"/>
      <c r="XDO2252"/>
      <c r="XDP2252"/>
      <c r="XDQ2252"/>
      <c r="XDR2252"/>
      <c r="XDS2252"/>
      <c r="XDT2252"/>
      <c r="XDU2252"/>
      <c r="XDV2252"/>
      <c r="XDW2252"/>
      <c r="XDX2252"/>
      <c r="XDY2252"/>
      <c r="XDZ2252"/>
      <c r="XEA2252"/>
      <c r="XEB2252"/>
      <c r="XEC2252"/>
      <c r="XED2252"/>
      <c r="XEE2252"/>
      <c r="XEF2252"/>
      <c r="XEG2252"/>
      <c r="XEH2252"/>
      <c r="XEI2252"/>
      <c r="XEJ2252"/>
      <c r="XEK2252"/>
      <c r="XEL2252"/>
      <c r="XEM2252"/>
      <c r="XEN2252"/>
      <c r="XEO2252"/>
      <c r="XEP2252"/>
      <c r="XEQ2252"/>
      <c r="XER2252"/>
      <c r="XES2252"/>
      <c r="XET2252"/>
      <c r="XEU2252"/>
      <c r="XEV2252"/>
      <c r="XEW2252"/>
      <c r="XEX2252"/>
      <c r="XEY2252"/>
      <c r="XEZ2252"/>
      <c r="XFA2252"/>
      <c r="XFB2252"/>
      <c r="XFC2252"/>
    </row>
    <row r="2253" spans="1:20 16329:16383" s="38" customFormat="1" ht="29.1" customHeight="1" outlineLevel="4" x14ac:dyDescent="0.25">
      <c r="A2253" s="60" t="s">
        <v>4053</v>
      </c>
      <c r="B2253" s="61" t="s">
        <v>4054</v>
      </c>
      <c r="C2253" s="61"/>
      <c r="D2253" s="1" t="s">
        <v>4055</v>
      </c>
      <c r="E2253" s="1"/>
      <c r="F2253" s="62" t="s">
        <v>4056</v>
      </c>
      <c r="G2253" s="61"/>
      <c r="H2253" s="63"/>
      <c r="I2253" s="36"/>
      <c r="J2253" s="63"/>
      <c r="K2253" s="64"/>
      <c r="L2253" s="64"/>
      <c r="M2253" s="64"/>
      <c r="N2253" s="64"/>
      <c r="O2253" s="64">
        <f>SUM(O2254:O2259)</f>
        <v>0</v>
      </c>
      <c r="P2253" s="64">
        <f>SUM(P2254:P2259)</f>
        <v>0</v>
      </c>
      <c r="Q2253" s="64">
        <f>SUM(Q2254:Q2259)</f>
        <v>0</v>
      </c>
      <c r="R2253" s="64">
        <f>SUM(R2254:R2259)</f>
        <v>0</v>
      </c>
      <c r="S2253" s="64"/>
      <c r="T2253" s="36"/>
      <c r="XDA2253"/>
      <c r="XDB2253"/>
      <c r="XDC2253"/>
      <c r="XDD2253"/>
      <c r="XDE2253"/>
      <c r="XDF2253"/>
      <c r="XDG2253"/>
      <c r="XDH2253"/>
      <c r="XDI2253"/>
      <c r="XDJ2253"/>
      <c r="XDK2253"/>
      <c r="XDL2253"/>
      <c r="XDM2253"/>
      <c r="XDN2253"/>
      <c r="XDO2253"/>
      <c r="XDP2253"/>
      <c r="XDQ2253"/>
      <c r="XDR2253"/>
      <c r="XDS2253"/>
      <c r="XDT2253"/>
      <c r="XDU2253"/>
      <c r="XDV2253"/>
      <c r="XDW2253"/>
      <c r="XDX2253"/>
      <c r="XDY2253"/>
      <c r="XDZ2253"/>
      <c r="XEA2253"/>
      <c r="XEB2253"/>
      <c r="XEC2253"/>
      <c r="XED2253"/>
      <c r="XEE2253"/>
      <c r="XEF2253"/>
      <c r="XEG2253"/>
      <c r="XEH2253"/>
      <c r="XEI2253"/>
      <c r="XEJ2253"/>
      <c r="XEK2253"/>
      <c r="XEL2253"/>
      <c r="XEM2253"/>
      <c r="XEN2253"/>
      <c r="XEO2253"/>
      <c r="XEP2253"/>
      <c r="XEQ2253"/>
      <c r="XER2253"/>
      <c r="XES2253"/>
      <c r="XET2253"/>
      <c r="XEU2253"/>
      <c r="XEV2253"/>
      <c r="XEW2253"/>
      <c r="XEX2253"/>
      <c r="XEY2253"/>
      <c r="XEZ2253"/>
      <c r="XFA2253"/>
      <c r="XFB2253"/>
      <c r="XFC2253"/>
    </row>
    <row r="2254" spans="1:20 16329:16383" s="38" customFormat="1" ht="29.1" customHeight="1" outlineLevel="5" x14ac:dyDescent="0.25">
      <c r="A2254" s="49" t="s">
        <v>4057</v>
      </c>
      <c r="B2254" s="50"/>
      <c r="C2254" s="50"/>
      <c r="D2254" s="3" t="s">
        <v>4058</v>
      </c>
      <c r="E2254" s="3"/>
      <c r="F2254" s="51"/>
      <c r="G2254" s="50" t="s">
        <v>102</v>
      </c>
      <c r="H2254" s="52">
        <f>1</f>
        <v>1</v>
      </c>
      <c r="I2254" s="36"/>
      <c r="J2254" s="52">
        <v>1</v>
      </c>
      <c r="K2254" s="53">
        <f>0</f>
        <v>0</v>
      </c>
      <c r="L2254" s="53">
        <f>0</f>
        <v>0</v>
      </c>
      <c r="M2254" s="53">
        <f>0</f>
        <v>0</v>
      </c>
      <c r="N2254" s="54">
        <f t="shared" ref="N2254:N2259" si="419">SUM(K2254:M2254)</f>
        <v>0</v>
      </c>
      <c r="O2254" s="54">
        <f t="shared" ref="O2254:O2259" si="420">ROUND((H2254*K2254),2)</f>
        <v>0</v>
      </c>
      <c r="P2254" s="54">
        <f t="shared" ref="P2254:P2259" si="421">ROUND((H2254*L2254),2)</f>
        <v>0</v>
      </c>
      <c r="Q2254" s="54">
        <f t="shared" ref="Q2254:Q2259" si="422">ROUND((H2254*M2254),2)</f>
        <v>0</v>
      </c>
      <c r="R2254" s="54">
        <f t="shared" ref="R2254:R2259" si="423">ROUND((H2254*N2254),2)</f>
        <v>0</v>
      </c>
      <c r="S2254" s="54"/>
      <c r="T2254" s="36"/>
      <c r="XDA2254"/>
      <c r="XDB2254"/>
      <c r="XDC2254"/>
      <c r="XDD2254"/>
      <c r="XDE2254"/>
      <c r="XDF2254"/>
      <c r="XDG2254"/>
      <c r="XDH2254"/>
      <c r="XDI2254"/>
      <c r="XDJ2254"/>
      <c r="XDK2254"/>
      <c r="XDL2254"/>
      <c r="XDM2254"/>
      <c r="XDN2254"/>
      <c r="XDO2254"/>
      <c r="XDP2254"/>
      <c r="XDQ2254"/>
      <c r="XDR2254"/>
      <c r="XDS2254"/>
      <c r="XDT2254"/>
      <c r="XDU2254"/>
      <c r="XDV2254"/>
      <c r="XDW2254"/>
      <c r="XDX2254"/>
      <c r="XDY2254"/>
      <c r="XDZ2254"/>
      <c r="XEA2254"/>
      <c r="XEB2254"/>
      <c r="XEC2254"/>
      <c r="XED2254"/>
      <c r="XEE2254"/>
      <c r="XEF2254"/>
      <c r="XEG2254"/>
      <c r="XEH2254"/>
      <c r="XEI2254"/>
      <c r="XEJ2254"/>
      <c r="XEK2254"/>
      <c r="XEL2254"/>
      <c r="XEM2254"/>
      <c r="XEN2254"/>
      <c r="XEO2254"/>
      <c r="XEP2254"/>
      <c r="XEQ2254"/>
      <c r="XER2254"/>
      <c r="XES2254"/>
      <c r="XET2254"/>
      <c r="XEU2254"/>
      <c r="XEV2254"/>
      <c r="XEW2254"/>
      <c r="XEX2254"/>
      <c r="XEY2254"/>
      <c r="XEZ2254"/>
      <c r="XFA2254"/>
      <c r="XFB2254"/>
      <c r="XFC2254"/>
    </row>
    <row r="2255" spans="1:20 16329:16383" s="38" customFormat="1" ht="29.1" customHeight="1" outlineLevel="5" x14ac:dyDescent="0.25">
      <c r="A2255" s="49" t="s">
        <v>4059</v>
      </c>
      <c r="B2255" s="50"/>
      <c r="C2255" s="50"/>
      <c r="D2255" s="3" t="s">
        <v>4060</v>
      </c>
      <c r="E2255" s="3"/>
      <c r="F2255" s="51"/>
      <c r="G2255" s="50" t="s">
        <v>102</v>
      </c>
      <c r="H2255" s="52">
        <f>1</f>
        <v>1</v>
      </c>
      <c r="I2255" s="36"/>
      <c r="J2255" s="52">
        <v>1</v>
      </c>
      <c r="K2255" s="53">
        <f>0</f>
        <v>0</v>
      </c>
      <c r="L2255" s="53">
        <f>0</f>
        <v>0</v>
      </c>
      <c r="M2255" s="53">
        <f>0</f>
        <v>0</v>
      </c>
      <c r="N2255" s="54">
        <f t="shared" si="419"/>
        <v>0</v>
      </c>
      <c r="O2255" s="54">
        <f t="shared" si="420"/>
        <v>0</v>
      </c>
      <c r="P2255" s="54">
        <f t="shared" si="421"/>
        <v>0</v>
      </c>
      <c r="Q2255" s="54">
        <f t="shared" si="422"/>
        <v>0</v>
      </c>
      <c r="R2255" s="54">
        <f t="shared" si="423"/>
        <v>0</v>
      </c>
      <c r="S2255" s="54"/>
      <c r="T2255" s="36"/>
      <c r="XDA2255"/>
      <c r="XDB2255"/>
      <c r="XDC2255"/>
      <c r="XDD2255"/>
      <c r="XDE2255"/>
      <c r="XDF2255"/>
      <c r="XDG2255"/>
      <c r="XDH2255"/>
      <c r="XDI2255"/>
      <c r="XDJ2255"/>
      <c r="XDK2255"/>
      <c r="XDL2255"/>
      <c r="XDM2255"/>
      <c r="XDN2255"/>
      <c r="XDO2255"/>
      <c r="XDP2255"/>
      <c r="XDQ2255"/>
      <c r="XDR2255"/>
      <c r="XDS2255"/>
      <c r="XDT2255"/>
      <c r="XDU2255"/>
      <c r="XDV2255"/>
      <c r="XDW2255"/>
      <c r="XDX2255"/>
      <c r="XDY2255"/>
      <c r="XDZ2255"/>
      <c r="XEA2255"/>
      <c r="XEB2255"/>
      <c r="XEC2255"/>
      <c r="XED2255"/>
      <c r="XEE2255"/>
      <c r="XEF2255"/>
      <c r="XEG2255"/>
      <c r="XEH2255"/>
      <c r="XEI2255"/>
      <c r="XEJ2255"/>
      <c r="XEK2255"/>
      <c r="XEL2255"/>
      <c r="XEM2255"/>
      <c r="XEN2255"/>
      <c r="XEO2255"/>
      <c r="XEP2255"/>
      <c r="XEQ2255"/>
      <c r="XER2255"/>
      <c r="XES2255"/>
      <c r="XET2255"/>
      <c r="XEU2255"/>
      <c r="XEV2255"/>
      <c r="XEW2255"/>
      <c r="XEX2255"/>
      <c r="XEY2255"/>
      <c r="XEZ2255"/>
      <c r="XFA2255"/>
      <c r="XFB2255"/>
      <c r="XFC2255"/>
    </row>
    <row r="2256" spans="1:20 16329:16383" s="38" customFormat="1" ht="29.1" customHeight="1" outlineLevel="5" x14ac:dyDescent="0.25">
      <c r="A2256" s="49" t="s">
        <v>4061</v>
      </c>
      <c r="B2256" s="50"/>
      <c r="C2256" s="50"/>
      <c r="D2256" s="3" t="s">
        <v>4051</v>
      </c>
      <c r="E2256" s="3"/>
      <c r="F2256" s="51"/>
      <c r="G2256" s="50" t="s">
        <v>102</v>
      </c>
      <c r="H2256" s="52">
        <f>1</f>
        <v>1</v>
      </c>
      <c r="I2256" s="36"/>
      <c r="J2256" s="52">
        <v>1</v>
      </c>
      <c r="K2256" s="53">
        <f>0</f>
        <v>0</v>
      </c>
      <c r="L2256" s="53">
        <f>0</f>
        <v>0</v>
      </c>
      <c r="M2256" s="53">
        <f>0</f>
        <v>0</v>
      </c>
      <c r="N2256" s="54">
        <f t="shared" si="419"/>
        <v>0</v>
      </c>
      <c r="O2256" s="54">
        <f t="shared" si="420"/>
        <v>0</v>
      </c>
      <c r="P2256" s="54">
        <f t="shared" si="421"/>
        <v>0</v>
      </c>
      <c r="Q2256" s="54">
        <f t="shared" si="422"/>
        <v>0</v>
      </c>
      <c r="R2256" s="54">
        <f t="shared" si="423"/>
        <v>0</v>
      </c>
      <c r="S2256" s="54"/>
      <c r="T2256" s="36"/>
      <c r="XDA2256"/>
      <c r="XDB2256"/>
      <c r="XDC2256"/>
      <c r="XDD2256"/>
      <c r="XDE2256"/>
      <c r="XDF2256"/>
      <c r="XDG2256"/>
      <c r="XDH2256"/>
      <c r="XDI2256"/>
      <c r="XDJ2256"/>
      <c r="XDK2256"/>
      <c r="XDL2256"/>
      <c r="XDM2256"/>
      <c r="XDN2256"/>
      <c r="XDO2256"/>
      <c r="XDP2256"/>
      <c r="XDQ2256"/>
      <c r="XDR2256"/>
      <c r="XDS2256"/>
      <c r="XDT2256"/>
      <c r="XDU2256"/>
      <c r="XDV2256"/>
      <c r="XDW2256"/>
      <c r="XDX2256"/>
      <c r="XDY2256"/>
      <c r="XDZ2256"/>
      <c r="XEA2256"/>
      <c r="XEB2256"/>
      <c r="XEC2256"/>
      <c r="XED2256"/>
      <c r="XEE2256"/>
      <c r="XEF2256"/>
      <c r="XEG2256"/>
      <c r="XEH2256"/>
      <c r="XEI2256"/>
      <c r="XEJ2256"/>
      <c r="XEK2256"/>
      <c r="XEL2256"/>
      <c r="XEM2256"/>
      <c r="XEN2256"/>
      <c r="XEO2256"/>
      <c r="XEP2256"/>
      <c r="XEQ2256"/>
      <c r="XER2256"/>
      <c r="XES2256"/>
      <c r="XET2256"/>
      <c r="XEU2256"/>
      <c r="XEV2256"/>
      <c r="XEW2256"/>
      <c r="XEX2256"/>
      <c r="XEY2256"/>
      <c r="XEZ2256"/>
      <c r="XFA2256"/>
      <c r="XFB2256"/>
      <c r="XFC2256"/>
    </row>
    <row r="2257" spans="1:20 16329:16383" s="38" customFormat="1" ht="29.1" customHeight="1" outlineLevel="5" x14ac:dyDescent="0.25">
      <c r="A2257" s="49" t="s">
        <v>4062</v>
      </c>
      <c r="B2257" s="50"/>
      <c r="C2257" s="50"/>
      <c r="D2257" s="3" t="s">
        <v>4020</v>
      </c>
      <c r="E2257" s="3"/>
      <c r="F2257" s="51"/>
      <c r="G2257" s="50" t="s">
        <v>102</v>
      </c>
      <c r="H2257" s="52">
        <f>1</f>
        <v>1</v>
      </c>
      <c r="I2257" s="36"/>
      <c r="J2257" s="52">
        <v>1</v>
      </c>
      <c r="K2257" s="53">
        <f>0</f>
        <v>0</v>
      </c>
      <c r="L2257" s="53">
        <f>0</f>
        <v>0</v>
      </c>
      <c r="M2257" s="53">
        <f>0</f>
        <v>0</v>
      </c>
      <c r="N2257" s="54">
        <f t="shared" si="419"/>
        <v>0</v>
      </c>
      <c r="O2257" s="54">
        <f t="shared" si="420"/>
        <v>0</v>
      </c>
      <c r="P2257" s="54">
        <f t="shared" si="421"/>
        <v>0</v>
      </c>
      <c r="Q2257" s="54">
        <f t="shared" si="422"/>
        <v>0</v>
      </c>
      <c r="R2257" s="54">
        <f t="shared" si="423"/>
        <v>0</v>
      </c>
      <c r="S2257" s="54"/>
      <c r="T2257" s="36"/>
      <c r="XDA2257"/>
      <c r="XDB2257"/>
      <c r="XDC2257"/>
      <c r="XDD2257"/>
      <c r="XDE2257"/>
      <c r="XDF2257"/>
      <c r="XDG2257"/>
      <c r="XDH2257"/>
      <c r="XDI2257"/>
      <c r="XDJ2257"/>
      <c r="XDK2257"/>
      <c r="XDL2257"/>
      <c r="XDM2257"/>
      <c r="XDN2257"/>
      <c r="XDO2257"/>
      <c r="XDP2257"/>
      <c r="XDQ2257"/>
      <c r="XDR2257"/>
      <c r="XDS2257"/>
      <c r="XDT2257"/>
      <c r="XDU2257"/>
      <c r="XDV2257"/>
      <c r="XDW2257"/>
      <c r="XDX2257"/>
      <c r="XDY2257"/>
      <c r="XDZ2257"/>
      <c r="XEA2257"/>
      <c r="XEB2257"/>
      <c r="XEC2257"/>
      <c r="XED2257"/>
      <c r="XEE2257"/>
      <c r="XEF2257"/>
      <c r="XEG2257"/>
      <c r="XEH2257"/>
      <c r="XEI2257"/>
      <c r="XEJ2257"/>
      <c r="XEK2257"/>
      <c r="XEL2257"/>
      <c r="XEM2257"/>
      <c r="XEN2257"/>
      <c r="XEO2257"/>
      <c r="XEP2257"/>
      <c r="XEQ2257"/>
      <c r="XER2257"/>
      <c r="XES2257"/>
      <c r="XET2257"/>
      <c r="XEU2257"/>
      <c r="XEV2257"/>
      <c r="XEW2257"/>
      <c r="XEX2257"/>
      <c r="XEY2257"/>
      <c r="XEZ2257"/>
      <c r="XFA2257"/>
      <c r="XFB2257"/>
      <c r="XFC2257"/>
    </row>
    <row r="2258" spans="1:20 16329:16383" s="38" customFormat="1" ht="29.1" customHeight="1" outlineLevel="5" x14ac:dyDescent="0.25">
      <c r="A2258" s="49" t="s">
        <v>4063</v>
      </c>
      <c r="B2258" s="50"/>
      <c r="C2258" s="50"/>
      <c r="D2258" s="3" t="s">
        <v>4064</v>
      </c>
      <c r="E2258" s="3"/>
      <c r="F2258" s="51"/>
      <c r="G2258" s="50" t="s">
        <v>102</v>
      </c>
      <c r="H2258" s="52">
        <f>1</f>
        <v>1</v>
      </c>
      <c r="I2258" s="36"/>
      <c r="J2258" s="52">
        <v>1</v>
      </c>
      <c r="K2258" s="53">
        <f>0</f>
        <v>0</v>
      </c>
      <c r="L2258" s="53">
        <f>0</f>
        <v>0</v>
      </c>
      <c r="M2258" s="53">
        <f>0</f>
        <v>0</v>
      </c>
      <c r="N2258" s="54">
        <f t="shared" si="419"/>
        <v>0</v>
      </c>
      <c r="O2258" s="54">
        <f t="shared" si="420"/>
        <v>0</v>
      </c>
      <c r="P2258" s="54">
        <f t="shared" si="421"/>
        <v>0</v>
      </c>
      <c r="Q2258" s="54">
        <f t="shared" si="422"/>
        <v>0</v>
      </c>
      <c r="R2258" s="54">
        <f t="shared" si="423"/>
        <v>0</v>
      </c>
      <c r="S2258" s="54"/>
      <c r="T2258" s="36"/>
      <c r="XDA2258"/>
      <c r="XDB2258"/>
      <c r="XDC2258"/>
      <c r="XDD2258"/>
      <c r="XDE2258"/>
      <c r="XDF2258"/>
      <c r="XDG2258"/>
      <c r="XDH2258"/>
      <c r="XDI2258"/>
      <c r="XDJ2258"/>
      <c r="XDK2258"/>
      <c r="XDL2258"/>
      <c r="XDM2258"/>
      <c r="XDN2258"/>
      <c r="XDO2258"/>
      <c r="XDP2258"/>
      <c r="XDQ2258"/>
      <c r="XDR2258"/>
      <c r="XDS2258"/>
      <c r="XDT2258"/>
      <c r="XDU2258"/>
      <c r="XDV2258"/>
      <c r="XDW2258"/>
      <c r="XDX2258"/>
      <c r="XDY2258"/>
      <c r="XDZ2258"/>
      <c r="XEA2258"/>
      <c r="XEB2258"/>
      <c r="XEC2258"/>
      <c r="XED2258"/>
      <c r="XEE2258"/>
      <c r="XEF2258"/>
      <c r="XEG2258"/>
      <c r="XEH2258"/>
      <c r="XEI2258"/>
      <c r="XEJ2258"/>
      <c r="XEK2258"/>
      <c r="XEL2258"/>
      <c r="XEM2258"/>
      <c r="XEN2258"/>
      <c r="XEO2258"/>
      <c r="XEP2258"/>
      <c r="XEQ2258"/>
      <c r="XER2258"/>
      <c r="XES2258"/>
      <c r="XET2258"/>
      <c r="XEU2258"/>
      <c r="XEV2258"/>
      <c r="XEW2258"/>
      <c r="XEX2258"/>
      <c r="XEY2258"/>
      <c r="XEZ2258"/>
      <c r="XFA2258"/>
      <c r="XFB2258"/>
      <c r="XFC2258"/>
    </row>
    <row r="2259" spans="1:20 16329:16383" s="38" customFormat="1" ht="29.1" customHeight="1" outlineLevel="5" x14ac:dyDescent="0.25">
      <c r="A2259" s="49" t="s">
        <v>4065</v>
      </c>
      <c r="B2259" s="50"/>
      <c r="C2259" s="50"/>
      <c r="D2259" s="3" t="s">
        <v>4020</v>
      </c>
      <c r="E2259" s="3"/>
      <c r="F2259" s="51"/>
      <c r="G2259" s="50" t="s">
        <v>102</v>
      </c>
      <c r="H2259" s="52">
        <f>1</f>
        <v>1</v>
      </c>
      <c r="I2259" s="36"/>
      <c r="J2259" s="52">
        <v>1</v>
      </c>
      <c r="K2259" s="53">
        <f>0</f>
        <v>0</v>
      </c>
      <c r="L2259" s="53">
        <f>0</f>
        <v>0</v>
      </c>
      <c r="M2259" s="53">
        <f>0</f>
        <v>0</v>
      </c>
      <c r="N2259" s="54">
        <f t="shared" si="419"/>
        <v>0</v>
      </c>
      <c r="O2259" s="54">
        <f t="shared" si="420"/>
        <v>0</v>
      </c>
      <c r="P2259" s="54">
        <f t="shared" si="421"/>
        <v>0</v>
      </c>
      <c r="Q2259" s="54">
        <f t="shared" si="422"/>
        <v>0</v>
      </c>
      <c r="R2259" s="54">
        <f t="shared" si="423"/>
        <v>0</v>
      </c>
      <c r="S2259" s="54"/>
      <c r="T2259" s="36"/>
      <c r="XDA2259"/>
      <c r="XDB2259"/>
      <c r="XDC2259"/>
      <c r="XDD2259"/>
      <c r="XDE2259"/>
      <c r="XDF2259"/>
      <c r="XDG2259"/>
      <c r="XDH2259"/>
      <c r="XDI2259"/>
      <c r="XDJ2259"/>
      <c r="XDK2259"/>
      <c r="XDL2259"/>
      <c r="XDM2259"/>
      <c r="XDN2259"/>
      <c r="XDO2259"/>
      <c r="XDP2259"/>
      <c r="XDQ2259"/>
      <c r="XDR2259"/>
      <c r="XDS2259"/>
      <c r="XDT2259"/>
      <c r="XDU2259"/>
      <c r="XDV2259"/>
      <c r="XDW2259"/>
      <c r="XDX2259"/>
      <c r="XDY2259"/>
      <c r="XDZ2259"/>
      <c r="XEA2259"/>
      <c r="XEB2259"/>
      <c r="XEC2259"/>
      <c r="XED2259"/>
      <c r="XEE2259"/>
      <c r="XEF2259"/>
      <c r="XEG2259"/>
      <c r="XEH2259"/>
      <c r="XEI2259"/>
      <c r="XEJ2259"/>
      <c r="XEK2259"/>
      <c r="XEL2259"/>
      <c r="XEM2259"/>
      <c r="XEN2259"/>
      <c r="XEO2259"/>
      <c r="XEP2259"/>
      <c r="XEQ2259"/>
      <c r="XER2259"/>
      <c r="XES2259"/>
      <c r="XET2259"/>
      <c r="XEU2259"/>
      <c r="XEV2259"/>
      <c r="XEW2259"/>
      <c r="XEX2259"/>
      <c r="XEY2259"/>
      <c r="XEZ2259"/>
      <c r="XFA2259"/>
      <c r="XFB2259"/>
      <c r="XFC2259"/>
    </row>
    <row r="2260" spans="1:20 16329:16383" s="38" customFormat="1" ht="29.1" customHeight="1" outlineLevel="4" x14ac:dyDescent="0.25">
      <c r="A2260" s="60" t="s">
        <v>4066</v>
      </c>
      <c r="B2260" s="61" t="s">
        <v>4067</v>
      </c>
      <c r="C2260" s="61"/>
      <c r="D2260" s="1" t="s">
        <v>4068</v>
      </c>
      <c r="E2260" s="1"/>
      <c r="F2260" s="62" t="s">
        <v>4069</v>
      </c>
      <c r="G2260" s="61"/>
      <c r="H2260" s="63"/>
      <c r="I2260" s="36"/>
      <c r="J2260" s="63"/>
      <c r="K2260" s="64"/>
      <c r="L2260" s="64"/>
      <c r="M2260" s="64"/>
      <c r="N2260" s="64"/>
      <c r="O2260" s="64">
        <f>SUM(O2261:O2266)</f>
        <v>0</v>
      </c>
      <c r="P2260" s="64">
        <f>SUM(P2261:P2266)</f>
        <v>0</v>
      </c>
      <c r="Q2260" s="64">
        <f>SUM(Q2261:Q2266)</f>
        <v>0</v>
      </c>
      <c r="R2260" s="64">
        <f>SUM(R2261:R2266)</f>
        <v>0</v>
      </c>
      <c r="S2260" s="64"/>
      <c r="T2260" s="36"/>
      <c r="XDA2260"/>
      <c r="XDB2260"/>
      <c r="XDC2260"/>
      <c r="XDD2260"/>
      <c r="XDE2260"/>
      <c r="XDF2260"/>
      <c r="XDG2260"/>
      <c r="XDH2260"/>
      <c r="XDI2260"/>
      <c r="XDJ2260"/>
      <c r="XDK2260"/>
      <c r="XDL2260"/>
      <c r="XDM2260"/>
      <c r="XDN2260"/>
      <c r="XDO2260"/>
      <c r="XDP2260"/>
      <c r="XDQ2260"/>
      <c r="XDR2260"/>
      <c r="XDS2260"/>
      <c r="XDT2260"/>
      <c r="XDU2260"/>
      <c r="XDV2260"/>
      <c r="XDW2260"/>
      <c r="XDX2260"/>
      <c r="XDY2260"/>
      <c r="XDZ2260"/>
      <c r="XEA2260"/>
      <c r="XEB2260"/>
      <c r="XEC2260"/>
      <c r="XED2260"/>
      <c r="XEE2260"/>
      <c r="XEF2260"/>
      <c r="XEG2260"/>
      <c r="XEH2260"/>
      <c r="XEI2260"/>
      <c r="XEJ2260"/>
      <c r="XEK2260"/>
      <c r="XEL2260"/>
      <c r="XEM2260"/>
      <c r="XEN2260"/>
      <c r="XEO2260"/>
      <c r="XEP2260"/>
      <c r="XEQ2260"/>
      <c r="XER2260"/>
      <c r="XES2260"/>
      <c r="XET2260"/>
      <c r="XEU2260"/>
      <c r="XEV2260"/>
      <c r="XEW2260"/>
      <c r="XEX2260"/>
      <c r="XEY2260"/>
      <c r="XEZ2260"/>
      <c r="XFA2260"/>
      <c r="XFB2260"/>
      <c r="XFC2260"/>
    </row>
    <row r="2261" spans="1:20 16329:16383" s="38" customFormat="1" ht="29.1" customHeight="1" outlineLevel="5" x14ac:dyDescent="0.25">
      <c r="A2261" s="49" t="s">
        <v>4070</v>
      </c>
      <c r="B2261" s="50"/>
      <c r="C2261" s="50"/>
      <c r="D2261" s="3" t="s">
        <v>4071</v>
      </c>
      <c r="E2261" s="3"/>
      <c r="F2261" s="51"/>
      <c r="G2261" s="50" t="s">
        <v>102</v>
      </c>
      <c r="H2261" s="52">
        <f>1</f>
        <v>1</v>
      </c>
      <c r="I2261" s="36"/>
      <c r="J2261" s="52">
        <v>1</v>
      </c>
      <c r="K2261" s="53">
        <f>0</f>
        <v>0</v>
      </c>
      <c r="L2261" s="53">
        <f>0</f>
        <v>0</v>
      </c>
      <c r="M2261" s="53">
        <f>0</f>
        <v>0</v>
      </c>
      <c r="N2261" s="54">
        <f t="shared" ref="N2261:N2266" si="424">SUM(K2261:M2261)</f>
        <v>0</v>
      </c>
      <c r="O2261" s="54">
        <f t="shared" ref="O2261:O2266" si="425">ROUND((H2261*K2261),2)</f>
        <v>0</v>
      </c>
      <c r="P2261" s="54">
        <f t="shared" ref="P2261:P2266" si="426">ROUND((H2261*L2261),2)</f>
        <v>0</v>
      </c>
      <c r="Q2261" s="54">
        <f t="shared" ref="Q2261:Q2266" si="427">ROUND((H2261*M2261),2)</f>
        <v>0</v>
      </c>
      <c r="R2261" s="54">
        <f t="shared" ref="R2261:R2266" si="428">ROUND((H2261*N2261),2)</f>
        <v>0</v>
      </c>
      <c r="S2261" s="54"/>
      <c r="T2261" s="36"/>
      <c r="XDA2261"/>
      <c r="XDB2261"/>
      <c r="XDC2261"/>
      <c r="XDD2261"/>
      <c r="XDE2261"/>
      <c r="XDF2261"/>
      <c r="XDG2261"/>
      <c r="XDH2261"/>
      <c r="XDI2261"/>
      <c r="XDJ2261"/>
      <c r="XDK2261"/>
      <c r="XDL2261"/>
      <c r="XDM2261"/>
      <c r="XDN2261"/>
      <c r="XDO2261"/>
      <c r="XDP2261"/>
      <c r="XDQ2261"/>
      <c r="XDR2261"/>
      <c r="XDS2261"/>
      <c r="XDT2261"/>
      <c r="XDU2261"/>
      <c r="XDV2261"/>
      <c r="XDW2261"/>
      <c r="XDX2261"/>
      <c r="XDY2261"/>
      <c r="XDZ2261"/>
      <c r="XEA2261"/>
      <c r="XEB2261"/>
      <c r="XEC2261"/>
      <c r="XED2261"/>
      <c r="XEE2261"/>
      <c r="XEF2261"/>
      <c r="XEG2261"/>
      <c r="XEH2261"/>
      <c r="XEI2261"/>
      <c r="XEJ2261"/>
      <c r="XEK2261"/>
      <c r="XEL2261"/>
      <c r="XEM2261"/>
      <c r="XEN2261"/>
      <c r="XEO2261"/>
      <c r="XEP2261"/>
      <c r="XEQ2261"/>
      <c r="XER2261"/>
      <c r="XES2261"/>
      <c r="XET2261"/>
      <c r="XEU2261"/>
      <c r="XEV2261"/>
      <c r="XEW2261"/>
      <c r="XEX2261"/>
      <c r="XEY2261"/>
      <c r="XEZ2261"/>
      <c r="XFA2261"/>
      <c r="XFB2261"/>
      <c r="XFC2261"/>
    </row>
    <row r="2262" spans="1:20 16329:16383" s="38" customFormat="1" ht="29.1" customHeight="1" outlineLevel="5" x14ac:dyDescent="0.25">
      <c r="A2262" s="49" t="s">
        <v>4072</v>
      </c>
      <c r="B2262" s="50"/>
      <c r="C2262" s="50"/>
      <c r="D2262" s="3" t="s">
        <v>4073</v>
      </c>
      <c r="E2262" s="3"/>
      <c r="F2262" s="51"/>
      <c r="G2262" s="50" t="s">
        <v>102</v>
      </c>
      <c r="H2262" s="52">
        <f>1</f>
        <v>1</v>
      </c>
      <c r="I2262" s="36"/>
      <c r="J2262" s="52">
        <v>1</v>
      </c>
      <c r="K2262" s="53">
        <f>0</f>
        <v>0</v>
      </c>
      <c r="L2262" s="53">
        <f>0</f>
        <v>0</v>
      </c>
      <c r="M2262" s="53">
        <f>0</f>
        <v>0</v>
      </c>
      <c r="N2262" s="54">
        <f t="shared" si="424"/>
        <v>0</v>
      </c>
      <c r="O2262" s="54">
        <f t="shared" si="425"/>
        <v>0</v>
      </c>
      <c r="P2262" s="54">
        <f t="shared" si="426"/>
        <v>0</v>
      </c>
      <c r="Q2262" s="54">
        <f t="shared" si="427"/>
        <v>0</v>
      </c>
      <c r="R2262" s="54">
        <f t="shared" si="428"/>
        <v>0</v>
      </c>
      <c r="S2262" s="54"/>
      <c r="T2262" s="36"/>
      <c r="XDA2262"/>
      <c r="XDB2262"/>
      <c r="XDC2262"/>
      <c r="XDD2262"/>
      <c r="XDE2262"/>
      <c r="XDF2262"/>
      <c r="XDG2262"/>
      <c r="XDH2262"/>
      <c r="XDI2262"/>
      <c r="XDJ2262"/>
      <c r="XDK2262"/>
      <c r="XDL2262"/>
      <c r="XDM2262"/>
      <c r="XDN2262"/>
      <c r="XDO2262"/>
      <c r="XDP2262"/>
      <c r="XDQ2262"/>
      <c r="XDR2262"/>
      <c r="XDS2262"/>
      <c r="XDT2262"/>
      <c r="XDU2262"/>
      <c r="XDV2262"/>
      <c r="XDW2262"/>
      <c r="XDX2262"/>
      <c r="XDY2262"/>
      <c r="XDZ2262"/>
      <c r="XEA2262"/>
      <c r="XEB2262"/>
      <c r="XEC2262"/>
      <c r="XED2262"/>
      <c r="XEE2262"/>
      <c r="XEF2262"/>
      <c r="XEG2262"/>
      <c r="XEH2262"/>
      <c r="XEI2262"/>
      <c r="XEJ2262"/>
      <c r="XEK2262"/>
      <c r="XEL2262"/>
      <c r="XEM2262"/>
      <c r="XEN2262"/>
      <c r="XEO2262"/>
      <c r="XEP2262"/>
      <c r="XEQ2262"/>
      <c r="XER2262"/>
      <c r="XES2262"/>
      <c r="XET2262"/>
      <c r="XEU2262"/>
      <c r="XEV2262"/>
      <c r="XEW2262"/>
      <c r="XEX2262"/>
      <c r="XEY2262"/>
      <c r="XEZ2262"/>
      <c r="XFA2262"/>
      <c r="XFB2262"/>
      <c r="XFC2262"/>
    </row>
    <row r="2263" spans="1:20 16329:16383" s="38" customFormat="1" ht="29.1" customHeight="1" outlineLevel="5" x14ac:dyDescent="0.25">
      <c r="A2263" s="49" t="s">
        <v>4074</v>
      </c>
      <c r="B2263" s="50"/>
      <c r="C2263" s="50"/>
      <c r="D2263" s="3" t="s">
        <v>4075</v>
      </c>
      <c r="E2263" s="3"/>
      <c r="F2263" s="51"/>
      <c r="G2263" s="50" t="s">
        <v>102</v>
      </c>
      <c r="H2263" s="52">
        <f>1</f>
        <v>1</v>
      </c>
      <c r="I2263" s="36"/>
      <c r="J2263" s="52">
        <v>1</v>
      </c>
      <c r="K2263" s="53">
        <f>0</f>
        <v>0</v>
      </c>
      <c r="L2263" s="53">
        <f>0</f>
        <v>0</v>
      </c>
      <c r="M2263" s="53">
        <f>0</f>
        <v>0</v>
      </c>
      <c r="N2263" s="54">
        <f t="shared" si="424"/>
        <v>0</v>
      </c>
      <c r="O2263" s="54">
        <f t="shared" si="425"/>
        <v>0</v>
      </c>
      <c r="P2263" s="54">
        <f t="shared" si="426"/>
        <v>0</v>
      </c>
      <c r="Q2263" s="54">
        <f t="shared" si="427"/>
        <v>0</v>
      </c>
      <c r="R2263" s="54">
        <f t="shared" si="428"/>
        <v>0</v>
      </c>
      <c r="S2263" s="54"/>
      <c r="T2263" s="36"/>
      <c r="XDA2263"/>
      <c r="XDB2263"/>
      <c r="XDC2263"/>
      <c r="XDD2263"/>
      <c r="XDE2263"/>
      <c r="XDF2263"/>
      <c r="XDG2263"/>
      <c r="XDH2263"/>
      <c r="XDI2263"/>
      <c r="XDJ2263"/>
      <c r="XDK2263"/>
      <c r="XDL2263"/>
      <c r="XDM2263"/>
      <c r="XDN2263"/>
      <c r="XDO2263"/>
      <c r="XDP2263"/>
      <c r="XDQ2263"/>
      <c r="XDR2263"/>
      <c r="XDS2263"/>
      <c r="XDT2263"/>
      <c r="XDU2263"/>
      <c r="XDV2263"/>
      <c r="XDW2263"/>
      <c r="XDX2263"/>
      <c r="XDY2263"/>
      <c r="XDZ2263"/>
      <c r="XEA2263"/>
      <c r="XEB2263"/>
      <c r="XEC2263"/>
      <c r="XED2263"/>
      <c r="XEE2263"/>
      <c r="XEF2263"/>
      <c r="XEG2263"/>
      <c r="XEH2263"/>
      <c r="XEI2263"/>
      <c r="XEJ2263"/>
      <c r="XEK2263"/>
      <c r="XEL2263"/>
      <c r="XEM2263"/>
      <c r="XEN2263"/>
      <c r="XEO2263"/>
      <c r="XEP2263"/>
      <c r="XEQ2263"/>
      <c r="XER2263"/>
      <c r="XES2263"/>
      <c r="XET2263"/>
      <c r="XEU2263"/>
      <c r="XEV2263"/>
      <c r="XEW2263"/>
      <c r="XEX2263"/>
      <c r="XEY2263"/>
      <c r="XEZ2263"/>
      <c r="XFA2263"/>
      <c r="XFB2263"/>
      <c r="XFC2263"/>
    </row>
    <row r="2264" spans="1:20 16329:16383" s="38" customFormat="1" ht="29.1" customHeight="1" outlineLevel="5" x14ac:dyDescent="0.25">
      <c r="A2264" s="49" t="s">
        <v>4076</v>
      </c>
      <c r="B2264" s="50"/>
      <c r="C2264" s="50"/>
      <c r="D2264" s="3" t="s">
        <v>4020</v>
      </c>
      <c r="E2264" s="3"/>
      <c r="F2264" s="51"/>
      <c r="G2264" s="50" t="s">
        <v>102</v>
      </c>
      <c r="H2264" s="52">
        <f>1</f>
        <v>1</v>
      </c>
      <c r="I2264" s="36"/>
      <c r="J2264" s="52">
        <v>1</v>
      </c>
      <c r="K2264" s="53">
        <f>0</f>
        <v>0</v>
      </c>
      <c r="L2264" s="53">
        <f>0</f>
        <v>0</v>
      </c>
      <c r="M2264" s="53">
        <f>0</f>
        <v>0</v>
      </c>
      <c r="N2264" s="54">
        <f t="shared" si="424"/>
        <v>0</v>
      </c>
      <c r="O2264" s="54">
        <f t="shared" si="425"/>
        <v>0</v>
      </c>
      <c r="P2264" s="54">
        <f t="shared" si="426"/>
        <v>0</v>
      </c>
      <c r="Q2264" s="54">
        <f t="shared" si="427"/>
        <v>0</v>
      </c>
      <c r="R2264" s="54">
        <f t="shared" si="428"/>
        <v>0</v>
      </c>
      <c r="S2264" s="54"/>
      <c r="T2264" s="36"/>
      <c r="XDA2264"/>
      <c r="XDB2264"/>
      <c r="XDC2264"/>
      <c r="XDD2264"/>
      <c r="XDE2264"/>
      <c r="XDF2264"/>
      <c r="XDG2264"/>
      <c r="XDH2264"/>
      <c r="XDI2264"/>
      <c r="XDJ2264"/>
      <c r="XDK2264"/>
      <c r="XDL2264"/>
      <c r="XDM2264"/>
      <c r="XDN2264"/>
      <c r="XDO2264"/>
      <c r="XDP2264"/>
      <c r="XDQ2264"/>
      <c r="XDR2264"/>
      <c r="XDS2264"/>
      <c r="XDT2264"/>
      <c r="XDU2264"/>
      <c r="XDV2264"/>
      <c r="XDW2264"/>
      <c r="XDX2264"/>
      <c r="XDY2264"/>
      <c r="XDZ2264"/>
      <c r="XEA2264"/>
      <c r="XEB2264"/>
      <c r="XEC2264"/>
      <c r="XED2264"/>
      <c r="XEE2264"/>
      <c r="XEF2264"/>
      <c r="XEG2264"/>
      <c r="XEH2264"/>
      <c r="XEI2264"/>
      <c r="XEJ2264"/>
      <c r="XEK2264"/>
      <c r="XEL2264"/>
      <c r="XEM2264"/>
      <c r="XEN2264"/>
      <c r="XEO2264"/>
      <c r="XEP2264"/>
      <c r="XEQ2264"/>
      <c r="XER2264"/>
      <c r="XES2264"/>
      <c r="XET2264"/>
      <c r="XEU2264"/>
      <c r="XEV2264"/>
      <c r="XEW2264"/>
      <c r="XEX2264"/>
      <c r="XEY2264"/>
      <c r="XEZ2264"/>
      <c r="XFA2264"/>
      <c r="XFB2264"/>
      <c r="XFC2264"/>
    </row>
    <row r="2265" spans="1:20 16329:16383" s="38" customFormat="1" ht="29.1" customHeight="1" outlineLevel="5" x14ac:dyDescent="0.25">
      <c r="A2265" s="49" t="s">
        <v>4077</v>
      </c>
      <c r="B2265" s="50"/>
      <c r="C2265" s="50"/>
      <c r="D2265" s="3" t="s">
        <v>4064</v>
      </c>
      <c r="E2265" s="3"/>
      <c r="F2265" s="51"/>
      <c r="G2265" s="50" t="s">
        <v>102</v>
      </c>
      <c r="H2265" s="52">
        <f>1</f>
        <v>1</v>
      </c>
      <c r="I2265" s="36"/>
      <c r="J2265" s="52">
        <v>1</v>
      </c>
      <c r="K2265" s="53">
        <f>0</f>
        <v>0</v>
      </c>
      <c r="L2265" s="53">
        <f>0</f>
        <v>0</v>
      </c>
      <c r="M2265" s="53">
        <f>0</f>
        <v>0</v>
      </c>
      <c r="N2265" s="54">
        <f t="shared" si="424"/>
        <v>0</v>
      </c>
      <c r="O2265" s="54">
        <f t="shared" si="425"/>
        <v>0</v>
      </c>
      <c r="P2265" s="54">
        <f t="shared" si="426"/>
        <v>0</v>
      </c>
      <c r="Q2265" s="54">
        <f t="shared" si="427"/>
        <v>0</v>
      </c>
      <c r="R2265" s="54">
        <f t="shared" si="428"/>
        <v>0</v>
      </c>
      <c r="S2265" s="54"/>
      <c r="T2265" s="36"/>
      <c r="XDA2265"/>
      <c r="XDB2265"/>
      <c r="XDC2265"/>
      <c r="XDD2265"/>
      <c r="XDE2265"/>
      <c r="XDF2265"/>
      <c r="XDG2265"/>
      <c r="XDH2265"/>
      <c r="XDI2265"/>
      <c r="XDJ2265"/>
      <c r="XDK2265"/>
      <c r="XDL2265"/>
      <c r="XDM2265"/>
      <c r="XDN2265"/>
      <c r="XDO2265"/>
      <c r="XDP2265"/>
      <c r="XDQ2265"/>
      <c r="XDR2265"/>
      <c r="XDS2265"/>
      <c r="XDT2265"/>
      <c r="XDU2265"/>
      <c r="XDV2265"/>
      <c r="XDW2265"/>
      <c r="XDX2265"/>
      <c r="XDY2265"/>
      <c r="XDZ2265"/>
      <c r="XEA2265"/>
      <c r="XEB2265"/>
      <c r="XEC2265"/>
      <c r="XED2265"/>
      <c r="XEE2265"/>
      <c r="XEF2265"/>
      <c r="XEG2265"/>
      <c r="XEH2265"/>
      <c r="XEI2265"/>
      <c r="XEJ2265"/>
      <c r="XEK2265"/>
      <c r="XEL2265"/>
      <c r="XEM2265"/>
      <c r="XEN2265"/>
      <c r="XEO2265"/>
      <c r="XEP2265"/>
      <c r="XEQ2265"/>
      <c r="XER2265"/>
      <c r="XES2265"/>
      <c r="XET2265"/>
      <c r="XEU2265"/>
      <c r="XEV2265"/>
      <c r="XEW2265"/>
      <c r="XEX2265"/>
      <c r="XEY2265"/>
      <c r="XEZ2265"/>
      <c r="XFA2265"/>
      <c r="XFB2265"/>
      <c r="XFC2265"/>
    </row>
    <row r="2266" spans="1:20 16329:16383" s="38" customFormat="1" ht="29.1" customHeight="1" outlineLevel="5" x14ac:dyDescent="0.25">
      <c r="A2266" s="49" t="s">
        <v>4078</v>
      </c>
      <c r="B2266" s="50"/>
      <c r="C2266" s="50"/>
      <c r="D2266" s="3" t="s">
        <v>4020</v>
      </c>
      <c r="E2266" s="3"/>
      <c r="F2266" s="51"/>
      <c r="G2266" s="50" t="s">
        <v>102</v>
      </c>
      <c r="H2266" s="52">
        <f>1</f>
        <v>1</v>
      </c>
      <c r="I2266" s="36"/>
      <c r="J2266" s="52">
        <v>1</v>
      </c>
      <c r="K2266" s="53">
        <f>0</f>
        <v>0</v>
      </c>
      <c r="L2266" s="53">
        <f>0</f>
        <v>0</v>
      </c>
      <c r="M2266" s="53">
        <f>0</f>
        <v>0</v>
      </c>
      <c r="N2266" s="54">
        <f t="shared" si="424"/>
        <v>0</v>
      </c>
      <c r="O2266" s="54">
        <f t="shared" si="425"/>
        <v>0</v>
      </c>
      <c r="P2266" s="54">
        <f t="shared" si="426"/>
        <v>0</v>
      </c>
      <c r="Q2266" s="54">
        <f t="shared" si="427"/>
        <v>0</v>
      </c>
      <c r="R2266" s="54">
        <f t="shared" si="428"/>
        <v>0</v>
      </c>
      <c r="S2266" s="54"/>
      <c r="T2266" s="36"/>
      <c r="XDA2266"/>
      <c r="XDB2266"/>
      <c r="XDC2266"/>
      <c r="XDD2266"/>
      <c r="XDE2266"/>
      <c r="XDF2266"/>
      <c r="XDG2266"/>
      <c r="XDH2266"/>
      <c r="XDI2266"/>
      <c r="XDJ2266"/>
      <c r="XDK2266"/>
      <c r="XDL2266"/>
      <c r="XDM2266"/>
      <c r="XDN2266"/>
      <c r="XDO2266"/>
      <c r="XDP2266"/>
      <c r="XDQ2266"/>
      <c r="XDR2266"/>
      <c r="XDS2266"/>
      <c r="XDT2266"/>
      <c r="XDU2266"/>
      <c r="XDV2266"/>
      <c r="XDW2266"/>
      <c r="XDX2266"/>
      <c r="XDY2266"/>
      <c r="XDZ2266"/>
      <c r="XEA2266"/>
      <c r="XEB2266"/>
      <c r="XEC2266"/>
      <c r="XED2266"/>
      <c r="XEE2266"/>
      <c r="XEF2266"/>
      <c r="XEG2266"/>
      <c r="XEH2266"/>
      <c r="XEI2266"/>
      <c r="XEJ2266"/>
      <c r="XEK2266"/>
      <c r="XEL2266"/>
      <c r="XEM2266"/>
      <c r="XEN2266"/>
      <c r="XEO2266"/>
      <c r="XEP2266"/>
      <c r="XEQ2266"/>
      <c r="XER2266"/>
      <c r="XES2266"/>
      <c r="XET2266"/>
      <c r="XEU2266"/>
      <c r="XEV2266"/>
      <c r="XEW2266"/>
      <c r="XEX2266"/>
      <c r="XEY2266"/>
      <c r="XEZ2266"/>
      <c r="XFA2266"/>
      <c r="XFB2266"/>
      <c r="XFC2266"/>
    </row>
    <row r="2267" spans="1:20 16329:16383" s="38" customFormat="1" ht="29.1" customHeight="1" outlineLevel="4" x14ac:dyDescent="0.25">
      <c r="A2267" s="60" t="s">
        <v>4079</v>
      </c>
      <c r="B2267" s="61" t="s">
        <v>4080</v>
      </c>
      <c r="C2267" s="61"/>
      <c r="D2267" s="1" t="s">
        <v>4081</v>
      </c>
      <c r="E2267" s="1"/>
      <c r="F2267" s="62" t="s">
        <v>4082</v>
      </c>
      <c r="G2267" s="61"/>
      <c r="H2267" s="63"/>
      <c r="I2267" s="36"/>
      <c r="J2267" s="63"/>
      <c r="K2267" s="64"/>
      <c r="L2267" s="64"/>
      <c r="M2267" s="64"/>
      <c r="N2267" s="64"/>
      <c r="O2267" s="64">
        <f>SUM(O2268:O2271)</f>
        <v>0</v>
      </c>
      <c r="P2267" s="64">
        <f>SUM(P2268:P2271)</f>
        <v>0</v>
      </c>
      <c r="Q2267" s="64">
        <f>SUM(Q2268:Q2271)</f>
        <v>0</v>
      </c>
      <c r="R2267" s="64">
        <f>SUM(R2268:R2271)</f>
        <v>0</v>
      </c>
      <c r="S2267" s="64"/>
      <c r="T2267" s="36"/>
      <c r="XDA2267"/>
      <c r="XDB2267"/>
      <c r="XDC2267"/>
      <c r="XDD2267"/>
      <c r="XDE2267"/>
      <c r="XDF2267"/>
      <c r="XDG2267"/>
      <c r="XDH2267"/>
      <c r="XDI2267"/>
      <c r="XDJ2267"/>
      <c r="XDK2267"/>
      <c r="XDL2267"/>
      <c r="XDM2267"/>
      <c r="XDN2267"/>
      <c r="XDO2267"/>
      <c r="XDP2267"/>
      <c r="XDQ2267"/>
      <c r="XDR2267"/>
      <c r="XDS2267"/>
      <c r="XDT2267"/>
      <c r="XDU2267"/>
      <c r="XDV2267"/>
      <c r="XDW2267"/>
      <c r="XDX2267"/>
      <c r="XDY2267"/>
      <c r="XDZ2267"/>
      <c r="XEA2267"/>
      <c r="XEB2267"/>
      <c r="XEC2267"/>
      <c r="XED2267"/>
      <c r="XEE2267"/>
      <c r="XEF2267"/>
      <c r="XEG2267"/>
      <c r="XEH2267"/>
      <c r="XEI2267"/>
      <c r="XEJ2267"/>
      <c r="XEK2267"/>
      <c r="XEL2267"/>
      <c r="XEM2267"/>
      <c r="XEN2267"/>
      <c r="XEO2267"/>
      <c r="XEP2267"/>
      <c r="XEQ2267"/>
      <c r="XER2267"/>
      <c r="XES2267"/>
      <c r="XET2267"/>
      <c r="XEU2267"/>
      <c r="XEV2267"/>
      <c r="XEW2267"/>
      <c r="XEX2267"/>
      <c r="XEY2267"/>
      <c r="XEZ2267"/>
      <c r="XFA2267"/>
      <c r="XFB2267"/>
      <c r="XFC2267"/>
    </row>
    <row r="2268" spans="1:20 16329:16383" s="38" customFormat="1" ht="29.1" customHeight="1" outlineLevel="5" x14ac:dyDescent="0.25">
      <c r="A2268" s="49" t="s">
        <v>4083</v>
      </c>
      <c r="B2268" s="50"/>
      <c r="C2268" s="50"/>
      <c r="D2268" s="3" t="s">
        <v>4084</v>
      </c>
      <c r="E2268" s="3"/>
      <c r="F2268" s="51"/>
      <c r="G2268" s="50" t="s">
        <v>102</v>
      </c>
      <c r="H2268" s="52">
        <f>1</f>
        <v>1</v>
      </c>
      <c r="I2268" s="36"/>
      <c r="J2268" s="52">
        <v>1</v>
      </c>
      <c r="K2268" s="53">
        <f>0</f>
        <v>0</v>
      </c>
      <c r="L2268" s="53">
        <f>0</f>
        <v>0</v>
      </c>
      <c r="M2268" s="53">
        <f>0</f>
        <v>0</v>
      </c>
      <c r="N2268" s="54">
        <f>SUM(K2268:M2268)</f>
        <v>0</v>
      </c>
      <c r="O2268" s="54">
        <f>ROUND((H2268*K2268),2)</f>
        <v>0</v>
      </c>
      <c r="P2268" s="54">
        <f>ROUND((H2268*L2268),2)</f>
        <v>0</v>
      </c>
      <c r="Q2268" s="54">
        <f>ROUND((H2268*M2268),2)</f>
        <v>0</v>
      </c>
      <c r="R2268" s="54">
        <f>ROUND((H2268*N2268),2)</f>
        <v>0</v>
      </c>
      <c r="S2268" s="54"/>
      <c r="T2268" s="36"/>
      <c r="XDA2268"/>
      <c r="XDB2268"/>
      <c r="XDC2268"/>
      <c r="XDD2268"/>
      <c r="XDE2268"/>
      <c r="XDF2268"/>
      <c r="XDG2268"/>
      <c r="XDH2268"/>
      <c r="XDI2268"/>
      <c r="XDJ2268"/>
      <c r="XDK2268"/>
      <c r="XDL2268"/>
      <c r="XDM2268"/>
      <c r="XDN2268"/>
      <c r="XDO2268"/>
      <c r="XDP2268"/>
      <c r="XDQ2268"/>
      <c r="XDR2268"/>
      <c r="XDS2268"/>
      <c r="XDT2268"/>
      <c r="XDU2268"/>
      <c r="XDV2268"/>
      <c r="XDW2268"/>
      <c r="XDX2268"/>
      <c r="XDY2268"/>
      <c r="XDZ2268"/>
      <c r="XEA2268"/>
      <c r="XEB2268"/>
      <c r="XEC2268"/>
      <c r="XED2268"/>
      <c r="XEE2268"/>
      <c r="XEF2268"/>
      <c r="XEG2268"/>
      <c r="XEH2268"/>
      <c r="XEI2268"/>
      <c r="XEJ2268"/>
      <c r="XEK2268"/>
      <c r="XEL2268"/>
      <c r="XEM2268"/>
      <c r="XEN2268"/>
      <c r="XEO2268"/>
      <c r="XEP2268"/>
      <c r="XEQ2268"/>
      <c r="XER2268"/>
      <c r="XES2268"/>
      <c r="XET2268"/>
      <c r="XEU2268"/>
      <c r="XEV2268"/>
      <c r="XEW2268"/>
      <c r="XEX2268"/>
      <c r="XEY2268"/>
      <c r="XEZ2268"/>
      <c r="XFA2268"/>
      <c r="XFB2268"/>
      <c r="XFC2268"/>
    </row>
    <row r="2269" spans="1:20 16329:16383" s="38" customFormat="1" ht="29.1" customHeight="1" outlineLevel="5" x14ac:dyDescent="0.25">
      <c r="A2269" s="49" t="s">
        <v>4085</v>
      </c>
      <c r="B2269" s="50"/>
      <c r="C2269" s="50"/>
      <c r="D2269" s="3" t="s">
        <v>4086</v>
      </c>
      <c r="E2269" s="3"/>
      <c r="F2269" s="51"/>
      <c r="G2269" s="50" t="s">
        <v>102</v>
      </c>
      <c r="H2269" s="52">
        <f>1</f>
        <v>1</v>
      </c>
      <c r="I2269" s="36"/>
      <c r="J2269" s="52">
        <v>1</v>
      </c>
      <c r="K2269" s="53">
        <f>0</f>
        <v>0</v>
      </c>
      <c r="L2269" s="53">
        <f>0</f>
        <v>0</v>
      </c>
      <c r="M2269" s="53">
        <f>0</f>
        <v>0</v>
      </c>
      <c r="N2269" s="54">
        <f>SUM(K2269:M2269)</f>
        <v>0</v>
      </c>
      <c r="O2269" s="54">
        <f>ROUND((H2269*K2269),2)</f>
        <v>0</v>
      </c>
      <c r="P2269" s="54">
        <f>ROUND((H2269*L2269),2)</f>
        <v>0</v>
      </c>
      <c r="Q2269" s="54">
        <f>ROUND((H2269*M2269),2)</f>
        <v>0</v>
      </c>
      <c r="R2269" s="54">
        <f>ROUND((H2269*N2269),2)</f>
        <v>0</v>
      </c>
      <c r="S2269" s="54"/>
      <c r="T2269" s="36"/>
      <c r="XDA2269"/>
      <c r="XDB2269"/>
      <c r="XDC2269"/>
      <c r="XDD2269"/>
      <c r="XDE2269"/>
      <c r="XDF2269"/>
      <c r="XDG2269"/>
      <c r="XDH2269"/>
      <c r="XDI2269"/>
      <c r="XDJ2269"/>
      <c r="XDK2269"/>
      <c r="XDL2269"/>
      <c r="XDM2269"/>
      <c r="XDN2269"/>
      <c r="XDO2269"/>
      <c r="XDP2269"/>
      <c r="XDQ2269"/>
      <c r="XDR2269"/>
      <c r="XDS2269"/>
      <c r="XDT2269"/>
      <c r="XDU2269"/>
      <c r="XDV2269"/>
      <c r="XDW2269"/>
      <c r="XDX2269"/>
      <c r="XDY2269"/>
      <c r="XDZ2269"/>
      <c r="XEA2269"/>
      <c r="XEB2269"/>
      <c r="XEC2269"/>
      <c r="XED2269"/>
      <c r="XEE2269"/>
      <c r="XEF2269"/>
      <c r="XEG2269"/>
      <c r="XEH2269"/>
      <c r="XEI2269"/>
      <c r="XEJ2269"/>
      <c r="XEK2269"/>
      <c r="XEL2269"/>
      <c r="XEM2269"/>
      <c r="XEN2269"/>
      <c r="XEO2269"/>
      <c r="XEP2269"/>
      <c r="XEQ2269"/>
      <c r="XER2269"/>
      <c r="XES2269"/>
      <c r="XET2269"/>
      <c r="XEU2269"/>
      <c r="XEV2269"/>
      <c r="XEW2269"/>
      <c r="XEX2269"/>
      <c r="XEY2269"/>
      <c r="XEZ2269"/>
      <c r="XFA2269"/>
      <c r="XFB2269"/>
      <c r="XFC2269"/>
    </row>
    <row r="2270" spans="1:20 16329:16383" s="38" customFormat="1" ht="29.1" customHeight="1" outlineLevel="5" x14ac:dyDescent="0.25">
      <c r="A2270" s="49" t="s">
        <v>4087</v>
      </c>
      <c r="B2270" s="50"/>
      <c r="C2270" s="50"/>
      <c r="D2270" s="3" t="s">
        <v>4020</v>
      </c>
      <c r="E2270" s="3"/>
      <c r="F2270" s="51"/>
      <c r="G2270" s="50" t="s">
        <v>102</v>
      </c>
      <c r="H2270" s="52">
        <f>1</f>
        <v>1</v>
      </c>
      <c r="I2270" s="36"/>
      <c r="J2270" s="52">
        <v>1</v>
      </c>
      <c r="K2270" s="53">
        <f>0</f>
        <v>0</v>
      </c>
      <c r="L2270" s="53">
        <f>0</f>
        <v>0</v>
      </c>
      <c r="M2270" s="53">
        <f>0</f>
        <v>0</v>
      </c>
      <c r="N2270" s="54">
        <f>SUM(K2270:M2270)</f>
        <v>0</v>
      </c>
      <c r="O2270" s="54">
        <f>ROUND((H2270*K2270),2)</f>
        <v>0</v>
      </c>
      <c r="P2270" s="54">
        <f>ROUND((H2270*L2270),2)</f>
        <v>0</v>
      </c>
      <c r="Q2270" s="54">
        <f>ROUND((H2270*M2270),2)</f>
        <v>0</v>
      </c>
      <c r="R2270" s="54">
        <f>ROUND((H2270*N2270),2)</f>
        <v>0</v>
      </c>
      <c r="S2270" s="54"/>
      <c r="T2270" s="36"/>
      <c r="XDA2270"/>
      <c r="XDB2270"/>
      <c r="XDC2270"/>
      <c r="XDD2270"/>
      <c r="XDE2270"/>
      <c r="XDF2270"/>
      <c r="XDG2270"/>
      <c r="XDH2270"/>
      <c r="XDI2270"/>
      <c r="XDJ2270"/>
      <c r="XDK2270"/>
      <c r="XDL2270"/>
      <c r="XDM2270"/>
      <c r="XDN2270"/>
      <c r="XDO2270"/>
      <c r="XDP2270"/>
      <c r="XDQ2270"/>
      <c r="XDR2270"/>
      <c r="XDS2270"/>
      <c r="XDT2270"/>
      <c r="XDU2270"/>
      <c r="XDV2270"/>
      <c r="XDW2270"/>
      <c r="XDX2270"/>
      <c r="XDY2270"/>
      <c r="XDZ2270"/>
      <c r="XEA2270"/>
      <c r="XEB2270"/>
      <c r="XEC2270"/>
      <c r="XED2270"/>
      <c r="XEE2270"/>
      <c r="XEF2270"/>
      <c r="XEG2270"/>
      <c r="XEH2270"/>
      <c r="XEI2270"/>
      <c r="XEJ2270"/>
      <c r="XEK2270"/>
      <c r="XEL2270"/>
      <c r="XEM2270"/>
      <c r="XEN2270"/>
      <c r="XEO2270"/>
      <c r="XEP2270"/>
      <c r="XEQ2270"/>
      <c r="XER2270"/>
      <c r="XES2270"/>
      <c r="XET2270"/>
      <c r="XEU2270"/>
      <c r="XEV2270"/>
      <c r="XEW2270"/>
      <c r="XEX2270"/>
      <c r="XEY2270"/>
      <c r="XEZ2270"/>
      <c r="XFA2270"/>
      <c r="XFB2270"/>
      <c r="XFC2270"/>
    </row>
    <row r="2271" spans="1:20 16329:16383" s="38" customFormat="1" ht="29.1" customHeight="1" outlineLevel="5" x14ac:dyDescent="0.25">
      <c r="A2271" s="49" t="s">
        <v>4088</v>
      </c>
      <c r="B2271" s="50"/>
      <c r="C2271" s="50"/>
      <c r="D2271" s="3" t="s">
        <v>4089</v>
      </c>
      <c r="E2271" s="3"/>
      <c r="F2271" s="51"/>
      <c r="G2271" s="50" t="s">
        <v>102</v>
      </c>
      <c r="H2271" s="52">
        <f>1</f>
        <v>1</v>
      </c>
      <c r="I2271" s="36"/>
      <c r="J2271" s="52">
        <v>1</v>
      </c>
      <c r="K2271" s="53">
        <f>0</f>
        <v>0</v>
      </c>
      <c r="L2271" s="53">
        <f>0</f>
        <v>0</v>
      </c>
      <c r="M2271" s="53">
        <f>0</f>
        <v>0</v>
      </c>
      <c r="N2271" s="54">
        <f>SUM(K2271:M2271)</f>
        <v>0</v>
      </c>
      <c r="O2271" s="54">
        <f>ROUND((H2271*K2271),2)</f>
        <v>0</v>
      </c>
      <c r="P2271" s="54">
        <f>ROUND((H2271*L2271),2)</f>
        <v>0</v>
      </c>
      <c r="Q2271" s="54">
        <f>ROUND((H2271*M2271),2)</f>
        <v>0</v>
      </c>
      <c r="R2271" s="54">
        <f>ROUND((H2271*N2271),2)</f>
        <v>0</v>
      </c>
      <c r="S2271" s="54"/>
      <c r="T2271" s="36"/>
      <c r="XDA2271"/>
      <c r="XDB2271"/>
      <c r="XDC2271"/>
      <c r="XDD2271"/>
      <c r="XDE2271"/>
      <c r="XDF2271"/>
      <c r="XDG2271"/>
      <c r="XDH2271"/>
      <c r="XDI2271"/>
      <c r="XDJ2271"/>
      <c r="XDK2271"/>
      <c r="XDL2271"/>
      <c r="XDM2271"/>
      <c r="XDN2271"/>
      <c r="XDO2271"/>
      <c r="XDP2271"/>
      <c r="XDQ2271"/>
      <c r="XDR2271"/>
      <c r="XDS2271"/>
      <c r="XDT2271"/>
      <c r="XDU2271"/>
      <c r="XDV2271"/>
      <c r="XDW2271"/>
      <c r="XDX2271"/>
      <c r="XDY2271"/>
      <c r="XDZ2271"/>
      <c r="XEA2271"/>
      <c r="XEB2271"/>
      <c r="XEC2271"/>
      <c r="XED2271"/>
      <c r="XEE2271"/>
      <c r="XEF2271"/>
      <c r="XEG2271"/>
      <c r="XEH2271"/>
      <c r="XEI2271"/>
      <c r="XEJ2271"/>
      <c r="XEK2271"/>
      <c r="XEL2271"/>
      <c r="XEM2271"/>
      <c r="XEN2271"/>
      <c r="XEO2271"/>
      <c r="XEP2271"/>
      <c r="XEQ2271"/>
      <c r="XER2271"/>
      <c r="XES2271"/>
      <c r="XET2271"/>
      <c r="XEU2271"/>
      <c r="XEV2271"/>
      <c r="XEW2271"/>
      <c r="XEX2271"/>
      <c r="XEY2271"/>
      <c r="XEZ2271"/>
      <c r="XFA2271"/>
      <c r="XFB2271"/>
      <c r="XFC2271"/>
    </row>
    <row r="2272" spans="1:20 16329:16383" s="38" customFormat="1" ht="29.1" customHeight="1" outlineLevel="3" x14ac:dyDescent="0.25">
      <c r="A2272" s="55" t="s">
        <v>4090</v>
      </c>
      <c r="B2272" s="56" t="s">
        <v>4091</v>
      </c>
      <c r="C2272" s="56"/>
      <c r="D2272" s="2" t="s">
        <v>4092</v>
      </c>
      <c r="E2272" s="2"/>
      <c r="F2272" s="57"/>
      <c r="G2272" s="56"/>
      <c r="H2272" s="58"/>
      <c r="I2272" s="36"/>
      <c r="J2272" s="58"/>
      <c r="K2272" s="59"/>
      <c r="L2272" s="59"/>
      <c r="M2272" s="59"/>
      <c r="N2272" s="59"/>
      <c r="O2272" s="59">
        <f>O2273+O2279+O2288</f>
        <v>0</v>
      </c>
      <c r="P2272" s="59">
        <f>P2273+P2279+P2288</f>
        <v>0</v>
      </c>
      <c r="Q2272" s="59">
        <f>Q2273+Q2279+Q2288</f>
        <v>0</v>
      </c>
      <c r="R2272" s="59">
        <f>R2273+R2279+R2288</f>
        <v>0</v>
      </c>
      <c r="S2272" s="59"/>
      <c r="T2272" s="36"/>
      <c r="XDA2272"/>
      <c r="XDB2272"/>
      <c r="XDC2272"/>
      <c r="XDD2272"/>
      <c r="XDE2272"/>
      <c r="XDF2272"/>
      <c r="XDG2272"/>
      <c r="XDH2272"/>
      <c r="XDI2272"/>
      <c r="XDJ2272"/>
      <c r="XDK2272"/>
      <c r="XDL2272"/>
      <c r="XDM2272"/>
      <c r="XDN2272"/>
      <c r="XDO2272"/>
      <c r="XDP2272"/>
      <c r="XDQ2272"/>
      <c r="XDR2272"/>
      <c r="XDS2272"/>
      <c r="XDT2272"/>
      <c r="XDU2272"/>
      <c r="XDV2272"/>
      <c r="XDW2272"/>
      <c r="XDX2272"/>
      <c r="XDY2272"/>
      <c r="XDZ2272"/>
      <c r="XEA2272"/>
      <c r="XEB2272"/>
      <c r="XEC2272"/>
      <c r="XED2272"/>
      <c r="XEE2272"/>
      <c r="XEF2272"/>
      <c r="XEG2272"/>
      <c r="XEH2272"/>
      <c r="XEI2272"/>
      <c r="XEJ2272"/>
      <c r="XEK2272"/>
      <c r="XEL2272"/>
      <c r="XEM2272"/>
      <c r="XEN2272"/>
      <c r="XEO2272"/>
      <c r="XEP2272"/>
      <c r="XEQ2272"/>
      <c r="XER2272"/>
      <c r="XES2272"/>
      <c r="XET2272"/>
      <c r="XEU2272"/>
      <c r="XEV2272"/>
      <c r="XEW2272"/>
      <c r="XEX2272"/>
      <c r="XEY2272"/>
      <c r="XEZ2272"/>
      <c r="XFA2272"/>
      <c r="XFB2272"/>
      <c r="XFC2272"/>
    </row>
    <row r="2273" spans="1:20 16329:16383" s="38" customFormat="1" ht="29.1" customHeight="1" outlineLevel="4" x14ac:dyDescent="0.25">
      <c r="A2273" s="60" t="s">
        <v>4093</v>
      </c>
      <c r="B2273" s="61" t="s">
        <v>4094</v>
      </c>
      <c r="C2273" s="61"/>
      <c r="D2273" s="1" t="s">
        <v>4095</v>
      </c>
      <c r="E2273" s="1"/>
      <c r="F2273" s="62" t="s">
        <v>4096</v>
      </c>
      <c r="G2273" s="61"/>
      <c r="H2273" s="63"/>
      <c r="I2273" s="36"/>
      <c r="J2273" s="63"/>
      <c r="K2273" s="64"/>
      <c r="L2273" s="64"/>
      <c r="M2273" s="64"/>
      <c r="N2273" s="64"/>
      <c r="O2273" s="64">
        <f>SUM(O2274:O2278)</f>
        <v>0</v>
      </c>
      <c r="P2273" s="64">
        <f>SUM(P2274:P2278)</f>
        <v>0</v>
      </c>
      <c r="Q2273" s="64">
        <f>SUM(Q2274:Q2278)</f>
        <v>0</v>
      </c>
      <c r="R2273" s="64">
        <f>SUM(R2274:R2278)</f>
        <v>0</v>
      </c>
      <c r="S2273" s="64"/>
      <c r="T2273" s="36"/>
      <c r="XDA2273"/>
      <c r="XDB2273"/>
      <c r="XDC2273"/>
      <c r="XDD2273"/>
      <c r="XDE2273"/>
      <c r="XDF2273"/>
      <c r="XDG2273"/>
      <c r="XDH2273"/>
      <c r="XDI2273"/>
      <c r="XDJ2273"/>
      <c r="XDK2273"/>
      <c r="XDL2273"/>
      <c r="XDM2273"/>
      <c r="XDN2273"/>
      <c r="XDO2273"/>
      <c r="XDP2273"/>
      <c r="XDQ2273"/>
      <c r="XDR2273"/>
      <c r="XDS2273"/>
      <c r="XDT2273"/>
      <c r="XDU2273"/>
      <c r="XDV2273"/>
      <c r="XDW2273"/>
      <c r="XDX2273"/>
      <c r="XDY2273"/>
      <c r="XDZ2273"/>
      <c r="XEA2273"/>
      <c r="XEB2273"/>
      <c r="XEC2273"/>
      <c r="XED2273"/>
      <c r="XEE2273"/>
      <c r="XEF2273"/>
      <c r="XEG2273"/>
      <c r="XEH2273"/>
      <c r="XEI2273"/>
      <c r="XEJ2273"/>
      <c r="XEK2273"/>
      <c r="XEL2273"/>
      <c r="XEM2273"/>
      <c r="XEN2273"/>
      <c r="XEO2273"/>
      <c r="XEP2273"/>
      <c r="XEQ2273"/>
      <c r="XER2273"/>
      <c r="XES2273"/>
      <c r="XET2273"/>
      <c r="XEU2273"/>
      <c r="XEV2273"/>
      <c r="XEW2273"/>
      <c r="XEX2273"/>
      <c r="XEY2273"/>
      <c r="XEZ2273"/>
      <c r="XFA2273"/>
      <c r="XFB2273"/>
      <c r="XFC2273"/>
    </row>
    <row r="2274" spans="1:20 16329:16383" s="38" customFormat="1" ht="29.1" customHeight="1" outlineLevel="5" x14ac:dyDescent="0.25">
      <c r="A2274" s="49" t="s">
        <v>4097</v>
      </c>
      <c r="B2274" s="50"/>
      <c r="C2274" s="50"/>
      <c r="D2274" s="3" t="s">
        <v>4098</v>
      </c>
      <c r="E2274" s="3"/>
      <c r="F2274" s="51"/>
      <c r="G2274" s="50" t="s">
        <v>102</v>
      </c>
      <c r="H2274" s="52">
        <f>1</f>
        <v>1</v>
      </c>
      <c r="I2274" s="36"/>
      <c r="J2274" s="52">
        <v>1</v>
      </c>
      <c r="K2274" s="53">
        <f>0</f>
        <v>0</v>
      </c>
      <c r="L2274" s="53">
        <f>0</f>
        <v>0</v>
      </c>
      <c r="M2274" s="53">
        <f>0</f>
        <v>0</v>
      </c>
      <c r="N2274" s="54">
        <f>SUM(K2274:M2274)</f>
        <v>0</v>
      </c>
      <c r="O2274" s="54">
        <f>ROUND((H2274*K2274),2)</f>
        <v>0</v>
      </c>
      <c r="P2274" s="54">
        <f>ROUND((H2274*L2274),2)</f>
        <v>0</v>
      </c>
      <c r="Q2274" s="54">
        <f>ROUND((H2274*M2274),2)</f>
        <v>0</v>
      </c>
      <c r="R2274" s="54">
        <f>ROUND((H2274*N2274),2)</f>
        <v>0</v>
      </c>
      <c r="S2274" s="54"/>
      <c r="T2274" s="36"/>
      <c r="XDA2274"/>
      <c r="XDB2274"/>
      <c r="XDC2274"/>
      <c r="XDD2274"/>
      <c r="XDE2274"/>
      <c r="XDF2274"/>
      <c r="XDG2274"/>
      <c r="XDH2274"/>
      <c r="XDI2274"/>
      <c r="XDJ2274"/>
      <c r="XDK2274"/>
      <c r="XDL2274"/>
      <c r="XDM2274"/>
      <c r="XDN2274"/>
      <c r="XDO2274"/>
      <c r="XDP2274"/>
      <c r="XDQ2274"/>
      <c r="XDR2274"/>
      <c r="XDS2274"/>
      <c r="XDT2274"/>
      <c r="XDU2274"/>
      <c r="XDV2274"/>
      <c r="XDW2274"/>
      <c r="XDX2274"/>
      <c r="XDY2274"/>
      <c r="XDZ2274"/>
      <c r="XEA2274"/>
      <c r="XEB2274"/>
      <c r="XEC2274"/>
      <c r="XED2274"/>
      <c r="XEE2274"/>
      <c r="XEF2274"/>
      <c r="XEG2274"/>
      <c r="XEH2274"/>
      <c r="XEI2274"/>
      <c r="XEJ2274"/>
      <c r="XEK2274"/>
      <c r="XEL2274"/>
      <c r="XEM2274"/>
      <c r="XEN2274"/>
      <c r="XEO2274"/>
      <c r="XEP2274"/>
      <c r="XEQ2274"/>
      <c r="XER2274"/>
      <c r="XES2274"/>
      <c r="XET2274"/>
      <c r="XEU2274"/>
      <c r="XEV2274"/>
      <c r="XEW2274"/>
      <c r="XEX2274"/>
      <c r="XEY2274"/>
      <c r="XEZ2274"/>
      <c r="XFA2274"/>
      <c r="XFB2274"/>
      <c r="XFC2274"/>
    </row>
    <row r="2275" spans="1:20 16329:16383" s="38" customFormat="1" ht="29.1" customHeight="1" outlineLevel="5" x14ac:dyDescent="0.25">
      <c r="A2275" s="49" t="s">
        <v>4099</v>
      </c>
      <c r="B2275" s="50"/>
      <c r="C2275" s="50"/>
      <c r="D2275" s="3" t="s">
        <v>4100</v>
      </c>
      <c r="E2275" s="3"/>
      <c r="F2275" s="51"/>
      <c r="G2275" s="50" t="s">
        <v>102</v>
      </c>
      <c r="H2275" s="52">
        <f>1</f>
        <v>1</v>
      </c>
      <c r="I2275" s="36"/>
      <c r="J2275" s="52">
        <v>1</v>
      </c>
      <c r="K2275" s="53">
        <f>0</f>
        <v>0</v>
      </c>
      <c r="L2275" s="53">
        <f>0</f>
        <v>0</v>
      </c>
      <c r="M2275" s="53">
        <f>0</f>
        <v>0</v>
      </c>
      <c r="N2275" s="54">
        <f>SUM(K2275:M2275)</f>
        <v>0</v>
      </c>
      <c r="O2275" s="54">
        <f>ROUND((H2275*K2275),2)</f>
        <v>0</v>
      </c>
      <c r="P2275" s="54">
        <f>ROUND((H2275*L2275),2)</f>
        <v>0</v>
      </c>
      <c r="Q2275" s="54">
        <f>ROUND((H2275*M2275),2)</f>
        <v>0</v>
      </c>
      <c r="R2275" s="54">
        <f>ROUND((H2275*N2275),2)</f>
        <v>0</v>
      </c>
      <c r="S2275" s="54"/>
      <c r="T2275" s="36"/>
      <c r="XDA2275"/>
      <c r="XDB2275"/>
      <c r="XDC2275"/>
      <c r="XDD2275"/>
      <c r="XDE2275"/>
      <c r="XDF2275"/>
      <c r="XDG2275"/>
      <c r="XDH2275"/>
      <c r="XDI2275"/>
      <c r="XDJ2275"/>
      <c r="XDK2275"/>
      <c r="XDL2275"/>
      <c r="XDM2275"/>
      <c r="XDN2275"/>
      <c r="XDO2275"/>
      <c r="XDP2275"/>
      <c r="XDQ2275"/>
      <c r="XDR2275"/>
      <c r="XDS2275"/>
      <c r="XDT2275"/>
      <c r="XDU2275"/>
      <c r="XDV2275"/>
      <c r="XDW2275"/>
      <c r="XDX2275"/>
      <c r="XDY2275"/>
      <c r="XDZ2275"/>
      <c r="XEA2275"/>
      <c r="XEB2275"/>
      <c r="XEC2275"/>
      <c r="XED2275"/>
      <c r="XEE2275"/>
      <c r="XEF2275"/>
      <c r="XEG2275"/>
      <c r="XEH2275"/>
      <c r="XEI2275"/>
      <c r="XEJ2275"/>
      <c r="XEK2275"/>
      <c r="XEL2275"/>
      <c r="XEM2275"/>
      <c r="XEN2275"/>
      <c r="XEO2275"/>
      <c r="XEP2275"/>
      <c r="XEQ2275"/>
      <c r="XER2275"/>
      <c r="XES2275"/>
      <c r="XET2275"/>
      <c r="XEU2275"/>
      <c r="XEV2275"/>
      <c r="XEW2275"/>
      <c r="XEX2275"/>
      <c r="XEY2275"/>
      <c r="XEZ2275"/>
      <c r="XFA2275"/>
      <c r="XFB2275"/>
      <c r="XFC2275"/>
    </row>
    <row r="2276" spans="1:20 16329:16383" s="38" customFormat="1" ht="29.1" customHeight="1" outlineLevel="5" x14ac:dyDescent="0.25">
      <c r="A2276" s="49" t="s">
        <v>4101</v>
      </c>
      <c r="B2276" s="50"/>
      <c r="C2276" s="50"/>
      <c r="D2276" s="3" t="s">
        <v>4102</v>
      </c>
      <c r="E2276" s="3"/>
      <c r="F2276" s="51"/>
      <c r="G2276" s="50" t="s">
        <v>102</v>
      </c>
      <c r="H2276" s="52">
        <f>1</f>
        <v>1</v>
      </c>
      <c r="I2276" s="36"/>
      <c r="J2276" s="52">
        <v>1</v>
      </c>
      <c r="K2276" s="53">
        <f>0</f>
        <v>0</v>
      </c>
      <c r="L2276" s="53">
        <f>0</f>
        <v>0</v>
      </c>
      <c r="M2276" s="53">
        <f>0</f>
        <v>0</v>
      </c>
      <c r="N2276" s="54">
        <f>SUM(K2276:M2276)</f>
        <v>0</v>
      </c>
      <c r="O2276" s="54">
        <f>ROUND((H2276*K2276),2)</f>
        <v>0</v>
      </c>
      <c r="P2276" s="54">
        <f>ROUND((H2276*L2276),2)</f>
        <v>0</v>
      </c>
      <c r="Q2276" s="54">
        <f>ROUND((H2276*M2276),2)</f>
        <v>0</v>
      </c>
      <c r="R2276" s="54">
        <f>ROUND((H2276*N2276),2)</f>
        <v>0</v>
      </c>
      <c r="S2276" s="54"/>
      <c r="T2276" s="36"/>
      <c r="XDA2276"/>
      <c r="XDB2276"/>
      <c r="XDC2276"/>
      <c r="XDD2276"/>
      <c r="XDE2276"/>
      <c r="XDF2276"/>
      <c r="XDG2276"/>
      <c r="XDH2276"/>
      <c r="XDI2276"/>
      <c r="XDJ2276"/>
      <c r="XDK2276"/>
      <c r="XDL2276"/>
      <c r="XDM2276"/>
      <c r="XDN2276"/>
      <c r="XDO2276"/>
      <c r="XDP2276"/>
      <c r="XDQ2276"/>
      <c r="XDR2276"/>
      <c r="XDS2276"/>
      <c r="XDT2276"/>
      <c r="XDU2276"/>
      <c r="XDV2276"/>
      <c r="XDW2276"/>
      <c r="XDX2276"/>
      <c r="XDY2276"/>
      <c r="XDZ2276"/>
      <c r="XEA2276"/>
      <c r="XEB2276"/>
      <c r="XEC2276"/>
      <c r="XED2276"/>
      <c r="XEE2276"/>
      <c r="XEF2276"/>
      <c r="XEG2276"/>
      <c r="XEH2276"/>
      <c r="XEI2276"/>
      <c r="XEJ2276"/>
      <c r="XEK2276"/>
      <c r="XEL2276"/>
      <c r="XEM2276"/>
      <c r="XEN2276"/>
      <c r="XEO2276"/>
      <c r="XEP2276"/>
      <c r="XEQ2276"/>
      <c r="XER2276"/>
      <c r="XES2276"/>
      <c r="XET2276"/>
      <c r="XEU2276"/>
      <c r="XEV2276"/>
      <c r="XEW2276"/>
      <c r="XEX2276"/>
      <c r="XEY2276"/>
      <c r="XEZ2276"/>
      <c r="XFA2276"/>
      <c r="XFB2276"/>
      <c r="XFC2276"/>
    </row>
    <row r="2277" spans="1:20 16329:16383" s="38" customFormat="1" ht="29.1" customHeight="1" outlineLevel="5" x14ac:dyDescent="0.25">
      <c r="A2277" s="49" t="s">
        <v>4103</v>
      </c>
      <c r="B2277" s="50"/>
      <c r="C2277" s="50"/>
      <c r="D2277" s="3" t="s">
        <v>4020</v>
      </c>
      <c r="E2277" s="3"/>
      <c r="F2277" s="51"/>
      <c r="G2277" s="50" t="s">
        <v>102</v>
      </c>
      <c r="H2277" s="52">
        <f>1</f>
        <v>1</v>
      </c>
      <c r="I2277" s="36"/>
      <c r="J2277" s="52">
        <v>1</v>
      </c>
      <c r="K2277" s="53">
        <f>0</f>
        <v>0</v>
      </c>
      <c r="L2277" s="53">
        <f>0</f>
        <v>0</v>
      </c>
      <c r="M2277" s="53">
        <f>0</f>
        <v>0</v>
      </c>
      <c r="N2277" s="54">
        <f>SUM(K2277:M2277)</f>
        <v>0</v>
      </c>
      <c r="O2277" s="54">
        <f>ROUND((H2277*K2277),2)</f>
        <v>0</v>
      </c>
      <c r="P2277" s="54">
        <f>ROUND((H2277*L2277),2)</f>
        <v>0</v>
      </c>
      <c r="Q2277" s="54">
        <f>ROUND((H2277*M2277),2)</f>
        <v>0</v>
      </c>
      <c r="R2277" s="54">
        <f>ROUND((H2277*N2277),2)</f>
        <v>0</v>
      </c>
      <c r="S2277" s="54"/>
      <c r="T2277" s="36"/>
      <c r="XDA2277"/>
      <c r="XDB2277"/>
      <c r="XDC2277"/>
      <c r="XDD2277"/>
      <c r="XDE2277"/>
      <c r="XDF2277"/>
      <c r="XDG2277"/>
      <c r="XDH2277"/>
      <c r="XDI2277"/>
      <c r="XDJ2277"/>
      <c r="XDK2277"/>
      <c r="XDL2277"/>
      <c r="XDM2277"/>
      <c r="XDN2277"/>
      <c r="XDO2277"/>
      <c r="XDP2277"/>
      <c r="XDQ2277"/>
      <c r="XDR2277"/>
      <c r="XDS2277"/>
      <c r="XDT2277"/>
      <c r="XDU2277"/>
      <c r="XDV2277"/>
      <c r="XDW2277"/>
      <c r="XDX2277"/>
      <c r="XDY2277"/>
      <c r="XDZ2277"/>
      <c r="XEA2277"/>
      <c r="XEB2277"/>
      <c r="XEC2277"/>
      <c r="XED2277"/>
      <c r="XEE2277"/>
      <c r="XEF2277"/>
      <c r="XEG2277"/>
      <c r="XEH2277"/>
      <c r="XEI2277"/>
      <c r="XEJ2277"/>
      <c r="XEK2277"/>
      <c r="XEL2277"/>
      <c r="XEM2277"/>
      <c r="XEN2277"/>
      <c r="XEO2277"/>
      <c r="XEP2277"/>
      <c r="XEQ2277"/>
      <c r="XER2277"/>
      <c r="XES2277"/>
      <c r="XET2277"/>
      <c r="XEU2277"/>
      <c r="XEV2277"/>
      <c r="XEW2277"/>
      <c r="XEX2277"/>
      <c r="XEY2277"/>
      <c r="XEZ2277"/>
      <c r="XFA2277"/>
      <c r="XFB2277"/>
      <c r="XFC2277"/>
    </row>
    <row r="2278" spans="1:20 16329:16383" s="38" customFormat="1" ht="29.1" customHeight="1" outlineLevel="5" x14ac:dyDescent="0.25">
      <c r="A2278" s="49" t="s">
        <v>4104</v>
      </c>
      <c r="B2278" s="50"/>
      <c r="C2278" s="50"/>
      <c r="D2278" s="3" t="s">
        <v>4089</v>
      </c>
      <c r="E2278" s="3"/>
      <c r="F2278" s="51"/>
      <c r="G2278" s="50" t="s">
        <v>102</v>
      </c>
      <c r="H2278" s="52">
        <f>1</f>
        <v>1</v>
      </c>
      <c r="I2278" s="36"/>
      <c r="J2278" s="52">
        <v>1</v>
      </c>
      <c r="K2278" s="53">
        <f>0</f>
        <v>0</v>
      </c>
      <c r="L2278" s="53">
        <f>0</f>
        <v>0</v>
      </c>
      <c r="M2278" s="53">
        <f>0</f>
        <v>0</v>
      </c>
      <c r="N2278" s="54">
        <f>SUM(K2278:M2278)</f>
        <v>0</v>
      </c>
      <c r="O2278" s="54">
        <f>ROUND((H2278*K2278),2)</f>
        <v>0</v>
      </c>
      <c r="P2278" s="54">
        <f>ROUND((H2278*L2278),2)</f>
        <v>0</v>
      </c>
      <c r="Q2278" s="54">
        <f>ROUND((H2278*M2278),2)</f>
        <v>0</v>
      </c>
      <c r="R2278" s="54">
        <f>ROUND((H2278*N2278),2)</f>
        <v>0</v>
      </c>
      <c r="S2278" s="54"/>
      <c r="T2278" s="36"/>
      <c r="XDA2278"/>
      <c r="XDB2278"/>
      <c r="XDC2278"/>
      <c r="XDD2278"/>
      <c r="XDE2278"/>
      <c r="XDF2278"/>
      <c r="XDG2278"/>
      <c r="XDH2278"/>
      <c r="XDI2278"/>
      <c r="XDJ2278"/>
      <c r="XDK2278"/>
      <c r="XDL2278"/>
      <c r="XDM2278"/>
      <c r="XDN2278"/>
      <c r="XDO2278"/>
      <c r="XDP2278"/>
      <c r="XDQ2278"/>
      <c r="XDR2278"/>
      <c r="XDS2278"/>
      <c r="XDT2278"/>
      <c r="XDU2278"/>
      <c r="XDV2278"/>
      <c r="XDW2278"/>
      <c r="XDX2278"/>
      <c r="XDY2278"/>
      <c r="XDZ2278"/>
      <c r="XEA2278"/>
      <c r="XEB2278"/>
      <c r="XEC2278"/>
      <c r="XED2278"/>
      <c r="XEE2278"/>
      <c r="XEF2278"/>
      <c r="XEG2278"/>
      <c r="XEH2278"/>
      <c r="XEI2278"/>
      <c r="XEJ2278"/>
      <c r="XEK2278"/>
      <c r="XEL2278"/>
      <c r="XEM2278"/>
      <c r="XEN2278"/>
      <c r="XEO2278"/>
      <c r="XEP2278"/>
      <c r="XEQ2278"/>
      <c r="XER2278"/>
      <c r="XES2278"/>
      <c r="XET2278"/>
      <c r="XEU2278"/>
      <c r="XEV2278"/>
      <c r="XEW2278"/>
      <c r="XEX2278"/>
      <c r="XEY2278"/>
      <c r="XEZ2278"/>
      <c r="XFA2278"/>
      <c r="XFB2278"/>
      <c r="XFC2278"/>
    </row>
    <row r="2279" spans="1:20 16329:16383" s="38" customFormat="1" ht="29.1" customHeight="1" outlineLevel="4" x14ac:dyDescent="0.25">
      <c r="A2279" s="60" t="s">
        <v>4105</v>
      </c>
      <c r="B2279" s="61" t="s">
        <v>4106</v>
      </c>
      <c r="C2279" s="61"/>
      <c r="D2279" s="1" t="s">
        <v>4107</v>
      </c>
      <c r="E2279" s="1"/>
      <c r="F2279" s="62" t="s">
        <v>4108</v>
      </c>
      <c r="G2279" s="61"/>
      <c r="H2279" s="63"/>
      <c r="I2279" s="36"/>
      <c r="J2279" s="63"/>
      <c r="K2279" s="64"/>
      <c r="L2279" s="64"/>
      <c r="M2279" s="64"/>
      <c r="N2279" s="64"/>
      <c r="O2279" s="64">
        <f>SUM(O2280:O2287)</f>
        <v>0</v>
      </c>
      <c r="P2279" s="64">
        <f>SUM(P2280:P2287)</f>
        <v>0</v>
      </c>
      <c r="Q2279" s="64">
        <f>SUM(Q2280:Q2287)</f>
        <v>0</v>
      </c>
      <c r="R2279" s="64">
        <f>SUM(R2280:R2287)</f>
        <v>0</v>
      </c>
      <c r="S2279" s="64"/>
      <c r="T2279" s="36"/>
      <c r="XDA2279"/>
      <c r="XDB2279"/>
      <c r="XDC2279"/>
      <c r="XDD2279"/>
      <c r="XDE2279"/>
      <c r="XDF2279"/>
      <c r="XDG2279"/>
      <c r="XDH2279"/>
      <c r="XDI2279"/>
      <c r="XDJ2279"/>
      <c r="XDK2279"/>
      <c r="XDL2279"/>
      <c r="XDM2279"/>
      <c r="XDN2279"/>
      <c r="XDO2279"/>
      <c r="XDP2279"/>
      <c r="XDQ2279"/>
      <c r="XDR2279"/>
      <c r="XDS2279"/>
      <c r="XDT2279"/>
      <c r="XDU2279"/>
      <c r="XDV2279"/>
      <c r="XDW2279"/>
      <c r="XDX2279"/>
      <c r="XDY2279"/>
      <c r="XDZ2279"/>
      <c r="XEA2279"/>
      <c r="XEB2279"/>
      <c r="XEC2279"/>
      <c r="XED2279"/>
      <c r="XEE2279"/>
      <c r="XEF2279"/>
      <c r="XEG2279"/>
      <c r="XEH2279"/>
      <c r="XEI2279"/>
      <c r="XEJ2279"/>
      <c r="XEK2279"/>
      <c r="XEL2279"/>
      <c r="XEM2279"/>
      <c r="XEN2279"/>
      <c r="XEO2279"/>
      <c r="XEP2279"/>
      <c r="XEQ2279"/>
      <c r="XER2279"/>
      <c r="XES2279"/>
      <c r="XET2279"/>
      <c r="XEU2279"/>
      <c r="XEV2279"/>
      <c r="XEW2279"/>
      <c r="XEX2279"/>
      <c r="XEY2279"/>
      <c r="XEZ2279"/>
      <c r="XFA2279"/>
      <c r="XFB2279"/>
      <c r="XFC2279"/>
    </row>
    <row r="2280" spans="1:20 16329:16383" s="38" customFormat="1" ht="29.1" customHeight="1" outlineLevel="5" x14ac:dyDescent="0.25">
      <c r="A2280" s="49" t="s">
        <v>4109</v>
      </c>
      <c r="B2280" s="50"/>
      <c r="C2280" s="50"/>
      <c r="D2280" s="3" t="s">
        <v>4110</v>
      </c>
      <c r="E2280" s="3"/>
      <c r="F2280" s="51"/>
      <c r="G2280" s="50" t="s">
        <v>102</v>
      </c>
      <c r="H2280" s="52">
        <f>1</f>
        <v>1</v>
      </c>
      <c r="I2280" s="36"/>
      <c r="J2280" s="52">
        <v>1</v>
      </c>
      <c r="K2280" s="53">
        <f>0</f>
        <v>0</v>
      </c>
      <c r="L2280" s="53">
        <f>0</f>
        <v>0</v>
      </c>
      <c r="M2280" s="53">
        <f>0</f>
        <v>0</v>
      </c>
      <c r="N2280" s="54">
        <f t="shared" ref="N2280:N2287" si="429">SUM(K2280:M2280)</f>
        <v>0</v>
      </c>
      <c r="O2280" s="54">
        <f t="shared" ref="O2280:O2287" si="430">ROUND((H2280*K2280),2)</f>
        <v>0</v>
      </c>
      <c r="P2280" s="54">
        <f t="shared" ref="P2280:P2287" si="431">ROUND((H2280*L2280),2)</f>
        <v>0</v>
      </c>
      <c r="Q2280" s="54">
        <f t="shared" ref="Q2280:Q2287" si="432">ROUND((H2280*M2280),2)</f>
        <v>0</v>
      </c>
      <c r="R2280" s="54">
        <f t="shared" ref="R2280:R2287" si="433">ROUND((H2280*N2280),2)</f>
        <v>0</v>
      </c>
      <c r="S2280" s="54"/>
      <c r="T2280" s="36"/>
      <c r="XDA2280"/>
      <c r="XDB2280"/>
      <c r="XDC2280"/>
      <c r="XDD2280"/>
      <c r="XDE2280"/>
      <c r="XDF2280"/>
      <c r="XDG2280"/>
      <c r="XDH2280"/>
      <c r="XDI2280"/>
      <c r="XDJ2280"/>
      <c r="XDK2280"/>
      <c r="XDL2280"/>
      <c r="XDM2280"/>
      <c r="XDN2280"/>
      <c r="XDO2280"/>
      <c r="XDP2280"/>
      <c r="XDQ2280"/>
      <c r="XDR2280"/>
      <c r="XDS2280"/>
      <c r="XDT2280"/>
      <c r="XDU2280"/>
      <c r="XDV2280"/>
      <c r="XDW2280"/>
      <c r="XDX2280"/>
      <c r="XDY2280"/>
      <c r="XDZ2280"/>
      <c r="XEA2280"/>
      <c r="XEB2280"/>
      <c r="XEC2280"/>
      <c r="XED2280"/>
      <c r="XEE2280"/>
      <c r="XEF2280"/>
      <c r="XEG2280"/>
      <c r="XEH2280"/>
      <c r="XEI2280"/>
      <c r="XEJ2280"/>
      <c r="XEK2280"/>
      <c r="XEL2280"/>
      <c r="XEM2280"/>
      <c r="XEN2280"/>
      <c r="XEO2280"/>
      <c r="XEP2280"/>
      <c r="XEQ2280"/>
      <c r="XER2280"/>
      <c r="XES2280"/>
      <c r="XET2280"/>
      <c r="XEU2280"/>
      <c r="XEV2280"/>
      <c r="XEW2280"/>
      <c r="XEX2280"/>
      <c r="XEY2280"/>
      <c r="XEZ2280"/>
      <c r="XFA2280"/>
      <c r="XFB2280"/>
      <c r="XFC2280"/>
    </row>
    <row r="2281" spans="1:20 16329:16383" s="38" customFormat="1" ht="29.1" customHeight="1" outlineLevel="5" x14ac:dyDescent="0.25">
      <c r="A2281" s="49" t="s">
        <v>4111</v>
      </c>
      <c r="B2281" s="50"/>
      <c r="C2281" s="50"/>
      <c r="D2281" s="3" t="s">
        <v>4014</v>
      </c>
      <c r="E2281" s="3"/>
      <c r="F2281" s="51"/>
      <c r="G2281" s="50" t="s">
        <v>102</v>
      </c>
      <c r="H2281" s="52">
        <f>1</f>
        <v>1</v>
      </c>
      <c r="I2281" s="36"/>
      <c r="J2281" s="52">
        <v>1</v>
      </c>
      <c r="K2281" s="53">
        <f>0</f>
        <v>0</v>
      </c>
      <c r="L2281" s="53">
        <f>0</f>
        <v>0</v>
      </c>
      <c r="M2281" s="53">
        <f>0</f>
        <v>0</v>
      </c>
      <c r="N2281" s="54">
        <f t="shared" si="429"/>
        <v>0</v>
      </c>
      <c r="O2281" s="54">
        <f t="shared" si="430"/>
        <v>0</v>
      </c>
      <c r="P2281" s="54">
        <f t="shared" si="431"/>
        <v>0</v>
      </c>
      <c r="Q2281" s="54">
        <f t="shared" si="432"/>
        <v>0</v>
      </c>
      <c r="R2281" s="54">
        <f t="shared" si="433"/>
        <v>0</v>
      </c>
      <c r="S2281" s="54"/>
      <c r="T2281" s="36"/>
      <c r="XDA2281"/>
      <c r="XDB2281"/>
      <c r="XDC2281"/>
      <c r="XDD2281"/>
      <c r="XDE2281"/>
      <c r="XDF2281"/>
      <c r="XDG2281"/>
      <c r="XDH2281"/>
      <c r="XDI2281"/>
      <c r="XDJ2281"/>
      <c r="XDK2281"/>
      <c r="XDL2281"/>
      <c r="XDM2281"/>
      <c r="XDN2281"/>
      <c r="XDO2281"/>
      <c r="XDP2281"/>
      <c r="XDQ2281"/>
      <c r="XDR2281"/>
      <c r="XDS2281"/>
      <c r="XDT2281"/>
      <c r="XDU2281"/>
      <c r="XDV2281"/>
      <c r="XDW2281"/>
      <c r="XDX2281"/>
      <c r="XDY2281"/>
      <c r="XDZ2281"/>
      <c r="XEA2281"/>
      <c r="XEB2281"/>
      <c r="XEC2281"/>
      <c r="XED2281"/>
      <c r="XEE2281"/>
      <c r="XEF2281"/>
      <c r="XEG2281"/>
      <c r="XEH2281"/>
      <c r="XEI2281"/>
      <c r="XEJ2281"/>
      <c r="XEK2281"/>
      <c r="XEL2281"/>
      <c r="XEM2281"/>
      <c r="XEN2281"/>
      <c r="XEO2281"/>
      <c r="XEP2281"/>
      <c r="XEQ2281"/>
      <c r="XER2281"/>
      <c r="XES2281"/>
      <c r="XET2281"/>
      <c r="XEU2281"/>
      <c r="XEV2281"/>
      <c r="XEW2281"/>
      <c r="XEX2281"/>
      <c r="XEY2281"/>
      <c r="XEZ2281"/>
      <c r="XFA2281"/>
      <c r="XFB2281"/>
      <c r="XFC2281"/>
    </row>
    <row r="2282" spans="1:20 16329:16383" s="38" customFormat="1" ht="29.1" customHeight="1" outlineLevel="5" x14ac:dyDescent="0.25">
      <c r="A2282" s="49" t="s">
        <v>4112</v>
      </c>
      <c r="B2282" s="50"/>
      <c r="C2282" s="50"/>
      <c r="D2282" s="3" t="s">
        <v>4113</v>
      </c>
      <c r="E2282" s="3"/>
      <c r="F2282" s="51"/>
      <c r="G2282" s="50" t="s">
        <v>102</v>
      </c>
      <c r="H2282" s="52">
        <f>1</f>
        <v>1</v>
      </c>
      <c r="I2282" s="36"/>
      <c r="J2282" s="52">
        <v>1</v>
      </c>
      <c r="K2282" s="53">
        <f>0</f>
        <v>0</v>
      </c>
      <c r="L2282" s="53">
        <f>0</f>
        <v>0</v>
      </c>
      <c r="M2282" s="53">
        <f>0</f>
        <v>0</v>
      </c>
      <c r="N2282" s="54">
        <f t="shared" si="429"/>
        <v>0</v>
      </c>
      <c r="O2282" s="54">
        <f t="shared" si="430"/>
        <v>0</v>
      </c>
      <c r="P2282" s="54">
        <f t="shared" si="431"/>
        <v>0</v>
      </c>
      <c r="Q2282" s="54">
        <f t="shared" si="432"/>
        <v>0</v>
      </c>
      <c r="R2282" s="54">
        <f t="shared" si="433"/>
        <v>0</v>
      </c>
      <c r="S2282" s="54"/>
      <c r="T2282" s="36"/>
      <c r="XDA2282"/>
      <c r="XDB2282"/>
      <c r="XDC2282"/>
      <c r="XDD2282"/>
      <c r="XDE2282"/>
      <c r="XDF2282"/>
      <c r="XDG2282"/>
      <c r="XDH2282"/>
      <c r="XDI2282"/>
      <c r="XDJ2282"/>
      <c r="XDK2282"/>
      <c r="XDL2282"/>
      <c r="XDM2282"/>
      <c r="XDN2282"/>
      <c r="XDO2282"/>
      <c r="XDP2282"/>
      <c r="XDQ2282"/>
      <c r="XDR2282"/>
      <c r="XDS2282"/>
      <c r="XDT2282"/>
      <c r="XDU2282"/>
      <c r="XDV2282"/>
      <c r="XDW2282"/>
      <c r="XDX2282"/>
      <c r="XDY2282"/>
      <c r="XDZ2282"/>
      <c r="XEA2282"/>
      <c r="XEB2282"/>
      <c r="XEC2282"/>
      <c r="XED2282"/>
      <c r="XEE2282"/>
      <c r="XEF2282"/>
      <c r="XEG2282"/>
      <c r="XEH2282"/>
      <c r="XEI2282"/>
      <c r="XEJ2282"/>
      <c r="XEK2282"/>
      <c r="XEL2282"/>
      <c r="XEM2282"/>
      <c r="XEN2282"/>
      <c r="XEO2282"/>
      <c r="XEP2282"/>
      <c r="XEQ2282"/>
      <c r="XER2282"/>
      <c r="XES2282"/>
      <c r="XET2282"/>
      <c r="XEU2282"/>
      <c r="XEV2282"/>
      <c r="XEW2282"/>
      <c r="XEX2282"/>
      <c r="XEY2282"/>
      <c r="XEZ2282"/>
      <c r="XFA2282"/>
      <c r="XFB2282"/>
      <c r="XFC2282"/>
    </row>
    <row r="2283" spans="1:20 16329:16383" s="38" customFormat="1" ht="29.1" customHeight="1" outlineLevel="5" x14ac:dyDescent="0.25">
      <c r="A2283" s="49" t="s">
        <v>4114</v>
      </c>
      <c r="B2283" s="50"/>
      <c r="C2283" s="50"/>
      <c r="D2283" s="3" t="s">
        <v>4102</v>
      </c>
      <c r="E2283" s="3"/>
      <c r="F2283" s="51"/>
      <c r="G2283" s="50" t="s">
        <v>102</v>
      </c>
      <c r="H2283" s="52">
        <f>1</f>
        <v>1</v>
      </c>
      <c r="I2283" s="36"/>
      <c r="J2283" s="52">
        <v>1</v>
      </c>
      <c r="K2283" s="53">
        <f>0</f>
        <v>0</v>
      </c>
      <c r="L2283" s="53">
        <f>0</f>
        <v>0</v>
      </c>
      <c r="M2283" s="53">
        <f>0</f>
        <v>0</v>
      </c>
      <c r="N2283" s="54">
        <f t="shared" si="429"/>
        <v>0</v>
      </c>
      <c r="O2283" s="54">
        <f t="shared" si="430"/>
        <v>0</v>
      </c>
      <c r="P2283" s="54">
        <f t="shared" si="431"/>
        <v>0</v>
      </c>
      <c r="Q2283" s="54">
        <f t="shared" si="432"/>
        <v>0</v>
      </c>
      <c r="R2283" s="54">
        <f t="shared" si="433"/>
        <v>0</v>
      </c>
      <c r="S2283" s="54"/>
      <c r="T2283" s="36"/>
      <c r="XDA2283"/>
      <c r="XDB2283"/>
      <c r="XDC2283"/>
      <c r="XDD2283"/>
      <c r="XDE2283"/>
      <c r="XDF2283"/>
      <c r="XDG2283"/>
      <c r="XDH2283"/>
      <c r="XDI2283"/>
      <c r="XDJ2283"/>
      <c r="XDK2283"/>
      <c r="XDL2283"/>
      <c r="XDM2283"/>
      <c r="XDN2283"/>
      <c r="XDO2283"/>
      <c r="XDP2283"/>
      <c r="XDQ2283"/>
      <c r="XDR2283"/>
      <c r="XDS2283"/>
      <c r="XDT2283"/>
      <c r="XDU2283"/>
      <c r="XDV2283"/>
      <c r="XDW2283"/>
      <c r="XDX2283"/>
      <c r="XDY2283"/>
      <c r="XDZ2283"/>
      <c r="XEA2283"/>
      <c r="XEB2283"/>
      <c r="XEC2283"/>
      <c r="XED2283"/>
      <c r="XEE2283"/>
      <c r="XEF2283"/>
      <c r="XEG2283"/>
      <c r="XEH2283"/>
      <c r="XEI2283"/>
      <c r="XEJ2283"/>
      <c r="XEK2283"/>
      <c r="XEL2283"/>
      <c r="XEM2283"/>
      <c r="XEN2283"/>
      <c r="XEO2283"/>
      <c r="XEP2283"/>
      <c r="XEQ2283"/>
      <c r="XER2283"/>
      <c r="XES2283"/>
      <c r="XET2283"/>
      <c r="XEU2283"/>
      <c r="XEV2283"/>
      <c r="XEW2283"/>
      <c r="XEX2283"/>
      <c r="XEY2283"/>
      <c r="XEZ2283"/>
      <c r="XFA2283"/>
      <c r="XFB2283"/>
      <c r="XFC2283"/>
    </row>
    <row r="2284" spans="1:20 16329:16383" s="38" customFormat="1" ht="29.1" customHeight="1" outlineLevel="5" x14ac:dyDescent="0.25">
      <c r="A2284" s="49" t="s">
        <v>4115</v>
      </c>
      <c r="B2284" s="50"/>
      <c r="C2284" s="50"/>
      <c r="D2284" s="3" t="s">
        <v>4020</v>
      </c>
      <c r="E2284" s="3"/>
      <c r="F2284" s="51"/>
      <c r="G2284" s="50" t="s">
        <v>102</v>
      </c>
      <c r="H2284" s="52">
        <f>1</f>
        <v>1</v>
      </c>
      <c r="I2284" s="36"/>
      <c r="J2284" s="52">
        <v>1</v>
      </c>
      <c r="K2284" s="53">
        <f>0</f>
        <v>0</v>
      </c>
      <c r="L2284" s="53">
        <f>0</f>
        <v>0</v>
      </c>
      <c r="M2284" s="53">
        <f>0</f>
        <v>0</v>
      </c>
      <c r="N2284" s="54">
        <f t="shared" si="429"/>
        <v>0</v>
      </c>
      <c r="O2284" s="54">
        <f t="shared" si="430"/>
        <v>0</v>
      </c>
      <c r="P2284" s="54">
        <f t="shared" si="431"/>
        <v>0</v>
      </c>
      <c r="Q2284" s="54">
        <f t="shared" si="432"/>
        <v>0</v>
      </c>
      <c r="R2284" s="54">
        <f t="shared" si="433"/>
        <v>0</v>
      </c>
      <c r="S2284" s="54"/>
      <c r="T2284" s="36"/>
      <c r="XDA2284"/>
      <c r="XDB2284"/>
      <c r="XDC2284"/>
      <c r="XDD2284"/>
      <c r="XDE2284"/>
      <c r="XDF2284"/>
      <c r="XDG2284"/>
      <c r="XDH2284"/>
      <c r="XDI2284"/>
      <c r="XDJ2284"/>
      <c r="XDK2284"/>
      <c r="XDL2284"/>
      <c r="XDM2284"/>
      <c r="XDN2284"/>
      <c r="XDO2284"/>
      <c r="XDP2284"/>
      <c r="XDQ2284"/>
      <c r="XDR2284"/>
      <c r="XDS2284"/>
      <c r="XDT2284"/>
      <c r="XDU2284"/>
      <c r="XDV2284"/>
      <c r="XDW2284"/>
      <c r="XDX2284"/>
      <c r="XDY2284"/>
      <c r="XDZ2284"/>
      <c r="XEA2284"/>
      <c r="XEB2284"/>
      <c r="XEC2284"/>
      <c r="XED2284"/>
      <c r="XEE2284"/>
      <c r="XEF2284"/>
      <c r="XEG2284"/>
      <c r="XEH2284"/>
      <c r="XEI2284"/>
      <c r="XEJ2284"/>
      <c r="XEK2284"/>
      <c r="XEL2284"/>
      <c r="XEM2284"/>
      <c r="XEN2284"/>
      <c r="XEO2284"/>
      <c r="XEP2284"/>
      <c r="XEQ2284"/>
      <c r="XER2284"/>
      <c r="XES2284"/>
      <c r="XET2284"/>
      <c r="XEU2284"/>
      <c r="XEV2284"/>
      <c r="XEW2284"/>
      <c r="XEX2284"/>
      <c r="XEY2284"/>
      <c r="XEZ2284"/>
      <c r="XFA2284"/>
      <c r="XFB2284"/>
      <c r="XFC2284"/>
    </row>
    <row r="2285" spans="1:20 16329:16383" s="38" customFormat="1" ht="29.1" customHeight="1" outlineLevel="5" x14ac:dyDescent="0.25">
      <c r="A2285" s="49" t="s">
        <v>4116</v>
      </c>
      <c r="B2285" s="50"/>
      <c r="C2285" s="50"/>
      <c r="D2285" s="3" t="s">
        <v>4086</v>
      </c>
      <c r="E2285" s="3"/>
      <c r="F2285" s="51"/>
      <c r="G2285" s="50" t="s">
        <v>102</v>
      </c>
      <c r="H2285" s="52">
        <f>1</f>
        <v>1</v>
      </c>
      <c r="I2285" s="36"/>
      <c r="J2285" s="52">
        <v>1</v>
      </c>
      <c r="K2285" s="53">
        <f>0</f>
        <v>0</v>
      </c>
      <c r="L2285" s="53">
        <f>0</f>
        <v>0</v>
      </c>
      <c r="M2285" s="53">
        <f>0</f>
        <v>0</v>
      </c>
      <c r="N2285" s="54">
        <f t="shared" si="429"/>
        <v>0</v>
      </c>
      <c r="O2285" s="54">
        <f t="shared" si="430"/>
        <v>0</v>
      </c>
      <c r="P2285" s="54">
        <f t="shared" si="431"/>
        <v>0</v>
      </c>
      <c r="Q2285" s="54">
        <f t="shared" si="432"/>
        <v>0</v>
      </c>
      <c r="R2285" s="54">
        <f t="shared" si="433"/>
        <v>0</v>
      </c>
      <c r="S2285" s="54"/>
      <c r="T2285" s="36"/>
      <c r="XDA2285"/>
      <c r="XDB2285"/>
      <c r="XDC2285"/>
      <c r="XDD2285"/>
      <c r="XDE2285"/>
      <c r="XDF2285"/>
      <c r="XDG2285"/>
      <c r="XDH2285"/>
      <c r="XDI2285"/>
      <c r="XDJ2285"/>
      <c r="XDK2285"/>
      <c r="XDL2285"/>
      <c r="XDM2285"/>
      <c r="XDN2285"/>
      <c r="XDO2285"/>
      <c r="XDP2285"/>
      <c r="XDQ2285"/>
      <c r="XDR2285"/>
      <c r="XDS2285"/>
      <c r="XDT2285"/>
      <c r="XDU2285"/>
      <c r="XDV2285"/>
      <c r="XDW2285"/>
      <c r="XDX2285"/>
      <c r="XDY2285"/>
      <c r="XDZ2285"/>
      <c r="XEA2285"/>
      <c r="XEB2285"/>
      <c r="XEC2285"/>
      <c r="XED2285"/>
      <c r="XEE2285"/>
      <c r="XEF2285"/>
      <c r="XEG2285"/>
      <c r="XEH2285"/>
      <c r="XEI2285"/>
      <c r="XEJ2285"/>
      <c r="XEK2285"/>
      <c r="XEL2285"/>
      <c r="XEM2285"/>
      <c r="XEN2285"/>
      <c r="XEO2285"/>
      <c r="XEP2285"/>
      <c r="XEQ2285"/>
      <c r="XER2285"/>
      <c r="XES2285"/>
      <c r="XET2285"/>
      <c r="XEU2285"/>
      <c r="XEV2285"/>
      <c r="XEW2285"/>
      <c r="XEX2285"/>
      <c r="XEY2285"/>
      <c r="XEZ2285"/>
      <c r="XFA2285"/>
      <c r="XFB2285"/>
      <c r="XFC2285"/>
    </row>
    <row r="2286" spans="1:20 16329:16383" s="38" customFormat="1" ht="29.1" customHeight="1" outlineLevel="5" x14ac:dyDescent="0.25">
      <c r="A2286" s="49" t="s">
        <v>4117</v>
      </c>
      <c r="B2286" s="50"/>
      <c r="C2286" s="50"/>
      <c r="D2286" s="3" t="s">
        <v>4020</v>
      </c>
      <c r="E2286" s="3"/>
      <c r="F2286" s="51"/>
      <c r="G2286" s="50" t="s">
        <v>102</v>
      </c>
      <c r="H2286" s="52">
        <f>1</f>
        <v>1</v>
      </c>
      <c r="I2286" s="36"/>
      <c r="J2286" s="52">
        <v>1</v>
      </c>
      <c r="K2286" s="53">
        <f>0</f>
        <v>0</v>
      </c>
      <c r="L2286" s="53">
        <f>0</f>
        <v>0</v>
      </c>
      <c r="M2286" s="53">
        <f>0</f>
        <v>0</v>
      </c>
      <c r="N2286" s="54">
        <f t="shared" si="429"/>
        <v>0</v>
      </c>
      <c r="O2286" s="54">
        <f t="shared" si="430"/>
        <v>0</v>
      </c>
      <c r="P2286" s="54">
        <f t="shared" si="431"/>
        <v>0</v>
      </c>
      <c r="Q2286" s="54">
        <f t="shared" si="432"/>
        <v>0</v>
      </c>
      <c r="R2286" s="54">
        <f t="shared" si="433"/>
        <v>0</v>
      </c>
      <c r="S2286" s="54"/>
      <c r="T2286" s="36"/>
      <c r="XDA2286"/>
      <c r="XDB2286"/>
      <c r="XDC2286"/>
      <c r="XDD2286"/>
      <c r="XDE2286"/>
      <c r="XDF2286"/>
      <c r="XDG2286"/>
      <c r="XDH2286"/>
      <c r="XDI2286"/>
      <c r="XDJ2286"/>
      <c r="XDK2286"/>
      <c r="XDL2286"/>
      <c r="XDM2286"/>
      <c r="XDN2286"/>
      <c r="XDO2286"/>
      <c r="XDP2286"/>
      <c r="XDQ2286"/>
      <c r="XDR2286"/>
      <c r="XDS2286"/>
      <c r="XDT2286"/>
      <c r="XDU2286"/>
      <c r="XDV2286"/>
      <c r="XDW2286"/>
      <c r="XDX2286"/>
      <c r="XDY2286"/>
      <c r="XDZ2286"/>
      <c r="XEA2286"/>
      <c r="XEB2286"/>
      <c r="XEC2286"/>
      <c r="XED2286"/>
      <c r="XEE2286"/>
      <c r="XEF2286"/>
      <c r="XEG2286"/>
      <c r="XEH2286"/>
      <c r="XEI2286"/>
      <c r="XEJ2286"/>
      <c r="XEK2286"/>
      <c r="XEL2286"/>
      <c r="XEM2286"/>
      <c r="XEN2286"/>
      <c r="XEO2286"/>
      <c r="XEP2286"/>
      <c r="XEQ2286"/>
      <c r="XER2286"/>
      <c r="XES2286"/>
      <c r="XET2286"/>
      <c r="XEU2286"/>
      <c r="XEV2286"/>
      <c r="XEW2286"/>
      <c r="XEX2286"/>
      <c r="XEY2286"/>
      <c r="XEZ2286"/>
      <c r="XFA2286"/>
      <c r="XFB2286"/>
      <c r="XFC2286"/>
    </row>
    <row r="2287" spans="1:20 16329:16383" s="38" customFormat="1" ht="29.1" customHeight="1" outlineLevel="5" x14ac:dyDescent="0.25">
      <c r="A2287" s="49" t="s">
        <v>4118</v>
      </c>
      <c r="B2287" s="50"/>
      <c r="C2287" s="50"/>
      <c r="D2287" s="3" t="s">
        <v>4089</v>
      </c>
      <c r="E2287" s="3"/>
      <c r="F2287" s="51"/>
      <c r="G2287" s="50" t="s">
        <v>102</v>
      </c>
      <c r="H2287" s="52">
        <f>1</f>
        <v>1</v>
      </c>
      <c r="I2287" s="36"/>
      <c r="J2287" s="52">
        <v>1</v>
      </c>
      <c r="K2287" s="53">
        <f>0</f>
        <v>0</v>
      </c>
      <c r="L2287" s="53">
        <f>0</f>
        <v>0</v>
      </c>
      <c r="M2287" s="53">
        <f>0</f>
        <v>0</v>
      </c>
      <c r="N2287" s="54">
        <f t="shared" si="429"/>
        <v>0</v>
      </c>
      <c r="O2287" s="54">
        <f t="shared" si="430"/>
        <v>0</v>
      </c>
      <c r="P2287" s="54">
        <f t="shared" si="431"/>
        <v>0</v>
      </c>
      <c r="Q2287" s="54">
        <f t="shared" si="432"/>
        <v>0</v>
      </c>
      <c r="R2287" s="54">
        <f t="shared" si="433"/>
        <v>0</v>
      </c>
      <c r="S2287" s="54"/>
      <c r="T2287" s="36"/>
      <c r="XDA2287"/>
      <c r="XDB2287"/>
      <c r="XDC2287"/>
      <c r="XDD2287"/>
      <c r="XDE2287"/>
      <c r="XDF2287"/>
      <c r="XDG2287"/>
      <c r="XDH2287"/>
      <c r="XDI2287"/>
      <c r="XDJ2287"/>
      <c r="XDK2287"/>
      <c r="XDL2287"/>
      <c r="XDM2287"/>
      <c r="XDN2287"/>
      <c r="XDO2287"/>
      <c r="XDP2287"/>
      <c r="XDQ2287"/>
      <c r="XDR2287"/>
      <c r="XDS2287"/>
      <c r="XDT2287"/>
      <c r="XDU2287"/>
      <c r="XDV2287"/>
      <c r="XDW2287"/>
      <c r="XDX2287"/>
      <c r="XDY2287"/>
      <c r="XDZ2287"/>
      <c r="XEA2287"/>
      <c r="XEB2287"/>
      <c r="XEC2287"/>
      <c r="XED2287"/>
      <c r="XEE2287"/>
      <c r="XEF2287"/>
      <c r="XEG2287"/>
      <c r="XEH2287"/>
      <c r="XEI2287"/>
      <c r="XEJ2287"/>
      <c r="XEK2287"/>
      <c r="XEL2287"/>
      <c r="XEM2287"/>
      <c r="XEN2287"/>
      <c r="XEO2287"/>
      <c r="XEP2287"/>
      <c r="XEQ2287"/>
      <c r="XER2287"/>
      <c r="XES2287"/>
      <c r="XET2287"/>
      <c r="XEU2287"/>
      <c r="XEV2287"/>
      <c r="XEW2287"/>
      <c r="XEX2287"/>
      <c r="XEY2287"/>
      <c r="XEZ2287"/>
      <c r="XFA2287"/>
      <c r="XFB2287"/>
      <c r="XFC2287"/>
    </row>
    <row r="2288" spans="1:20 16329:16383" s="38" customFormat="1" ht="29.1" customHeight="1" outlineLevel="4" x14ac:dyDescent="0.25">
      <c r="A2288" s="60" t="s">
        <v>4119</v>
      </c>
      <c r="B2288" s="61" t="s">
        <v>4120</v>
      </c>
      <c r="C2288" s="61"/>
      <c r="D2288" s="1" t="s">
        <v>4121</v>
      </c>
      <c r="E2288" s="1"/>
      <c r="F2288" s="62" t="s">
        <v>4108</v>
      </c>
      <c r="G2288" s="61"/>
      <c r="H2288" s="63"/>
      <c r="I2288" s="36"/>
      <c r="J2288" s="63"/>
      <c r="K2288" s="64"/>
      <c r="L2288" s="64"/>
      <c r="M2288" s="64"/>
      <c r="N2288" s="64"/>
      <c r="O2288" s="64">
        <f>SUM(O2289:O2296)</f>
        <v>0</v>
      </c>
      <c r="P2288" s="64">
        <f>SUM(P2289:P2296)</f>
        <v>0</v>
      </c>
      <c r="Q2288" s="64">
        <f>SUM(Q2289:Q2296)</f>
        <v>0</v>
      </c>
      <c r="R2288" s="64">
        <f>SUM(R2289:R2296)</f>
        <v>0</v>
      </c>
      <c r="S2288" s="64"/>
      <c r="T2288" s="36"/>
      <c r="XDA2288"/>
      <c r="XDB2288"/>
      <c r="XDC2288"/>
      <c r="XDD2288"/>
      <c r="XDE2288"/>
      <c r="XDF2288"/>
      <c r="XDG2288"/>
      <c r="XDH2288"/>
      <c r="XDI2288"/>
      <c r="XDJ2288"/>
      <c r="XDK2288"/>
      <c r="XDL2288"/>
      <c r="XDM2288"/>
      <c r="XDN2288"/>
      <c r="XDO2288"/>
      <c r="XDP2288"/>
      <c r="XDQ2288"/>
      <c r="XDR2288"/>
      <c r="XDS2288"/>
      <c r="XDT2288"/>
      <c r="XDU2288"/>
      <c r="XDV2288"/>
      <c r="XDW2288"/>
      <c r="XDX2288"/>
      <c r="XDY2288"/>
      <c r="XDZ2288"/>
      <c r="XEA2288"/>
      <c r="XEB2288"/>
      <c r="XEC2288"/>
      <c r="XED2288"/>
      <c r="XEE2288"/>
      <c r="XEF2288"/>
      <c r="XEG2288"/>
      <c r="XEH2288"/>
      <c r="XEI2288"/>
      <c r="XEJ2288"/>
      <c r="XEK2288"/>
      <c r="XEL2288"/>
      <c r="XEM2288"/>
      <c r="XEN2288"/>
      <c r="XEO2288"/>
      <c r="XEP2288"/>
      <c r="XEQ2288"/>
      <c r="XER2288"/>
      <c r="XES2288"/>
      <c r="XET2288"/>
      <c r="XEU2288"/>
      <c r="XEV2288"/>
      <c r="XEW2288"/>
      <c r="XEX2288"/>
      <c r="XEY2288"/>
      <c r="XEZ2288"/>
      <c r="XFA2288"/>
      <c r="XFB2288"/>
      <c r="XFC2288"/>
    </row>
    <row r="2289" spans="1:20 16329:16383" s="38" customFormat="1" ht="29.1" customHeight="1" outlineLevel="5" x14ac:dyDescent="0.25">
      <c r="A2289" s="49" t="s">
        <v>4122</v>
      </c>
      <c r="B2289" s="50"/>
      <c r="C2289" s="50"/>
      <c r="D2289" s="3" t="s">
        <v>4110</v>
      </c>
      <c r="E2289" s="3"/>
      <c r="F2289" s="51"/>
      <c r="G2289" s="50" t="s">
        <v>102</v>
      </c>
      <c r="H2289" s="52">
        <f>1</f>
        <v>1</v>
      </c>
      <c r="I2289" s="36"/>
      <c r="J2289" s="52">
        <v>1</v>
      </c>
      <c r="K2289" s="53">
        <f>0</f>
        <v>0</v>
      </c>
      <c r="L2289" s="53">
        <f>0</f>
        <v>0</v>
      </c>
      <c r="M2289" s="53">
        <f>0</f>
        <v>0</v>
      </c>
      <c r="N2289" s="54">
        <f t="shared" ref="N2289:N2296" si="434">SUM(K2289:M2289)</f>
        <v>0</v>
      </c>
      <c r="O2289" s="54">
        <f t="shared" ref="O2289:O2296" si="435">ROUND((H2289*K2289),2)</f>
        <v>0</v>
      </c>
      <c r="P2289" s="54">
        <f t="shared" ref="P2289:P2296" si="436">ROUND((H2289*L2289),2)</f>
        <v>0</v>
      </c>
      <c r="Q2289" s="54">
        <f t="shared" ref="Q2289:Q2296" si="437">ROUND((H2289*M2289),2)</f>
        <v>0</v>
      </c>
      <c r="R2289" s="54">
        <f t="shared" ref="R2289:R2296" si="438">ROUND((H2289*N2289),2)</f>
        <v>0</v>
      </c>
      <c r="S2289" s="54"/>
      <c r="T2289" s="36"/>
      <c r="XDA2289"/>
      <c r="XDB2289"/>
      <c r="XDC2289"/>
      <c r="XDD2289"/>
      <c r="XDE2289"/>
      <c r="XDF2289"/>
      <c r="XDG2289"/>
      <c r="XDH2289"/>
      <c r="XDI2289"/>
      <c r="XDJ2289"/>
      <c r="XDK2289"/>
      <c r="XDL2289"/>
      <c r="XDM2289"/>
      <c r="XDN2289"/>
      <c r="XDO2289"/>
      <c r="XDP2289"/>
      <c r="XDQ2289"/>
      <c r="XDR2289"/>
      <c r="XDS2289"/>
      <c r="XDT2289"/>
      <c r="XDU2289"/>
      <c r="XDV2289"/>
      <c r="XDW2289"/>
      <c r="XDX2289"/>
      <c r="XDY2289"/>
      <c r="XDZ2289"/>
      <c r="XEA2289"/>
      <c r="XEB2289"/>
      <c r="XEC2289"/>
      <c r="XED2289"/>
      <c r="XEE2289"/>
      <c r="XEF2289"/>
      <c r="XEG2289"/>
      <c r="XEH2289"/>
      <c r="XEI2289"/>
      <c r="XEJ2289"/>
      <c r="XEK2289"/>
      <c r="XEL2289"/>
      <c r="XEM2289"/>
      <c r="XEN2289"/>
      <c r="XEO2289"/>
      <c r="XEP2289"/>
      <c r="XEQ2289"/>
      <c r="XER2289"/>
      <c r="XES2289"/>
      <c r="XET2289"/>
      <c r="XEU2289"/>
      <c r="XEV2289"/>
      <c r="XEW2289"/>
      <c r="XEX2289"/>
      <c r="XEY2289"/>
      <c r="XEZ2289"/>
      <c r="XFA2289"/>
      <c r="XFB2289"/>
      <c r="XFC2289"/>
    </row>
    <row r="2290" spans="1:20 16329:16383" s="38" customFormat="1" ht="29.1" customHeight="1" outlineLevel="5" x14ac:dyDescent="0.25">
      <c r="A2290" s="49" t="s">
        <v>4123</v>
      </c>
      <c r="B2290" s="50"/>
      <c r="C2290" s="50"/>
      <c r="D2290" s="3" t="s">
        <v>4014</v>
      </c>
      <c r="E2290" s="3"/>
      <c r="F2290" s="51"/>
      <c r="G2290" s="50" t="s">
        <v>102</v>
      </c>
      <c r="H2290" s="52">
        <f>1</f>
        <v>1</v>
      </c>
      <c r="I2290" s="36"/>
      <c r="J2290" s="52">
        <v>1</v>
      </c>
      <c r="K2290" s="53">
        <f>0</f>
        <v>0</v>
      </c>
      <c r="L2290" s="53">
        <f>0</f>
        <v>0</v>
      </c>
      <c r="M2290" s="53">
        <f>0</f>
        <v>0</v>
      </c>
      <c r="N2290" s="54">
        <f t="shared" si="434"/>
        <v>0</v>
      </c>
      <c r="O2290" s="54">
        <f t="shared" si="435"/>
        <v>0</v>
      </c>
      <c r="P2290" s="54">
        <f t="shared" si="436"/>
        <v>0</v>
      </c>
      <c r="Q2290" s="54">
        <f t="shared" si="437"/>
        <v>0</v>
      </c>
      <c r="R2290" s="54">
        <f t="shared" si="438"/>
        <v>0</v>
      </c>
      <c r="S2290" s="54"/>
      <c r="T2290" s="36"/>
      <c r="XDA2290"/>
      <c r="XDB2290"/>
      <c r="XDC2290"/>
      <c r="XDD2290"/>
      <c r="XDE2290"/>
      <c r="XDF2290"/>
      <c r="XDG2290"/>
      <c r="XDH2290"/>
      <c r="XDI2290"/>
      <c r="XDJ2290"/>
      <c r="XDK2290"/>
      <c r="XDL2290"/>
      <c r="XDM2290"/>
      <c r="XDN2290"/>
      <c r="XDO2290"/>
      <c r="XDP2290"/>
      <c r="XDQ2290"/>
      <c r="XDR2290"/>
      <c r="XDS2290"/>
      <c r="XDT2290"/>
      <c r="XDU2290"/>
      <c r="XDV2290"/>
      <c r="XDW2290"/>
      <c r="XDX2290"/>
      <c r="XDY2290"/>
      <c r="XDZ2290"/>
      <c r="XEA2290"/>
      <c r="XEB2290"/>
      <c r="XEC2290"/>
      <c r="XED2290"/>
      <c r="XEE2290"/>
      <c r="XEF2290"/>
      <c r="XEG2290"/>
      <c r="XEH2290"/>
      <c r="XEI2290"/>
      <c r="XEJ2290"/>
      <c r="XEK2290"/>
      <c r="XEL2290"/>
      <c r="XEM2290"/>
      <c r="XEN2290"/>
      <c r="XEO2290"/>
      <c r="XEP2290"/>
      <c r="XEQ2290"/>
      <c r="XER2290"/>
      <c r="XES2290"/>
      <c r="XET2290"/>
      <c r="XEU2290"/>
      <c r="XEV2290"/>
      <c r="XEW2290"/>
      <c r="XEX2290"/>
      <c r="XEY2290"/>
      <c r="XEZ2290"/>
      <c r="XFA2290"/>
      <c r="XFB2290"/>
      <c r="XFC2290"/>
    </row>
    <row r="2291" spans="1:20 16329:16383" s="38" customFormat="1" ht="29.1" customHeight="1" outlineLevel="5" x14ac:dyDescent="0.25">
      <c r="A2291" s="49" t="s">
        <v>4124</v>
      </c>
      <c r="B2291" s="50"/>
      <c r="C2291" s="50"/>
      <c r="D2291" s="3" t="s">
        <v>4113</v>
      </c>
      <c r="E2291" s="3"/>
      <c r="F2291" s="51"/>
      <c r="G2291" s="50" t="s">
        <v>102</v>
      </c>
      <c r="H2291" s="52">
        <f>1</f>
        <v>1</v>
      </c>
      <c r="I2291" s="36"/>
      <c r="J2291" s="52">
        <v>1</v>
      </c>
      <c r="K2291" s="53">
        <f>0</f>
        <v>0</v>
      </c>
      <c r="L2291" s="53">
        <f>0</f>
        <v>0</v>
      </c>
      <c r="M2291" s="53">
        <f>0</f>
        <v>0</v>
      </c>
      <c r="N2291" s="54">
        <f t="shared" si="434"/>
        <v>0</v>
      </c>
      <c r="O2291" s="54">
        <f t="shared" si="435"/>
        <v>0</v>
      </c>
      <c r="P2291" s="54">
        <f t="shared" si="436"/>
        <v>0</v>
      </c>
      <c r="Q2291" s="54">
        <f t="shared" si="437"/>
        <v>0</v>
      </c>
      <c r="R2291" s="54">
        <f t="shared" si="438"/>
        <v>0</v>
      </c>
      <c r="S2291" s="54"/>
      <c r="T2291" s="36"/>
      <c r="XDA2291"/>
      <c r="XDB2291"/>
      <c r="XDC2291"/>
      <c r="XDD2291"/>
      <c r="XDE2291"/>
      <c r="XDF2291"/>
      <c r="XDG2291"/>
      <c r="XDH2291"/>
      <c r="XDI2291"/>
      <c r="XDJ2291"/>
      <c r="XDK2291"/>
      <c r="XDL2291"/>
      <c r="XDM2291"/>
      <c r="XDN2291"/>
      <c r="XDO2291"/>
      <c r="XDP2291"/>
      <c r="XDQ2291"/>
      <c r="XDR2291"/>
      <c r="XDS2291"/>
      <c r="XDT2291"/>
      <c r="XDU2291"/>
      <c r="XDV2291"/>
      <c r="XDW2291"/>
      <c r="XDX2291"/>
      <c r="XDY2291"/>
      <c r="XDZ2291"/>
      <c r="XEA2291"/>
      <c r="XEB2291"/>
      <c r="XEC2291"/>
      <c r="XED2291"/>
      <c r="XEE2291"/>
      <c r="XEF2291"/>
      <c r="XEG2291"/>
      <c r="XEH2291"/>
      <c r="XEI2291"/>
      <c r="XEJ2291"/>
      <c r="XEK2291"/>
      <c r="XEL2291"/>
      <c r="XEM2291"/>
      <c r="XEN2291"/>
      <c r="XEO2291"/>
      <c r="XEP2291"/>
      <c r="XEQ2291"/>
      <c r="XER2291"/>
      <c r="XES2291"/>
      <c r="XET2291"/>
      <c r="XEU2291"/>
      <c r="XEV2291"/>
      <c r="XEW2291"/>
      <c r="XEX2291"/>
      <c r="XEY2291"/>
      <c r="XEZ2291"/>
      <c r="XFA2291"/>
      <c r="XFB2291"/>
      <c r="XFC2291"/>
    </row>
    <row r="2292" spans="1:20 16329:16383" s="38" customFormat="1" ht="29.1" customHeight="1" outlineLevel="5" x14ac:dyDescent="0.25">
      <c r="A2292" s="49" t="s">
        <v>4125</v>
      </c>
      <c r="B2292" s="50"/>
      <c r="C2292" s="50"/>
      <c r="D2292" s="3" t="s">
        <v>4102</v>
      </c>
      <c r="E2292" s="3"/>
      <c r="F2292" s="51"/>
      <c r="G2292" s="50" t="s">
        <v>102</v>
      </c>
      <c r="H2292" s="52">
        <f>1</f>
        <v>1</v>
      </c>
      <c r="I2292" s="36"/>
      <c r="J2292" s="52">
        <v>1</v>
      </c>
      <c r="K2292" s="53">
        <f>0</f>
        <v>0</v>
      </c>
      <c r="L2292" s="53">
        <f>0</f>
        <v>0</v>
      </c>
      <c r="M2292" s="53">
        <f>0</f>
        <v>0</v>
      </c>
      <c r="N2292" s="54">
        <f t="shared" si="434"/>
        <v>0</v>
      </c>
      <c r="O2292" s="54">
        <f t="shared" si="435"/>
        <v>0</v>
      </c>
      <c r="P2292" s="54">
        <f t="shared" si="436"/>
        <v>0</v>
      </c>
      <c r="Q2292" s="54">
        <f t="shared" si="437"/>
        <v>0</v>
      </c>
      <c r="R2292" s="54">
        <f t="shared" si="438"/>
        <v>0</v>
      </c>
      <c r="S2292" s="54"/>
      <c r="T2292" s="36"/>
      <c r="XDA2292"/>
      <c r="XDB2292"/>
      <c r="XDC2292"/>
      <c r="XDD2292"/>
      <c r="XDE2292"/>
      <c r="XDF2292"/>
      <c r="XDG2292"/>
      <c r="XDH2292"/>
      <c r="XDI2292"/>
      <c r="XDJ2292"/>
      <c r="XDK2292"/>
      <c r="XDL2292"/>
      <c r="XDM2292"/>
      <c r="XDN2292"/>
      <c r="XDO2292"/>
      <c r="XDP2292"/>
      <c r="XDQ2292"/>
      <c r="XDR2292"/>
      <c r="XDS2292"/>
      <c r="XDT2292"/>
      <c r="XDU2292"/>
      <c r="XDV2292"/>
      <c r="XDW2292"/>
      <c r="XDX2292"/>
      <c r="XDY2292"/>
      <c r="XDZ2292"/>
      <c r="XEA2292"/>
      <c r="XEB2292"/>
      <c r="XEC2292"/>
      <c r="XED2292"/>
      <c r="XEE2292"/>
      <c r="XEF2292"/>
      <c r="XEG2292"/>
      <c r="XEH2292"/>
      <c r="XEI2292"/>
      <c r="XEJ2292"/>
      <c r="XEK2292"/>
      <c r="XEL2292"/>
      <c r="XEM2292"/>
      <c r="XEN2292"/>
      <c r="XEO2292"/>
      <c r="XEP2292"/>
      <c r="XEQ2292"/>
      <c r="XER2292"/>
      <c r="XES2292"/>
      <c r="XET2292"/>
      <c r="XEU2292"/>
      <c r="XEV2292"/>
      <c r="XEW2292"/>
      <c r="XEX2292"/>
      <c r="XEY2292"/>
      <c r="XEZ2292"/>
      <c r="XFA2292"/>
      <c r="XFB2292"/>
      <c r="XFC2292"/>
    </row>
    <row r="2293" spans="1:20 16329:16383" s="38" customFormat="1" ht="29.1" customHeight="1" outlineLevel="5" x14ac:dyDescent="0.25">
      <c r="A2293" s="49" t="s">
        <v>4126</v>
      </c>
      <c r="B2293" s="50"/>
      <c r="C2293" s="50"/>
      <c r="D2293" s="3" t="s">
        <v>4020</v>
      </c>
      <c r="E2293" s="3"/>
      <c r="F2293" s="51"/>
      <c r="G2293" s="50" t="s">
        <v>102</v>
      </c>
      <c r="H2293" s="52">
        <f>1</f>
        <v>1</v>
      </c>
      <c r="I2293" s="36"/>
      <c r="J2293" s="52">
        <v>1</v>
      </c>
      <c r="K2293" s="53">
        <f>0</f>
        <v>0</v>
      </c>
      <c r="L2293" s="53">
        <f>0</f>
        <v>0</v>
      </c>
      <c r="M2293" s="53">
        <f>0</f>
        <v>0</v>
      </c>
      <c r="N2293" s="54">
        <f t="shared" si="434"/>
        <v>0</v>
      </c>
      <c r="O2293" s="54">
        <f t="shared" si="435"/>
        <v>0</v>
      </c>
      <c r="P2293" s="54">
        <f t="shared" si="436"/>
        <v>0</v>
      </c>
      <c r="Q2293" s="54">
        <f t="shared" si="437"/>
        <v>0</v>
      </c>
      <c r="R2293" s="54">
        <f t="shared" si="438"/>
        <v>0</v>
      </c>
      <c r="S2293" s="54"/>
      <c r="T2293" s="36"/>
      <c r="XDA2293"/>
      <c r="XDB2293"/>
      <c r="XDC2293"/>
      <c r="XDD2293"/>
      <c r="XDE2293"/>
      <c r="XDF2293"/>
      <c r="XDG2293"/>
      <c r="XDH2293"/>
      <c r="XDI2293"/>
      <c r="XDJ2293"/>
      <c r="XDK2293"/>
      <c r="XDL2293"/>
      <c r="XDM2293"/>
      <c r="XDN2293"/>
      <c r="XDO2293"/>
      <c r="XDP2293"/>
      <c r="XDQ2293"/>
      <c r="XDR2293"/>
      <c r="XDS2293"/>
      <c r="XDT2293"/>
      <c r="XDU2293"/>
      <c r="XDV2293"/>
      <c r="XDW2293"/>
      <c r="XDX2293"/>
      <c r="XDY2293"/>
      <c r="XDZ2293"/>
      <c r="XEA2293"/>
      <c r="XEB2293"/>
      <c r="XEC2293"/>
      <c r="XED2293"/>
      <c r="XEE2293"/>
      <c r="XEF2293"/>
      <c r="XEG2293"/>
      <c r="XEH2293"/>
      <c r="XEI2293"/>
      <c r="XEJ2293"/>
      <c r="XEK2293"/>
      <c r="XEL2293"/>
      <c r="XEM2293"/>
      <c r="XEN2293"/>
      <c r="XEO2293"/>
      <c r="XEP2293"/>
      <c r="XEQ2293"/>
      <c r="XER2293"/>
      <c r="XES2293"/>
      <c r="XET2293"/>
      <c r="XEU2293"/>
      <c r="XEV2293"/>
      <c r="XEW2293"/>
      <c r="XEX2293"/>
      <c r="XEY2293"/>
      <c r="XEZ2293"/>
      <c r="XFA2293"/>
      <c r="XFB2293"/>
      <c r="XFC2293"/>
    </row>
    <row r="2294" spans="1:20 16329:16383" s="38" customFormat="1" ht="29.1" customHeight="1" outlineLevel="5" x14ac:dyDescent="0.25">
      <c r="A2294" s="49" t="s">
        <v>4127</v>
      </c>
      <c r="B2294" s="50"/>
      <c r="C2294" s="50"/>
      <c r="D2294" s="3" t="s">
        <v>4086</v>
      </c>
      <c r="E2294" s="3"/>
      <c r="F2294" s="51"/>
      <c r="G2294" s="50" t="s">
        <v>102</v>
      </c>
      <c r="H2294" s="52">
        <f>1</f>
        <v>1</v>
      </c>
      <c r="I2294" s="36"/>
      <c r="J2294" s="52">
        <v>1</v>
      </c>
      <c r="K2294" s="53">
        <f>0</f>
        <v>0</v>
      </c>
      <c r="L2294" s="53">
        <f>0</f>
        <v>0</v>
      </c>
      <c r="M2294" s="53">
        <f>0</f>
        <v>0</v>
      </c>
      <c r="N2294" s="54">
        <f t="shared" si="434"/>
        <v>0</v>
      </c>
      <c r="O2294" s="54">
        <f t="shared" si="435"/>
        <v>0</v>
      </c>
      <c r="P2294" s="54">
        <f t="shared" si="436"/>
        <v>0</v>
      </c>
      <c r="Q2294" s="54">
        <f t="shared" si="437"/>
        <v>0</v>
      </c>
      <c r="R2294" s="54">
        <f t="shared" si="438"/>
        <v>0</v>
      </c>
      <c r="S2294" s="54"/>
      <c r="T2294" s="36"/>
      <c r="XDA2294"/>
      <c r="XDB2294"/>
      <c r="XDC2294"/>
      <c r="XDD2294"/>
      <c r="XDE2294"/>
      <c r="XDF2294"/>
      <c r="XDG2294"/>
      <c r="XDH2294"/>
      <c r="XDI2294"/>
      <c r="XDJ2294"/>
      <c r="XDK2294"/>
      <c r="XDL2294"/>
      <c r="XDM2294"/>
      <c r="XDN2294"/>
      <c r="XDO2294"/>
      <c r="XDP2294"/>
      <c r="XDQ2294"/>
      <c r="XDR2294"/>
      <c r="XDS2294"/>
      <c r="XDT2294"/>
      <c r="XDU2294"/>
      <c r="XDV2294"/>
      <c r="XDW2294"/>
      <c r="XDX2294"/>
      <c r="XDY2294"/>
      <c r="XDZ2294"/>
      <c r="XEA2294"/>
      <c r="XEB2294"/>
      <c r="XEC2294"/>
      <c r="XED2294"/>
      <c r="XEE2294"/>
      <c r="XEF2294"/>
      <c r="XEG2294"/>
      <c r="XEH2294"/>
      <c r="XEI2294"/>
      <c r="XEJ2294"/>
      <c r="XEK2294"/>
      <c r="XEL2294"/>
      <c r="XEM2294"/>
      <c r="XEN2294"/>
      <c r="XEO2294"/>
      <c r="XEP2294"/>
      <c r="XEQ2294"/>
      <c r="XER2294"/>
      <c r="XES2294"/>
      <c r="XET2294"/>
      <c r="XEU2294"/>
      <c r="XEV2294"/>
      <c r="XEW2294"/>
      <c r="XEX2294"/>
      <c r="XEY2294"/>
      <c r="XEZ2294"/>
      <c r="XFA2294"/>
      <c r="XFB2294"/>
      <c r="XFC2294"/>
    </row>
    <row r="2295" spans="1:20 16329:16383" s="38" customFormat="1" ht="29.1" customHeight="1" outlineLevel="5" x14ac:dyDescent="0.25">
      <c r="A2295" s="49" t="s">
        <v>4128</v>
      </c>
      <c r="B2295" s="50"/>
      <c r="C2295" s="50"/>
      <c r="D2295" s="3" t="s">
        <v>4020</v>
      </c>
      <c r="E2295" s="3"/>
      <c r="F2295" s="51"/>
      <c r="G2295" s="50" t="s">
        <v>102</v>
      </c>
      <c r="H2295" s="52">
        <f>1</f>
        <v>1</v>
      </c>
      <c r="I2295" s="36"/>
      <c r="J2295" s="52">
        <v>1</v>
      </c>
      <c r="K2295" s="53">
        <f>0</f>
        <v>0</v>
      </c>
      <c r="L2295" s="53">
        <f>0</f>
        <v>0</v>
      </c>
      <c r="M2295" s="53">
        <f>0</f>
        <v>0</v>
      </c>
      <c r="N2295" s="54">
        <f t="shared" si="434"/>
        <v>0</v>
      </c>
      <c r="O2295" s="54">
        <f t="shared" si="435"/>
        <v>0</v>
      </c>
      <c r="P2295" s="54">
        <f t="shared" si="436"/>
        <v>0</v>
      </c>
      <c r="Q2295" s="54">
        <f t="shared" si="437"/>
        <v>0</v>
      </c>
      <c r="R2295" s="54">
        <f t="shared" si="438"/>
        <v>0</v>
      </c>
      <c r="S2295" s="54"/>
      <c r="T2295" s="36"/>
      <c r="XDA2295"/>
      <c r="XDB2295"/>
      <c r="XDC2295"/>
      <c r="XDD2295"/>
      <c r="XDE2295"/>
      <c r="XDF2295"/>
      <c r="XDG2295"/>
      <c r="XDH2295"/>
      <c r="XDI2295"/>
      <c r="XDJ2295"/>
      <c r="XDK2295"/>
      <c r="XDL2295"/>
      <c r="XDM2295"/>
      <c r="XDN2295"/>
      <c r="XDO2295"/>
      <c r="XDP2295"/>
      <c r="XDQ2295"/>
      <c r="XDR2295"/>
      <c r="XDS2295"/>
      <c r="XDT2295"/>
      <c r="XDU2295"/>
      <c r="XDV2295"/>
      <c r="XDW2295"/>
      <c r="XDX2295"/>
      <c r="XDY2295"/>
      <c r="XDZ2295"/>
      <c r="XEA2295"/>
      <c r="XEB2295"/>
      <c r="XEC2295"/>
      <c r="XED2295"/>
      <c r="XEE2295"/>
      <c r="XEF2295"/>
      <c r="XEG2295"/>
      <c r="XEH2295"/>
      <c r="XEI2295"/>
      <c r="XEJ2295"/>
      <c r="XEK2295"/>
      <c r="XEL2295"/>
      <c r="XEM2295"/>
      <c r="XEN2295"/>
      <c r="XEO2295"/>
      <c r="XEP2295"/>
      <c r="XEQ2295"/>
      <c r="XER2295"/>
      <c r="XES2295"/>
      <c r="XET2295"/>
      <c r="XEU2295"/>
      <c r="XEV2295"/>
      <c r="XEW2295"/>
      <c r="XEX2295"/>
      <c r="XEY2295"/>
      <c r="XEZ2295"/>
      <c r="XFA2295"/>
      <c r="XFB2295"/>
      <c r="XFC2295"/>
    </row>
    <row r="2296" spans="1:20 16329:16383" s="38" customFormat="1" ht="29.1" customHeight="1" outlineLevel="5" x14ac:dyDescent="0.25">
      <c r="A2296" s="49" t="s">
        <v>4129</v>
      </c>
      <c r="B2296" s="50"/>
      <c r="C2296" s="50"/>
      <c r="D2296" s="3" t="s">
        <v>4130</v>
      </c>
      <c r="E2296" s="3"/>
      <c r="F2296" s="51"/>
      <c r="G2296" s="50" t="s">
        <v>102</v>
      </c>
      <c r="H2296" s="52">
        <f>1</f>
        <v>1</v>
      </c>
      <c r="I2296" s="36"/>
      <c r="J2296" s="52">
        <v>1</v>
      </c>
      <c r="K2296" s="53">
        <f>0</f>
        <v>0</v>
      </c>
      <c r="L2296" s="53">
        <f>0</f>
        <v>0</v>
      </c>
      <c r="M2296" s="53">
        <f>0</f>
        <v>0</v>
      </c>
      <c r="N2296" s="54">
        <f t="shared" si="434"/>
        <v>0</v>
      </c>
      <c r="O2296" s="54">
        <f t="shared" si="435"/>
        <v>0</v>
      </c>
      <c r="P2296" s="54">
        <f t="shared" si="436"/>
        <v>0</v>
      </c>
      <c r="Q2296" s="54">
        <f t="shared" si="437"/>
        <v>0</v>
      </c>
      <c r="R2296" s="54">
        <f t="shared" si="438"/>
        <v>0</v>
      </c>
      <c r="S2296" s="54"/>
      <c r="T2296" s="36"/>
      <c r="XDA2296"/>
      <c r="XDB2296"/>
      <c r="XDC2296"/>
      <c r="XDD2296"/>
      <c r="XDE2296"/>
      <c r="XDF2296"/>
      <c r="XDG2296"/>
      <c r="XDH2296"/>
      <c r="XDI2296"/>
      <c r="XDJ2296"/>
      <c r="XDK2296"/>
      <c r="XDL2296"/>
      <c r="XDM2296"/>
      <c r="XDN2296"/>
      <c r="XDO2296"/>
      <c r="XDP2296"/>
      <c r="XDQ2296"/>
      <c r="XDR2296"/>
      <c r="XDS2296"/>
      <c r="XDT2296"/>
      <c r="XDU2296"/>
      <c r="XDV2296"/>
      <c r="XDW2296"/>
      <c r="XDX2296"/>
      <c r="XDY2296"/>
      <c r="XDZ2296"/>
      <c r="XEA2296"/>
      <c r="XEB2296"/>
      <c r="XEC2296"/>
      <c r="XED2296"/>
      <c r="XEE2296"/>
      <c r="XEF2296"/>
      <c r="XEG2296"/>
      <c r="XEH2296"/>
      <c r="XEI2296"/>
      <c r="XEJ2296"/>
      <c r="XEK2296"/>
      <c r="XEL2296"/>
      <c r="XEM2296"/>
      <c r="XEN2296"/>
      <c r="XEO2296"/>
      <c r="XEP2296"/>
      <c r="XEQ2296"/>
      <c r="XER2296"/>
      <c r="XES2296"/>
      <c r="XET2296"/>
      <c r="XEU2296"/>
      <c r="XEV2296"/>
      <c r="XEW2296"/>
      <c r="XEX2296"/>
      <c r="XEY2296"/>
      <c r="XEZ2296"/>
      <c r="XFA2296"/>
      <c r="XFB2296"/>
      <c r="XFC2296"/>
    </row>
    <row r="2297" spans="1:20 16329:16383" s="38" customFormat="1" ht="29.1" customHeight="1" outlineLevel="3" x14ac:dyDescent="0.25">
      <c r="A2297" s="55" t="s">
        <v>4131</v>
      </c>
      <c r="B2297" s="56" t="s">
        <v>4132</v>
      </c>
      <c r="C2297" s="56"/>
      <c r="D2297" s="2" t="s">
        <v>4133</v>
      </c>
      <c r="E2297" s="2"/>
      <c r="F2297" s="57"/>
      <c r="G2297" s="56"/>
      <c r="H2297" s="58"/>
      <c r="I2297" s="36"/>
      <c r="J2297" s="58"/>
      <c r="K2297" s="59"/>
      <c r="L2297" s="59"/>
      <c r="M2297" s="59"/>
      <c r="N2297" s="59"/>
      <c r="O2297" s="59">
        <f>O2298+O2303+O2308</f>
        <v>0</v>
      </c>
      <c r="P2297" s="59">
        <f>P2298+P2303+P2308</f>
        <v>0</v>
      </c>
      <c r="Q2297" s="59">
        <f>Q2298+Q2303+Q2308</f>
        <v>0</v>
      </c>
      <c r="R2297" s="59">
        <f>R2298+R2303+R2308</f>
        <v>0</v>
      </c>
      <c r="S2297" s="59"/>
      <c r="T2297" s="36"/>
      <c r="XDA2297"/>
      <c r="XDB2297"/>
      <c r="XDC2297"/>
      <c r="XDD2297"/>
      <c r="XDE2297"/>
      <c r="XDF2297"/>
      <c r="XDG2297"/>
      <c r="XDH2297"/>
      <c r="XDI2297"/>
      <c r="XDJ2297"/>
      <c r="XDK2297"/>
      <c r="XDL2297"/>
      <c r="XDM2297"/>
      <c r="XDN2297"/>
      <c r="XDO2297"/>
      <c r="XDP2297"/>
      <c r="XDQ2297"/>
      <c r="XDR2297"/>
      <c r="XDS2297"/>
      <c r="XDT2297"/>
      <c r="XDU2297"/>
      <c r="XDV2297"/>
      <c r="XDW2297"/>
      <c r="XDX2297"/>
      <c r="XDY2297"/>
      <c r="XDZ2297"/>
      <c r="XEA2297"/>
      <c r="XEB2297"/>
      <c r="XEC2297"/>
      <c r="XED2297"/>
      <c r="XEE2297"/>
      <c r="XEF2297"/>
      <c r="XEG2297"/>
      <c r="XEH2297"/>
      <c r="XEI2297"/>
      <c r="XEJ2297"/>
      <c r="XEK2297"/>
      <c r="XEL2297"/>
      <c r="XEM2297"/>
      <c r="XEN2297"/>
      <c r="XEO2297"/>
      <c r="XEP2297"/>
      <c r="XEQ2297"/>
      <c r="XER2297"/>
      <c r="XES2297"/>
      <c r="XET2297"/>
      <c r="XEU2297"/>
      <c r="XEV2297"/>
      <c r="XEW2297"/>
      <c r="XEX2297"/>
      <c r="XEY2297"/>
      <c r="XEZ2297"/>
      <c r="XFA2297"/>
      <c r="XFB2297"/>
      <c r="XFC2297"/>
    </row>
    <row r="2298" spans="1:20 16329:16383" s="38" customFormat="1" ht="29.1" customHeight="1" outlineLevel="4" x14ac:dyDescent="0.25">
      <c r="A2298" s="60" t="s">
        <v>4134</v>
      </c>
      <c r="B2298" s="61" t="s">
        <v>4135</v>
      </c>
      <c r="C2298" s="61"/>
      <c r="D2298" s="1" t="s">
        <v>4136</v>
      </c>
      <c r="E2298" s="1"/>
      <c r="F2298" s="62"/>
      <c r="G2298" s="61"/>
      <c r="H2298" s="63"/>
      <c r="I2298" s="36"/>
      <c r="J2298" s="63"/>
      <c r="K2298" s="64"/>
      <c r="L2298" s="64"/>
      <c r="M2298" s="64"/>
      <c r="N2298" s="64"/>
      <c r="O2298" s="64">
        <f>SUM(O2299:O2302)</f>
        <v>0</v>
      </c>
      <c r="P2298" s="64">
        <f>SUM(P2299:P2302)</f>
        <v>0</v>
      </c>
      <c r="Q2298" s="64">
        <f>SUM(Q2299:Q2302)</f>
        <v>0</v>
      </c>
      <c r="R2298" s="64">
        <f>SUM(R2299:R2302)</f>
        <v>0</v>
      </c>
      <c r="S2298" s="64"/>
      <c r="T2298" s="36"/>
      <c r="XDA2298"/>
      <c r="XDB2298"/>
      <c r="XDC2298"/>
      <c r="XDD2298"/>
      <c r="XDE2298"/>
      <c r="XDF2298"/>
      <c r="XDG2298"/>
      <c r="XDH2298"/>
      <c r="XDI2298"/>
      <c r="XDJ2298"/>
      <c r="XDK2298"/>
      <c r="XDL2298"/>
      <c r="XDM2298"/>
      <c r="XDN2298"/>
      <c r="XDO2298"/>
      <c r="XDP2298"/>
      <c r="XDQ2298"/>
      <c r="XDR2298"/>
      <c r="XDS2298"/>
      <c r="XDT2298"/>
      <c r="XDU2298"/>
      <c r="XDV2298"/>
      <c r="XDW2298"/>
      <c r="XDX2298"/>
      <c r="XDY2298"/>
      <c r="XDZ2298"/>
      <c r="XEA2298"/>
      <c r="XEB2298"/>
      <c r="XEC2298"/>
      <c r="XED2298"/>
      <c r="XEE2298"/>
      <c r="XEF2298"/>
      <c r="XEG2298"/>
      <c r="XEH2298"/>
      <c r="XEI2298"/>
      <c r="XEJ2298"/>
      <c r="XEK2298"/>
      <c r="XEL2298"/>
      <c r="XEM2298"/>
      <c r="XEN2298"/>
      <c r="XEO2298"/>
      <c r="XEP2298"/>
      <c r="XEQ2298"/>
      <c r="XER2298"/>
      <c r="XES2298"/>
      <c r="XET2298"/>
      <c r="XEU2298"/>
      <c r="XEV2298"/>
      <c r="XEW2298"/>
      <c r="XEX2298"/>
      <c r="XEY2298"/>
      <c r="XEZ2298"/>
      <c r="XFA2298"/>
      <c r="XFB2298"/>
      <c r="XFC2298"/>
    </row>
    <row r="2299" spans="1:20 16329:16383" s="38" customFormat="1" ht="29.1" customHeight="1" outlineLevel="5" x14ac:dyDescent="0.25">
      <c r="A2299" s="49" t="s">
        <v>4137</v>
      </c>
      <c r="B2299" s="50"/>
      <c r="C2299" s="50"/>
      <c r="D2299" s="3" t="s">
        <v>4138</v>
      </c>
      <c r="E2299" s="3"/>
      <c r="F2299" s="51"/>
      <c r="G2299" s="50" t="s">
        <v>102</v>
      </c>
      <c r="H2299" s="52">
        <f>1</f>
        <v>1</v>
      </c>
      <c r="I2299" s="36"/>
      <c r="J2299" s="52">
        <v>1</v>
      </c>
      <c r="K2299" s="53">
        <f>0</f>
        <v>0</v>
      </c>
      <c r="L2299" s="53">
        <f>0</f>
        <v>0</v>
      </c>
      <c r="M2299" s="53">
        <f>0</f>
        <v>0</v>
      </c>
      <c r="N2299" s="54">
        <f>SUM(K2299:M2299)</f>
        <v>0</v>
      </c>
      <c r="O2299" s="54">
        <f>ROUND((H2299*K2299),2)</f>
        <v>0</v>
      </c>
      <c r="P2299" s="54">
        <f>ROUND((H2299*L2299),2)</f>
        <v>0</v>
      </c>
      <c r="Q2299" s="54">
        <f>ROUND((H2299*M2299),2)</f>
        <v>0</v>
      </c>
      <c r="R2299" s="54">
        <f>ROUND((H2299*N2299),2)</f>
        <v>0</v>
      </c>
      <c r="S2299" s="54"/>
      <c r="T2299" s="36"/>
      <c r="XDA2299"/>
      <c r="XDB2299"/>
      <c r="XDC2299"/>
      <c r="XDD2299"/>
      <c r="XDE2299"/>
      <c r="XDF2299"/>
      <c r="XDG2299"/>
      <c r="XDH2299"/>
      <c r="XDI2299"/>
      <c r="XDJ2299"/>
      <c r="XDK2299"/>
      <c r="XDL2299"/>
      <c r="XDM2299"/>
      <c r="XDN2299"/>
      <c r="XDO2299"/>
      <c r="XDP2299"/>
      <c r="XDQ2299"/>
      <c r="XDR2299"/>
      <c r="XDS2299"/>
      <c r="XDT2299"/>
      <c r="XDU2299"/>
      <c r="XDV2299"/>
      <c r="XDW2299"/>
      <c r="XDX2299"/>
      <c r="XDY2299"/>
      <c r="XDZ2299"/>
      <c r="XEA2299"/>
      <c r="XEB2299"/>
      <c r="XEC2299"/>
      <c r="XED2299"/>
      <c r="XEE2299"/>
      <c r="XEF2299"/>
      <c r="XEG2299"/>
      <c r="XEH2299"/>
      <c r="XEI2299"/>
      <c r="XEJ2299"/>
      <c r="XEK2299"/>
      <c r="XEL2299"/>
      <c r="XEM2299"/>
      <c r="XEN2299"/>
      <c r="XEO2299"/>
      <c r="XEP2299"/>
      <c r="XEQ2299"/>
      <c r="XER2299"/>
      <c r="XES2299"/>
      <c r="XET2299"/>
      <c r="XEU2299"/>
      <c r="XEV2299"/>
      <c r="XEW2299"/>
      <c r="XEX2299"/>
      <c r="XEY2299"/>
      <c r="XEZ2299"/>
      <c r="XFA2299"/>
      <c r="XFB2299"/>
      <c r="XFC2299"/>
    </row>
    <row r="2300" spans="1:20 16329:16383" s="38" customFormat="1" ht="29.1" customHeight="1" outlineLevel="5" x14ac:dyDescent="0.25">
      <c r="A2300" s="49" t="s">
        <v>4139</v>
      </c>
      <c r="B2300" s="50"/>
      <c r="C2300" s="50"/>
      <c r="D2300" s="3" t="s">
        <v>4140</v>
      </c>
      <c r="E2300" s="3"/>
      <c r="F2300" s="51"/>
      <c r="G2300" s="50" t="s">
        <v>102</v>
      </c>
      <c r="H2300" s="52">
        <f>1</f>
        <v>1</v>
      </c>
      <c r="I2300" s="36"/>
      <c r="J2300" s="52">
        <v>1</v>
      </c>
      <c r="K2300" s="53">
        <f>0</f>
        <v>0</v>
      </c>
      <c r="L2300" s="53">
        <f>0</f>
        <v>0</v>
      </c>
      <c r="M2300" s="53">
        <f>0</f>
        <v>0</v>
      </c>
      <c r="N2300" s="54">
        <f>SUM(K2300:M2300)</f>
        <v>0</v>
      </c>
      <c r="O2300" s="54">
        <f>ROUND((H2300*K2300),2)</f>
        <v>0</v>
      </c>
      <c r="P2300" s="54">
        <f>ROUND((H2300*L2300),2)</f>
        <v>0</v>
      </c>
      <c r="Q2300" s="54">
        <f>ROUND((H2300*M2300),2)</f>
        <v>0</v>
      </c>
      <c r="R2300" s="54">
        <f>ROUND((H2300*N2300),2)</f>
        <v>0</v>
      </c>
      <c r="S2300" s="54"/>
      <c r="T2300" s="36"/>
      <c r="XDA2300"/>
      <c r="XDB2300"/>
      <c r="XDC2300"/>
      <c r="XDD2300"/>
      <c r="XDE2300"/>
      <c r="XDF2300"/>
      <c r="XDG2300"/>
      <c r="XDH2300"/>
      <c r="XDI2300"/>
      <c r="XDJ2300"/>
      <c r="XDK2300"/>
      <c r="XDL2300"/>
      <c r="XDM2300"/>
      <c r="XDN2300"/>
      <c r="XDO2300"/>
      <c r="XDP2300"/>
      <c r="XDQ2300"/>
      <c r="XDR2300"/>
      <c r="XDS2300"/>
      <c r="XDT2300"/>
      <c r="XDU2300"/>
      <c r="XDV2300"/>
      <c r="XDW2300"/>
      <c r="XDX2300"/>
      <c r="XDY2300"/>
      <c r="XDZ2300"/>
      <c r="XEA2300"/>
      <c r="XEB2300"/>
      <c r="XEC2300"/>
      <c r="XED2300"/>
      <c r="XEE2300"/>
      <c r="XEF2300"/>
      <c r="XEG2300"/>
      <c r="XEH2300"/>
      <c r="XEI2300"/>
      <c r="XEJ2300"/>
      <c r="XEK2300"/>
      <c r="XEL2300"/>
      <c r="XEM2300"/>
      <c r="XEN2300"/>
      <c r="XEO2300"/>
      <c r="XEP2300"/>
      <c r="XEQ2300"/>
      <c r="XER2300"/>
      <c r="XES2300"/>
      <c r="XET2300"/>
      <c r="XEU2300"/>
      <c r="XEV2300"/>
      <c r="XEW2300"/>
      <c r="XEX2300"/>
      <c r="XEY2300"/>
      <c r="XEZ2300"/>
      <c r="XFA2300"/>
      <c r="XFB2300"/>
      <c r="XFC2300"/>
    </row>
    <row r="2301" spans="1:20 16329:16383" s="38" customFormat="1" ht="29.1" customHeight="1" outlineLevel="5" x14ac:dyDescent="0.25">
      <c r="A2301" s="49" t="s">
        <v>4141</v>
      </c>
      <c r="B2301" s="50"/>
      <c r="C2301" s="50"/>
      <c r="D2301" s="3" t="s">
        <v>4142</v>
      </c>
      <c r="E2301" s="3"/>
      <c r="F2301" s="51"/>
      <c r="G2301" s="50" t="s">
        <v>102</v>
      </c>
      <c r="H2301" s="52">
        <f>1</f>
        <v>1</v>
      </c>
      <c r="I2301" s="36"/>
      <c r="J2301" s="52">
        <v>1</v>
      </c>
      <c r="K2301" s="53">
        <f>0</f>
        <v>0</v>
      </c>
      <c r="L2301" s="53">
        <f>0</f>
        <v>0</v>
      </c>
      <c r="M2301" s="53">
        <f>0</f>
        <v>0</v>
      </c>
      <c r="N2301" s="54">
        <f>SUM(K2301:M2301)</f>
        <v>0</v>
      </c>
      <c r="O2301" s="54">
        <f>ROUND((H2301*K2301),2)</f>
        <v>0</v>
      </c>
      <c r="P2301" s="54">
        <f>ROUND((H2301*L2301),2)</f>
        <v>0</v>
      </c>
      <c r="Q2301" s="54">
        <f>ROUND((H2301*M2301),2)</f>
        <v>0</v>
      </c>
      <c r="R2301" s="54">
        <f>ROUND((H2301*N2301),2)</f>
        <v>0</v>
      </c>
      <c r="S2301" s="54"/>
      <c r="T2301" s="36"/>
      <c r="XDA2301"/>
      <c r="XDB2301"/>
      <c r="XDC2301"/>
      <c r="XDD2301"/>
      <c r="XDE2301"/>
      <c r="XDF2301"/>
      <c r="XDG2301"/>
      <c r="XDH2301"/>
      <c r="XDI2301"/>
      <c r="XDJ2301"/>
      <c r="XDK2301"/>
      <c r="XDL2301"/>
      <c r="XDM2301"/>
      <c r="XDN2301"/>
      <c r="XDO2301"/>
      <c r="XDP2301"/>
      <c r="XDQ2301"/>
      <c r="XDR2301"/>
      <c r="XDS2301"/>
      <c r="XDT2301"/>
      <c r="XDU2301"/>
      <c r="XDV2301"/>
      <c r="XDW2301"/>
      <c r="XDX2301"/>
      <c r="XDY2301"/>
      <c r="XDZ2301"/>
      <c r="XEA2301"/>
      <c r="XEB2301"/>
      <c r="XEC2301"/>
      <c r="XED2301"/>
      <c r="XEE2301"/>
      <c r="XEF2301"/>
      <c r="XEG2301"/>
      <c r="XEH2301"/>
      <c r="XEI2301"/>
      <c r="XEJ2301"/>
      <c r="XEK2301"/>
      <c r="XEL2301"/>
      <c r="XEM2301"/>
      <c r="XEN2301"/>
      <c r="XEO2301"/>
      <c r="XEP2301"/>
      <c r="XEQ2301"/>
      <c r="XER2301"/>
      <c r="XES2301"/>
      <c r="XET2301"/>
      <c r="XEU2301"/>
      <c r="XEV2301"/>
      <c r="XEW2301"/>
      <c r="XEX2301"/>
      <c r="XEY2301"/>
      <c r="XEZ2301"/>
      <c r="XFA2301"/>
      <c r="XFB2301"/>
      <c r="XFC2301"/>
    </row>
    <row r="2302" spans="1:20 16329:16383" s="38" customFormat="1" ht="29.1" customHeight="1" outlineLevel="5" x14ac:dyDescent="0.25">
      <c r="A2302" s="49" t="s">
        <v>4143</v>
      </c>
      <c r="B2302" s="50"/>
      <c r="C2302" s="50"/>
      <c r="D2302" s="3" t="s">
        <v>3991</v>
      </c>
      <c r="E2302" s="3"/>
      <c r="F2302" s="51"/>
      <c r="G2302" s="50" t="s">
        <v>102</v>
      </c>
      <c r="H2302" s="52">
        <f>1</f>
        <v>1</v>
      </c>
      <c r="I2302" s="36"/>
      <c r="J2302" s="52">
        <v>1</v>
      </c>
      <c r="K2302" s="53">
        <f>0</f>
        <v>0</v>
      </c>
      <c r="L2302" s="53">
        <f>0</f>
        <v>0</v>
      </c>
      <c r="M2302" s="53">
        <f>0</f>
        <v>0</v>
      </c>
      <c r="N2302" s="54">
        <f>SUM(K2302:M2302)</f>
        <v>0</v>
      </c>
      <c r="O2302" s="54">
        <f>ROUND((H2302*K2302),2)</f>
        <v>0</v>
      </c>
      <c r="P2302" s="54">
        <f>ROUND((H2302*L2302),2)</f>
        <v>0</v>
      </c>
      <c r="Q2302" s="54">
        <f>ROUND((H2302*M2302),2)</f>
        <v>0</v>
      </c>
      <c r="R2302" s="54">
        <f>ROUND((H2302*N2302),2)</f>
        <v>0</v>
      </c>
      <c r="S2302" s="54"/>
      <c r="T2302" s="36"/>
      <c r="XDA2302"/>
      <c r="XDB2302"/>
      <c r="XDC2302"/>
      <c r="XDD2302"/>
      <c r="XDE2302"/>
      <c r="XDF2302"/>
      <c r="XDG2302"/>
      <c r="XDH2302"/>
      <c r="XDI2302"/>
      <c r="XDJ2302"/>
      <c r="XDK2302"/>
      <c r="XDL2302"/>
      <c r="XDM2302"/>
      <c r="XDN2302"/>
      <c r="XDO2302"/>
      <c r="XDP2302"/>
      <c r="XDQ2302"/>
      <c r="XDR2302"/>
      <c r="XDS2302"/>
      <c r="XDT2302"/>
      <c r="XDU2302"/>
      <c r="XDV2302"/>
      <c r="XDW2302"/>
      <c r="XDX2302"/>
      <c r="XDY2302"/>
      <c r="XDZ2302"/>
      <c r="XEA2302"/>
      <c r="XEB2302"/>
      <c r="XEC2302"/>
      <c r="XED2302"/>
      <c r="XEE2302"/>
      <c r="XEF2302"/>
      <c r="XEG2302"/>
      <c r="XEH2302"/>
      <c r="XEI2302"/>
      <c r="XEJ2302"/>
      <c r="XEK2302"/>
      <c r="XEL2302"/>
      <c r="XEM2302"/>
      <c r="XEN2302"/>
      <c r="XEO2302"/>
      <c r="XEP2302"/>
      <c r="XEQ2302"/>
      <c r="XER2302"/>
      <c r="XES2302"/>
      <c r="XET2302"/>
      <c r="XEU2302"/>
      <c r="XEV2302"/>
      <c r="XEW2302"/>
      <c r="XEX2302"/>
      <c r="XEY2302"/>
      <c r="XEZ2302"/>
      <c r="XFA2302"/>
      <c r="XFB2302"/>
      <c r="XFC2302"/>
    </row>
    <row r="2303" spans="1:20 16329:16383" s="38" customFormat="1" ht="29.1" customHeight="1" outlineLevel="4" x14ac:dyDescent="0.25">
      <c r="A2303" s="60" t="s">
        <v>4144</v>
      </c>
      <c r="B2303" s="61" t="s">
        <v>4145</v>
      </c>
      <c r="C2303" s="61"/>
      <c r="D2303" s="1" t="s">
        <v>4146</v>
      </c>
      <c r="E2303" s="1"/>
      <c r="F2303" s="62" t="s">
        <v>4147</v>
      </c>
      <c r="G2303" s="61"/>
      <c r="H2303" s="63"/>
      <c r="I2303" s="36"/>
      <c r="J2303" s="63"/>
      <c r="K2303" s="64"/>
      <c r="L2303" s="64"/>
      <c r="M2303" s="64"/>
      <c r="N2303" s="64"/>
      <c r="O2303" s="64">
        <f>SUM(O2304:O2307)</f>
        <v>0</v>
      </c>
      <c r="P2303" s="64">
        <f>SUM(P2304:P2307)</f>
        <v>0</v>
      </c>
      <c r="Q2303" s="64">
        <f>SUM(Q2304:Q2307)</f>
        <v>0</v>
      </c>
      <c r="R2303" s="64">
        <f>SUM(R2304:R2307)</f>
        <v>0</v>
      </c>
      <c r="S2303" s="64"/>
      <c r="T2303" s="36"/>
      <c r="XDA2303"/>
      <c r="XDB2303"/>
      <c r="XDC2303"/>
      <c r="XDD2303"/>
      <c r="XDE2303"/>
      <c r="XDF2303"/>
      <c r="XDG2303"/>
      <c r="XDH2303"/>
      <c r="XDI2303"/>
      <c r="XDJ2303"/>
      <c r="XDK2303"/>
      <c r="XDL2303"/>
      <c r="XDM2303"/>
      <c r="XDN2303"/>
      <c r="XDO2303"/>
      <c r="XDP2303"/>
      <c r="XDQ2303"/>
      <c r="XDR2303"/>
      <c r="XDS2303"/>
      <c r="XDT2303"/>
      <c r="XDU2303"/>
      <c r="XDV2303"/>
      <c r="XDW2303"/>
      <c r="XDX2303"/>
      <c r="XDY2303"/>
      <c r="XDZ2303"/>
      <c r="XEA2303"/>
      <c r="XEB2303"/>
      <c r="XEC2303"/>
      <c r="XED2303"/>
      <c r="XEE2303"/>
      <c r="XEF2303"/>
      <c r="XEG2303"/>
      <c r="XEH2303"/>
      <c r="XEI2303"/>
      <c r="XEJ2303"/>
      <c r="XEK2303"/>
      <c r="XEL2303"/>
      <c r="XEM2303"/>
      <c r="XEN2303"/>
      <c r="XEO2303"/>
      <c r="XEP2303"/>
      <c r="XEQ2303"/>
      <c r="XER2303"/>
      <c r="XES2303"/>
      <c r="XET2303"/>
      <c r="XEU2303"/>
      <c r="XEV2303"/>
      <c r="XEW2303"/>
      <c r="XEX2303"/>
      <c r="XEY2303"/>
      <c r="XEZ2303"/>
      <c r="XFA2303"/>
      <c r="XFB2303"/>
      <c r="XFC2303"/>
    </row>
    <row r="2304" spans="1:20 16329:16383" s="38" customFormat="1" ht="29.1" customHeight="1" outlineLevel="5" x14ac:dyDescent="0.25">
      <c r="A2304" s="49" t="s">
        <v>4148</v>
      </c>
      <c r="B2304" s="50"/>
      <c r="C2304" s="50"/>
      <c r="D2304" s="3" t="s">
        <v>1646</v>
      </c>
      <c r="E2304" s="3"/>
      <c r="F2304" s="51"/>
      <c r="G2304" s="50" t="s">
        <v>102</v>
      </c>
      <c r="H2304" s="52">
        <f>1</f>
        <v>1</v>
      </c>
      <c r="I2304" s="36"/>
      <c r="J2304" s="52">
        <v>1</v>
      </c>
      <c r="K2304" s="53">
        <f>0</f>
        <v>0</v>
      </c>
      <c r="L2304" s="53">
        <f>0</f>
        <v>0</v>
      </c>
      <c r="M2304" s="53">
        <f>0</f>
        <v>0</v>
      </c>
      <c r="N2304" s="54">
        <f>SUM(K2304:M2304)</f>
        <v>0</v>
      </c>
      <c r="O2304" s="54">
        <f>ROUND((H2304*K2304),2)</f>
        <v>0</v>
      </c>
      <c r="P2304" s="54">
        <f>ROUND((H2304*L2304),2)</f>
        <v>0</v>
      </c>
      <c r="Q2304" s="54">
        <f>ROUND((H2304*M2304),2)</f>
        <v>0</v>
      </c>
      <c r="R2304" s="54">
        <f>ROUND((H2304*N2304),2)</f>
        <v>0</v>
      </c>
      <c r="S2304" s="54"/>
      <c r="T2304" s="36"/>
      <c r="XDA2304"/>
      <c r="XDB2304"/>
      <c r="XDC2304"/>
      <c r="XDD2304"/>
      <c r="XDE2304"/>
      <c r="XDF2304"/>
      <c r="XDG2304"/>
      <c r="XDH2304"/>
      <c r="XDI2304"/>
      <c r="XDJ2304"/>
      <c r="XDK2304"/>
      <c r="XDL2304"/>
      <c r="XDM2304"/>
      <c r="XDN2304"/>
      <c r="XDO2304"/>
      <c r="XDP2304"/>
      <c r="XDQ2304"/>
      <c r="XDR2304"/>
      <c r="XDS2304"/>
      <c r="XDT2304"/>
      <c r="XDU2304"/>
      <c r="XDV2304"/>
      <c r="XDW2304"/>
      <c r="XDX2304"/>
      <c r="XDY2304"/>
      <c r="XDZ2304"/>
      <c r="XEA2304"/>
      <c r="XEB2304"/>
      <c r="XEC2304"/>
      <c r="XED2304"/>
      <c r="XEE2304"/>
      <c r="XEF2304"/>
      <c r="XEG2304"/>
      <c r="XEH2304"/>
      <c r="XEI2304"/>
      <c r="XEJ2304"/>
      <c r="XEK2304"/>
      <c r="XEL2304"/>
      <c r="XEM2304"/>
      <c r="XEN2304"/>
      <c r="XEO2304"/>
      <c r="XEP2304"/>
      <c r="XEQ2304"/>
      <c r="XER2304"/>
      <c r="XES2304"/>
      <c r="XET2304"/>
      <c r="XEU2304"/>
      <c r="XEV2304"/>
      <c r="XEW2304"/>
      <c r="XEX2304"/>
      <c r="XEY2304"/>
      <c r="XEZ2304"/>
      <c r="XFA2304"/>
      <c r="XFB2304"/>
      <c r="XFC2304"/>
    </row>
    <row r="2305" spans="1:20 16329:16383" s="38" customFormat="1" ht="29.1" customHeight="1" outlineLevel="5" x14ac:dyDescent="0.25">
      <c r="A2305" s="49" t="s">
        <v>4149</v>
      </c>
      <c r="B2305" s="50"/>
      <c r="C2305" s="50"/>
      <c r="D2305" s="3" t="s">
        <v>1648</v>
      </c>
      <c r="E2305" s="3"/>
      <c r="F2305" s="51"/>
      <c r="G2305" s="50" t="s">
        <v>102</v>
      </c>
      <c r="H2305" s="52">
        <f>1</f>
        <v>1</v>
      </c>
      <c r="I2305" s="36"/>
      <c r="J2305" s="52">
        <v>1</v>
      </c>
      <c r="K2305" s="53">
        <f>0</f>
        <v>0</v>
      </c>
      <c r="L2305" s="53">
        <f>0</f>
        <v>0</v>
      </c>
      <c r="M2305" s="53">
        <f>0</f>
        <v>0</v>
      </c>
      <c r="N2305" s="54">
        <f>SUM(K2305:M2305)</f>
        <v>0</v>
      </c>
      <c r="O2305" s="54">
        <f>ROUND((H2305*K2305),2)</f>
        <v>0</v>
      </c>
      <c r="P2305" s="54">
        <f>ROUND((H2305*L2305),2)</f>
        <v>0</v>
      </c>
      <c r="Q2305" s="54">
        <f>ROUND((H2305*M2305),2)</f>
        <v>0</v>
      </c>
      <c r="R2305" s="54">
        <f>ROUND((H2305*N2305),2)</f>
        <v>0</v>
      </c>
      <c r="S2305" s="54"/>
      <c r="T2305" s="36"/>
      <c r="XDA2305"/>
      <c r="XDB2305"/>
      <c r="XDC2305"/>
      <c r="XDD2305"/>
      <c r="XDE2305"/>
      <c r="XDF2305"/>
      <c r="XDG2305"/>
      <c r="XDH2305"/>
      <c r="XDI2305"/>
      <c r="XDJ2305"/>
      <c r="XDK2305"/>
      <c r="XDL2305"/>
      <c r="XDM2305"/>
      <c r="XDN2305"/>
      <c r="XDO2305"/>
      <c r="XDP2305"/>
      <c r="XDQ2305"/>
      <c r="XDR2305"/>
      <c r="XDS2305"/>
      <c r="XDT2305"/>
      <c r="XDU2305"/>
      <c r="XDV2305"/>
      <c r="XDW2305"/>
      <c r="XDX2305"/>
      <c r="XDY2305"/>
      <c r="XDZ2305"/>
      <c r="XEA2305"/>
      <c r="XEB2305"/>
      <c r="XEC2305"/>
      <c r="XED2305"/>
      <c r="XEE2305"/>
      <c r="XEF2305"/>
      <c r="XEG2305"/>
      <c r="XEH2305"/>
      <c r="XEI2305"/>
      <c r="XEJ2305"/>
      <c r="XEK2305"/>
      <c r="XEL2305"/>
      <c r="XEM2305"/>
      <c r="XEN2305"/>
      <c r="XEO2305"/>
      <c r="XEP2305"/>
      <c r="XEQ2305"/>
      <c r="XER2305"/>
      <c r="XES2305"/>
      <c r="XET2305"/>
      <c r="XEU2305"/>
      <c r="XEV2305"/>
      <c r="XEW2305"/>
      <c r="XEX2305"/>
      <c r="XEY2305"/>
      <c r="XEZ2305"/>
      <c r="XFA2305"/>
      <c r="XFB2305"/>
      <c r="XFC2305"/>
    </row>
    <row r="2306" spans="1:20 16329:16383" s="38" customFormat="1" ht="29.1" customHeight="1" outlineLevel="5" x14ac:dyDescent="0.25">
      <c r="A2306" s="49" t="s">
        <v>4150</v>
      </c>
      <c r="B2306" s="50"/>
      <c r="C2306" s="50"/>
      <c r="D2306" s="3" t="s">
        <v>1650</v>
      </c>
      <c r="E2306" s="3"/>
      <c r="F2306" s="51"/>
      <c r="G2306" s="50" t="s">
        <v>102</v>
      </c>
      <c r="H2306" s="52">
        <f>1</f>
        <v>1</v>
      </c>
      <c r="I2306" s="36"/>
      <c r="J2306" s="52">
        <v>1</v>
      </c>
      <c r="K2306" s="53">
        <f>0</f>
        <v>0</v>
      </c>
      <c r="L2306" s="53">
        <f>0</f>
        <v>0</v>
      </c>
      <c r="M2306" s="53">
        <f>0</f>
        <v>0</v>
      </c>
      <c r="N2306" s="54">
        <f>SUM(K2306:M2306)</f>
        <v>0</v>
      </c>
      <c r="O2306" s="54">
        <f>ROUND((H2306*K2306),2)</f>
        <v>0</v>
      </c>
      <c r="P2306" s="54">
        <f>ROUND((H2306*L2306),2)</f>
        <v>0</v>
      </c>
      <c r="Q2306" s="54">
        <f>ROUND((H2306*M2306),2)</f>
        <v>0</v>
      </c>
      <c r="R2306" s="54">
        <f>ROUND((H2306*N2306),2)</f>
        <v>0</v>
      </c>
      <c r="S2306" s="54"/>
      <c r="T2306" s="36"/>
      <c r="XDA2306"/>
      <c r="XDB2306"/>
      <c r="XDC2306"/>
      <c r="XDD2306"/>
      <c r="XDE2306"/>
      <c r="XDF2306"/>
      <c r="XDG2306"/>
      <c r="XDH2306"/>
      <c r="XDI2306"/>
      <c r="XDJ2306"/>
      <c r="XDK2306"/>
      <c r="XDL2306"/>
      <c r="XDM2306"/>
      <c r="XDN2306"/>
      <c r="XDO2306"/>
      <c r="XDP2306"/>
      <c r="XDQ2306"/>
      <c r="XDR2306"/>
      <c r="XDS2306"/>
      <c r="XDT2306"/>
      <c r="XDU2306"/>
      <c r="XDV2306"/>
      <c r="XDW2306"/>
      <c r="XDX2306"/>
      <c r="XDY2306"/>
      <c r="XDZ2306"/>
      <c r="XEA2306"/>
      <c r="XEB2306"/>
      <c r="XEC2306"/>
      <c r="XED2306"/>
      <c r="XEE2306"/>
      <c r="XEF2306"/>
      <c r="XEG2306"/>
      <c r="XEH2306"/>
      <c r="XEI2306"/>
      <c r="XEJ2306"/>
      <c r="XEK2306"/>
      <c r="XEL2306"/>
      <c r="XEM2306"/>
      <c r="XEN2306"/>
      <c r="XEO2306"/>
      <c r="XEP2306"/>
      <c r="XEQ2306"/>
      <c r="XER2306"/>
      <c r="XES2306"/>
      <c r="XET2306"/>
      <c r="XEU2306"/>
      <c r="XEV2306"/>
      <c r="XEW2306"/>
      <c r="XEX2306"/>
      <c r="XEY2306"/>
      <c r="XEZ2306"/>
      <c r="XFA2306"/>
      <c r="XFB2306"/>
      <c r="XFC2306"/>
    </row>
    <row r="2307" spans="1:20 16329:16383" s="38" customFormat="1" ht="29.1" customHeight="1" outlineLevel="5" x14ac:dyDescent="0.25">
      <c r="A2307" s="49" t="s">
        <v>4151</v>
      </c>
      <c r="B2307" s="50"/>
      <c r="C2307" s="50"/>
      <c r="D2307" s="3" t="s">
        <v>4020</v>
      </c>
      <c r="E2307" s="3"/>
      <c r="F2307" s="51"/>
      <c r="G2307" s="50" t="s">
        <v>102</v>
      </c>
      <c r="H2307" s="52">
        <f>1</f>
        <v>1</v>
      </c>
      <c r="I2307" s="36"/>
      <c r="J2307" s="52">
        <v>1</v>
      </c>
      <c r="K2307" s="53">
        <f>0</f>
        <v>0</v>
      </c>
      <c r="L2307" s="53">
        <f>0</f>
        <v>0</v>
      </c>
      <c r="M2307" s="53">
        <f>0</f>
        <v>0</v>
      </c>
      <c r="N2307" s="54">
        <f>SUM(K2307:M2307)</f>
        <v>0</v>
      </c>
      <c r="O2307" s="54">
        <f>ROUND((H2307*K2307),2)</f>
        <v>0</v>
      </c>
      <c r="P2307" s="54">
        <f>ROUND((H2307*L2307),2)</f>
        <v>0</v>
      </c>
      <c r="Q2307" s="54">
        <f>ROUND((H2307*M2307),2)</f>
        <v>0</v>
      </c>
      <c r="R2307" s="54">
        <f>ROUND((H2307*N2307),2)</f>
        <v>0</v>
      </c>
      <c r="S2307" s="54"/>
      <c r="T2307" s="36"/>
      <c r="XDA2307"/>
      <c r="XDB2307"/>
      <c r="XDC2307"/>
      <c r="XDD2307"/>
      <c r="XDE2307"/>
      <c r="XDF2307"/>
      <c r="XDG2307"/>
      <c r="XDH2307"/>
      <c r="XDI2307"/>
      <c r="XDJ2307"/>
      <c r="XDK2307"/>
      <c r="XDL2307"/>
      <c r="XDM2307"/>
      <c r="XDN2307"/>
      <c r="XDO2307"/>
      <c r="XDP2307"/>
      <c r="XDQ2307"/>
      <c r="XDR2307"/>
      <c r="XDS2307"/>
      <c r="XDT2307"/>
      <c r="XDU2307"/>
      <c r="XDV2307"/>
      <c r="XDW2307"/>
      <c r="XDX2307"/>
      <c r="XDY2307"/>
      <c r="XDZ2307"/>
      <c r="XEA2307"/>
      <c r="XEB2307"/>
      <c r="XEC2307"/>
      <c r="XED2307"/>
      <c r="XEE2307"/>
      <c r="XEF2307"/>
      <c r="XEG2307"/>
      <c r="XEH2307"/>
      <c r="XEI2307"/>
      <c r="XEJ2307"/>
      <c r="XEK2307"/>
      <c r="XEL2307"/>
      <c r="XEM2307"/>
      <c r="XEN2307"/>
      <c r="XEO2307"/>
      <c r="XEP2307"/>
      <c r="XEQ2307"/>
      <c r="XER2307"/>
      <c r="XES2307"/>
      <c r="XET2307"/>
      <c r="XEU2307"/>
      <c r="XEV2307"/>
      <c r="XEW2307"/>
      <c r="XEX2307"/>
      <c r="XEY2307"/>
      <c r="XEZ2307"/>
      <c r="XFA2307"/>
      <c r="XFB2307"/>
      <c r="XFC2307"/>
    </row>
    <row r="2308" spans="1:20 16329:16383" s="38" customFormat="1" ht="29.1" customHeight="1" outlineLevel="4" x14ac:dyDescent="0.25">
      <c r="A2308" s="60" t="s">
        <v>4152</v>
      </c>
      <c r="B2308" s="61" t="s">
        <v>4153</v>
      </c>
      <c r="C2308" s="61"/>
      <c r="D2308" s="1" t="s">
        <v>4154</v>
      </c>
      <c r="E2308" s="1"/>
      <c r="F2308" s="62" t="s">
        <v>4147</v>
      </c>
      <c r="G2308" s="61"/>
      <c r="H2308" s="63"/>
      <c r="I2308" s="36"/>
      <c r="J2308" s="63"/>
      <c r="K2308" s="64"/>
      <c r="L2308" s="64"/>
      <c r="M2308" s="64"/>
      <c r="N2308" s="64"/>
      <c r="O2308" s="64">
        <f>SUM(O2309:O2312)</f>
        <v>0</v>
      </c>
      <c r="P2308" s="64">
        <f>SUM(P2309:P2312)</f>
        <v>0</v>
      </c>
      <c r="Q2308" s="64">
        <f>SUM(Q2309:Q2312)</f>
        <v>0</v>
      </c>
      <c r="R2308" s="64">
        <f>SUM(R2309:R2312)</f>
        <v>0</v>
      </c>
      <c r="S2308" s="64"/>
      <c r="T2308" s="36"/>
      <c r="XDA2308"/>
      <c r="XDB2308"/>
      <c r="XDC2308"/>
      <c r="XDD2308"/>
      <c r="XDE2308"/>
      <c r="XDF2308"/>
      <c r="XDG2308"/>
      <c r="XDH2308"/>
      <c r="XDI2308"/>
      <c r="XDJ2308"/>
      <c r="XDK2308"/>
      <c r="XDL2308"/>
      <c r="XDM2308"/>
      <c r="XDN2308"/>
      <c r="XDO2308"/>
      <c r="XDP2308"/>
      <c r="XDQ2308"/>
      <c r="XDR2308"/>
      <c r="XDS2308"/>
      <c r="XDT2308"/>
      <c r="XDU2308"/>
      <c r="XDV2308"/>
      <c r="XDW2308"/>
      <c r="XDX2308"/>
      <c r="XDY2308"/>
      <c r="XDZ2308"/>
      <c r="XEA2308"/>
      <c r="XEB2308"/>
      <c r="XEC2308"/>
      <c r="XED2308"/>
      <c r="XEE2308"/>
      <c r="XEF2308"/>
      <c r="XEG2308"/>
      <c r="XEH2308"/>
      <c r="XEI2308"/>
      <c r="XEJ2308"/>
      <c r="XEK2308"/>
      <c r="XEL2308"/>
      <c r="XEM2308"/>
      <c r="XEN2308"/>
      <c r="XEO2308"/>
      <c r="XEP2308"/>
      <c r="XEQ2308"/>
      <c r="XER2308"/>
      <c r="XES2308"/>
      <c r="XET2308"/>
      <c r="XEU2308"/>
      <c r="XEV2308"/>
      <c r="XEW2308"/>
      <c r="XEX2308"/>
      <c r="XEY2308"/>
      <c r="XEZ2308"/>
      <c r="XFA2308"/>
      <c r="XFB2308"/>
      <c r="XFC2308"/>
    </row>
    <row r="2309" spans="1:20 16329:16383" s="38" customFormat="1" ht="29.1" customHeight="1" outlineLevel="5" x14ac:dyDescent="0.25">
      <c r="A2309" s="49" t="s">
        <v>4155</v>
      </c>
      <c r="B2309" s="50"/>
      <c r="C2309" s="50"/>
      <c r="D2309" s="3" t="s">
        <v>1646</v>
      </c>
      <c r="E2309" s="3"/>
      <c r="F2309" s="51"/>
      <c r="G2309" s="50" t="s">
        <v>102</v>
      </c>
      <c r="H2309" s="52">
        <f>1</f>
        <v>1</v>
      </c>
      <c r="I2309" s="36"/>
      <c r="J2309" s="52">
        <v>1</v>
      </c>
      <c r="K2309" s="53">
        <f>0</f>
        <v>0</v>
      </c>
      <c r="L2309" s="53">
        <f>0</f>
        <v>0</v>
      </c>
      <c r="M2309" s="53">
        <f>0</f>
        <v>0</v>
      </c>
      <c r="N2309" s="54">
        <f>SUM(K2309:M2309)</f>
        <v>0</v>
      </c>
      <c r="O2309" s="54">
        <f>ROUND((H2309*K2309),2)</f>
        <v>0</v>
      </c>
      <c r="P2309" s="54">
        <f>ROUND((H2309*L2309),2)</f>
        <v>0</v>
      </c>
      <c r="Q2309" s="54">
        <f>ROUND((H2309*M2309),2)</f>
        <v>0</v>
      </c>
      <c r="R2309" s="54">
        <f>ROUND((H2309*N2309),2)</f>
        <v>0</v>
      </c>
      <c r="S2309" s="54"/>
      <c r="T2309" s="36"/>
      <c r="XDA2309"/>
      <c r="XDB2309"/>
      <c r="XDC2309"/>
      <c r="XDD2309"/>
      <c r="XDE2309"/>
      <c r="XDF2309"/>
      <c r="XDG2309"/>
      <c r="XDH2309"/>
      <c r="XDI2309"/>
      <c r="XDJ2309"/>
      <c r="XDK2309"/>
      <c r="XDL2309"/>
      <c r="XDM2309"/>
      <c r="XDN2309"/>
      <c r="XDO2309"/>
      <c r="XDP2309"/>
      <c r="XDQ2309"/>
      <c r="XDR2309"/>
      <c r="XDS2309"/>
      <c r="XDT2309"/>
      <c r="XDU2309"/>
      <c r="XDV2309"/>
      <c r="XDW2309"/>
      <c r="XDX2309"/>
      <c r="XDY2309"/>
      <c r="XDZ2309"/>
      <c r="XEA2309"/>
      <c r="XEB2309"/>
      <c r="XEC2309"/>
      <c r="XED2309"/>
      <c r="XEE2309"/>
      <c r="XEF2309"/>
      <c r="XEG2309"/>
      <c r="XEH2309"/>
      <c r="XEI2309"/>
      <c r="XEJ2309"/>
      <c r="XEK2309"/>
      <c r="XEL2309"/>
      <c r="XEM2309"/>
      <c r="XEN2309"/>
      <c r="XEO2309"/>
      <c r="XEP2309"/>
      <c r="XEQ2309"/>
      <c r="XER2309"/>
      <c r="XES2309"/>
      <c r="XET2309"/>
      <c r="XEU2309"/>
      <c r="XEV2309"/>
      <c r="XEW2309"/>
      <c r="XEX2309"/>
      <c r="XEY2309"/>
      <c r="XEZ2309"/>
      <c r="XFA2309"/>
      <c r="XFB2309"/>
      <c r="XFC2309"/>
    </row>
    <row r="2310" spans="1:20 16329:16383" s="38" customFormat="1" ht="29.1" customHeight="1" outlineLevel="5" x14ac:dyDescent="0.25">
      <c r="A2310" s="49" t="s">
        <v>4156</v>
      </c>
      <c r="B2310" s="50"/>
      <c r="C2310" s="50"/>
      <c r="D2310" s="3" t="s">
        <v>1648</v>
      </c>
      <c r="E2310" s="3"/>
      <c r="F2310" s="51"/>
      <c r="G2310" s="50" t="s">
        <v>102</v>
      </c>
      <c r="H2310" s="52">
        <f>1</f>
        <v>1</v>
      </c>
      <c r="I2310" s="36"/>
      <c r="J2310" s="52">
        <v>1</v>
      </c>
      <c r="K2310" s="53">
        <f>0</f>
        <v>0</v>
      </c>
      <c r="L2310" s="53">
        <f>0</f>
        <v>0</v>
      </c>
      <c r="M2310" s="53">
        <f>0</f>
        <v>0</v>
      </c>
      <c r="N2310" s="54">
        <f>SUM(K2310:M2310)</f>
        <v>0</v>
      </c>
      <c r="O2310" s="54">
        <f>ROUND((H2310*K2310),2)</f>
        <v>0</v>
      </c>
      <c r="P2310" s="54">
        <f>ROUND((H2310*L2310),2)</f>
        <v>0</v>
      </c>
      <c r="Q2310" s="54">
        <f>ROUND((H2310*M2310),2)</f>
        <v>0</v>
      </c>
      <c r="R2310" s="54">
        <f>ROUND((H2310*N2310),2)</f>
        <v>0</v>
      </c>
      <c r="S2310" s="54"/>
      <c r="T2310" s="36"/>
      <c r="XDA2310"/>
      <c r="XDB2310"/>
      <c r="XDC2310"/>
      <c r="XDD2310"/>
      <c r="XDE2310"/>
      <c r="XDF2310"/>
      <c r="XDG2310"/>
      <c r="XDH2310"/>
      <c r="XDI2310"/>
      <c r="XDJ2310"/>
      <c r="XDK2310"/>
      <c r="XDL2310"/>
      <c r="XDM2310"/>
      <c r="XDN2310"/>
      <c r="XDO2310"/>
      <c r="XDP2310"/>
      <c r="XDQ2310"/>
      <c r="XDR2310"/>
      <c r="XDS2310"/>
      <c r="XDT2310"/>
      <c r="XDU2310"/>
      <c r="XDV2310"/>
      <c r="XDW2310"/>
      <c r="XDX2310"/>
      <c r="XDY2310"/>
      <c r="XDZ2310"/>
      <c r="XEA2310"/>
      <c r="XEB2310"/>
      <c r="XEC2310"/>
      <c r="XED2310"/>
      <c r="XEE2310"/>
      <c r="XEF2310"/>
      <c r="XEG2310"/>
      <c r="XEH2310"/>
      <c r="XEI2310"/>
      <c r="XEJ2310"/>
      <c r="XEK2310"/>
      <c r="XEL2310"/>
      <c r="XEM2310"/>
      <c r="XEN2310"/>
      <c r="XEO2310"/>
      <c r="XEP2310"/>
      <c r="XEQ2310"/>
      <c r="XER2310"/>
      <c r="XES2310"/>
      <c r="XET2310"/>
      <c r="XEU2310"/>
      <c r="XEV2310"/>
      <c r="XEW2310"/>
      <c r="XEX2310"/>
      <c r="XEY2310"/>
      <c r="XEZ2310"/>
      <c r="XFA2310"/>
      <c r="XFB2310"/>
      <c r="XFC2310"/>
    </row>
    <row r="2311" spans="1:20 16329:16383" s="38" customFormat="1" ht="29.1" customHeight="1" outlineLevel="5" x14ac:dyDescent="0.25">
      <c r="A2311" s="49" t="s">
        <v>4157</v>
      </c>
      <c r="B2311" s="50"/>
      <c r="C2311" s="50"/>
      <c r="D2311" s="3" t="s">
        <v>1650</v>
      </c>
      <c r="E2311" s="3"/>
      <c r="F2311" s="51"/>
      <c r="G2311" s="50" t="s">
        <v>102</v>
      </c>
      <c r="H2311" s="52">
        <f>1</f>
        <v>1</v>
      </c>
      <c r="I2311" s="36"/>
      <c r="J2311" s="52">
        <v>1</v>
      </c>
      <c r="K2311" s="53">
        <f>0</f>
        <v>0</v>
      </c>
      <c r="L2311" s="53">
        <f>0</f>
        <v>0</v>
      </c>
      <c r="M2311" s="53">
        <f>0</f>
        <v>0</v>
      </c>
      <c r="N2311" s="54">
        <f>SUM(K2311:M2311)</f>
        <v>0</v>
      </c>
      <c r="O2311" s="54">
        <f>ROUND((H2311*K2311),2)</f>
        <v>0</v>
      </c>
      <c r="P2311" s="54">
        <f>ROUND((H2311*L2311),2)</f>
        <v>0</v>
      </c>
      <c r="Q2311" s="54">
        <f>ROUND((H2311*M2311),2)</f>
        <v>0</v>
      </c>
      <c r="R2311" s="54">
        <f>ROUND((H2311*N2311),2)</f>
        <v>0</v>
      </c>
      <c r="S2311" s="54"/>
      <c r="T2311" s="36"/>
      <c r="XDA2311"/>
      <c r="XDB2311"/>
      <c r="XDC2311"/>
      <c r="XDD2311"/>
      <c r="XDE2311"/>
      <c r="XDF2311"/>
      <c r="XDG2311"/>
      <c r="XDH2311"/>
      <c r="XDI2311"/>
      <c r="XDJ2311"/>
      <c r="XDK2311"/>
      <c r="XDL2311"/>
      <c r="XDM2311"/>
      <c r="XDN2311"/>
      <c r="XDO2311"/>
      <c r="XDP2311"/>
      <c r="XDQ2311"/>
      <c r="XDR2311"/>
      <c r="XDS2311"/>
      <c r="XDT2311"/>
      <c r="XDU2311"/>
      <c r="XDV2311"/>
      <c r="XDW2311"/>
      <c r="XDX2311"/>
      <c r="XDY2311"/>
      <c r="XDZ2311"/>
      <c r="XEA2311"/>
      <c r="XEB2311"/>
      <c r="XEC2311"/>
      <c r="XED2311"/>
      <c r="XEE2311"/>
      <c r="XEF2311"/>
      <c r="XEG2311"/>
      <c r="XEH2311"/>
      <c r="XEI2311"/>
      <c r="XEJ2311"/>
      <c r="XEK2311"/>
      <c r="XEL2311"/>
      <c r="XEM2311"/>
      <c r="XEN2311"/>
      <c r="XEO2311"/>
      <c r="XEP2311"/>
      <c r="XEQ2311"/>
      <c r="XER2311"/>
      <c r="XES2311"/>
      <c r="XET2311"/>
      <c r="XEU2311"/>
      <c r="XEV2311"/>
      <c r="XEW2311"/>
      <c r="XEX2311"/>
      <c r="XEY2311"/>
      <c r="XEZ2311"/>
      <c r="XFA2311"/>
      <c r="XFB2311"/>
      <c r="XFC2311"/>
    </row>
    <row r="2312" spans="1:20 16329:16383" s="38" customFormat="1" ht="29.1" customHeight="1" outlineLevel="5" x14ac:dyDescent="0.25">
      <c r="A2312" s="49" t="s">
        <v>4158</v>
      </c>
      <c r="B2312" s="50"/>
      <c r="C2312" s="50"/>
      <c r="D2312" s="3" t="s">
        <v>4020</v>
      </c>
      <c r="E2312" s="3"/>
      <c r="F2312" s="51"/>
      <c r="G2312" s="50" t="s">
        <v>102</v>
      </c>
      <c r="H2312" s="52">
        <f>1</f>
        <v>1</v>
      </c>
      <c r="I2312" s="36"/>
      <c r="J2312" s="52">
        <v>1</v>
      </c>
      <c r="K2312" s="53">
        <f>0</f>
        <v>0</v>
      </c>
      <c r="L2312" s="53">
        <f>0</f>
        <v>0</v>
      </c>
      <c r="M2312" s="53">
        <f>0</f>
        <v>0</v>
      </c>
      <c r="N2312" s="54">
        <f>SUM(K2312:M2312)</f>
        <v>0</v>
      </c>
      <c r="O2312" s="54">
        <f>ROUND((H2312*K2312),2)</f>
        <v>0</v>
      </c>
      <c r="P2312" s="54">
        <f>ROUND((H2312*L2312),2)</f>
        <v>0</v>
      </c>
      <c r="Q2312" s="54">
        <f>ROUND((H2312*M2312),2)</f>
        <v>0</v>
      </c>
      <c r="R2312" s="54">
        <f>ROUND((H2312*N2312),2)</f>
        <v>0</v>
      </c>
      <c r="S2312" s="54"/>
      <c r="T2312" s="36"/>
      <c r="XDA2312"/>
      <c r="XDB2312"/>
      <c r="XDC2312"/>
      <c r="XDD2312"/>
      <c r="XDE2312"/>
      <c r="XDF2312"/>
      <c r="XDG2312"/>
      <c r="XDH2312"/>
      <c r="XDI2312"/>
      <c r="XDJ2312"/>
      <c r="XDK2312"/>
      <c r="XDL2312"/>
      <c r="XDM2312"/>
      <c r="XDN2312"/>
      <c r="XDO2312"/>
      <c r="XDP2312"/>
      <c r="XDQ2312"/>
      <c r="XDR2312"/>
      <c r="XDS2312"/>
      <c r="XDT2312"/>
      <c r="XDU2312"/>
      <c r="XDV2312"/>
      <c r="XDW2312"/>
      <c r="XDX2312"/>
      <c r="XDY2312"/>
      <c r="XDZ2312"/>
      <c r="XEA2312"/>
      <c r="XEB2312"/>
      <c r="XEC2312"/>
      <c r="XED2312"/>
      <c r="XEE2312"/>
      <c r="XEF2312"/>
      <c r="XEG2312"/>
      <c r="XEH2312"/>
      <c r="XEI2312"/>
      <c r="XEJ2312"/>
      <c r="XEK2312"/>
      <c r="XEL2312"/>
      <c r="XEM2312"/>
      <c r="XEN2312"/>
      <c r="XEO2312"/>
      <c r="XEP2312"/>
      <c r="XEQ2312"/>
      <c r="XER2312"/>
      <c r="XES2312"/>
      <c r="XET2312"/>
      <c r="XEU2312"/>
      <c r="XEV2312"/>
      <c r="XEW2312"/>
      <c r="XEX2312"/>
      <c r="XEY2312"/>
      <c r="XEZ2312"/>
      <c r="XFA2312"/>
      <c r="XFB2312"/>
      <c r="XFC2312"/>
    </row>
    <row r="2313" spans="1:20 16329:16383" s="38" customFormat="1" ht="29.1" customHeight="1" outlineLevel="2" x14ac:dyDescent="0.25">
      <c r="A2313" s="44" t="s">
        <v>4159</v>
      </c>
      <c r="B2313" s="45" t="s">
        <v>4160</v>
      </c>
      <c r="C2313" s="45" t="s">
        <v>4161</v>
      </c>
      <c r="D2313" s="4" t="s">
        <v>4162</v>
      </c>
      <c r="E2313" s="4"/>
      <c r="F2313" s="46"/>
      <c r="G2313" s="45" t="s">
        <v>102</v>
      </c>
      <c r="H2313" s="47"/>
      <c r="I2313" s="36"/>
      <c r="J2313" s="47"/>
      <c r="K2313" s="48"/>
      <c r="L2313" s="48"/>
      <c r="M2313" s="48"/>
      <c r="N2313" s="48"/>
      <c r="O2313" s="48">
        <f>O2314+O2329+O2338</f>
        <v>0</v>
      </c>
      <c r="P2313" s="48">
        <f>P2314+P2329+P2338</f>
        <v>0</v>
      </c>
      <c r="Q2313" s="48">
        <f>Q2314+Q2329+Q2338</f>
        <v>0</v>
      </c>
      <c r="R2313" s="48">
        <f>R2314+R2329+R2338</f>
        <v>0</v>
      </c>
      <c r="S2313" s="48"/>
      <c r="T2313" s="36"/>
      <c r="XDA2313"/>
      <c r="XDB2313"/>
      <c r="XDC2313"/>
      <c r="XDD2313"/>
      <c r="XDE2313"/>
      <c r="XDF2313"/>
      <c r="XDG2313"/>
      <c r="XDH2313"/>
      <c r="XDI2313"/>
      <c r="XDJ2313"/>
      <c r="XDK2313"/>
      <c r="XDL2313"/>
      <c r="XDM2313"/>
      <c r="XDN2313"/>
      <c r="XDO2313"/>
      <c r="XDP2313"/>
      <c r="XDQ2313"/>
      <c r="XDR2313"/>
      <c r="XDS2313"/>
      <c r="XDT2313"/>
      <c r="XDU2313"/>
      <c r="XDV2313"/>
      <c r="XDW2313"/>
      <c r="XDX2313"/>
      <c r="XDY2313"/>
      <c r="XDZ2313"/>
      <c r="XEA2313"/>
      <c r="XEB2313"/>
      <c r="XEC2313"/>
      <c r="XED2313"/>
      <c r="XEE2313"/>
      <c r="XEF2313"/>
      <c r="XEG2313"/>
      <c r="XEH2313"/>
      <c r="XEI2313"/>
      <c r="XEJ2313"/>
      <c r="XEK2313"/>
      <c r="XEL2313"/>
      <c r="XEM2313"/>
      <c r="XEN2313"/>
      <c r="XEO2313"/>
      <c r="XEP2313"/>
      <c r="XEQ2313"/>
      <c r="XER2313"/>
      <c r="XES2313"/>
      <c r="XET2313"/>
      <c r="XEU2313"/>
      <c r="XEV2313"/>
      <c r="XEW2313"/>
      <c r="XEX2313"/>
      <c r="XEY2313"/>
      <c r="XEZ2313"/>
      <c r="XFA2313"/>
      <c r="XFB2313"/>
      <c r="XFC2313"/>
    </row>
    <row r="2314" spans="1:20 16329:16383" s="38" customFormat="1" ht="29.1" customHeight="1" outlineLevel="3" x14ac:dyDescent="0.25">
      <c r="A2314" s="55" t="s">
        <v>4163</v>
      </c>
      <c r="B2314" s="56" t="s">
        <v>4164</v>
      </c>
      <c r="C2314" s="56"/>
      <c r="D2314" s="2" t="s">
        <v>4165</v>
      </c>
      <c r="E2314" s="2"/>
      <c r="F2314" s="57"/>
      <c r="G2314" s="56"/>
      <c r="H2314" s="58"/>
      <c r="I2314" s="36"/>
      <c r="J2314" s="58"/>
      <c r="K2314" s="59"/>
      <c r="L2314" s="59"/>
      <c r="M2314" s="59"/>
      <c r="N2314" s="59"/>
      <c r="O2314" s="59">
        <f>O2315+O2321</f>
        <v>0</v>
      </c>
      <c r="P2314" s="59">
        <f>P2315+P2321</f>
        <v>0</v>
      </c>
      <c r="Q2314" s="59">
        <f>Q2315+Q2321</f>
        <v>0</v>
      </c>
      <c r="R2314" s="59">
        <f>R2315+R2321</f>
        <v>0</v>
      </c>
      <c r="S2314" s="59"/>
      <c r="T2314" s="36"/>
      <c r="XDA2314"/>
      <c r="XDB2314"/>
      <c r="XDC2314"/>
      <c r="XDD2314"/>
      <c r="XDE2314"/>
      <c r="XDF2314"/>
      <c r="XDG2314"/>
      <c r="XDH2314"/>
      <c r="XDI2314"/>
      <c r="XDJ2314"/>
      <c r="XDK2314"/>
      <c r="XDL2314"/>
      <c r="XDM2314"/>
      <c r="XDN2314"/>
      <c r="XDO2314"/>
      <c r="XDP2314"/>
      <c r="XDQ2314"/>
      <c r="XDR2314"/>
      <c r="XDS2314"/>
      <c r="XDT2314"/>
      <c r="XDU2314"/>
      <c r="XDV2314"/>
      <c r="XDW2314"/>
      <c r="XDX2314"/>
      <c r="XDY2314"/>
      <c r="XDZ2314"/>
      <c r="XEA2314"/>
      <c r="XEB2314"/>
      <c r="XEC2314"/>
      <c r="XED2314"/>
      <c r="XEE2314"/>
      <c r="XEF2314"/>
      <c r="XEG2314"/>
      <c r="XEH2314"/>
      <c r="XEI2314"/>
      <c r="XEJ2314"/>
      <c r="XEK2314"/>
      <c r="XEL2314"/>
      <c r="XEM2314"/>
      <c r="XEN2314"/>
      <c r="XEO2314"/>
      <c r="XEP2314"/>
      <c r="XEQ2314"/>
      <c r="XER2314"/>
      <c r="XES2314"/>
      <c r="XET2314"/>
      <c r="XEU2314"/>
      <c r="XEV2314"/>
      <c r="XEW2314"/>
      <c r="XEX2314"/>
      <c r="XEY2314"/>
      <c r="XEZ2314"/>
      <c r="XFA2314"/>
      <c r="XFB2314"/>
      <c r="XFC2314"/>
    </row>
    <row r="2315" spans="1:20 16329:16383" s="38" customFormat="1" ht="29.1" customHeight="1" outlineLevel="4" x14ac:dyDescent="0.25">
      <c r="A2315" s="60" t="s">
        <v>4166</v>
      </c>
      <c r="B2315" s="61" t="s">
        <v>4167</v>
      </c>
      <c r="C2315" s="61"/>
      <c r="D2315" s="1" t="s">
        <v>4168</v>
      </c>
      <c r="E2315" s="1"/>
      <c r="F2315" s="62"/>
      <c r="G2315" s="61"/>
      <c r="H2315" s="63"/>
      <c r="I2315" s="36"/>
      <c r="J2315" s="63"/>
      <c r="K2315" s="64"/>
      <c r="L2315" s="64"/>
      <c r="M2315" s="64"/>
      <c r="N2315" s="64"/>
      <c r="O2315" s="64">
        <f>SUM(O2316:O2320)</f>
        <v>0</v>
      </c>
      <c r="P2315" s="64">
        <f>SUM(P2316:P2320)</f>
        <v>0</v>
      </c>
      <c r="Q2315" s="64">
        <f>SUM(Q2316:Q2320)</f>
        <v>0</v>
      </c>
      <c r="R2315" s="64">
        <f>SUM(R2316:R2320)</f>
        <v>0</v>
      </c>
      <c r="S2315" s="64"/>
      <c r="T2315" s="36"/>
      <c r="XDA2315"/>
      <c r="XDB2315"/>
      <c r="XDC2315"/>
      <c r="XDD2315"/>
      <c r="XDE2315"/>
      <c r="XDF2315"/>
      <c r="XDG2315"/>
      <c r="XDH2315"/>
      <c r="XDI2315"/>
      <c r="XDJ2315"/>
      <c r="XDK2315"/>
      <c r="XDL2315"/>
      <c r="XDM2315"/>
      <c r="XDN2315"/>
      <c r="XDO2315"/>
      <c r="XDP2315"/>
      <c r="XDQ2315"/>
      <c r="XDR2315"/>
      <c r="XDS2315"/>
      <c r="XDT2315"/>
      <c r="XDU2315"/>
      <c r="XDV2315"/>
      <c r="XDW2315"/>
      <c r="XDX2315"/>
      <c r="XDY2315"/>
      <c r="XDZ2315"/>
      <c r="XEA2315"/>
      <c r="XEB2315"/>
      <c r="XEC2315"/>
      <c r="XED2315"/>
      <c r="XEE2315"/>
      <c r="XEF2315"/>
      <c r="XEG2315"/>
      <c r="XEH2315"/>
      <c r="XEI2315"/>
      <c r="XEJ2315"/>
      <c r="XEK2315"/>
      <c r="XEL2315"/>
      <c r="XEM2315"/>
      <c r="XEN2315"/>
      <c r="XEO2315"/>
      <c r="XEP2315"/>
      <c r="XEQ2315"/>
      <c r="XER2315"/>
      <c r="XES2315"/>
      <c r="XET2315"/>
      <c r="XEU2315"/>
      <c r="XEV2315"/>
      <c r="XEW2315"/>
      <c r="XEX2315"/>
      <c r="XEY2315"/>
      <c r="XEZ2315"/>
      <c r="XFA2315"/>
      <c r="XFB2315"/>
      <c r="XFC2315"/>
    </row>
    <row r="2316" spans="1:20 16329:16383" s="38" customFormat="1" ht="29.1" customHeight="1" outlineLevel="5" x14ac:dyDescent="0.25">
      <c r="A2316" s="49" t="s">
        <v>4169</v>
      </c>
      <c r="B2316" s="50"/>
      <c r="C2316" s="50"/>
      <c r="D2316" s="3" t="s">
        <v>4170</v>
      </c>
      <c r="E2316" s="3"/>
      <c r="F2316" s="51"/>
      <c r="G2316" s="50" t="s">
        <v>102</v>
      </c>
      <c r="H2316" s="52">
        <f>1</f>
        <v>1</v>
      </c>
      <c r="I2316" s="36"/>
      <c r="J2316" s="52">
        <v>1</v>
      </c>
      <c r="K2316" s="53">
        <f>0</f>
        <v>0</v>
      </c>
      <c r="L2316" s="53">
        <f>0</f>
        <v>0</v>
      </c>
      <c r="M2316" s="53">
        <f>0</f>
        <v>0</v>
      </c>
      <c r="N2316" s="54">
        <f>SUM(K2316:M2316)</f>
        <v>0</v>
      </c>
      <c r="O2316" s="54">
        <f>ROUND((H2316*K2316),2)</f>
        <v>0</v>
      </c>
      <c r="P2316" s="54">
        <f>ROUND((H2316*L2316),2)</f>
        <v>0</v>
      </c>
      <c r="Q2316" s="54">
        <f>ROUND((H2316*M2316),2)</f>
        <v>0</v>
      </c>
      <c r="R2316" s="54">
        <f>ROUND((H2316*N2316),2)</f>
        <v>0</v>
      </c>
      <c r="S2316" s="54"/>
      <c r="T2316" s="36"/>
      <c r="XDA2316"/>
      <c r="XDB2316"/>
      <c r="XDC2316"/>
      <c r="XDD2316"/>
      <c r="XDE2316"/>
      <c r="XDF2316"/>
      <c r="XDG2316"/>
      <c r="XDH2316"/>
      <c r="XDI2316"/>
      <c r="XDJ2316"/>
      <c r="XDK2316"/>
      <c r="XDL2316"/>
      <c r="XDM2316"/>
      <c r="XDN2316"/>
      <c r="XDO2316"/>
      <c r="XDP2316"/>
      <c r="XDQ2316"/>
      <c r="XDR2316"/>
      <c r="XDS2316"/>
      <c r="XDT2316"/>
      <c r="XDU2316"/>
      <c r="XDV2316"/>
      <c r="XDW2316"/>
      <c r="XDX2316"/>
      <c r="XDY2316"/>
      <c r="XDZ2316"/>
      <c r="XEA2316"/>
      <c r="XEB2316"/>
      <c r="XEC2316"/>
      <c r="XED2316"/>
      <c r="XEE2316"/>
      <c r="XEF2316"/>
      <c r="XEG2316"/>
      <c r="XEH2316"/>
      <c r="XEI2316"/>
      <c r="XEJ2316"/>
      <c r="XEK2316"/>
      <c r="XEL2316"/>
      <c r="XEM2316"/>
      <c r="XEN2316"/>
      <c r="XEO2316"/>
      <c r="XEP2316"/>
      <c r="XEQ2316"/>
      <c r="XER2316"/>
      <c r="XES2316"/>
      <c r="XET2316"/>
      <c r="XEU2316"/>
      <c r="XEV2316"/>
      <c r="XEW2316"/>
      <c r="XEX2316"/>
      <c r="XEY2316"/>
      <c r="XEZ2316"/>
      <c r="XFA2316"/>
      <c r="XFB2316"/>
      <c r="XFC2316"/>
    </row>
    <row r="2317" spans="1:20 16329:16383" s="38" customFormat="1" ht="29.1" customHeight="1" outlineLevel="5" x14ac:dyDescent="0.25">
      <c r="A2317" s="49" t="s">
        <v>4171</v>
      </c>
      <c r="B2317" s="50"/>
      <c r="C2317" s="50"/>
      <c r="D2317" s="3" t="s">
        <v>3987</v>
      </c>
      <c r="E2317" s="3"/>
      <c r="F2317" s="51"/>
      <c r="G2317" s="50" t="s">
        <v>102</v>
      </c>
      <c r="H2317" s="52">
        <f>1</f>
        <v>1</v>
      </c>
      <c r="I2317" s="36"/>
      <c r="J2317" s="52">
        <v>1</v>
      </c>
      <c r="K2317" s="53">
        <f>0</f>
        <v>0</v>
      </c>
      <c r="L2317" s="53">
        <f>0</f>
        <v>0</v>
      </c>
      <c r="M2317" s="53">
        <f>0</f>
        <v>0</v>
      </c>
      <c r="N2317" s="54">
        <f>SUM(K2317:M2317)</f>
        <v>0</v>
      </c>
      <c r="O2317" s="54">
        <f>ROUND((H2317*K2317),2)</f>
        <v>0</v>
      </c>
      <c r="P2317" s="54">
        <f>ROUND((H2317*L2317),2)</f>
        <v>0</v>
      </c>
      <c r="Q2317" s="54">
        <f>ROUND((H2317*M2317),2)</f>
        <v>0</v>
      </c>
      <c r="R2317" s="54">
        <f>ROUND((H2317*N2317),2)</f>
        <v>0</v>
      </c>
      <c r="S2317" s="54"/>
      <c r="T2317" s="36"/>
      <c r="XDA2317"/>
      <c r="XDB2317"/>
      <c r="XDC2317"/>
      <c r="XDD2317"/>
      <c r="XDE2317"/>
      <c r="XDF2317"/>
      <c r="XDG2317"/>
      <c r="XDH2317"/>
      <c r="XDI2317"/>
      <c r="XDJ2317"/>
      <c r="XDK2317"/>
      <c r="XDL2317"/>
      <c r="XDM2317"/>
      <c r="XDN2317"/>
      <c r="XDO2317"/>
      <c r="XDP2317"/>
      <c r="XDQ2317"/>
      <c r="XDR2317"/>
      <c r="XDS2317"/>
      <c r="XDT2317"/>
      <c r="XDU2317"/>
      <c r="XDV2317"/>
      <c r="XDW2317"/>
      <c r="XDX2317"/>
      <c r="XDY2317"/>
      <c r="XDZ2317"/>
      <c r="XEA2317"/>
      <c r="XEB2317"/>
      <c r="XEC2317"/>
      <c r="XED2317"/>
      <c r="XEE2317"/>
      <c r="XEF2317"/>
      <c r="XEG2317"/>
      <c r="XEH2317"/>
      <c r="XEI2317"/>
      <c r="XEJ2317"/>
      <c r="XEK2317"/>
      <c r="XEL2317"/>
      <c r="XEM2317"/>
      <c r="XEN2317"/>
      <c r="XEO2317"/>
      <c r="XEP2317"/>
      <c r="XEQ2317"/>
      <c r="XER2317"/>
      <c r="XES2317"/>
      <c r="XET2317"/>
      <c r="XEU2317"/>
      <c r="XEV2317"/>
      <c r="XEW2317"/>
      <c r="XEX2317"/>
      <c r="XEY2317"/>
      <c r="XEZ2317"/>
      <c r="XFA2317"/>
      <c r="XFB2317"/>
      <c r="XFC2317"/>
    </row>
    <row r="2318" spans="1:20 16329:16383" s="38" customFormat="1" ht="29.1" customHeight="1" outlineLevel="5" x14ac:dyDescent="0.25">
      <c r="A2318" s="49" t="s">
        <v>4172</v>
      </c>
      <c r="B2318" s="50"/>
      <c r="C2318" s="50"/>
      <c r="D2318" s="3" t="s">
        <v>3989</v>
      </c>
      <c r="E2318" s="3"/>
      <c r="F2318" s="51"/>
      <c r="G2318" s="50" t="s">
        <v>102</v>
      </c>
      <c r="H2318" s="52">
        <f>1</f>
        <v>1</v>
      </c>
      <c r="I2318" s="36"/>
      <c r="J2318" s="52">
        <v>1</v>
      </c>
      <c r="K2318" s="53">
        <f>0</f>
        <v>0</v>
      </c>
      <c r="L2318" s="53">
        <f>0</f>
        <v>0</v>
      </c>
      <c r="M2318" s="53">
        <f>0</f>
        <v>0</v>
      </c>
      <c r="N2318" s="54">
        <f>SUM(K2318:M2318)</f>
        <v>0</v>
      </c>
      <c r="O2318" s="54">
        <f>ROUND((H2318*K2318),2)</f>
        <v>0</v>
      </c>
      <c r="P2318" s="54">
        <f>ROUND((H2318*L2318),2)</f>
        <v>0</v>
      </c>
      <c r="Q2318" s="54">
        <f>ROUND((H2318*M2318),2)</f>
        <v>0</v>
      </c>
      <c r="R2318" s="54">
        <f>ROUND((H2318*N2318),2)</f>
        <v>0</v>
      </c>
      <c r="S2318" s="54"/>
      <c r="T2318" s="36"/>
      <c r="XDA2318"/>
      <c r="XDB2318"/>
      <c r="XDC2318"/>
      <c r="XDD2318"/>
      <c r="XDE2318"/>
      <c r="XDF2318"/>
      <c r="XDG2318"/>
      <c r="XDH2318"/>
      <c r="XDI2318"/>
      <c r="XDJ2318"/>
      <c r="XDK2318"/>
      <c r="XDL2318"/>
      <c r="XDM2318"/>
      <c r="XDN2318"/>
      <c r="XDO2318"/>
      <c r="XDP2318"/>
      <c r="XDQ2318"/>
      <c r="XDR2318"/>
      <c r="XDS2318"/>
      <c r="XDT2318"/>
      <c r="XDU2318"/>
      <c r="XDV2318"/>
      <c r="XDW2318"/>
      <c r="XDX2318"/>
      <c r="XDY2318"/>
      <c r="XDZ2318"/>
      <c r="XEA2318"/>
      <c r="XEB2318"/>
      <c r="XEC2318"/>
      <c r="XED2318"/>
      <c r="XEE2318"/>
      <c r="XEF2318"/>
      <c r="XEG2318"/>
      <c r="XEH2318"/>
      <c r="XEI2318"/>
      <c r="XEJ2318"/>
      <c r="XEK2318"/>
      <c r="XEL2318"/>
      <c r="XEM2318"/>
      <c r="XEN2318"/>
      <c r="XEO2318"/>
      <c r="XEP2318"/>
      <c r="XEQ2318"/>
      <c r="XER2318"/>
      <c r="XES2318"/>
      <c r="XET2318"/>
      <c r="XEU2318"/>
      <c r="XEV2318"/>
      <c r="XEW2318"/>
      <c r="XEX2318"/>
      <c r="XEY2318"/>
      <c r="XEZ2318"/>
      <c r="XFA2318"/>
      <c r="XFB2318"/>
      <c r="XFC2318"/>
    </row>
    <row r="2319" spans="1:20 16329:16383" s="38" customFormat="1" ht="29.1" customHeight="1" outlineLevel="5" x14ac:dyDescent="0.25">
      <c r="A2319" s="49" t="s">
        <v>4173</v>
      </c>
      <c r="B2319" s="50"/>
      <c r="C2319" s="50"/>
      <c r="D2319" s="3" t="s">
        <v>4174</v>
      </c>
      <c r="E2319" s="3"/>
      <c r="F2319" s="51"/>
      <c r="G2319" s="50" t="s">
        <v>102</v>
      </c>
      <c r="H2319" s="52">
        <f>1</f>
        <v>1</v>
      </c>
      <c r="I2319" s="36"/>
      <c r="J2319" s="52">
        <v>1</v>
      </c>
      <c r="K2319" s="53">
        <f>0</f>
        <v>0</v>
      </c>
      <c r="L2319" s="53">
        <f>0</f>
        <v>0</v>
      </c>
      <c r="M2319" s="53">
        <f>0</f>
        <v>0</v>
      </c>
      <c r="N2319" s="54">
        <f>SUM(K2319:M2319)</f>
        <v>0</v>
      </c>
      <c r="O2319" s="54">
        <f>ROUND((H2319*K2319),2)</f>
        <v>0</v>
      </c>
      <c r="P2319" s="54">
        <f>ROUND((H2319*L2319),2)</f>
        <v>0</v>
      </c>
      <c r="Q2319" s="54">
        <f>ROUND((H2319*M2319),2)</f>
        <v>0</v>
      </c>
      <c r="R2319" s="54">
        <f>ROUND((H2319*N2319),2)</f>
        <v>0</v>
      </c>
      <c r="S2319" s="54"/>
      <c r="T2319" s="36"/>
      <c r="XDA2319"/>
      <c r="XDB2319"/>
      <c r="XDC2319"/>
      <c r="XDD2319"/>
      <c r="XDE2319"/>
      <c r="XDF2319"/>
      <c r="XDG2319"/>
      <c r="XDH2319"/>
      <c r="XDI2319"/>
      <c r="XDJ2319"/>
      <c r="XDK2319"/>
      <c r="XDL2319"/>
      <c r="XDM2319"/>
      <c r="XDN2319"/>
      <c r="XDO2319"/>
      <c r="XDP2319"/>
      <c r="XDQ2319"/>
      <c r="XDR2319"/>
      <c r="XDS2319"/>
      <c r="XDT2319"/>
      <c r="XDU2319"/>
      <c r="XDV2319"/>
      <c r="XDW2319"/>
      <c r="XDX2319"/>
      <c r="XDY2319"/>
      <c r="XDZ2319"/>
      <c r="XEA2319"/>
      <c r="XEB2319"/>
      <c r="XEC2319"/>
      <c r="XED2319"/>
      <c r="XEE2319"/>
      <c r="XEF2319"/>
      <c r="XEG2319"/>
      <c r="XEH2319"/>
      <c r="XEI2319"/>
      <c r="XEJ2319"/>
      <c r="XEK2319"/>
      <c r="XEL2319"/>
      <c r="XEM2319"/>
      <c r="XEN2319"/>
      <c r="XEO2319"/>
      <c r="XEP2319"/>
      <c r="XEQ2319"/>
      <c r="XER2319"/>
      <c r="XES2319"/>
      <c r="XET2319"/>
      <c r="XEU2319"/>
      <c r="XEV2319"/>
      <c r="XEW2319"/>
      <c r="XEX2319"/>
      <c r="XEY2319"/>
      <c r="XEZ2319"/>
      <c r="XFA2319"/>
      <c r="XFB2319"/>
      <c r="XFC2319"/>
    </row>
    <row r="2320" spans="1:20 16329:16383" s="38" customFormat="1" ht="29.1" customHeight="1" outlineLevel="5" x14ac:dyDescent="0.25">
      <c r="A2320" s="49" t="s">
        <v>4175</v>
      </c>
      <c r="B2320" s="50"/>
      <c r="C2320" s="50"/>
      <c r="D2320" s="3" t="s">
        <v>3993</v>
      </c>
      <c r="E2320" s="3"/>
      <c r="F2320" s="51"/>
      <c r="G2320" s="50" t="s">
        <v>102</v>
      </c>
      <c r="H2320" s="52">
        <f>1</f>
        <v>1</v>
      </c>
      <c r="I2320" s="36"/>
      <c r="J2320" s="52">
        <v>1</v>
      </c>
      <c r="K2320" s="53">
        <f>0</f>
        <v>0</v>
      </c>
      <c r="L2320" s="53">
        <f>0</f>
        <v>0</v>
      </c>
      <c r="M2320" s="53">
        <f>0</f>
        <v>0</v>
      </c>
      <c r="N2320" s="54">
        <f>SUM(K2320:M2320)</f>
        <v>0</v>
      </c>
      <c r="O2320" s="54">
        <f>ROUND((H2320*K2320),2)</f>
        <v>0</v>
      </c>
      <c r="P2320" s="54">
        <f>ROUND((H2320*L2320),2)</f>
        <v>0</v>
      </c>
      <c r="Q2320" s="54">
        <f>ROUND((H2320*M2320),2)</f>
        <v>0</v>
      </c>
      <c r="R2320" s="54">
        <f>ROUND((H2320*N2320),2)</f>
        <v>0</v>
      </c>
      <c r="S2320" s="54"/>
      <c r="T2320" s="36"/>
      <c r="XDA2320"/>
      <c r="XDB2320"/>
      <c r="XDC2320"/>
      <c r="XDD2320"/>
      <c r="XDE2320"/>
      <c r="XDF2320"/>
      <c r="XDG2320"/>
      <c r="XDH2320"/>
      <c r="XDI2320"/>
      <c r="XDJ2320"/>
      <c r="XDK2320"/>
      <c r="XDL2320"/>
      <c r="XDM2320"/>
      <c r="XDN2320"/>
      <c r="XDO2320"/>
      <c r="XDP2320"/>
      <c r="XDQ2320"/>
      <c r="XDR2320"/>
      <c r="XDS2320"/>
      <c r="XDT2320"/>
      <c r="XDU2320"/>
      <c r="XDV2320"/>
      <c r="XDW2320"/>
      <c r="XDX2320"/>
      <c r="XDY2320"/>
      <c r="XDZ2320"/>
      <c r="XEA2320"/>
      <c r="XEB2320"/>
      <c r="XEC2320"/>
      <c r="XED2320"/>
      <c r="XEE2320"/>
      <c r="XEF2320"/>
      <c r="XEG2320"/>
      <c r="XEH2320"/>
      <c r="XEI2320"/>
      <c r="XEJ2320"/>
      <c r="XEK2320"/>
      <c r="XEL2320"/>
      <c r="XEM2320"/>
      <c r="XEN2320"/>
      <c r="XEO2320"/>
      <c r="XEP2320"/>
      <c r="XEQ2320"/>
      <c r="XER2320"/>
      <c r="XES2320"/>
      <c r="XET2320"/>
      <c r="XEU2320"/>
      <c r="XEV2320"/>
      <c r="XEW2320"/>
      <c r="XEX2320"/>
      <c r="XEY2320"/>
      <c r="XEZ2320"/>
      <c r="XFA2320"/>
      <c r="XFB2320"/>
      <c r="XFC2320"/>
    </row>
    <row r="2321" spans="1:20 16329:16383" s="38" customFormat="1" ht="29.1" customHeight="1" outlineLevel="4" x14ac:dyDescent="0.25">
      <c r="A2321" s="60" t="s">
        <v>4176</v>
      </c>
      <c r="B2321" s="61" t="s">
        <v>4177</v>
      </c>
      <c r="C2321" s="61"/>
      <c r="D2321" s="1" t="s">
        <v>4178</v>
      </c>
      <c r="E2321" s="1"/>
      <c r="F2321" s="62" t="s">
        <v>4179</v>
      </c>
      <c r="G2321" s="61"/>
      <c r="H2321" s="63"/>
      <c r="I2321" s="36"/>
      <c r="J2321" s="63"/>
      <c r="K2321" s="64"/>
      <c r="L2321" s="64"/>
      <c r="M2321" s="64"/>
      <c r="N2321" s="64"/>
      <c r="O2321" s="64">
        <f>SUM(O2322:O2328)</f>
        <v>0</v>
      </c>
      <c r="P2321" s="64">
        <f>SUM(P2322:P2328)</f>
        <v>0</v>
      </c>
      <c r="Q2321" s="64">
        <f>SUM(Q2322:Q2328)</f>
        <v>0</v>
      </c>
      <c r="R2321" s="64">
        <f>SUM(R2322:R2328)</f>
        <v>0</v>
      </c>
      <c r="S2321" s="64"/>
      <c r="T2321" s="36"/>
      <c r="XDA2321"/>
      <c r="XDB2321"/>
      <c r="XDC2321"/>
      <c r="XDD2321"/>
      <c r="XDE2321"/>
      <c r="XDF2321"/>
      <c r="XDG2321"/>
      <c r="XDH2321"/>
      <c r="XDI2321"/>
      <c r="XDJ2321"/>
      <c r="XDK2321"/>
      <c r="XDL2321"/>
      <c r="XDM2321"/>
      <c r="XDN2321"/>
      <c r="XDO2321"/>
      <c r="XDP2321"/>
      <c r="XDQ2321"/>
      <c r="XDR2321"/>
      <c r="XDS2321"/>
      <c r="XDT2321"/>
      <c r="XDU2321"/>
      <c r="XDV2321"/>
      <c r="XDW2321"/>
      <c r="XDX2321"/>
      <c r="XDY2321"/>
      <c r="XDZ2321"/>
      <c r="XEA2321"/>
      <c r="XEB2321"/>
      <c r="XEC2321"/>
      <c r="XED2321"/>
      <c r="XEE2321"/>
      <c r="XEF2321"/>
      <c r="XEG2321"/>
      <c r="XEH2321"/>
      <c r="XEI2321"/>
      <c r="XEJ2321"/>
      <c r="XEK2321"/>
      <c r="XEL2321"/>
      <c r="XEM2321"/>
      <c r="XEN2321"/>
      <c r="XEO2321"/>
      <c r="XEP2321"/>
      <c r="XEQ2321"/>
      <c r="XER2321"/>
      <c r="XES2321"/>
      <c r="XET2321"/>
      <c r="XEU2321"/>
      <c r="XEV2321"/>
      <c r="XEW2321"/>
      <c r="XEX2321"/>
      <c r="XEY2321"/>
      <c r="XEZ2321"/>
      <c r="XFA2321"/>
      <c r="XFB2321"/>
      <c r="XFC2321"/>
    </row>
    <row r="2322" spans="1:20 16329:16383" s="38" customFormat="1" ht="29.1" customHeight="1" outlineLevel="5" x14ac:dyDescent="0.25">
      <c r="A2322" s="49" t="s">
        <v>4180</v>
      </c>
      <c r="B2322" s="50"/>
      <c r="C2322" s="50"/>
      <c r="D2322" s="3" t="s">
        <v>4170</v>
      </c>
      <c r="E2322" s="3"/>
      <c r="F2322" s="51"/>
      <c r="G2322" s="50" t="s">
        <v>102</v>
      </c>
      <c r="H2322" s="52">
        <f>1</f>
        <v>1</v>
      </c>
      <c r="I2322" s="36"/>
      <c r="J2322" s="52">
        <v>1</v>
      </c>
      <c r="K2322" s="53">
        <f>0</f>
        <v>0</v>
      </c>
      <c r="L2322" s="53">
        <f>0</f>
        <v>0</v>
      </c>
      <c r="M2322" s="53">
        <f>0</f>
        <v>0</v>
      </c>
      <c r="N2322" s="54">
        <f t="shared" ref="N2322:N2328" si="439">SUM(K2322:M2322)</f>
        <v>0</v>
      </c>
      <c r="O2322" s="54">
        <f t="shared" ref="O2322:O2328" si="440">ROUND((H2322*K2322),2)</f>
        <v>0</v>
      </c>
      <c r="P2322" s="54">
        <f t="shared" ref="P2322:P2328" si="441">ROUND((H2322*L2322),2)</f>
        <v>0</v>
      </c>
      <c r="Q2322" s="54">
        <f t="shared" ref="Q2322:Q2328" si="442">ROUND((H2322*M2322),2)</f>
        <v>0</v>
      </c>
      <c r="R2322" s="54">
        <f t="shared" ref="R2322:R2328" si="443">ROUND((H2322*N2322),2)</f>
        <v>0</v>
      </c>
      <c r="S2322" s="54"/>
      <c r="T2322" s="36"/>
      <c r="XDA2322"/>
      <c r="XDB2322"/>
      <c r="XDC2322"/>
      <c r="XDD2322"/>
      <c r="XDE2322"/>
      <c r="XDF2322"/>
      <c r="XDG2322"/>
      <c r="XDH2322"/>
      <c r="XDI2322"/>
      <c r="XDJ2322"/>
      <c r="XDK2322"/>
      <c r="XDL2322"/>
      <c r="XDM2322"/>
      <c r="XDN2322"/>
      <c r="XDO2322"/>
      <c r="XDP2322"/>
      <c r="XDQ2322"/>
      <c r="XDR2322"/>
      <c r="XDS2322"/>
      <c r="XDT2322"/>
      <c r="XDU2322"/>
      <c r="XDV2322"/>
      <c r="XDW2322"/>
      <c r="XDX2322"/>
      <c r="XDY2322"/>
      <c r="XDZ2322"/>
      <c r="XEA2322"/>
      <c r="XEB2322"/>
      <c r="XEC2322"/>
      <c r="XED2322"/>
      <c r="XEE2322"/>
      <c r="XEF2322"/>
      <c r="XEG2322"/>
      <c r="XEH2322"/>
      <c r="XEI2322"/>
      <c r="XEJ2322"/>
      <c r="XEK2322"/>
      <c r="XEL2322"/>
      <c r="XEM2322"/>
      <c r="XEN2322"/>
      <c r="XEO2322"/>
      <c r="XEP2322"/>
      <c r="XEQ2322"/>
      <c r="XER2322"/>
      <c r="XES2322"/>
      <c r="XET2322"/>
      <c r="XEU2322"/>
      <c r="XEV2322"/>
      <c r="XEW2322"/>
      <c r="XEX2322"/>
      <c r="XEY2322"/>
      <c r="XEZ2322"/>
      <c r="XFA2322"/>
      <c r="XFB2322"/>
      <c r="XFC2322"/>
    </row>
    <row r="2323" spans="1:20 16329:16383" s="38" customFormat="1" ht="29.1" customHeight="1" outlineLevel="5" x14ac:dyDescent="0.25">
      <c r="A2323" s="49" t="s">
        <v>4181</v>
      </c>
      <c r="B2323" s="50"/>
      <c r="C2323" s="50"/>
      <c r="D2323" s="3" t="s">
        <v>3987</v>
      </c>
      <c r="E2323" s="3"/>
      <c r="F2323" s="51"/>
      <c r="G2323" s="50" t="s">
        <v>102</v>
      </c>
      <c r="H2323" s="52">
        <f>1</f>
        <v>1</v>
      </c>
      <c r="I2323" s="36"/>
      <c r="J2323" s="52">
        <v>1</v>
      </c>
      <c r="K2323" s="53">
        <f>0</f>
        <v>0</v>
      </c>
      <c r="L2323" s="53">
        <f>0</f>
        <v>0</v>
      </c>
      <c r="M2323" s="53">
        <f>0</f>
        <v>0</v>
      </c>
      <c r="N2323" s="54">
        <f t="shared" si="439"/>
        <v>0</v>
      </c>
      <c r="O2323" s="54">
        <f t="shared" si="440"/>
        <v>0</v>
      </c>
      <c r="P2323" s="54">
        <f t="shared" si="441"/>
        <v>0</v>
      </c>
      <c r="Q2323" s="54">
        <f t="shared" si="442"/>
        <v>0</v>
      </c>
      <c r="R2323" s="54">
        <f t="shared" si="443"/>
        <v>0</v>
      </c>
      <c r="S2323" s="54"/>
      <c r="T2323" s="36"/>
      <c r="XDA2323"/>
      <c r="XDB2323"/>
      <c r="XDC2323"/>
      <c r="XDD2323"/>
      <c r="XDE2323"/>
      <c r="XDF2323"/>
      <c r="XDG2323"/>
      <c r="XDH2323"/>
      <c r="XDI2323"/>
      <c r="XDJ2323"/>
      <c r="XDK2323"/>
      <c r="XDL2323"/>
      <c r="XDM2323"/>
      <c r="XDN2323"/>
      <c r="XDO2323"/>
      <c r="XDP2323"/>
      <c r="XDQ2323"/>
      <c r="XDR2323"/>
      <c r="XDS2323"/>
      <c r="XDT2323"/>
      <c r="XDU2323"/>
      <c r="XDV2323"/>
      <c r="XDW2323"/>
      <c r="XDX2323"/>
      <c r="XDY2323"/>
      <c r="XDZ2323"/>
      <c r="XEA2323"/>
      <c r="XEB2323"/>
      <c r="XEC2323"/>
      <c r="XED2323"/>
      <c r="XEE2323"/>
      <c r="XEF2323"/>
      <c r="XEG2323"/>
      <c r="XEH2323"/>
      <c r="XEI2323"/>
      <c r="XEJ2323"/>
      <c r="XEK2323"/>
      <c r="XEL2323"/>
      <c r="XEM2323"/>
      <c r="XEN2323"/>
      <c r="XEO2323"/>
      <c r="XEP2323"/>
      <c r="XEQ2323"/>
      <c r="XER2323"/>
      <c r="XES2323"/>
      <c r="XET2323"/>
      <c r="XEU2323"/>
      <c r="XEV2323"/>
      <c r="XEW2323"/>
      <c r="XEX2323"/>
      <c r="XEY2323"/>
      <c r="XEZ2323"/>
      <c r="XFA2323"/>
      <c r="XFB2323"/>
      <c r="XFC2323"/>
    </row>
    <row r="2324" spans="1:20 16329:16383" s="38" customFormat="1" ht="29.1" customHeight="1" outlineLevel="5" x14ac:dyDescent="0.25">
      <c r="A2324" s="49" t="s">
        <v>4182</v>
      </c>
      <c r="B2324" s="50"/>
      <c r="C2324" s="50"/>
      <c r="D2324" s="3" t="s">
        <v>4183</v>
      </c>
      <c r="E2324" s="3"/>
      <c r="F2324" s="51"/>
      <c r="G2324" s="50" t="s">
        <v>102</v>
      </c>
      <c r="H2324" s="52">
        <f>1</f>
        <v>1</v>
      </c>
      <c r="I2324" s="36"/>
      <c r="J2324" s="52">
        <v>1</v>
      </c>
      <c r="K2324" s="53">
        <f>0</f>
        <v>0</v>
      </c>
      <c r="L2324" s="53">
        <f>0</f>
        <v>0</v>
      </c>
      <c r="M2324" s="53">
        <f>0</f>
        <v>0</v>
      </c>
      <c r="N2324" s="54">
        <f t="shared" si="439"/>
        <v>0</v>
      </c>
      <c r="O2324" s="54">
        <f t="shared" si="440"/>
        <v>0</v>
      </c>
      <c r="P2324" s="54">
        <f t="shared" si="441"/>
        <v>0</v>
      </c>
      <c r="Q2324" s="54">
        <f t="shared" si="442"/>
        <v>0</v>
      </c>
      <c r="R2324" s="54">
        <f t="shared" si="443"/>
        <v>0</v>
      </c>
      <c r="S2324" s="54"/>
      <c r="T2324" s="36"/>
      <c r="XDA2324"/>
      <c r="XDB2324"/>
      <c r="XDC2324"/>
      <c r="XDD2324"/>
      <c r="XDE2324"/>
      <c r="XDF2324"/>
      <c r="XDG2324"/>
      <c r="XDH2324"/>
      <c r="XDI2324"/>
      <c r="XDJ2324"/>
      <c r="XDK2324"/>
      <c r="XDL2324"/>
      <c r="XDM2324"/>
      <c r="XDN2324"/>
      <c r="XDO2324"/>
      <c r="XDP2324"/>
      <c r="XDQ2324"/>
      <c r="XDR2324"/>
      <c r="XDS2324"/>
      <c r="XDT2324"/>
      <c r="XDU2324"/>
      <c r="XDV2324"/>
      <c r="XDW2324"/>
      <c r="XDX2324"/>
      <c r="XDY2324"/>
      <c r="XDZ2324"/>
      <c r="XEA2324"/>
      <c r="XEB2324"/>
      <c r="XEC2324"/>
      <c r="XED2324"/>
      <c r="XEE2324"/>
      <c r="XEF2324"/>
      <c r="XEG2324"/>
      <c r="XEH2324"/>
      <c r="XEI2324"/>
      <c r="XEJ2324"/>
      <c r="XEK2324"/>
      <c r="XEL2324"/>
      <c r="XEM2324"/>
      <c r="XEN2324"/>
      <c r="XEO2324"/>
      <c r="XEP2324"/>
      <c r="XEQ2324"/>
      <c r="XER2324"/>
      <c r="XES2324"/>
      <c r="XET2324"/>
      <c r="XEU2324"/>
      <c r="XEV2324"/>
      <c r="XEW2324"/>
      <c r="XEX2324"/>
      <c r="XEY2324"/>
      <c r="XEZ2324"/>
      <c r="XFA2324"/>
      <c r="XFB2324"/>
      <c r="XFC2324"/>
    </row>
    <row r="2325" spans="1:20 16329:16383" s="38" customFormat="1" ht="29.1" customHeight="1" outlineLevel="5" x14ac:dyDescent="0.25">
      <c r="A2325" s="49" t="s">
        <v>4184</v>
      </c>
      <c r="B2325" s="50"/>
      <c r="C2325" s="50"/>
      <c r="D2325" s="3" t="s">
        <v>3989</v>
      </c>
      <c r="E2325" s="3"/>
      <c r="F2325" s="51"/>
      <c r="G2325" s="50" t="s">
        <v>102</v>
      </c>
      <c r="H2325" s="52">
        <f>1</f>
        <v>1</v>
      </c>
      <c r="I2325" s="36"/>
      <c r="J2325" s="52">
        <v>1</v>
      </c>
      <c r="K2325" s="53">
        <f>0</f>
        <v>0</v>
      </c>
      <c r="L2325" s="53">
        <f>0</f>
        <v>0</v>
      </c>
      <c r="M2325" s="53">
        <f>0</f>
        <v>0</v>
      </c>
      <c r="N2325" s="54">
        <f t="shared" si="439"/>
        <v>0</v>
      </c>
      <c r="O2325" s="54">
        <f t="shared" si="440"/>
        <v>0</v>
      </c>
      <c r="P2325" s="54">
        <f t="shared" si="441"/>
        <v>0</v>
      </c>
      <c r="Q2325" s="54">
        <f t="shared" si="442"/>
        <v>0</v>
      </c>
      <c r="R2325" s="54">
        <f t="shared" si="443"/>
        <v>0</v>
      </c>
      <c r="S2325" s="54"/>
      <c r="T2325" s="36"/>
      <c r="XDA2325"/>
      <c r="XDB2325"/>
      <c r="XDC2325"/>
      <c r="XDD2325"/>
      <c r="XDE2325"/>
      <c r="XDF2325"/>
      <c r="XDG2325"/>
      <c r="XDH2325"/>
      <c r="XDI2325"/>
      <c r="XDJ2325"/>
      <c r="XDK2325"/>
      <c r="XDL2325"/>
      <c r="XDM2325"/>
      <c r="XDN2325"/>
      <c r="XDO2325"/>
      <c r="XDP2325"/>
      <c r="XDQ2325"/>
      <c r="XDR2325"/>
      <c r="XDS2325"/>
      <c r="XDT2325"/>
      <c r="XDU2325"/>
      <c r="XDV2325"/>
      <c r="XDW2325"/>
      <c r="XDX2325"/>
      <c r="XDY2325"/>
      <c r="XDZ2325"/>
      <c r="XEA2325"/>
      <c r="XEB2325"/>
      <c r="XEC2325"/>
      <c r="XED2325"/>
      <c r="XEE2325"/>
      <c r="XEF2325"/>
      <c r="XEG2325"/>
      <c r="XEH2325"/>
      <c r="XEI2325"/>
      <c r="XEJ2325"/>
      <c r="XEK2325"/>
      <c r="XEL2325"/>
      <c r="XEM2325"/>
      <c r="XEN2325"/>
      <c r="XEO2325"/>
      <c r="XEP2325"/>
      <c r="XEQ2325"/>
      <c r="XER2325"/>
      <c r="XES2325"/>
      <c r="XET2325"/>
      <c r="XEU2325"/>
      <c r="XEV2325"/>
      <c r="XEW2325"/>
      <c r="XEX2325"/>
      <c r="XEY2325"/>
      <c r="XEZ2325"/>
      <c r="XFA2325"/>
      <c r="XFB2325"/>
      <c r="XFC2325"/>
    </row>
    <row r="2326" spans="1:20 16329:16383" s="38" customFormat="1" ht="29.1" customHeight="1" outlineLevel="5" x14ac:dyDescent="0.25">
      <c r="A2326" s="49" t="s">
        <v>4185</v>
      </c>
      <c r="B2326" s="50"/>
      <c r="C2326" s="50"/>
      <c r="D2326" s="3" t="s">
        <v>4020</v>
      </c>
      <c r="E2326" s="3"/>
      <c r="F2326" s="51"/>
      <c r="G2326" s="50" t="s">
        <v>102</v>
      </c>
      <c r="H2326" s="52">
        <f>1</f>
        <v>1</v>
      </c>
      <c r="I2326" s="36"/>
      <c r="J2326" s="52">
        <v>1</v>
      </c>
      <c r="K2326" s="53">
        <f>0</f>
        <v>0</v>
      </c>
      <c r="L2326" s="53">
        <f>0</f>
        <v>0</v>
      </c>
      <c r="M2326" s="53">
        <f>0</f>
        <v>0</v>
      </c>
      <c r="N2326" s="54">
        <f t="shared" si="439"/>
        <v>0</v>
      </c>
      <c r="O2326" s="54">
        <f t="shared" si="440"/>
        <v>0</v>
      </c>
      <c r="P2326" s="54">
        <f t="shared" si="441"/>
        <v>0</v>
      </c>
      <c r="Q2326" s="54">
        <f t="shared" si="442"/>
        <v>0</v>
      </c>
      <c r="R2326" s="54">
        <f t="shared" si="443"/>
        <v>0</v>
      </c>
      <c r="S2326" s="54"/>
      <c r="T2326" s="36"/>
      <c r="XDA2326"/>
      <c r="XDB2326"/>
      <c r="XDC2326"/>
      <c r="XDD2326"/>
      <c r="XDE2326"/>
      <c r="XDF2326"/>
      <c r="XDG2326"/>
      <c r="XDH2326"/>
      <c r="XDI2326"/>
      <c r="XDJ2326"/>
      <c r="XDK2326"/>
      <c r="XDL2326"/>
      <c r="XDM2326"/>
      <c r="XDN2326"/>
      <c r="XDO2326"/>
      <c r="XDP2326"/>
      <c r="XDQ2326"/>
      <c r="XDR2326"/>
      <c r="XDS2326"/>
      <c r="XDT2326"/>
      <c r="XDU2326"/>
      <c r="XDV2326"/>
      <c r="XDW2326"/>
      <c r="XDX2326"/>
      <c r="XDY2326"/>
      <c r="XDZ2326"/>
      <c r="XEA2326"/>
      <c r="XEB2326"/>
      <c r="XEC2326"/>
      <c r="XED2326"/>
      <c r="XEE2326"/>
      <c r="XEF2326"/>
      <c r="XEG2326"/>
      <c r="XEH2326"/>
      <c r="XEI2326"/>
      <c r="XEJ2326"/>
      <c r="XEK2326"/>
      <c r="XEL2326"/>
      <c r="XEM2326"/>
      <c r="XEN2326"/>
      <c r="XEO2326"/>
      <c r="XEP2326"/>
      <c r="XEQ2326"/>
      <c r="XER2326"/>
      <c r="XES2326"/>
      <c r="XET2326"/>
      <c r="XEU2326"/>
      <c r="XEV2326"/>
      <c r="XEW2326"/>
      <c r="XEX2326"/>
      <c r="XEY2326"/>
      <c r="XEZ2326"/>
      <c r="XFA2326"/>
      <c r="XFB2326"/>
      <c r="XFC2326"/>
    </row>
    <row r="2327" spans="1:20 16329:16383" s="38" customFormat="1" ht="29.1" customHeight="1" outlineLevel="5" x14ac:dyDescent="0.25">
      <c r="A2327" s="49" t="s">
        <v>4186</v>
      </c>
      <c r="B2327" s="50"/>
      <c r="C2327" s="50"/>
      <c r="D2327" s="3" t="s">
        <v>4102</v>
      </c>
      <c r="E2327" s="3"/>
      <c r="F2327" s="51"/>
      <c r="G2327" s="50" t="s">
        <v>102</v>
      </c>
      <c r="H2327" s="52">
        <f>1</f>
        <v>1</v>
      </c>
      <c r="I2327" s="36"/>
      <c r="J2327" s="52">
        <v>1</v>
      </c>
      <c r="K2327" s="53">
        <f>0</f>
        <v>0</v>
      </c>
      <c r="L2327" s="53">
        <f>0</f>
        <v>0</v>
      </c>
      <c r="M2327" s="53">
        <f>0</f>
        <v>0</v>
      </c>
      <c r="N2327" s="54">
        <f t="shared" si="439"/>
        <v>0</v>
      </c>
      <c r="O2327" s="54">
        <f t="shared" si="440"/>
        <v>0</v>
      </c>
      <c r="P2327" s="54">
        <f t="shared" si="441"/>
        <v>0</v>
      </c>
      <c r="Q2327" s="54">
        <f t="shared" si="442"/>
        <v>0</v>
      </c>
      <c r="R2327" s="54">
        <f t="shared" si="443"/>
        <v>0</v>
      </c>
      <c r="S2327" s="54"/>
      <c r="T2327" s="36"/>
      <c r="XDA2327"/>
      <c r="XDB2327"/>
      <c r="XDC2327"/>
      <c r="XDD2327"/>
      <c r="XDE2327"/>
      <c r="XDF2327"/>
      <c r="XDG2327"/>
      <c r="XDH2327"/>
      <c r="XDI2327"/>
      <c r="XDJ2327"/>
      <c r="XDK2327"/>
      <c r="XDL2327"/>
      <c r="XDM2327"/>
      <c r="XDN2327"/>
      <c r="XDO2327"/>
      <c r="XDP2327"/>
      <c r="XDQ2327"/>
      <c r="XDR2327"/>
      <c r="XDS2327"/>
      <c r="XDT2327"/>
      <c r="XDU2327"/>
      <c r="XDV2327"/>
      <c r="XDW2327"/>
      <c r="XDX2327"/>
      <c r="XDY2327"/>
      <c r="XDZ2327"/>
      <c r="XEA2327"/>
      <c r="XEB2327"/>
      <c r="XEC2327"/>
      <c r="XED2327"/>
      <c r="XEE2327"/>
      <c r="XEF2327"/>
      <c r="XEG2327"/>
      <c r="XEH2327"/>
      <c r="XEI2327"/>
      <c r="XEJ2327"/>
      <c r="XEK2327"/>
      <c r="XEL2327"/>
      <c r="XEM2327"/>
      <c r="XEN2327"/>
      <c r="XEO2327"/>
      <c r="XEP2327"/>
      <c r="XEQ2327"/>
      <c r="XER2327"/>
      <c r="XES2327"/>
      <c r="XET2327"/>
      <c r="XEU2327"/>
      <c r="XEV2327"/>
      <c r="XEW2327"/>
      <c r="XEX2327"/>
      <c r="XEY2327"/>
      <c r="XEZ2327"/>
      <c r="XFA2327"/>
      <c r="XFB2327"/>
      <c r="XFC2327"/>
    </row>
    <row r="2328" spans="1:20 16329:16383" s="38" customFormat="1" ht="29.1" customHeight="1" outlineLevel="5" x14ac:dyDescent="0.25">
      <c r="A2328" s="49" t="s">
        <v>4187</v>
      </c>
      <c r="B2328" s="50"/>
      <c r="C2328" s="50"/>
      <c r="D2328" s="3" t="s">
        <v>4020</v>
      </c>
      <c r="E2328" s="3"/>
      <c r="F2328" s="51"/>
      <c r="G2328" s="50" t="s">
        <v>102</v>
      </c>
      <c r="H2328" s="52">
        <f>1</f>
        <v>1</v>
      </c>
      <c r="I2328" s="36"/>
      <c r="J2328" s="52">
        <v>1</v>
      </c>
      <c r="K2328" s="53">
        <f>0</f>
        <v>0</v>
      </c>
      <c r="L2328" s="53">
        <f>0</f>
        <v>0</v>
      </c>
      <c r="M2328" s="53">
        <f>0</f>
        <v>0</v>
      </c>
      <c r="N2328" s="54">
        <f t="shared" si="439"/>
        <v>0</v>
      </c>
      <c r="O2328" s="54">
        <f t="shared" si="440"/>
        <v>0</v>
      </c>
      <c r="P2328" s="54">
        <f t="shared" si="441"/>
        <v>0</v>
      </c>
      <c r="Q2328" s="54">
        <f t="shared" si="442"/>
        <v>0</v>
      </c>
      <c r="R2328" s="54">
        <f t="shared" si="443"/>
        <v>0</v>
      </c>
      <c r="S2328" s="54"/>
      <c r="T2328" s="36"/>
      <c r="XDA2328"/>
      <c r="XDB2328"/>
      <c r="XDC2328"/>
      <c r="XDD2328"/>
      <c r="XDE2328"/>
      <c r="XDF2328"/>
      <c r="XDG2328"/>
      <c r="XDH2328"/>
      <c r="XDI2328"/>
      <c r="XDJ2328"/>
      <c r="XDK2328"/>
      <c r="XDL2328"/>
      <c r="XDM2328"/>
      <c r="XDN2328"/>
      <c r="XDO2328"/>
      <c r="XDP2328"/>
      <c r="XDQ2328"/>
      <c r="XDR2328"/>
      <c r="XDS2328"/>
      <c r="XDT2328"/>
      <c r="XDU2328"/>
      <c r="XDV2328"/>
      <c r="XDW2328"/>
      <c r="XDX2328"/>
      <c r="XDY2328"/>
      <c r="XDZ2328"/>
      <c r="XEA2328"/>
      <c r="XEB2328"/>
      <c r="XEC2328"/>
      <c r="XED2328"/>
      <c r="XEE2328"/>
      <c r="XEF2328"/>
      <c r="XEG2328"/>
      <c r="XEH2328"/>
      <c r="XEI2328"/>
      <c r="XEJ2328"/>
      <c r="XEK2328"/>
      <c r="XEL2328"/>
      <c r="XEM2328"/>
      <c r="XEN2328"/>
      <c r="XEO2328"/>
      <c r="XEP2328"/>
      <c r="XEQ2328"/>
      <c r="XER2328"/>
      <c r="XES2328"/>
      <c r="XET2328"/>
      <c r="XEU2328"/>
      <c r="XEV2328"/>
      <c r="XEW2328"/>
      <c r="XEX2328"/>
      <c r="XEY2328"/>
      <c r="XEZ2328"/>
      <c r="XFA2328"/>
      <c r="XFB2328"/>
      <c r="XFC2328"/>
    </row>
    <row r="2329" spans="1:20 16329:16383" s="38" customFormat="1" ht="29.1" customHeight="1" outlineLevel="3" x14ac:dyDescent="0.25">
      <c r="A2329" s="55" t="s">
        <v>4188</v>
      </c>
      <c r="B2329" s="56" t="s">
        <v>4189</v>
      </c>
      <c r="C2329" s="56"/>
      <c r="D2329" s="2" t="s">
        <v>4190</v>
      </c>
      <c r="E2329" s="2"/>
      <c r="F2329" s="57"/>
      <c r="G2329" s="56"/>
      <c r="H2329" s="58"/>
      <c r="I2329" s="36"/>
      <c r="J2329" s="58"/>
      <c r="K2329" s="59"/>
      <c r="L2329" s="59"/>
      <c r="M2329" s="59"/>
      <c r="N2329" s="59"/>
      <c r="O2329" s="59">
        <f>O2330+O2333</f>
        <v>0</v>
      </c>
      <c r="P2329" s="59">
        <f>P2330+P2333</f>
        <v>0</v>
      </c>
      <c r="Q2329" s="59">
        <f>Q2330+Q2333</f>
        <v>0</v>
      </c>
      <c r="R2329" s="59">
        <f>R2330+R2333</f>
        <v>0</v>
      </c>
      <c r="S2329" s="59"/>
      <c r="T2329" s="36"/>
      <c r="XDA2329"/>
      <c r="XDB2329"/>
      <c r="XDC2329"/>
      <c r="XDD2329"/>
      <c r="XDE2329"/>
      <c r="XDF2329"/>
      <c r="XDG2329"/>
      <c r="XDH2329"/>
      <c r="XDI2329"/>
      <c r="XDJ2329"/>
      <c r="XDK2329"/>
      <c r="XDL2329"/>
      <c r="XDM2329"/>
      <c r="XDN2329"/>
      <c r="XDO2329"/>
      <c r="XDP2329"/>
      <c r="XDQ2329"/>
      <c r="XDR2329"/>
      <c r="XDS2329"/>
      <c r="XDT2329"/>
      <c r="XDU2329"/>
      <c r="XDV2329"/>
      <c r="XDW2329"/>
      <c r="XDX2329"/>
      <c r="XDY2329"/>
      <c r="XDZ2329"/>
      <c r="XEA2329"/>
      <c r="XEB2329"/>
      <c r="XEC2329"/>
      <c r="XED2329"/>
      <c r="XEE2329"/>
      <c r="XEF2329"/>
      <c r="XEG2329"/>
      <c r="XEH2329"/>
      <c r="XEI2329"/>
      <c r="XEJ2329"/>
      <c r="XEK2329"/>
      <c r="XEL2329"/>
      <c r="XEM2329"/>
      <c r="XEN2329"/>
      <c r="XEO2329"/>
      <c r="XEP2329"/>
      <c r="XEQ2329"/>
      <c r="XER2329"/>
      <c r="XES2329"/>
      <c r="XET2329"/>
      <c r="XEU2329"/>
      <c r="XEV2329"/>
      <c r="XEW2329"/>
      <c r="XEX2329"/>
      <c r="XEY2329"/>
      <c r="XEZ2329"/>
      <c r="XFA2329"/>
      <c r="XFB2329"/>
      <c r="XFC2329"/>
    </row>
    <row r="2330" spans="1:20 16329:16383" s="38" customFormat="1" ht="29.1" customHeight="1" outlineLevel="4" x14ac:dyDescent="0.25">
      <c r="A2330" s="60" t="s">
        <v>4191</v>
      </c>
      <c r="B2330" s="61" t="s">
        <v>4192</v>
      </c>
      <c r="C2330" s="61"/>
      <c r="D2330" s="1" t="s">
        <v>4193</v>
      </c>
      <c r="E2330" s="1"/>
      <c r="F2330" s="62"/>
      <c r="G2330" s="61"/>
      <c r="H2330" s="63"/>
      <c r="I2330" s="36"/>
      <c r="J2330" s="63"/>
      <c r="K2330" s="64"/>
      <c r="L2330" s="64"/>
      <c r="M2330" s="64"/>
      <c r="N2330" s="64"/>
      <c r="O2330" s="64">
        <f>O2331+O2332</f>
        <v>0</v>
      </c>
      <c r="P2330" s="64">
        <f>P2331+P2332</f>
        <v>0</v>
      </c>
      <c r="Q2330" s="64">
        <f>Q2331+Q2332</f>
        <v>0</v>
      </c>
      <c r="R2330" s="64">
        <f>R2331+R2332</f>
        <v>0</v>
      </c>
      <c r="S2330" s="64"/>
      <c r="T2330" s="36"/>
      <c r="XDA2330"/>
      <c r="XDB2330"/>
      <c r="XDC2330"/>
      <c r="XDD2330"/>
      <c r="XDE2330"/>
      <c r="XDF2330"/>
      <c r="XDG2330"/>
      <c r="XDH2330"/>
      <c r="XDI2330"/>
      <c r="XDJ2330"/>
      <c r="XDK2330"/>
      <c r="XDL2330"/>
      <c r="XDM2330"/>
      <c r="XDN2330"/>
      <c r="XDO2330"/>
      <c r="XDP2330"/>
      <c r="XDQ2330"/>
      <c r="XDR2330"/>
      <c r="XDS2330"/>
      <c r="XDT2330"/>
      <c r="XDU2330"/>
      <c r="XDV2330"/>
      <c r="XDW2330"/>
      <c r="XDX2330"/>
      <c r="XDY2330"/>
      <c r="XDZ2330"/>
      <c r="XEA2330"/>
      <c r="XEB2330"/>
      <c r="XEC2330"/>
      <c r="XED2330"/>
      <c r="XEE2330"/>
      <c r="XEF2330"/>
      <c r="XEG2330"/>
      <c r="XEH2330"/>
      <c r="XEI2330"/>
      <c r="XEJ2330"/>
      <c r="XEK2330"/>
      <c r="XEL2330"/>
      <c r="XEM2330"/>
      <c r="XEN2330"/>
      <c r="XEO2330"/>
      <c r="XEP2330"/>
      <c r="XEQ2330"/>
      <c r="XER2330"/>
      <c r="XES2330"/>
      <c r="XET2330"/>
      <c r="XEU2330"/>
      <c r="XEV2330"/>
      <c r="XEW2330"/>
      <c r="XEX2330"/>
      <c r="XEY2330"/>
      <c r="XEZ2330"/>
      <c r="XFA2330"/>
      <c r="XFB2330"/>
      <c r="XFC2330"/>
    </row>
    <row r="2331" spans="1:20 16329:16383" s="38" customFormat="1" ht="29.1" customHeight="1" outlineLevel="5" x14ac:dyDescent="0.25">
      <c r="A2331" s="49" t="s">
        <v>4194</v>
      </c>
      <c r="B2331" s="50"/>
      <c r="C2331" s="50"/>
      <c r="D2331" s="3" t="s">
        <v>4170</v>
      </c>
      <c r="E2331" s="3"/>
      <c r="F2331" s="51"/>
      <c r="G2331" s="50" t="s">
        <v>102</v>
      </c>
      <c r="H2331" s="52">
        <f>1</f>
        <v>1</v>
      </c>
      <c r="I2331" s="36"/>
      <c r="J2331" s="52">
        <v>1</v>
      </c>
      <c r="K2331" s="53">
        <f>0</f>
        <v>0</v>
      </c>
      <c r="L2331" s="53">
        <f>0</f>
        <v>0</v>
      </c>
      <c r="M2331" s="53">
        <f>0</f>
        <v>0</v>
      </c>
      <c r="N2331" s="54">
        <f>SUM(K2331:M2331)</f>
        <v>0</v>
      </c>
      <c r="O2331" s="54">
        <f>ROUND((H2331*K2331),2)</f>
        <v>0</v>
      </c>
      <c r="P2331" s="54">
        <f>ROUND((H2331*L2331),2)</f>
        <v>0</v>
      </c>
      <c r="Q2331" s="54">
        <f>ROUND((H2331*M2331),2)</f>
        <v>0</v>
      </c>
      <c r="R2331" s="54">
        <f>ROUND((H2331*N2331),2)</f>
        <v>0</v>
      </c>
      <c r="S2331" s="54"/>
      <c r="T2331" s="36"/>
      <c r="XDA2331"/>
      <c r="XDB2331"/>
      <c r="XDC2331"/>
      <c r="XDD2331"/>
      <c r="XDE2331"/>
      <c r="XDF2331"/>
      <c r="XDG2331"/>
      <c r="XDH2331"/>
      <c r="XDI2331"/>
      <c r="XDJ2331"/>
      <c r="XDK2331"/>
      <c r="XDL2331"/>
      <c r="XDM2331"/>
      <c r="XDN2331"/>
      <c r="XDO2331"/>
      <c r="XDP2331"/>
      <c r="XDQ2331"/>
      <c r="XDR2331"/>
      <c r="XDS2331"/>
      <c r="XDT2331"/>
      <c r="XDU2331"/>
      <c r="XDV2331"/>
      <c r="XDW2331"/>
      <c r="XDX2331"/>
      <c r="XDY2331"/>
      <c r="XDZ2331"/>
      <c r="XEA2331"/>
      <c r="XEB2331"/>
      <c r="XEC2331"/>
      <c r="XED2331"/>
      <c r="XEE2331"/>
      <c r="XEF2331"/>
      <c r="XEG2331"/>
      <c r="XEH2331"/>
      <c r="XEI2331"/>
      <c r="XEJ2331"/>
      <c r="XEK2331"/>
      <c r="XEL2331"/>
      <c r="XEM2331"/>
      <c r="XEN2331"/>
      <c r="XEO2331"/>
      <c r="XEP2331"/>
      <c r="XEQ2331"/>
      <c r="XER2331"/>
      <c r="XES2331"/>
      <c r="XET2331"/>
      <c r="XEU2331"/>
      <c r="XEV2331"/>
      <c r="XEW2331"/>
      <c r="XEX2331"/>
      <c r="XEY2331"/>
      <c r="XEZ2331"/>
      <c r="XFA2331"/>
      <c r="XFB2331"/>
      <c r="XFC2331"/>
    </row>
    <row r="2332" spans="1:20 16329:16383" s="38" customFormat="1" ht="29.1" customHeight="1" outlineLevel="5" x14ac:dyDescent="0.25">
      <c r="A2332" s="49" t="s">
        <v>4195</v>
      </c>
      <c r="B2332" s="50"/>
      <c r="C2332" s="50"/>
      <c r="D2332" s="3" t="s">
        <v>4196</v>
      </c>
      <c r="E2332" s="3"/>
      <c r="F2332" s="51"/>
      <c r="G2332" s="50" t="s">
        <v>102</v>
      </c>
      <c r="H2332" s="52">
        <f>1</f>
        <v>1</v>
      </c>
      <c r="I2332" s="36"/>
      <c r="J2332" s="52">
        <v>1</v>
      </c>
      <c r="K2332" s="53">
        <f>0</f>
        <v>0</v>
      </c>
      <c r="L2332" s="53">
        <f>0</f>
        <v>0</v>
      </c>
      <c r="M2332" s="53">
        <f>0</f>
        <v>0</v>
      </c>
      <c r="N2332" s="54">
        <f>SUM(K2332:M2332)</f>
        <v>0</v>
      </c>
      <c r="O2332" s="54">
        <f>ROUND((H2332*K2332),2)</f>
        <v>0</v>
      </c>
      <c r="P2332" s="54">
        <f>ROUND((H2332*L2332),2)</f>
        <v>0</v>
      </c>
      <c r="Q2332" s="54">
        <f>ROUND((H2332*M2332),2)</f>
        <v>0</v>
      </c>
      <c r="R2332" s="54">
        <f>ROUND((H2332*N2332),2)</f>
        <v>0</v>
      </c>
      <c r="S2332" s="54"/>
      <c r="T2332" s="36"/>
      <c r="XDA2332"/>
      <c r="XDB2332"/>
      <c r="XDC2332"/>
      <c r="XDD2332"/>
      <c r="XDE2332"/>
      <c r="XDF2332"/>
      <c r="XDG2332"/>
      <c r="XDH2332"/>
      <c r="XDI2332"/>
      <c r="XDJ2332"/>
      <c r="XDK2332"/>
      <c r="XDL2332"/>
      <c r="XDM2332"/>
      <c r="XDN2332"/>
      <c r="XDO2332"/>
      <c r="XDP2332"/>
      <c r="XDQ2332"/>
      <c r="XDR2332"/>
      <c r="XDS2332"/>
      <c r="XDT2332"/>
      <c r="XDU2332"/>
      <c r="XDV2332"/>
      <c r="XDW2332"/>
      <c r="XDX2332"/>
      <c r="XDY2332"/>
      <c r="XDZ2332"/>
      <c r="XEA2332"/>
      <c r="XEB2332"/>
      <c r="XEC2332"/>
      <c r="XED2332"/>
      <c r="XEE2332"/>
      <c r="XEF2332"/>
      <c r="XEG2332"/>
      <c r="XEH2332"/>
      <c r="XEI2332"/>
      <c r="XEJ2332"/>
      <c r="XEK2332"/>
      <c r="XEL2332"/>
      <c r="XEM2332"/>
      <c r="XEN2332"/>
      <c r="XEO2332"/>
      <c r="XEP2332"/>
      <c r="XEQ2332"/>
      <c r="XER2332"/>
      <c r="XES2332"/>
      <c r="XET2332"/>
      <c r="XEU2332"/>
      <c r="XEV2332"/>
      <c r="XEW2332"/>
      <c r="XEX2332"/>
      <c r="XEY2332"/>
      <c r="XEZ2332"/>
      <c r="XFA2332"/>
      <c r="XFB2332"/>
      <c r="XFC2332"/>
    </row>
    <row r="2333" spans="1:20 16329:16383" s="38" customFormat="1" ht="29.1" customHeight="1" outlineLevel="4" x14ac:dyDescent="0.25">
      <c r="A2333" s="60" t="s">
        <v>4197</v>
      </c>
      <c r="B2333" s="61" t="s">
        <v>4198</v>
      </c>
      <c r="C2333" s="61"/>
      <c r="D2333" s="1" t="s">
        <v>4199</v>
      </c>
      <c r="E2333" s="1"/>
      <c r="F2333" s="62"/>
      <c r="G2333" s="61"/>
      <c r="H2333" s="63"/>
      <c r="I2333" s="36"/>
      <c r="J2333" s="63"/>
      <c r="K2333" s="64"/>
      <c r="L2333" s="64"/>
      <c r="M2333" s="64"/>
      <c r="N2333" s="64"/>
      <c r="O2333" s="64">
        <f>SUM(O2334:O2337)</f>
        <v>0</v>
      </c>
      <c r="P2333" s="64">
        <f>SUM(P2334:P2337)</f>
        <v>0</v>
      </c>
      <c r="Q2333" s="64">
        <f>SUM(Q2334:Q2337)</f>
        <v>0</v>
      </c>
      <c r="R2333" s="64">
        <f>SUM(R2334:R2337)</f>
        <v>0</v>
      </c>
      <c r="S2333" s="64"/>
      <c r="T2333" s="36"/>
      <c r="XDA2333"/>
      <c r="XDB2333"/>
      <c r="XDC2333"/>
      <c r="XDD2333"/>
      <c r="XDE2333"/>
      <c r="XDF2333"/>
      <c r="XDG2333"/>
      <c r="XDH2333"/>
      <c r="XDI2333"/>
      <c r="XDJ2333"/>
      <c r="XDK2333"/>
      <c r="XDL2333"/>
      <c r="XDM2333"/>
      <c r="XDN2333"/>
      <c r="XDO2333"/>
      <c r="XDP2333"/>
      <c r="XDQ2333"/>
      <c r="XDR2333"/>
      <c r="XDS2333"/>
      <c r="XDT2333"/>
      <c r="XDU2333"/>
      <c r="XDV2333"/>
      <c r="XDW2333"/>
      <c r="XDX2333"/>
      <c r="XDY2333"/>
      <c r="XDZ2333"/>
      <c r="XEA2333"/>
      <c r="XEB2333"/>
      <c r="XEC2333"/>
      <c r="XED2333"/>
      <c r="XEE2333"/>
      <c r="XEF2333"/>
      <c r="XEG2333"/>
      <c r="XEH2333"/>
      <c r="XEI2333"/>
      <c r="XEJ2333"/>
      <c r="XEK2333"/>
      <c r="XEL2333"/>
      <c r="XEM2333"/>
      <c r="XEN2333"/>
      <c r="XEO2333"/>
      <c r="XEP2333"/>
      <c r="XEQ2333"/>
      <c r="XER2333"/>
      <c r="XES2333"/>
      <c r="XET2333"/>
      <c r="XEU2333"/>
      <c r="XEV2333"/>
      <c r="XEW2333"/>
      <c r="XEX2333"/>
      <c r="XEY2333"/>
      <c r="XEZ2333"/>
      <c r="XFA2333"/>
      <c r="XFB2333"/>
      <c r="XFC2333"/>
    </row>
    <row r="2334" spans="1:20 16329:16383" s="38" customFormat="1" ht="29.1" customHeight="1" outlineLevel="5" x14ac:dyDescent="0.25">
      <c r="A2334" s="49" t="s">
        <v>4200</v>
      </c>
      <c r="B2334" s="50"/>
      <c r="C2334" s="50"/>
      <c r="D2334" s="3" t="s">
        <v>4170</v>
      </c>
      <c r="E2334" s="3"/>
      <c r="F2334" s="51"/>
      <c r="G2334" s="50" t="s">
        <v>102</v>
      </c>
      <c r="H2334" s="52">
        <f>1</f>
        <v>1</v>
      </c>
      <c r="I2334" s="36"/>
      <c r="J2334" s="52">
        <v>1</v>
      </c>
      <c r="K2334" s="53">
        <f>0</f>
        <v>0</v>
      </c>
      <c r="L2334" s="53">
        <f>0</f>
        <v>0</v>
      </c>
      <c r="M2334" s="53">
        <f>0</f>
        <v>0</v>
      </c>
      <c r="N2334" s="54">
        <f>SUM(K2334:M2334)</f>
        <v>0</v>
      </c>
      <c r="O2334" s="54">
        <f>ROUND((H2334*K2334),2)</f>
        <v>0</v>
      </c>
      <c r="P2334" s="54">
        <f>ROUND((H2334*L2334),2)</f>
        <v>0</v>
      </c>
      <c r="Q2334" s="54">
        <f>ROUND((H2334*M2334),2)</f>
        <v>0</v>
      </c>
      <c r="R2334" s="54">
        <f>ROUND((H2334*N2334),2)</f>
        <v>0</v>
      </c>
      <c r="S2334" s="54"/>
      <c r="T2334" s="36"/>
      <c r="XDA2334"/>
      <c r="XDB2334"/>
      <c r="XDC2334"/>
      <c r="XDD2334"/>
      <c r="XDE2334"/>
      <c r="XDF2334"/>
      <c r="XDG2334"/>
      <c r="XDH2334"/>
      <c r="XDI2334"/>
      <c r="XDJ2334"/>
      <c r="XDK2334"/>
      <c r="XDL2334"/>
      <c r="XDM2334"/>
      <c r="XDN2334"/>
      <c r="XDO2334"/>
      <c r="XDP2334"/>
      <c r="XDQ2334"/>
      <c r="XDR2334"/>
      <c r="XDS2334"/>
      <c r="XDT2334"/>
      <c r="XDU2334"/>
      <c r="XDV2334"/>
      <c r="XDW2334"/>
      <c r="XDX2334"/>
      <c r="XDY2334"/>
      <c r="XDZ2334"/>
      <c r="XEA2334"/>
      <c r="XEB2334"/>
      <c r="XEC2334"/>
      <c r="XED2334"/>
      <c r="XEE2334"/>
      <c r="XEF2334"/>
      <c r="XEG2334"/>
      <c r="XEH2334"/>
      <c r="XEI2334"/>
      <c r="XEJ2334"/>
      <c r="XEK2334"/>
      <c r="XEL2334"/>
      <c r="XEM2334"/>
      <c r="XEN2334"/>
      <c r="XEO2334"/>
      <c r="XEP2334"/>
      <c r="XEQ2334"/>
      <c r="XER2334"/>
      <c r="XES2334"/>
      <c r="XET2334"/>
      <c r="XEU2334"/>
      <c r="XEV2334"/>
      <c r="XEW2334"/>
      <c r="XEX2334"/>
      <c r="XEY2334"/>
      <c r="XEZ2334"/>
      <c r="XFA2334"/>
      <c r="XFB2334"/>
      <c r="XFC2334"/>
    </row>
    <row r="2335" spans="1:20 16329:16383" s="38" customFormat="1" ht="29.1" customHeight="1" outlineLevel="5" x14ac:dyDescent="0.25">
      <c r="A2335" s="49" t="s">
        <v>4201</v>
      </c>
      <c r="B2335" s="50"/>
      <c r="C2335" s="50"/>
      <c r="D2335" s="3" t="s">
        <v>4196</v>
      </c>
      <c r="E2335" s="3"/>
      <c r="F2335" s="51"/>
      <c r="G2335" s="50" t="s">
        <v>102</v>
      </c>
      <c r="H2335" s="52">
        <f>1</f>
        <v>1</v>
      </c>
      <c r="I2335" s="36"/>
      <c r="J2335" s="52">
        <v>1</v>
      </c>
      <c r="K2335" s="53">
        <f>0</f>
        <v>0</v>
      </c>
      <c r="L2335" s="53">
        <f>0</f>
        <v>0</v>
      </c>
      <c r="M2335" s="53">
        <f>0</f>
        <v>0</v>
      </c>
      <c r="N2335" s="54">
        <f>SUM(K2335:M2335)</f>
        <v>0</v>
      </c>
      <c r="O2335" s="54">
        <f>ROUND((H2335*K2335),2)</f>
        <v>0</v>
      </c>
      <c r="P2335" s="54">
        <f>ROUND((H2335*L2335),2)</f>
        <v>0</v>
      </c>
      <c r="Q2335" s="54">
        <f>ROUND((H2335*M2335),2)</f>
        <v>0</v>
      </c>
      <c r="R2335" s="54">
        <f>ROUND((H2335*N2335),2)</f>
        <v>0</v>
      </c>
      <c r="S2335" s="54"/>
      <c r="T2335" s="36"/>
      <c r="XDA2335"/>
      <c r="XDB2335"/>
      <c r="XDC2335"/>
      <c r="XDD2335"/>
      <c r="XDE2335"/>
      <c r="XDF2335"/>
      <c r="XDG2335"/>
      <c r="XDH2335"/>
      <c r="XDI2335"/>
      <c r="XDJ2335"/>
      <c r="XDK2335"/>
      <c r="XDL2335"/>
      <c r="XDM2335"/>
      <c r="XDN2335"/>
      <c r="XDO2335"/>
      <c r="XDP2335"/>
      <c r="XDQ2335"/>
      <c r="XDR2335"/>
      <c r="XDS2335"/>
      <c r="XDT2335"/>
      <c r="XDU2335"/>
      <c r="XDV2335"/>
      <c r="XDW2335"/>
      <c r="XDX2335"/>
      <c r="XDY2335"/>
      <c r="XDZ2335"/>
      <c r="XEA2335"/>
      <c r="XEB2335"/>
      <c r="XEC2335"/>
      <c r="XED2335"/>
      <c r="XEE2335"/>
      <c r="XEF2335"/>
      <c r="XEG2335"/>
      <c r="XEH2335"/>
      <c r="XEI2335"/>
      <c r="XEJ2335"/>
      <c r="XEK2335"/>
      <c r="XEL2335"/>
      <c r="XEM2335"/>
      <c r="XEN2335"/>
      <c r="XEO2335"/>
      <c r="XEP2335"/>
      <c r="XEQ2335"/>
      <c r="XER2335"/>
      <c r="XES2335"/>
      <c r="XET2335"/>
      <c r="XEU2335"/>
      <c r="XEV2335"/>
      <c r="XEW2335"/>
      <c r="XEX2335"/>
      <c r="XEY2335"/>
      <c r="XEZ2335"/>
      <c r="XFA2335"/>
      <c r="XFB2335"/>
      <c r="XFC2335"/>
    </row>
    <row r="2336" spans="1:20 16329:16383" s="38" customFormat="1" ht="29.1" customHeight="1" outlineLevel="5" x14ac:dyDescent="0.25">
      <c r="A2336" s="49" t="s">
        <v>4202</v>
      </c>
      <c r="B2336" s="50"/>
      <c r="C2336" s="50"/>
      <c r="D2336" s="3" t="s">
        <v>4064</v>
      </c>
      <c r="E2336" s="3"/>
      <c r="F2336" s="51"/>
      <c r="G2336" s="50" t="s">
        <v>102</v>
      </c>
      <c r="H2336" s="52">
        <f>1</f>
        <v>1</v>
      </c>
      <c r="I2336" s="36"/>
      <c r="J2336" s="52">
        <v>1</v>
      </c>
      <c r="K2336" s="53">
        <f>0</f>
        <v>0</v>
      </c>
      <c r="L2336" s="53">
        <f>0</f>
        <v>0</v>
      </c>
      <c r="M2336" s="53">
        <f>0</f>
        <v>0</v>
      </c>
      <c r="N2336" s="54">
        <f>SUM(K2336:M2336)</f>
        <v>0</v>
      </c>
      <c r="O2336" s="54">
        <f>ROUND((H2336*K2336),2)</f>
        <v>0</v>
      </c>
      <c r="P2336" s="54">
        <f>ROUND((H2336*L2336),2)</f>
        <v>0</v>
      </c>
      <c r="Q2336" s="54">
        <f>ROUND((H2336*M2336),2)</f>
        <v>0</v>
      </c>
      <c r="R2336" s="54">
        <f>ROUND((H2336*N2336),2)</f>
        <v>0</v>
      </c>
      <c r="S2336" s="54"/>
      <c r="T2336" s="36"/>
      <c r="XDA2336"/>
      <c r="XDB2336"/>
      <c r="XDC2336"/>
      <c r="XDD2336"/>
      <c r="XDE2336"/>
      <c r="XDF2336"/>
      <c r="XDG2336"/>
      <c r="XDH2336"/>
      <c r="XDI2336"/>
      <c r="XDJ2336"/>
      <c r="XDK2336"/>
      <c r="XDL2336"/>
      <c r="XDM2336"/>
      <c r="XDN2336"/>
      <c r="XDO2336"/>
      <c r="XDP2336"/>
      <c r="XDQ2336"/>
      <c r="XDR2336"/>
      <c r="XDS2336"/>
      <c r="XDT2336"/>
      <c r="XDU2336"/>
      <c r="XDV2336"/>
      <c r="XDW2336"/>
      <c r="XDX2336"/>
      <c r="XDY2336"/>
      <c r="XDZ2336"/>
      <c r="XEA2336"/>
      <c r="XEB2336"/>
      <c r="XEC2336"/>
      <c r="XED2336"/>
      <c r="XEE2336"/>
      <c r="XEF2336"/>
      <c r="XEG2336"/>
      <c r="XEH2336"/>
      <c r="XEI2336"/>
      <c r="XEJ2336"/>
      <c r="XEK2336"/>
      <c r="XEL2336"/>
      <c r="XEM2336"/>
      <c r="XEN2336"/>
      <c r="XEO2336"/>
      <c r="XEP2336"/>
      <c r="XEQ2336"/>
      <c r="XER2336"/>
      <c r="XES2336"/>
      <c r="XET2336"/>
      <c r="XEU2336"/>
      <c r="XEV2336"/>
      <c r="XEW2336"/>
      <c r="XEX2336"/>
      <c r="XEY2336"/>
      <c r="XEZ2336"/>
      <c r="XFA2336"/>
      <c r="XFB2336"/>
      <c r="XFC2336"/>
    </row>
    <row r="2337" spans="1:20 16329:16383" s="38" customFormat="1" ht="29.1" customHeight="1" outlineLevel="5" x14ac:dyDescent="0.25">
      <c r="A2337" s="49" t="s">
        <v>4203</v>
      </c>
      <c r="B2337" s="50"/>
      <c r="C2337" s="50"/>
      <c r="D2337" s="3" t="s">
        <v>3991</v>
      </c>
      <c r="E2337" s="3"/>
      <c r="F2337" s="51"/>
      <c r="G2337" s="50" t="s">
        <v>102</v>
      </c>
      <c r="H2337" s="52">
        <f>1</f>
        <v>1</v>
      </c>
      <c r="I2337" s="36"/>
      <c r="J2337" s="52">
        <v>1</v>
      </c>
      <c r="K2337" s="53">
        <f>0</f>
        <v>0</v>
      </c>
      <c r="L2337" s="53">
        <f>0</f>
        <v>0</v>
      </c>
      <c r="M2337" s="53">
        <f>0</f>
        <v>0</v>
      </c>
      <c r="N2337" s="54">
        <f>SUM(K2337:M2337)</f>
        <v>0</v>
      </c>
      <c r="O2337" s="54">
        <f>ROUND((H2337*K2337),2)</f>
        <v>0</v>
      </c>
      <c r="P2337" s="54">
        <f>ROUND((H2337*L2337),2)</f>
        <v>0</v>
      </c>
      <c r="Q2337" s="54">
        <f>ROUND((H2337*M2337),2)</f>
        <v>0</v>
      </c>
      <c r="R2337" s="54">
        <f>ROUND((H2337*N2337),2)</f>
        <v>0</v>
      </c>
      <c r="S2337" s="54"/>
      <c r="T2337" s="36"/>
      <c r="XDA2337"/>
      <c r="XDB2337"/>
      <c r="XDC2337"/>
      <c r="XDD2337"/>
      <c r="XDE2337"/>
      <c r="XDF2337"/>
      <c r="XDG2337"/>
      <c r="XDH2337"/>
      <c r="XDI2337"/>
      <c r="XDJ2337"/>
      <c r="XDK2337"/>
      <c r="XDL2337"/>
      <c r="XDM2337"/>
      <c r="XDN2337"/>
      <c r="XDO2337"/>
      <c r="XDP2337"/>
      <c r="XDQ2337"/>
      <c r="XDR2337"/>
      <c r="XDS2337"/>
      <c r="XDT2337"/>
      <c r="XDU2337"/>
      <c r="XDV2337"/>
      <c r="XDW2337"/>
      <c r="XDX2337"/>
      <c r="XDY2337"/>
      <c r="XDZ2337"/>
      <c r="XEA2337"/>
      <c r="XEB2337"/>
      <c r="XEC2337"/>
      <c r="XED2337"/>
      <c r="XEE2337"/>
      <c r="XEF2337"/>
      <c r="XEG2337"/>
      <c r="XEH2337"/>
      <c r="XEI2337"/>
      <c r="XEJ2337"/>
      <c r="XEK2337"/>
      <c r="XEL2337"/>
      <c r="XEM2337"/>
      <c r="XEN2337"/>
      <c r="XEO2337"/>
      <c r="XEP2337"/>
      <c r="XEQ2337"/>
      <c r="XER2337"/>
      <c r="XES2337"/>
      <c r="XET2337"/>
      <c r="XEU2337"/>
      <c r="XEV2337"/>
      <c r="XEW2337"/>
      <c r="XEX2337"/>
      <c r="XEY2337"/>
      <c r="XEZ2337"/>
      <c r="XFA2337"/>
      <c r="XFB2337"/>
      <c r="XFC2337"/>
    </row>
    <row r="2338" spans="1:20 16329:16383" s="38" customFormat="1" ht="29.1" customHeight="1" outlineLevel="3" x14ac:dyDescent="0.25">
      <c r="A2338" s="55" t="s">
        <v>4204</v>
      </c>
      <c r="B2338" s="56" t="s">
        <v>4205</v>
      </c>
      <c r="C2338" s="56"/>
      <c r="D2338" s="2" t="s">
        <v>4206</v>
      </c>
      <c r="E2338" s="2"/>
      <c r="F2338" s="57"/>
      <c r="G2338" s="56"/>
      <c r="H2338" s="58"/>
      <c r="I2338" s="36"/>
      <c r="J2338" s="58"/>
      <c r="K2338" s="59"/>
      <c r="L2338" s="59"/>
      <c r="M2338" s="59"/>
      <c r="N2338" s="59"/>
      <c r="O2338" s="59">
        <f>O2339+O2343+O2347+O2351</f>
        <v>0</v>
      </c>
      <c r="P2338" s="59">
        <f>P2339+P2343+P2347+P2351</f>
        <v>0</v>
      </c>
      <c r="Q2338" s="59">
        <f>Q2339+Q2343+Q2347+Q2351</f>
        <v>0</v>
      </c>
      <c r="R2338" s="59">
        <f>R2339+R2343+R2347+R2351</f>
        <v>0</v>
      </c>
      <c r="S2338" s="59"/>
      <c r="T2338" s="36"/>
      <c r="XDA2338"/>
      <c r="XDB2338"/>
      <c r="XDC2338"/>
      <c r="XDD2338"/>
      <c r="XDE2338"/>
      <c r="XDF2338"/>
      <c r="XDG2338"/>
      <c r="XDH2338"/>
      <c r="XDI2338"/>
      <c r="XDJ2338"/>
      <c r="XDK2338"/>
      <c r="XDL2338"/>
      <c r="XDM2338"/>
      <c r="XDN2338"/>
      <c r="XDO2338"/>
      <c r="XDP2338"/>
      <c r="XDQ2338"/>
      <c r="XDR2338"/>
      <c r="XDS2338"/>
      <c r="XDT2338"/>
      <c r="XDU2338"/>
      <c r="XDV2338"/>
      <c r="XDW2338"/>
      <c r="XDX2338"/>
      <c r="XDY2338"/>
      <c r="XDZ2338"/>
      <c r="XEA2338"/>
      <c r="XEB2338"/>
      <c r="XEC2338"/>
      <c r="XED2338"/>
      <c r="XEE2338"/>
      <c r="XEF2338"/>
      <c r="XEG2338"/>
      <c r="XEH2338"/>
      <c r="XEI2338"/>
      <c r="XEJ2338"/>
      <c r="XEK2338"/>
      <c r="XEL2338"/>
      <c r="XEM2338"/>
      <c r="XEN2338"/>
      <c r="XEO2338"/>
      <c r="XEP2338"/>
      <c r="XEQ2338"/>
      <c r="XER2338"/>
      <c r="XES2338"/>
      <c r="XET2338"/>
      <c r="XEU2338"/>
      <c r="XEV2338"/>
      <c r="XEW2338"/>
      <c r="XEX2338"/>
      <c r="XEY2338"/>
      <c r="XEZ2338"/>
      <c r="XFA2338"/>
      <c r="XFB2338"/>
      <c r="XFC2338"/>
    </row>
    <row r="2339" spans="1:20 16329:16383" s="38" customFormat="1" ht="29.1" customHeight="1" outlineLevel="4" x14ac:dyDescent="0.25">
      <c r="A2339" s="60" t="s">
        <v>4207</v>
      </c>
      <c r="B2339" s="61" t="s">
        <v>4208</v>
      </c>
      <c r="C2339" s="61"/>
      <c r="D2339" s="1" t="s">
        <v>4209</v>
      </c>
      <c r="E2339" s="1"/>
      <c r="F2339" s="62" t="s">
        <v>4210</v>
      </c>
      <c r="G2339" s="61"/>
      <c r="H2339" s="63"/>
      <c r="I2339" s="36"/>
      <c r="J2339" s="63"/>
      <c r="K2339" s="64"/>
      <c r="L2339" s="64"/>
      <c r="M2339" s="64"/>
      <c r="N2339" s="64"/>
      <c r="O2339" s="64">
        <f>SUM(O2340:O2342)</f>
        <v>0</v>
      </c>
      <c r="P2339" s="64">
        <f>SUM(P2340:P2342)</f>
        <v>0</v>
      </c>
      <c r="Q2339" s="64">
        <f>SUM(Q2340:Q2342)</f>
        <v>0</v>
      </c>
      <c r="R2339" s="64">
        <f>SUM(R2340:R2342)</f>
        <v>0</v>
      </c>
      <c r="S2339" s="64"/>
      <c r="T2339" s="36"/>
      <c r="XDA2339"/>
      <c r="XDB2339"/>
      <c r="XDC2339"/>
      <c r="XDD2339"/>
      <c r="XDE2339"/>
      <c r="XDF2339"/>
      <c r="XDG2339"/>
      <c r="XDH2339"/>
      <c r="XDI2339"/>
      <c r="XDJ2339"/>
      <c r="XDK2339"/>
      <c r="XDL2339"/>
      <c r="XDM2339"/>
      <c r="XDN2339"/>
      <c r="XDO2339"/>
      <c r="XDP2339"/>
      <c r="XDQ2339"/>
      <c r="XDR2339"/>
      <c r="XDS2339"/>
      <c r="XDT2339"/>
      <c r="XDU2339"/>
      <c r="XDV2339"/>
      <c r="XDW2339"/>
      <c r="XDX2339"/>
      <c r="XDY2339"/>
      <c r="XDZ2339"/>
      <c r="XEA2339"/>
      <c r="XEB2339"/>
      <c r="XEC2339"/>
      <c r="XED2339"/>
      <c r="XEE2339"/>
      <c r="XEF2339"/>
      <c r="XEG2339"/>
      <c r="XEH2339"/>
      <c r="XEI2339"/>
      <c r="XEJ2339"/>
      <c r="XEK2339"/>
      <c r="XEL2339"/>
      <c r="XEM2339"/>
      <c r="XEN2339"/>
      <c r="XEO2339"/>
      <c r="XEP2339"/>
      <c r="XEQ2339"/>
      <c r="XER2339"/>
      <c r="XES2339"/>
      <c r="XET2339"/>
      <c r="XEU2339"/>
      <c r="XEV2339"/>
      <c r="XEW2339"/>
      <c r="XEX2339"/>
      <c r="XEY2339"/>
      <c r="XEZ2339"/>
      <c r="XFA2339"/>
      <c r="XFB2339"/>
      <c r="XFC2339"/>
    </row>
    <row r="2340" spans="1:20 16329:16383" s="38" customFormat="1" ht="29.1" customHeight="1" outlineLevel="5" x14ac:dyDescent="0.25">
      <c r="A2340" s="49" t="s">
        <v>4211</v>
      </c>
      <c r="B2340" s="50"/>
      <c r="C2340" s="50"/>
      <c r="D2340" s="3" t="s">
        <v>4170</v>
      </c>
      <c r="E2340" s="3"/>
      <c r="F2340" s="51"/>
      <c r="G2340" s="50" t="s">
        <v>102</v>
      </c>
      <c r="H2340" s="52">
        <f>1</f>
        <v>1</v>
      </c>
      <c r="I2340" s="36"/>
      <c r="J2340" s="52">
        <v>1</v>
      </c>
      <c r="K2340" s="53">
        <f>0</f>
        <v>0</v>
      </c>
      <c r="L2340" s="53">
        <f>0</f>
        <v>0</v>
      </c>
      <c r="M2340" s="53">
        <f>0</f>
        <v>0</v>
      </c>
      <c r="N2340" s="54">
        <f>SUM(K2340:M2340)</f>
        <v>0</v>
      </c>
      <c r="O2340" s="54">
        <f>ROUND((H2340*K2340),2)</f>
        <v>0</v>
      </c>
      <c r="P2340" s="54">
        <f>ROUND((H2340*L2340),2)</f>
        <v>0</v>
      </c>
      <c r="Q2340" s="54">
        <f>ROUND((H2340*M2340),2)</f>
        <v>0</v>
      </c>
      <c r="R2340" s="54">
        <f>ROUND((H2340*N2340),2)</f>
        <v>0</v>
      </c>
      <c r="S2340" s="54"/>
      <c r="T2340" s="36"/>
      <c r="XDA2340"/>
      <c r="XDB2340"/>
      <c r="XDC2340"/>
      <c r="XDD2340"/>
      <c r="XDE2340"/>
      <c r="XDF2340"/>
      <c r="XDG2340"/>
      <c r="XDH2340"/>
      <c r="XDI2340"/>
      <c r="XDJ2340"/>
      <c r="XDK2340"/>
      <c r="XDL2340"/>
      <c r="XDM2340"/>
      <c r="XDN2340"/>
      <c r="XDO2340"/>
      <c r="XDP2340"/>
      <c r="XDQ2340"/>
      <c r="XDR2340"/>
      <c r="XDS2340"/>
      <c r="XDT2340"/>
      <c r="XDU2340"/>
      <c r="XDV2340"/>
      <c r="XDW2340"/>
      <c r="XDX2340"/>
      <c r="XDY2340"/>
      <c r="XDZ2340"/>
      <c r="XEA2340"/>
      <c r="XEB2340"/>
      <c r="XEC2340"/>
      <c r="XED2340"/>
      <c r="XEE2340"/>
      <c r="XEF2340"/>
      <c r="XEG2340"/>
      <c r="XEH2340"/>
      <c r="XEI2340"/>
      <c r="XEJ2340"/>
      <c r="XEK2340"/>
      <c r="XEL2340"/>
      <c r="XEM2340"/>
      <c r="XEN2340"/>
      <c r="XEO2340"/>
      <c r="XEP2340"/>
      <c r="XEQ2340"/>
      <c r="XER2340"/>
      <c r="XES2340"/>
      <c r="XET2340"/>
      <c r="XEU2340"/>
      <c r="XEV2340"/>
      <c r="XEW2340"/>
      <c r="XEX2340"/>
      <c r="XEY2340"/>
      <c r="XEZ2340"/>
      <c r="XFA2340"/>
      <c r="XFB2340"/>
      <c r="XFC2340"/>
    </row>
    <row r="2341" spans="1:20 16329:16383" s="38" customFormat="1" ht="29.1" customHeight="1" outlineLevel="5" x14ac:dyDescent="0.25">
      <c r="A2341" s="49" t="s">
        <v>4212</v>
      </c>
      <c r="B2341" s="50"/>
      <c r="C2341" s="50"/>
      <c r="D2341" s="3" t="s">
        <v>4213</v>
      </c>
      <c r="E2341" s="3"/>
      <c r="F2341" s="51"/>
      <c r="G2341" s="50" t="s">
        <v>102</v>
      </c>
      <c r="H2341" s="52">
        <f>1</f>
        <v>1</v>
      </c>
      <c r="I2341" s="36"/>
      <c r="J2341" s="52">
        <v>1</v>
      </c>
      <c r="K2341" s="53">
        <f>0</f>
        <v>0</v>
      </c>
      <c r="L2341" s="53">
        <f>0</f>
        <v>0</v>
      </c>
      <c r="M2341" s="53">
        <f>0</f>
        <v>0</v>
      </c>
      <c r="N2341" s="54">
        <f>SUM(K2341:M2341)</f>
        <v>0</v>
      </c>
      <c r="O2341" s="54">
        <f>ROUND((H2341*K2341),2)</f>
        <v>0</v>
      </c>
      <c r="P2341" s="54">
        <f>ROUND((H2341*L2341),2)</f>
        <v>0</v>
      </c>
      <c r="Q2341" s="54">
        <f>ROUND((H2341*M2341),2)</f>
        <v>0</v>
      </c>
      <c r="R2341" s="54">
        <f>ROUND((H2341*N2341),2)</f>
        <v>0</v>
      </c>
      <c r="S2341" s="54"/>
      <c r="T2341" s="36"/>
      <c r="XDA2341"/>
      <c r="XDB2341"/>
      <c r="XDC2341"/>
      <c r="XDD2341"/>
      <c r="XDE2341"/>
      <c r="XDF2341"/>
      <c r="XDG2341"/>
      <c r="XDH2341"/>
      <c r="XDI2341"/>
      <c r="XDJ2341"/>
      <c r="XDK2341"/>
      <c r="XDL2341"/>
      <c r="XDM2341"/>
      <c r="XDN2341"/>
      <c r="XDO2341"/>
      <c r="XDP2341"/>
      <c r="XDQ2341"/>
      <c r="XDR2341"/>
      <c r="XDS2341"/>
      <c r="XDT2341"/>
      <c r="XDU2341"/>
      <c r="XDV2341"/>
      <c r="XDW2341"/>
      <c r="XDX2341"/>
      <c r="XDY2341"/>
      <c r="XDZ2341"/>
      <c r="XEA2341"/>
      <c r="XEB2341"/>
      <c r="XEC2341"/>
      <c r="XED2341"/>
      <c r="XEE2341"/>
      <c r="XEF2341"/>
      <c r="XEG2341"/>
      <c r="XEH2341"/>
      <c r="XEI2341"/>
      <c r="XEJ2341"/>
      <c r="XEK2341"/>
      <c r="XEL2341"/>
      <c r="XEM2341"/>
      <c r="XEN2341"/>
      <c r="XEO2341"/>
      <c r="XEP2341"/>
      <c r="XEQ2341"/>
      <c r="XER2341"/>
      <c r="XES2341"/>
      <c r="XET2341"/>
      <c r="XEU2341"/>
      <c r="XEV2341"/>
      <c r="XEW2341"/>
      <c r="XEX2341"/>
      <c r="XEY2341"/>
      <c r="XEZ2341"/>
      <c r="XFA2341"/>
      <c r="XFB2341"/>
      <c r="XFC2341"/>
    </row>
    <row r="2342" spans="1:20 16329:16383" s="38" customFormat="1" ht="29.1" customHeight="1" outlineLevel="5" x14ac:dyDescent="0.25">
      <c r="A2342" s="49" t="s">
        <v>4214</v>
      </c>
      <c r="B2342" s="50"/>
      <c r="C2342" s="50"/>
      <c r="D2342" s="3" t="s">
        <v>3993</v>
      </c>
      <c r="E2342" s="3"/>
      <c r="F2342" s="51"/>
      <c r="G2342" s="50" t="s">
        <v>102</v>
      </c>
      <c r="H2342" s="52">
        <f>1</f>
        <v>1</v>
      </c>
      <c r="I2342" s="36"/>
      <c r="J2342" s="52">
        <v>1</v>
      </c>
      <c r="K2342" s="53">
        <f>0</f>
        <v>0</v>
      </c>
      <c r="L2342" s="53">
        <f>0</f>
        <v>0</v>
      </c>
      <c r="M2342" s="53">
        <f>0</f>
        <v>0</v>
      </c>
      <c r="N2342" s="54">
        <f>SUM(K2342:M2342)</f>
        <v>0</v>
      </c>
      <c r="O2342" s="54">
        <f>ROUND((H2342*K2342),2)</f>
        <v>0</v>
      </c>
      <c r="P2342" s="54">
        <f>ROUND((H2342*L2342),2)</f>
        <v>0</v>
      </c>
      <c r="Q2342" s="54">
        <f>ROUND((H2342*M2342),2)</f>
        <v>0</v>
      </c>
      <c r="R2342" s="54">
        <f>ROUND((H2342*N2342),2)</f>
        <v>0</v>
      </c>
      <c r="S2342" s="54"/>
      <c r="T2342" s="36"/>
      <c r="XDA2342"/>
      <c r="XDB2342"/>
      <c r="XDC2342"/>
      <c r="XDD2342"/>
      <c r="XDE2342"/>
      <c r="XDF2342"/>
      <c r="XDG2342"/>
      <c r="XDH2342"/>
      <c r="XDI2342"/>
      <c r="XDJ2342"/>
      <c r="XDK2342"/>
      <c r="XDL2342"/>
      <c r="XDM2342"/>
      <c r="XDN2342"/>
      <c r="XDO2342"/>
      <c r="XDP2342"/>
      <c r="XDQ2342"/>
      <c r="XDR2342"/>
      <c r="XDS2342"/>
      <c r="XDT2342"/>
      <c r="XDU2342"/>
      <c r="XDV2342"/>
      <c r="XDW2342"/>
      <c r="XDX2342"/>
      <c r="XDY2342"/>
      <c r="XDZ2342"/>
      <c r="XEA2342"/>
      <c r="XEB2342"/>
      <c r="XEC2342"/>
      <c r="XED2342"/>
      <c r="XEE2342"/>
      <c r="XEF2342"/>
      <c r="XEG2342"/>
      <c r="XEH2342"/>
      <c r="XEI2342"/>
      <c r="XEJ2342"/>
      <c r="XEK2342"/>
      <c r="XEL2342"/>
      <c r="XEM2342"/>
      <c r="XEN2342"/>
      <c r="XEO2342"/>
      <c r="XEP2342"/>
      <c r="XEQ2342"/>
      <c r="XER2342"/>
      <c r="XES2342"/>
      <c r="XET2342"/>
      <c r="XEU2342"/>
      <c r="XEV2342"/>
      <c r="XEW2342"/>
      <c r="XEX2342"/>
      <c r="XEY2342"/>
      <c r="XEZ2342"/>
      <c r="XFA2342"/>
      <c r="XFB2342"/>
      <c r="XFC2342"/>
    </row>
    <row r="2343" spans="1:20 16329:16383" s="38" customFormat="1" ht="29.1" customHeight="1" outlineLevel="4" x14ac:dyDescent="0.25">
      <c r="A2343" s="60" t="s">
        <v>4215</v>
      </c>
      <c r="B2343" s="61" t="s">
        <v>4216</v>
      </c>
      <c r="C2343" s="61"/>
      <c r="D2343" s="1" t="s">
        <v>4217</v>
      </c>
      <c r="E2343" s="1"/>
      <c r="F2343" s="62" t="s">
        <v>4210</v>
      </c>
      <c r="G2343" s="61"/>
      <c r="H2343" s="63"/>
      <c r="I2343" s="36"/>
      <c r="J2343" s="63"/>
      <c r="K2343" s="64"/>
      <c r="L2343" s="64"/>
      <c r="M2343" s="64"/>
      <c r="N2343" s="64"/>
      <c r="O2343" s="64">
        <f>SUM(O2344:O2346)</f>
        <v>0</v>
      </c>
      <c r="P2343" s="64">
        <f>SUM(P2344:P2346)</f>
        <v>0</v>
      </c>
      <c r="Q2343" s="64">
        <f>SUM(Q2344:Q2346)</f>
        <v>0</v>
      </c>
      <c r="R2343" s="64">
        <f>SUM(R2344:R2346)</f>
        <v>0</v>
      </c>
      <c r="S2343" s="64"/>
      <c r="T2343" s="36"/>
      <c r="XDA2343"/>
      <c r="XDB2343"/>
      <c r="XDC2343"/>
      <c r="XDD2343"/>
      <c r="XDE2343"/>
      <c r="XDF2343"/>
      <c r="XDG2343"/>
      <c r="XDH2343"/>
      <c r="XDI2343"/>
      <c r="XDJ2343"/>
      <c r="XDK2343"/>
      <c r="XDL2343"/>
      <c r="XDM2343"/>
      <c r="XDN2343"/>
      <c r="XDO2343"/>
      <c r="XDP2343"/>
      <c r="XDQ2343"/>
      <c r="XDR2343"/>
      <c r="XDS2343"/>
      <c r="XDT2343"/>
      <c r="XDU2343"/>
      <c r="XDV2343"/>
      <c r="XDW2343"/>
      <c r="XDX2343"/>
      <c r="XDY2343"/>
      <c r="XDZ2343"/>
      <c r="XEA2343"/>
      <c r="XEB2343"/>
      <c r="XEC2343"/>
      <c r="XED2343"/>
      <c r="XEE2343"/>
      <c r="XEF2343"/>
      <c r="XEG2343"/>
      <c r="XEH2343"/>
      <c r="XEI2343"/>
      <c r="XEJ2343"/>
      <c r="XEK2343"/>
      <c r="XEL2343"/>
      <c r="XEM2343"/>
      <c r="XEN2343"/>
      <c r="XEO2343"/>
      <c r="XEP2343"/>
      <c r="XEQ2343"/>
      <c r="XER2343"/>
      <c r="XES2343"/>
      <c r="XET2343"/>
      <c r="XEU2343"/>
      <c r="XEV2343"/>
      <c r="XEW2343"/>
      <c r="XEX2343"/>
      <c r="XEY2343"/>
      <c r="XEZ2343"/>
      <c r="XFA2343"/>
      <c r="XFB2343"/>
      <c r="XFC2343"/>
    </row>
    <row r="2344" spans="1:20 16329:16383" s="38" customFormat="1" ht="29.1" customHeight="1" outlineLevel="5" x14ac:dyDescent="0.25">
      <c r="A2344" s="49" t="s">
        <v>4218</v>
      </c>
      <c r="B2344" s="50"/>
      <c r="C2344" s="50"/>
      <c r="D2344" s="3" t="s">
        <v>4170</v>
      </c>
      <c r="E2344" s="3"/>
      <c r="F2344" s="51"/>
      <c r="G2344" s="50" t="s">
        <v>102</v>
      </c>
      <c r="H2344" s="52">
        <f>1</f>
        <v>1</v>
      </c>
      <c r="I2344" s="36"/>
      <c r="J2344" s="52">
        <v>1</v>
      </c>
      <c r="K2344" s="53">
        <f>0</f>
        <v>0</v>
      </c>
      <c r="L2344" s="53">
        <f>0</f>
        <v>0</v>
      </c>
      <c r="M2344" s="53">
        <f>0</f>
        <v>0</v>
      </c>
      <c r="N2344" s="54">
        <f>SUM(K2344:M2344)</f>
        <v>0</v>
      </c>
      <c r="O2344" s="54">
        <f>ROUND((H2344*K2344),2)</f>
        <v>0</v>
      </c>
      <c r="P2344" s="54">
        <f>ROUND((H2344*L2344),2)</f>
        <v>0</v>
      </c>
      <c r="Q2344" s="54">
        <f>ROUND((H2344*M2344),2)</f>
        <v>0</v>
      </c>
      <c r="R2344" s="54">
        <f>ROUND((H2344*N2344),2)</f>
        <v>0</v>
      </c>
      <c r="S2344" s="54"/>
      <c r="T2344" s="36"/>
      <c r="XDA2344"/>
      <c r="XDB2344"/>
      <c r="XDC2344"/>
      <c r="XDD2344"/>
      <c r="XDE2344"/>
      <c r="XDF2344"/>
      <c r="XDG2344"/>
      <c r="XDH2344"/>
      <c r="XDI2344"/>
      <c r="XDJ2344"/>
      <c r="XDK2344"/>
      <c r="XDL2344"/>
      <c r="XDM2344"/>
      <c r="XDN2344"/>
      <c r="XDO2344"/>
      <c r="XDP2344"/>
      <c r="XDQ2344"/>
      <c r="XDR2344"/>
      <c r="XDS2344"/>
      <c r="XDT2344"/>
      <c r="XDU2344"/>
      <c r="XDV2344"/>
      <c r="XDW2344"/>
      <c r="XDX2344"/>
      <c r="XDY2344"/>
      <c r="XDZ2344"/>
      <c r="XEA2344"/>
      <c r="XEB2344"/>
      <c r="XEC2344"/>
      <c r="XED2344"/>
      <c r="XEE2344"/>
      <c r="XEF2344"/>
      <c r="XEG2344"/>
      <c r="XEH2344"/>
      <c r="XEI2344"/>
      <c r="XEJ2344"/>
      <c r="XEK2344"/>
      <c r="XEL2344"/>
      <c r="XEM2344"/>
      <c r="XEN2344"/>
      <c r="XEO2344"/>
      <c r="XEP2344"/>
      <c r="XEQ2344"/>
      <c r="XER2344"/>
      <c r="XES2344"/>
      <c r="XET2344"/>
      <c r="XEU2344"/>
      <c r="XEV2344"/>
      <c r="XEW2344"/>
      <c r="XEX2344"/>
      <c r="XEY2344"/>
      <c r="XEZ2344"/>
      <c r="XFA2344"/>
      <c r="XFB2344"/>
      <c r="XFC2344"/>
    </row>
    <row r="2345" spans="1:20 16329:16383" s="38" customFormat="1" ht="29.1" customHeight="1" outlineLevel="5" x14ac:dyDescent="0.25">
      <c r="A2345" s="49" t="s">
        <v>4219</v>
      </c>
      <c r="B2345" s="50"/>
      <c r="C2345" s="50"/>
      <c r="D2345" s="3" t="s">
        <v>4213</v>
      </c>
      <c r="E2345" s="3"/>
      <c r="F2345" s="51"/>
      <c r="G2345" s="50" t="s">
        <v>102</v>
      </c>
      <c r="H2345" s="52">
        <f>1</f>
        <v>1</v>
      </c>
      <c r="I2345" s="36"/>
      <c r="J2345" s="52">
        <v>1</v>
      </c>
      <c r="K2345" s="53">
        <f>0</f>
        <v>0</v>
      </c>
      <c r="L2345" s="53">
        <f>0</f>
        <v>0</v>
      </c>
      <c r="M2345" s="53">
        <f>0</f>
        <v>0</v>
      </c>
      <c r="N2345" s="54">
        <f>SUM(K2345:M2345)</f>
        <v>0</v>
      </c>
      <c r="O2345" s="54">
        <f>ROUND((H2345*K2345),2)</f>
        <v>0</v>
      </c>
      <c r="P2345" s="54">
        <f>ROUND((H2345*L2345),2)</f>
        <v>0</v>
      </c>
      <c r="Q2345" s="54">
        <f>ROUND((H2345*M2345),2)</f>
        <v>0</v>
      </c>
      <c r="R2345" s="54">
        <f>ROUND((H2345*N2345),2)</f>
        <v>0</v>
      </c>
      <c r="S2345" s="54"/>
      <c r="T2345" s="36"/>
      <c r="XDA2345"/>
      <c r="XDB2345"/>
      <c r="XDC2345"/>
      <c r="XDD2345"/>
      <c r="XDE2345"/>
      <c r="XDF2345"/>
      <c r="XDG2345"/>
      <c r="XDH2345"/>
      <c r="XDI2345"/>
      <c r="XDJ2345"/>
      <c r="XDK2345"/>
      <c r="XDL2345"/>
      <c r="XDM2345"/>
      <c r="XDN2345"/>
      <c r="XDO2345"/>
      <c r="XDP2345"/>
      <c r="XDQ2345"/>
      <c r="XDR2345"/>
      <c r="XDS2345"/>
      <c r="XDT2345"/>
      <c r="XDU2345"/>
      <c r="XDV2345"/>
      <c r="XDW2345"/>
      <c r="XDX2345"/>
      <c r="XDY2345"/>
      <c r="XDZ2345"/>
      <c r="XEA2345"/>
      <c r="XEB2345"/>
      <c r="XEC2345"/>
      <c r="XED2345"/>
      <c r="XEE2345"/>
      <c r="XEF2345"/>
      <c r="XEG2345"/>
      <c r="XEH2345"/>
      <c r="XEI2345"/>
      <c r="XEJ2345"/>
      <c r="XEK2345"/>
      <c r="XEL2345"/>
      <c r="XEM2345"/>
      <c r="XEN2345"/>
      <c r="XEO2345"/>
      <c r="XEP2345"/>
      <c r="XEQ2345"/>
      <c r="XER2345"/>
      <c r="XES2345"/>
      <c r="XET2345"/>
      <c r="XEU2345"/>
      <c r="XEV2345"/>
      <c r="XEW2345"/>
      <c r="XEX2345"/>
      <c r="XEY2345"/>
      <c r="XEZ2345"/>
      <c r="XFA2345"/>
      <c r="XFB2345"/>
      <c r="XFC2345"/>
    </row>
    <row r="2346" spans="1:20 16329:16383" s="38" customFormat="1" ht="29.1" customHeight="1" outlineLevel="5" x14ac:dyDescent="0.25">
      <c r="A2346" s="49" t="s">
        <v>4220</v>
      </c>
      <c r="B2346" s="50"/>
      <c r="C2346" s="50"/>
      <c r="D2346" s="3" t="s">
        <v>3993</v>
      </c>
      <c r="E2346" s="3"/>
      <c r="F2346" s="51"/>
      <c r="G2346" s="50" t="s">
        <v>102</v>
      </c>
      <c r="H2346" s="52">
        <f>1</f>
        <v>1</v>
      </c>
      <c r="I2346" s="36"/>
      <c r="J2346" s="52">
        <v>1</v>
      </c>
      <c r="K2346" s="53">
        <f>0</f>
        <v>0</v>
      </c>
      <c r="L2346" s="53">
        <f>0</f>
        <v>0</v>
      </c>
      <c r="M2346" s="53">
        <f>0</f>
        <v>0</v>
      </c>
      <c r="N2346" s="54">
        <f>SUM(K2346:M2346)</f>
        <v>0</v>
      </c>
      <c r="O2346" s="54">
        <f>ROUND((H2346*K2346),2)</f>
        <v>0</v>
      </c>
      <c r="P2346" s="54">
        <f>ROUND((H2346*L2346),2)</f>
        <v>0</v>
      </c>
      <c r="Q2346" s="54">
        <f>ROUND((H2346*M2346),2)</f>
        <v>0</v>
      </c>
      <c r="R2346" s="54">
        <f>ROUND((H2346*N2346),2)</f>
        <v>0</v>
      </c>
      <c r="S2346" s="54"/>
      <c r="T2346" s="36"/>
      <c r="XDA2346"/>
      <c r="XDB2346"/>
      <c r="XDC2346"/>
      <c r="XDD2346"/>
      <c r="XDE2346"/>
      <c r="XDF2346"/>
      <c r="XDG2346"/>
      <c r="XDH2346"/>
      <c r="XDI2346"/>
      <c r="XDJ2346"/>
      <c r="XDK2346"/>
      <c r="XDL2346"/>
      <c r="XDM2346"/>
      <c r="XDN2346"/>
      <c r="XDO2346"/>
      <c r="XDP2346"/>
      <c r="XDQ2346"/>
      <c r="XDR2346"/>
      <c r="XDS2346"/>
      <c r="XDT2346"/>
      <c r="XDU2346"/>
      <c r="XDV2346"/>
      <c r="XDW2346"/>
      <c r="XDX2346"/>
      <c r="XDY2346"/>
      <c r="XDZ2346"/>
      <c r="XEA2346"/>
      <c r="XEB2346"/>
      <c r="XEC2346"/>
      <c r="XED2346"/>
      <c r="XEE2346"/>
      <c r="XEF2346"/>
      <c r="XEG2346"/>
      <c r="XEH2346"/>
      <c r="XEI2346"/>
      <c r="XEJ2346"/>
      <c r="XEK2346"/>
      <c r="XEL2346"/>
      <c r="XEM2346"/>
      <c r="XEN2346"/>
      <c r="XEO2346"/>
      <c r="XEP2346"/>
      <c r="XEQ2346"/>
      <c r="XER2346"/>
      <c r="XES2346"/>
      <c r="XET2346"/>
      <c r="XEU2346"/>
      <c r="XEV2346"/>
      <c r="XEW2346"/>
      <c r="XEX2346"/>
      <c r="XEY2346"/>
      <c r="XEZ2346"/>
      <c r="XFA2346"/>
      <c r="XFB2346"/>
      <c r="XFC2346"/>
    </row>
    <row r="2347" spans="1:20 16329:16383" s="38" customFormat="1" ht="29.1" customHeight="1" outlineLevel="4" x14ac:dyDescent="0.25">
      <c r="A2347" s="60" t="s">
        <v>4221</v>
      </c>
      <c r="B2347" s="61" t="s">
        <v>4222</v>
      </c>
      <c r="C2347" s="61"/>
      <c r="D2347" s="1" t="s">
        <v>4223</v>
      </c>
      <c r="E2347" s="1"/>
      <c r="F2347" s="62" t="s">
        <v>4210</v>
      </c>
      <c r="G2347" s="61"/>
      <c r="H2347" s="63"/>
      <c r="I2347" s="36"/>
      <c r="J2347" s="63"/>
      <c r="K2347" s="64"/>
      <c r="L2347" s="64"/>
      <c r="M2347" s="64"/>
      <c r="N2347" s="64"/>
      <c r="O2347" s="64">
        <f>SUM(O2348:O2350)</f>
        <v>0</v>
      </c>
      <c r="P2347" s="64">
        <f>SUM(P2348:P2350)</f>
        <v>0</v>
      </c>
      <c r="Q2347" s="64">
        <f>SUM(Q2348:Q2350)</f>
        <v>0</v>
      </c>
      <c r="R2347" s="64">
        <f>SUM(R2348:R2350)</f>
        <v>0</v>
      </c>
      <c r="S2347" s="64"/>
      <c r="T2347" s="36"/>
      <c r="XDA2347"/>
      <c r="XDB2347"/>
      <c r="XDC2347"/>
      <c r="XDD2347"/>
      <c r="XDE2347"/>
      <c r="XDF2347"/>
      <c r="XDG2347"/>
      <c r="XDH2347"/>
      <c r="XDI2347"/>
      <c r="XDJ2347"/>
      <c r="XDK2347"/>
      <c r="XDL2347"/>
      <c r="XDM2347"/>
      <c r="XDN2347"/>
      <c r="XDO2347"/>
      <c r="XDP2347"/>
      <c r="XDQ2347"/>
      <c r="XDR2347"/>
      <c r="XDS2347"/>
      <c r="XDT2347"/>
      <c r="XDU2347"/>
      <c r="XDV2347"/>
      <c r="XDW2347"/>
      <c r="XDX2347"/>
      <c r="XDY2347"/>
      <c r="XDZ2347"/>
      <c r="XEA2347"/>
      <c r="XEB2347"/>
      <c r="XEC2347"/>
      <c r="XED2347"/>
      <c r="XEE2347"/>
      <c r="XEF2347"/>
      <c r="XEG2347"/>
      <c r="XEH2347"/>
      <c r="XEI2347"/>
      <c r="XEJ2347"/>
      <c r="XEK2347"/>
      <c r="XEL2347"/>
      <c r="XEM2347"/>
      <c r="XEN2347"/>
      <c r="XEO2347"/>
      <c r="XEP2347"/>
      <c r="XEQ2347"/>
      <c r="XER2347"/>
      <c r="XES2347"/>
      <c r="XET2347"/>
      <c r="XEU2347"/>
      <c r="XEV2347"/>
      <c r="XEW2347"/>
      <c r="XEX2347"/>
      <c r="XEY2347"/>
      <c r="XEZ2347"/>
      <c r="XFA2347"/>
      <c r="XFB2347"/>
      <c r="XFC2347"/>
    </row>
    <row r="2348" spans="1:20 16329:16383" s="38" customFormat="1" ht="29.1" customHeight="1" outlineLevel="5" x14ac:dyDescent="0.25">
      <c r="A2348" s="49" t="s">
        <v>4224</v>
      </c>
      <c r="B2348" s="50"/>
      <c r="C2348" s="50"/>
      <c r="D2348" s="3" t="s">
        <v>4170</v>
      </c>
      <c r="E2348" s="3"/>
      <c r="F2348" s="51"/>
      <c r="G2348" s="50" t="s">
        <v>102</v>
      </c>
      <c r="H2348" s="52">
        <f>1</f>
        <v>1</v>
      </c>
      <c r="I2348" s="36"/>
      <c r="J2348" s="52">
        <v>1</v>
      </c>
      <c r="K2348" s="53">
        <f>0</f>
        <v>0</v>
      </c>
      <c r="L2348" s="53">
        <f>0</f>
        <v>0</v>
      </c>
      <c r="M2348" s="53">
        <f>0</f>
        <v>0</v>
      </c>
      <c r="N2348" s="54">
        <f>SUM(K2348:M2348)</f>
        <v>0</v>
      </c>
      <c r="O2348" s="54">
        <f>ROUND((H2348*K2348),2)</f>
        <v>0</v>
      </c>
      <c r="P2348" s="54">
        <f>ROUND((H2348*L2348),2)</f>
        <v>0</v>
      </c>
      <c r="Q2348" s="54">
        <f>ROUND((H2348*M2348),2)</f>
        <v>0</v>
      </c>
      <c r="R2348" s="54">
        <f>ROUND((H2348*N2348),2)</f>
        <v>0</v>
      </c>
      <c r="S2348" s="54"/>
      <c r="T2348" s="36"/>
      <c r="XDA2348"/>
      <c r="XDB2348"/>
      <c r="XDC2348"/>
      <c r="XDD2348"/>
      <c r="XDE2348"/>
      <c r="XDF2348"/>
      <c r="XDG2348"/>
      <c r="XDH2348"/>
      <c r="XDI2348"/>
      <c r="XDJ2348"/>
      <c r="XDK2348"/>
      <c r="XDL2348"/>
      <c r="XDM2348"/>
      <c r="XDN2348"/>
      <c r="XDO2348"/>
      <c r="XDP2348"/>
      <c r="XDQ2348"/>
      <c r="XDR2348"/>
      <c r="XDS2348"/>
      <c r="XDT2348"/>
      <c r="XDU2348"/>
      <c r="XDV2348"/>
      <c r="XDW2348"/>
      <c r="XDX2348"/>
      <c r="XDY2348"/>
      <c r="XDZ2348"/>
      <c r="XEA2348"/>
      <c r="XEB2348"/>
      <c r="XEC2348"/>
      <c r="XED2348"/>
      <c r="XEE2348"/>
      <c r="XEF2348"/>
      <c r="XEG2348"/>
      <c r="XEH2348"/>
      <c r="XEI2348"/>
      <c r="XEJ2348"/>
      <c r="XEK2348"/>
      <c r="XEL2348"/>
      <c r="XEM2348"/>
      <c r="XEN2348"/>
      <c r="XEO2348"/>
      <c r="XEP2348"/>
      <c r="XEQ2348"/>
      <c r="XER2348"/>
      <c r="XES2348"/>
      <c r="XET2348"/>
      <c r="XEU2348"/>
      <c r="XEV2348"/>
      <c r="XEW2348"/>
      <c r="XEX2348"/>
      <c r="XEY2348"/>
      <c r="XEZ2348"/>
      <c r="XFA2348"/>
      <c r="XFB2348"/>
      <c r="XFC2348"/>
    </row>
    <row r="2349" spans="1:20 16329:16383" s="38" customFormat="1" ht="29.1" customHeight="1" outlineLevel="5" x14ac:dyDescent="0.25">
      <c r="A2349" s="49" t="s">
        <v>4225</v>
      </c>
      <c r="B2349" s="50"/>
      <c r="C2349" s="50"/>
      <c r="D2349" s="3" t="s">
        <v>4213</v>
      </c>
      <c r="E2349" s="3"/>
      <c r="F2349" s="51"/>
      <c r="G2349" s="50" t="s">
        <v>102</v>
      </c>
      <c r="H2349" s="52">
        <f>1</f>
        <v>1</v>
      </c>
      <c r="I2349" s="36"/>
      <c r="J2349" s="52">
        <v>1</v>
      </c>
      <c r="K2349" s="53">
        <f>0</f>
        <v>0</v>
      </c>
      <c r="L2349" s="53">
        <f>0</f>
        <v>0</v>
      </c>
      <c r="M2349" s="53">
        <f>0</f>
        <v>0</v>
      </c>
      <c r="N2349" s="54">
        <f>SUM(K2349:M2349)</f>
        <v>0</v>
      </c>
      <c r="O2349" s="54">
        <f>ROUND((H2349*K2349),2)</f>
        <v>0</v>
      </c>
      <c r="P2349" s="54">
        <f>ROUND((H2349*L2349),2)</f>
        <v>0</v>
      </c>
      <c r="Q2349" s="54">
        <f>ROUND((H2349*M2349),2)</f>
        <v>0</v>
      </c>
      <c r="R2349" s="54">
        <f>ROUND((H2349*N2349),2)</f>
        <v>0</v>
      </c>
      <c r="S2349" s="54"/>
      <c r="T2349" s="36"/>
      <c r="XDA2349"/>
      <c r="XDB2349"/>
      <c r="XDC2349"/>
      <c r="XDD2349"/>
      <c r="XDE2349"/>
      <c r="XDF2349"/>
      <c r="XDG2349"/>
      <c r="XDH2349"/>
      <c r="XDI2349"/>
      <c r="XDJ2349"/>
      <c r="XDK2349"/>
      <c r="XDL2349"/>
      <c r="XDM2349"/>
      <c r="XDN2349"/>
      <c r="XDO2349"/>
      <c r="XDP2349"/>
      <c r="XDQ2349"/>
      <c r="XDR2349"/>
      <c r="XDS2349"/>
      <c r="XDT2349"/>
      <c r="XDU2349"/>
      <c r="XDV2349"/>
      <c r="XDW2349"/>
      <c r="XDX2349"/>
      <c r="XDY2349"/>
      <c r="XDZ2349"/>
      <c r="XEA2349"/>
      <c r="XEB2349"/>
      <c r="XEC2349"/>
      <c r="XED2349"/>
      <c r="XEE2349"/>
      <c r="XEF2349"/>
      <c r="XEG2349"/>
      <c r="XEH2349"/>
      <c r="XEI2349"/>
      <c r="XEJ2349"/>
      <c r="XEK2349"/>
      <c r="XEL2349"/>
      <c r="XEM2349"/>
      <c r="XEN2349"/>
      <c r="XEO2349"/>
      <c r="XEP2349"/>
      <c r="XEQ2349"/>
      <c r="XER2349"/>
      <c r="XES2349"/>
      <c r="XET2349"/>
      <c r="XEU2349"/>
      <c r="XEV2349"/>
      <c r="XEW2349"/>
      <c r="XEX2349"/>
      <c r="XEY2349"/>
      <c r="XEZ2349"/>
      <c r="XFA2349"/>
      <c r="XFB2349"/>
      <c r="XFC2349"/>
    </row>
    <row r="2350" spans="1:20 16329:16383" s="38" customFormat="1" ht="29.1" customHeight="1" outlineLevel="5" x14ac:dyDescent="0.25">
      <c r="A2350" s="49" t="s">
        <v>4226</v>
      </c>
      <c r="B2350" s="50"/>
      <c r="C2350" s="50"/>
      <c r="D2350" s="3" t="s">
        <v>3993</v>
      </c>
      <c r="E2350" s="3"/>
      <c r="F2350" s="51"/>
      <c r="G2350" s="50" t="s">
        <v>102</v>
      </c>
      <c r="H2350" s="52">
        <f>1</f>
        <v>1</v>
      </c>
      <c r="I2350" s="36"/>
      <c r="J2350" s="52">
        <v>1</v>
      </c>
      <c r="K2350" s="53">
        <f>0</f>
        <v>0</v>
      </c>
      <c r="L2350" s="53">
        <f>0</f>
        <v>0</v>
      </c>
      <c r="M2350" s="53">
        <f>0</f>
        <v>0</v>
      </c>
      <c r="N2350" s="54">
        <f>SUM(K2350:M2350)</f>
        <v>0</v>
      </c>
      <c r="O2350" s="54">
        <f>ROUND((H2350*K2350),2)</f>
        <v>0</v>
      </c>
      <c r="P2350" s="54">
        <f>ROUND((H2350*L2350),2)</f>
        <v>0</v>
      </c>
      <c r="Q2350" s="54">
        <f>ROUND((H2350*M2350),2)</f>
        <v>0</v>
      </c>
      <c r="R2350" s="54">
        <f>ROUND((H2350*N2350),2)</f>
        <v>0</v>
      </c>
      <c r="S2350" s="54"/>
      <c r="T2350" s="36"/>
      <c r="XDA2350"/>
      <c r="XDB2350"/>
      <c r="XDC2350"/>
      <c r="XDD2350"/>
      <c r="XDE2350"/>
      <c r="XDF2350"/>
      <c r="XDG2350"/>
      <c r="XDH2350"/>
      <c r="XDI2350"/>
      <c r="XDJ2350"/>
      <c r="XDK2350"/>
      <c r="XDL2350"/>
      <c r="XDM2350"/>
      <c r="XDN2350"/>
      <c r="XDO2350"/>
      <c r="XDP2350"/>
      <c r="XDQ2350"/>
      <c r="XDR2350"/>
      <c r="XDS2350"/>
      <c r="XDT2350"/>
      <c r="XDU2350"/>
      <c r="XDV2350"/>
      <c r="XDW2350"/>
      <c r="XDX2350"/>
      <c r="XDY2350"/>
      <c r="XDZ2350"/>
      <c r="XEA2350"/>
      <c r="XEB2350"/>
      <c r="XEC2350"/>
      <c r="XED2350"/>
      <c r="XEE2350"/>
      <c r="XEF2350"/>
      <c r="XEG2350"/>
      <c r="XEH2350"/>
      <c r="XEI2350"/>
      <c r="XEJ2350"/>
      <c r="XEK2350"/>
      <c r="XEL2350"/>
      <c r="XEM2350"/>
      <c r="XEN2350"/>
      <c r="XEO2350"/>
      <c r="XEP2350"/>
      <c r="XEQ2350"/>
      <c r="XER2350"/>
      <c r="XES2350"/>
      <c r="XET2350"/>
      <c r="XEU2350"/>
      <c r="XEV2350"/>
      <c r="XEW2350"/>
      <c r="XEX2350"/>
      <c r="XEY2350"/>
      <c r="XEZ2350"/>
      <c r="XFA2350"/>
      <c r="XFB2350"/>
      <c r="XFC2350"/>
    </row>
    <row r="2351" spans="1:20 16329:16383" s="38" customFormat="1" ht="29.1" customHeight="1" outlineLevel="4" x14ac:dyDescent="0.25">
      <c r="A2351" s="60" t="s">
        <v>4227</v>
      </c>
      <c r="B2351" s="61" t="s">
        <v>4228</v>
      </c>
      <c r="C2351" s="61"/>
      <c r="D2351" s="1" t="s">
        <v>4229</v>
      </c>
      <c r="E2351" s="1"/>
      <c r="F2351" s="62" t="s">
        <v>4210</v>
      </c>
      <c r="G2351" s="61"/>
      <c r="H2351" s="63"/>
      <c r="I2351" s="36"/>
      <c r="J2351" s="63"/>
      <c r="K2351" s="64"/>
      <c r="L2351" s="64"/>
      <c r="M2351" s="64"/>
      <c r="N2351" s="64"/>
      <c r="O2351" s="64">
        <f>SUM(O2352:O2354)</f>
        <v>0</v>
      </c>
      <c r="P2351" s="64">
        <f>SUM(P2352:P2354)</f>
        <v>0</v>
      </c>
      <c r="Q2351" s="64">
        <f>SUM(Q2352:Q2354)</f>
        <v>0</v>
      </c>
      <c r="R2351" s="64">
        <f>SUM(R2352:R2354)</f>
        <v>0</v>
      </c>
      <c r="S2351" s="64"/>
      <c r="T2351" s="36"/>
      <c r="XDA2351"/>
      <c r="XDB2351"/>
      <c r="XDC2351"/>
      <c r="XDD2351"/>
      <c r="XDE2351"/>
      <c r="XDF2351"/>
      <c r="XDG2351"/>
      <c r="XDH2351"/>
      <c r="XDI2351"/>
      <c r="XDJ2351"/>
      <c r="XDK2351"/>
      <c r="XDL2351"/>
      <c r="XDM2351"/>
      <c r="XDN2351"/>
      <c r="XDO2351"/>
      <c r="XDP2351"/>
      <c r="XDQ2351"/>
      <c r="XDR2351"/>
      <c r="XDS2351"/>
      <c r="XDT2351"/>
      <c r="XDU2351"/>
      <c r="XDV2351"/>
      <c r="XDW2351"/>
      <c r="XDX2351"/>
      <c r="XDY2351"/>
      <c r="XDZ2351"/>
      <c r="XEA2351"/>
      <c r="XEB2351"/>
      <c r="XEC2351"/>
      <c r="XED2351"/>
      <c r="XEE2351"/>
      <c r="XEF2351"/>
      <c r="XEG2351"/>
      <c r="XEH2351"/>
      <c r="XEI2351"/>
      <c r="XEJ2351"/>
      <c r="XEK2351"/>
      <c r="XEL2351"/>
      <c r="XEM2351"/>
      <c r="XEN2351"/>
      <c r="XEO2351"/>
      <c r="XEP2351"/>
      <c r="XEQ2351"/>
      <c r="XER2351"/>
      <c r="XES2351"/>
      <c r="XET2351"/>
      <c r="XEU2351"/>
      <c r="XEV2351"/>
      <c r="XEW2351"/>
      <c r="XEX2351"/>
      <c r="XEY2351"/>
      <c r="XEZ2351"/>
      <c r="XFA2351"/>
      <c r="XFB2351"/>
      <c r="XFC2351"/>
    </row>
    <row r="2352" spans="1:20 16329:16383" s="38" customFormat="1" ht="29.1" customHeight="1" outlineLevel="5" x14ac:dyDescent="0.25">
      <c r="A2352" s="49" t="s">
        <v>4230</v>
      </c>
      <c r="B2352" s="50"/>
      <c r="C2352" s="50"/>
      <c r="D2352" s="3" t="s">
        <v>4170</v>
      </c>
      <c r="E2352" s="3"/>
      <c r="F2352" s="51"/>
      <c r="G2352" s="50" t="s">
        <v>102</v>
      </c>
      <c r="H2352" s="52">
        <f>1</f>
        <v>1</v>
      </c>
      <c r="I2352" s="36"/>
      <c r="J2352" s="52">
        <v>1</v>
      </c>
      <c r="K2352" s="53">
        <f>0</f>
        <v>0</v>
      </c>
      <c r="L2352" s="53">
        <f>0</f>
        <v>0</v>
      </c>
      <c r="M2352" s="53">
        <f>0</f>
        <v>0</v>
      </c>
      <c r="N2352" s="54">
        <f>SUM(K2352:M2352)</f>
        <v>0</v>
      </c>
      <c r="O2352" s="54">
        <f>ROUND((H2352*K2352),2)</f>
        <v>0</v>
      </c>
      <c r="P2352" s="54">
        <f>ROUND((H2352*L2352),2)</f>
        <v>0</v>
      </c>
      <c r="Q2352" s="54">
        <f>ROUND((H2352*M2352),2)</f>
        <v>0</v>
      </c>
      <c r="R2352" s="54">
        <f>ROUND((H2352*N2352),2)</f>
        <v>0</v>
      </c>
      <c r="S2352" s="54"/>
      <c r="T2352" s="36"/>
      <c r="XDA2352"/>
      <c r="XDB2352"/>
      <c r="XDC2352"/>
      <c r="XDD2352"/>
      <c r="XDE2352"/>
      <c r="XDF2352"/>
      <c r="XDG2352"/>
      <c r="XDH2352"/>
      <c r="XDI2352"/>
      <c r="XDJ2352"/>
      <c r="XDK2352"/>
      <c r="XDL2352"/>
      <c r="XDM2352"/>
      <c r="XDN2352"/>
      <c r="XDO2352"/>
      <c r="XDP2352"/>
      <c r="XDQ2352"/>
      <c r="XDR2352"/>
      <c r="XDS2352"/>
      <c r="XDT2352"/>
      <c r="XDU2352"/>
      <c r="XDV2352"/>
      <c r="XDW2352"/>
      <c r="XDX2352"/>
      <c r="XDY2352"/>
      <c r="XDZ2352"/>
      <c r="XEA2352"/>
      <c r="XEB2352"/>
      <c r="XEC2352"/>
      <c r="XED2352"/>
      <c r="XEE2352"/>
      <c r="XEF2352"/>
      <c r="XEG2352"/>
      <c r="XEH2352"/>
      <c r="XEI2352"/>
      <c r="XEJ2352"/>
      <c r="XEK2352"/>
      <c r="XEL2352"/>
      <c r="XEM2352"/>
      <c r="XEN2352"/>
      <c r="XEO2352"/>
      <c r="XEP2352"/>
      <c r="XEQ2352"/>
      <c r="XER2352"/>
      <c r="XES2352"/>
      <c r="XET2352"/>
      <c r="XEU2352"/>
      <c r="XEV2352"/>
      <c r="XEW2352"/>
      <c r="XEX2352"/>
      <c r="XEY2352"/>
      <c r="XEZ2352"/>
      <c r="XFA2352"/>
      <c r="XFB2352"/>
      <c r="XFC2352"/>
    </row>
    <row r="2353" spans="1:20 16329:16383" s="38" customFormat="1" ht="29.1" customHeight="1" outlineLevel="5" x14ac:dyDescent="0.25">
      <c r="A2353" s="49" t="s">
        <v>4231</v>
      </c>
      <c r="B2353" s="50"/>
      <c r="C2353" s="50"/>
      <c r="D2353" s="3" t="s">
        <v>4213</v>
      </c>
      <c r="E2353" s="3"/>
      <c r="F2353" s="51"/>
      <c r="G2353" s="50" t="s">
        <v>102</v>
      </c>
      <c r="H2353" s="52">
        <f>1</f>
        <v>1</v>
      </c>
      <c r="I2353" s="36"/>
      <c r="J2353" s="52">
        <v>1</v>
      </c>
      <c r="K2353" s="53">
        <f>0</f>
        <v>0</v>
      </c>
      <c r="L2353" s="53">
        <f>0</f>
        <v>0</v>
      </c>
      <c r="M2353" s="53">
        <f>0</f>
        <v>0</v>
      </c>
      <c r="N2353" s="54">
        <f>SUM(K2353:M2353)</f>
        <v>0</v>
      </c>
      <c r="O2353" s="54">
        <f>ROUND((H2353*K2353),2)</f>
        <v>0</v>
      </c>
      <c r="P2353" s="54">
        <f>ROUND((H2353*L2353),2)</f>
        <v>0</v>
      </c>
      <c r="Q2353" s="54">
        <f>ROUND((H2353*M2353),2)</f>
        <v>0</v>
      </c>
      <c r="R2353" s="54">
        <f>ROUND((H2353*N2353),2)</f>
        <v>0</v>
      </c>
      <c r="S2353" s="54"/>
      <c r="T2353" s="36"/>
      <c r="XDA2353"/>
      <c r="XDB2353"/>
      <c r="XDC2353"/>
      <c r="XDD2353"/>
      <c r="XDE2353"/>
      <c r="XDF2353"/>
      <c r="XDG2353"/>
      <c r="XDH2353"/>
      <c r="XDI2353"/>
      <c r="XDJ2353"/>
      <c r="XDK2353"/>
      <c r="XDL2353"/>
      <c r="XDM2353"/>
      <c r="XDN2353"/>
      <c r="XDO2353"/>
      <c r="XDP2353"/>
      <c r="XDQ2353"/>
      <c r="XDR2353"/>
      <c r="XDS2353"/>
      <c r="XDT2353"/>
      <c r="XDU2353"/>
      <c r="XDV2353"/>
      <c r="XDW2353"/>
      <c r="XDX2353"/>
      <c r="XDY2353"/>
      <c r="XDZ2353"/>
      <c r="XEA2353"/>
      <c r="XEB2353"/>
      <c r="XEC2353"/>
      <c r="XED2353"/>
      <c r="XEE2353"/>
      <c r="XEF2353"/>
      <c r="XEG2353"/>
      <c r="XEH2353"/>
      <c r="XEI2353"/>
      <c r="XEJ2353"/>
      <c r="XEK2353"/>
      <c r="XEL2353"/>
      <c r="XEM2353"/>
      <c r="XEN2353"/>
      <c r="XEO2353"/>
      <c r="XEP2353"/>
      <c r="XEQ2353"/>
      <c r="XER2353"/>
      <c r="XES2353"/>
      <c r="XET2353"/>
      <c r="XEU2353"/>
      <c r="XEV2353"/>
      <c r="XEW2353"/>
      <c r="XEX2353"/>
      <c r="XEY2353"/>
      <c r="XEZ2353"/>
      <c r="XFA2353"/>
      <c r="XFB2353"/>
      <c r="XFC2353"/>
    </row>
    <row r="2354" spans="1:20 16329:16383" s="38" customFormat="1" ht="29.1" customHeight="1" outlineLevel="5" x14ac:dyDescent="0.25">
      <c r="A2354" s="49" t="s">
        <v>4232</v>
      </c>
      <c r="B2354" s="50"/>
      <c r="C2354" s="50"/>
      <c r="D2354" s="3" t="s">
        <v>3993</v>
      </c>
      <c r="E2354" s="3"/>
      <c r="F2354" s="51"/>
      <c r="G2354" s="50" t="s">
        <v>102</v>
      </c>
      <c r="H2354" s="52">
        <f>1</f>
        <v>1</v>
      </c>
      <c r="I2354" s="36"/>
      <c r="J2354" s="52">
        <v>1</v>
      </c>
      <c r="K2354" s="53">
        <f>0</f>
        <v>0</v>
      </c>
      <c r="L2354" s="53">
        <f>0</f>
        <v>0</v>
      </c>
      <c r="M2354" s="53">
        <f>0</f>
        <v>0</v>
      </c>
      <c r="N2354" s="54">
        <f>SUM(K2354:M2354)</f>
        <v>0</v>
      </c>
      <c r="O2354" s="54">
        <f>ROUND((H2354*K2354),2)</f>
        <v>0</v>
      </c>
      <c r="P2354" s="54">
        <f>ROUND((H2354*L2354),2)</f>
        <v>0</v>
      </c>
      <c r="Q2354" s="54">
        <f>ROUND((H2354*M2354),2)</f>
        <v>0</v>
      </c>
      <c r="R2354" s="54">
        <f>ROUND((H2354*N2354),2)</f>
        <v>0</v>
      </c>
      <c r="S2354" s="54"/>
      <c r="T2354" s="36"/>
      <c r="XDA2354"/>
      <c r="XDB2354"/>
      <c r="XDC2354"/>
      <c r="XDD2354"/>
      <c r="XDE2354"/>
      <c r="XDF2354"/>
      <c r="XDG2354"/>
      <c r="XDH2354"/>
      <c r="XDI2354"/>
      <c r="XDJ2354"/>
      <c r="XDK2354"/>
      <c r="XDL2354"/>
      <c r="XDM2354"/>
      <c r="XDN2354"/>
      <c r="XDO2354"/>
      <c r="XDP2354"/>
      <c r="XDQ2354"/>
      <c r="XDR2354"/>
      <c r="XDS2354"/>
      <c r="XDT2354"/>
      <c r="XDU2354"/>
      <c r="XDV2354"/>
      <c r="XDW2354"/>
      <c r="XDX2354"/>
      <c r="XDY2354"/>
      <c r="XDZ2354"/>
      <c r="XEA2354"/>
      <c r="XEB2354"/>
      <c r="XEC2354"/>
      <c r="XED2354"/>
      <c r="XEE2354"/>
      <c r="XEF2354"/>
      <c r="XEG2354"/>
      <c r="XEH2354"/>
      <c r="XEI2354"/>
      <c r="XEJ2354"/>
      <c r="XEK2354"/>
      <c r="XEL2354"/>
      <c r="XEM2354"/>
      <c r="XEN2354"/>
      <c r="XEO2354"/>
      <c r="XEP2354"/>
      <c r="XEQ2354"/>
      <c r="XER2354"/>
      <c r="XES2354"/>
      <c r="XET2354"/>
      <c r="XEU2354"/>
      <c r="XEV2354"/>
      <c r="XEW2354"/>
      <c r="XEX2354"/>
      <c r="XEY2354"/>
      <c r="XEZ2354"/>
      <c r="XFA2354"/>
      <c r="XFB2354"/>
      <c r="XFC2354"/>
    </row>
    <row r="2355" spans="1:20 16329:16383" s="38" customFormat="1" ht="29.1" customHeight="1" outlineLevel="2" x14ac:dyDescent="0.25">
      <c r="A2355" s="44" t="s">
        <v>4233</v>
      </c>
      <c r="B2355" s="45" t="s">
        <v>4234</v>
      </c>
      <c r="C2355" s="45" t="s">
        <v>4161</v>
      </c>
      <c r="D2355" s="4" t="s">
        <v>4235</v>
      </c>
      <c r="E2355" s="4"/>
      <c r="F2355" s="46"/>
      <c r="G2355" s="45" t="s">
        <v>102</v>
      </c>
      <c r="H2355" s="47"/>
      <c r="I2355" s="36"/>
      <c r="J2355" s="47"/>
      <c r="K2355" s="48"/>
      <c r="L2355" s="48"/>
      <c r="M2355" s="48"/>
      <c r="N2355" s="48"/>
      <c r="O2355" s="48">
        <f>O2356+O2395</f>
        <v>0</v>
      </c>
      <c r="P2355" s="48">
        <f>P2356+P2395</f>
        <v>0</v>
      </c>
      <c r="Q2355" s="48">
        <f>Q2356+Q2395</f>
        <v>0</v>
      </c>
      <c r="R2355" s="48">
        <f>R2356+R2395</f>
        <v>0</v>
      </c>
      <c r="S2355" s="48"/>
      <c r="T2355" s="36"/>
      <c r="XDA2355"/>
      <c r="XDB2355"/>
      <c r="XDC2355"/>
      <c r="XDD2355"/>
      <c r="XDE2355"/>
      <c r="XDF2355"/>
      <c r="XDG2355"/>
      <c r="XDH2355"/>
      <c r="XDI2355"/>
      <c r="XDJ2355"/>
      <c r="XDK2355"/>
      <c r="XDL2355"/>
      <c r="XDM2355"/>
      <c r="XDN2355"/>
      <c r="XDO2355"/>
      <c r="XDP2355"/>
      <c r="XDQ2355"/>
      <c r="XDR2355"/>
      <c r="XDS2355"/>
      <c r="XDT2355"/>
      <c r="XDU2355"/>
      <c r="XDV2355"/>
      <c r="XDW2355"/>
      <c r="XDX2355"/>
      <c r="XDY2355"/>
      <c r="XDZ2355"/>
      <c r="XEA2355"/>
      <c r="XEB2355"/>
      <c r="XEC2355"/>
      <c r="XED2355"/>
      <c r="XEE2355"/>
      <c r="XEF2355"/>
      <c r="XEG2355"/>
      <c r="XEH2355"/>
      <c r="XEI2355"/>
      <c r="XEJ2355"/>
      <c r="XEK2355"/>
      <c r="XEL2355"/>
      <c r="XEM2355"/>
      <c r="XEN2355"/>
      <c r="XEO2355"/>
      <c r="XEP2355"/>
      <c r="XEQ2355"/>
      <c r="XER2355"/>
      <c r="XES2355"/>
      <c r="XET2355"/>
      <c r="XEU2355"/>
      <c r="XEV2355"/>
      <c r="XEW2355"/>
      <c r="XEX2355"/>
      <c r="XEY2355"/>
      <c r="XEZ2355"/>
      <c r="XFA2355"/>
      <c r="XFB2355"/>
      <c r="XFC2355"/>
    </row>
    <row r="2356" spans="1:20 16329:16383" s="38" customFormat="1" ht="29.1" customHeight="1" outlineLevel="3" x14ac:dyDescent="0.25">
      <c r="A2356" s="55" t="s">
        <v>4236</v>
      </c>
      <c r="B2356" s="56" t="s">
        <v>4237</v>
      </c>
      <c r="C2356" s="56"/>
      <c r="D2356" s="2" t="s">
        <v>4238</v>
      </c>
      <c r="E2356" s="2"/>
      <c r="F2356" s="57"/>
      <c r="G2356" s="56"/>
      <c r="H2356" s="58"/>
      <c r="I2356" s="36"/>
      <c r="J2356" s="58"/>
      <c r="K2356" s="59"/>
      <c r="L2356" s="59"/>
      <c r="M2356" s="59"/>
      <c r="N2356" s="59"/>
      <c r="O2356" s="59">
        <f>O2357+O2361+O2368+O2370+O2383+O2386+O2389</f>
        <v>0</v>
      </c>
      <c r="P2356" s="59">
        <f>P2357+P2361+P2368+P2370+P2383+P2386+P2389</f>
        <v>0</v>
      </c>
      <c r="Q2356" s="59">
        <f>Q2357+Q2361+Q2368+Q2370+Q2383+Q2386+Q2389</f>
        <v>0</v>
      </c>
      <c r="R2356" s="59">
        <f>R2357+R2361+R2368+R2370+R2383+R2386+R2389</f>
        <v>0</v>
      </c>
      <c r="S2356" s="59"/>
      <c r="T2356" s="36"/>
      <c r="XDA2356"/>
      <c r="XDB2356"/>
      <c r="XDC2356"/>
      <c r="XDD2356"/>
      <c r="XDE2356"/>
      <c r="XDF2356"/>
      <c r="XDG2356"/>
      <c r="XDH2356"/>
      <c r="XDI2356"/>
      <c r="XDJ2356"/>
      <c r="XDK2356"/>
      <c r="XDL2356"/>
      <c r="XDM2356"/>
      <c r="XDN2356"/>
      <c r="XDO2356"/>
      <c r="XDP2356"/>
      <c r="XDQ2356"/>
      <c r="XDR2356"/>
      <c r="XDS2356"/>
      <c r="XDT2356"/>
      <c r="XDU2356"/>
      <c r="XDV2356"/>
      <c r="XDW2356"/>
      <c r="XDX2356"/>
      <c r="XDY2356"/>
      <c r="XDZ2356"/>
      <c r="XEA2356"/>
      <c r="XEB2356"/>
      <c r="XEC2356"/>
      <c r="XED2356"/>
      <c r="XEE2356"/>
      <c r="XEF2356"/>
      <c r="XEG2356"/>
      <c r="XEH2356"/>
      <c r="XEI2356"/>
      <c r="XEJ2356"/>
      <c r="XEK2356"/>
      <c r="XEL2356"/>
      <c r="XEM2356"/>
      <c r="XEN2356"/>
      <c r="XEO2356"/>
      <c r="XEP2356"/>
      <c r="XEQ2356"/>
      <c r="XER2356"/>
      <c r="XES2356"/>
      <c r="XET2356"/>
      <c r="XEU2356"/>
      <c r="XEV2356"/>
      <c r="XEW2356"/>
      <c r="XEX2356"/>
      <c r="XEY2356"/>
      <c r="XEZ2356"/>
      <c r="XFA2356"/>
      <c r="XFB2356"/>
      <c r="XFC2356"/>
    </row>
    <row r="2357" spans="1:20 16329:16383" s="38" customFormat="1" ht="29.1" customHeight="1" outlineLevel="4" x14ac:dyDescent="0.25">
      <c r="A2357" s="60" t="s">
        <v>4239</v>
      </c>
      <c r="B2357" s="61" t="s">
        <v>4240</v>
      </c>
      <c r="C2357" s="61"/>
      <c r="D2357" s="1" t="s">
        <v>4241</v>
      </c>
      <c r="E2357" s="1"/>
      <c r="F2357" s="62"/>
      <c r="G2357" s="61"/>
      <c r="H2357" s="63"/>
      <c r="I2357" s="36"/>
      <c r="J2357" s="63"/>
      <c r="K2357" s="64"/>
      <c r="L2357" s="64"/>
      <c r="M2357" s="64"/>
      <c r="N2357" s="64"/>
      <c r="O2357" s="64">
        <f>SUM(O2358:O2360)</f>
        <v>0</v>
      </c>
      <c r="P2357" s="64">
        <f>SUM(P2358:P2360)</f>
        <v>0</v>
      </c>
      <c r="Q2357" s="64">
        <f>SUM(Q2358:Q2360)</f>
        <v>0</v>
      </c>
      <c r="R2357" s="64">
        <f>SUM(R2358:R2360)</f>
        <v>0</v>
      </c>
      <c r="S2357" s="64"/>
      <c r="T2357" s="36"/>
      <c r="XDA2357"/>
      <c r="XDB2357"/>
      <c r="XDC2357"/>
      <c r="XDD2357"/>
      <c r="XDE2357"/>
      <c r="XDF2357"/>
      <c r="XDG2357"/>
      <c r="XDH2357"/>
      <c r="XDI2357"/>
      <c r="XDJ2357"/>
      <c r="XDK2357"/>
      <c r="XDL2357"/>
      <c r="XDM2357"/>
      <c r="XDN2357"/>
      <c r="XDO2357"/>
      <c r="XDP2357"/>
      <c r="XDQ2357"/>
      <c r="XDR2357"/>
      <c r="XDS2357"/>
      <c r="XDT2357"/>
      <c r="XDU2357"/>
      <c r="XDV2357"/>
      <c r="XDW2357"/>
      <c r="XDX2357"/>
      <c r="XDY2357"/>
      <c r="XDZ2357"/>
      <c r="XEA2357"/>
      <c r="XEB2357"/>
      <c r="XEC2357"/>
      <c r="XED2357"/>
      <c r="XEE2357"/>
      <c r="XEF2357"/>
      <c r="XEG2357"/>
      <c r="XEH2357"/>
      <c r="XEI2357"/>
      <c r="XEJ2357"/>
      <c r="XEK2357"/>
      <c r="XEL2357"/>
      <c r="XEM2357"/>
      <c r="XEN2357"/>
      <c r="XEO2357"/>
      <c r="XEP2357"/>
      <c r="XEQ2357"/>
      <c r="XER2357"/>
      <c r="XES2357"/>
      <c r="XET2357"/>
      <c r="XEU2357"/>
      <c r="XEV2357"/>
      <c r="XEW2357"/>
      <c r="XEX2357"/>
      <c r="XEY2357"/>
      <c r="XEZ2357"/>
      <c r="XFA2357"/>
      <c r="XFB2357"/>
      <c r="XFC2357"/>
    </row>
    <row r="2358" spans="1:20 16329:16383" s="38" customFormat="1" ht="29.1" customHeight="1" outlineLevel="5" x14ac:dyDescent="0.25">
      <c r="A2358" s="49" t="s">
        <v>4242</v>
      </c>
      <c r="B2358" s="50"/>
      <c r="C2358" s="50"/>
      <c r="D2358" s="3" t="s">
        <v>4243</v>
      </c>
      <c r="E2358" s="3"/>
      <c r="F2358" s="51"/>
      <c r="G2358" s="50" t="s">
        <v>134</v>
      </c>
      <c r="H2358" s="52">
        <f>1</f>
        <v>1</v>
      </c>
      <c r="I2358" s="36"/>
      <c r="J2358" s="52">
        <v>1</v>
      </c>
      <c r="K2358" s="53">
        <f>0</f>
        <v>0</v>
      </c>
      <c r="L2358" s="53">
        <f>0</f>
        <v>0</v>
      </c>
      <c r="M2358" s="53">
        <f>0</f>
        <v>0</v>
      </c>
      <c r="N2358" s="54">
        <f>SUM(K2358:M2358)</f>
        <v>0</v>
      </c>
      <c r="O2358" s="54">
        <f>ROUND((H2358*K2358),2)</f>
        <v>0</v>
      </c>
      <c r="P2358" s="54">
        <f>ROUND((H2358*L2358),2)</f>
        <v>0</v>
      </c>
      <c r="Q2358" s="54">
        <f>ROUND((H2358*M2358),2)</f>
        <v>0</v>
      </c>
      <c r="R2358" s="54">
        <f>ROUND((H2358*N2358),2)</f>
        <v>0</v>
      </c>
      <c r="S2358" s="54"/>
      <c r="T2358" s="36"/>
      <c r="XDA2358"/>
      <c r="XDB2358"/>
      <c r="XDC2358"/>
      <c r="XDD2358"/>
      <c r="XDE2358"/>
      <c r="XDF2358"/>
      <c r="XDG2358"/>
      <c r="XDH2358"/>
      <c r="XDI2358"/>
      <c r="XDJ2358"/>
      <c r="XDK2358"/>
      <c r="XDL2358"/>
      <c r="XDM2358"/>
      <c r="XDN2358"/>
      <c r="XDO2358"/>
      <c r="XDP2358"/>
      <c r="XDQ2358"/>
      <c r="XDR2358"/>
      <c r="XDS2358"/>
      <c r="XDT2358"/>
      <c r="XDU2358"/>
      <c r="XDV2358"/>
      <c r="XDW2358"/>
      <c r="XDX2358"/>
      <c r="XDY2358"/>
      <c r="XDZ2358"/>
      <c r="XEA2358"/>
      <c r="XEB2358"/>
      <c r="XEC2358"/>
      <c r="XED2358"/>
      <c r="XEE2358"/>
      <c r="XEF2358"/>
      <c r="XEG2358"/>
      <c r="XEH2358"/>
      <c r="XEI2358"/>
      <c r="XEJ2358"/>
      <c r="XEK2358"/>
      <c r="XEL2358"/>
      <c r="XEM2358"/>
      <c r="XEN2358"/>
      <c r="XEO2358"/>
      <c r="XEP2358"/>
      <c r="XEQ2358"/>
      <c r="XER2358"/>
      <c r="XES2358"/>
      <c r="XET2358"/>
      <c r="XEU2358"/>
      <c r="XEV2358"/>
      <c r="XEW2358"/>
      <c r="XEX2358"/>
      <c r="XEY2358"/>
      <c r="XEZ2358"/>
      <c r="XFA2358"/>
      <c r="XFB2358"/>
      <c r="XFC2358"/>
    </row>
    <row r="2359" spans="1:20 16329:16383" s="38" customFormat="1" ht="29.1" customHeight="1" outlineLevel="5" x14ac:dyDescent="0.25">
      <c r="A2359" s="49" t="s">
        <v>4244</v>
      </c>
      <c r="B2359" s="50"/>
      <c r="C2359" s="50"/>
      <c r="D2359" s="3" t="s">
        <v>4245</v>
      </c>
      <c r="E2359" s="3"/>
      <c r="F2359" s="51"/>
      <c r="G2359" s="50" t="s">
        <v>134</v>
      </c>
      <c r="H2359" s="52">
        <f>1</f>
        <v>1</v>
      </c>
      <c r="I2359" s="36"/>
      <c r="J2359" s="52">
        <v>1</v>
      </c>
      <c r="K2359" s="53">
        <f>0</f>
        <v>0</v>
      </c>
      <c r="L2359" s="53">
        <f>0</f>
        <v>0</v>
      </c>
      <c r="M2359" s="53">
        <f>0</f>
        <v>0</v>
      </c>
      <c r="N2359" s="54">
        <f>SUM(K2359:M2359)</f>
        <v>0</v>
      </c>
      <c r="O2359" s="54">
        <f>ROUND((H2359*K2359),2)</f>
        <v>0</v>
      </c>
      <c r="P2359" s="54">
        <f>ROUND((H2359*L2359),2)</f>
        <v>0</v>
      </c>
      <c r="Q2359" s="54">
        <f>ROUND((H2359*M2359),2)</f>
        <v>0</v>
      </c>
      <c r="R2359" s="54">
        <f>ROUND((H2359*N2359),2)</f>
        <v>0</v>
      </c>
      <c r="S2359" s="54"/>
      <c r="T2359" s="36"/>
      <c r="XDA2359"/>
      <c r="XDB2359"/>
      <c r="XDC2359"/>
      <c r="XDD2359"/>
      <c r="XDE2359"/>
      <c r="XDF2359"/>
      <c r="XDG2359"/>
      <c r="XDH2359"/>
      <c r="XDI2359"/>
      <c r="XDJ2359"/>
      <c r="XDK2359"/>
      <c r="XDL2359"/>
      <c r="XDM2359"/>
      <c r="XDN2359"/>
      <c r="XDO2359"/>
      <c r="XDP2359"/>
      <c r="XDQ2359"/>
      <c r="XDR2359"/>
      <c r="XDS2359"/>
      <c r="XDT2359"/>
      <c r="XDU2359"/>
      <c r="XDV2359"/>
      <c r="XDW2359"/>
      <c r="XDX2359"/>
      <c r="XDY2359"/>
      <c r="XDZ2359"/>
      <c r="XEA2359"/>
      <c r="XEB2359"/>
      <c r="XEC2359"/>
      <c r="XED2359"/>
      <c r="XEE2359"/>
      <c r="XEF2359"/>
      <c r="XEG2359"/>
      <c r="XEH2359"/>
      <c r="XEI2359"/>
      <c r="XEJ2359"/>
      <c r="XEK2359"/>
      <c r="XEL2359"/>
      <c r="XEM2359"/>
      <c r="XEN2359"/>
      <c r="XEO2359"/>
      <c r="XEP2359"/>
      <c r="XEQ2359"/>
      <c r="XER2359"/>
      <c r="XES2359"/>
      <c r="XET2359"/>
      <c r="XEU2359"/>
      <c r="XEV2359"/>
      <c r="XEW2359"/>
      <c r="XEX2359"/>
      <c r="XEY2359"/>
      <c r="XEZ2359"/>
      <c r="XFA2359"/>
      <c r="XFB2359"/>
      <c r="XFC2359"/>
    </row>
    <row r="2360" spans="1:20 16329:16383" s="38" customFormat="1" ht="29.1" customHeight="1" outlineLevel="5" x14ac:dyDescent="0.25">
      <c r="A2360" s="49" t="s">
        <v>4246</v>
      </c>
      <c r="B2360" s="50"/>
      <c r="C2360" s="50"/>
      <c r="D2360" s="3" t="s">
        <v>4247</v>
      </c>
      <c r="E2360" s="3"/>
      <c r="F2360" s="51"/>
      <c r="G2360" s="50" t="s">
        <v>134</v>
      </c>
      <c r="H2360" s="52">
        <f>1</f>
        <v>1</v>
      </c>
      <c r="I2360" s="36"/>
      <c r="J2360" s="52">
        <v>1</v>
      </c>
      <c r="K2360" s="53">
        <f>0</f>
        <v>0</v>
      </c>
      <c r="L2360" s="53">
        <f>0</f>
        <v>0</v>
      </c>
      <c r="M2360" s="53">
        <f>0</f>
        <v>0</v>
      </c>
      <c r="N2360" s="54">
        <f>SUM(K2360:M2360)</f>
        <v>0</v>
      </c>
      <c r="O2360" s="54">
        <f>ROUND((H2360*K2360),2)</f>
        <v>0</v>
      </c>
      <c r="P2360" s="54">
        <f>ROUND((H2360*L2360),2)</f>
        <v>0</v>
      </c>
      <c r="Q2360" s="54">
        <f>ROUND((H2360*M2360),2)</f>
        <v>0</v>
      </c>
      <c r="R2360" s="54">
        <f>ROUND((H2360*N2360),2)</f>
        <v>0</v>
      </c>
      <c r="S2360" s="54"/>
      <c r="T2360" s="36"/>
      <c r="XDA2360"/>
      <c r="XDB2360"/>
      <c r="XDC2360"/>
      <c r="XDD2360"/>
      <c r="XDE2360"/>
      <c r="XDF2360"/>
      <c r="XDG2360"/>
      <c r="XDH2360"/>
      <c r="XDI2360"/>
      <c r="XDJ2360"/>
      <c r="XDK2360"/>
      <c r="XDL2360"/>
      <c r="XDM2360"/>
      <c r="XDN2360"/>
      <c r="XDO2360"/>
      <c r="XDP2360"/>
      <c r="XDQ2360"/>
      <c r="XDR2360"/>
      <c r="XDS2360"/>
      <c r="XDT2360"/>
      <c r="XDU2360"/>
      <c r="XDV2360"/>
      <c r="XDW2360"/>
      <c r="XDX2360"/>
      <c r="XDY2360"/>
      <c r="XDZ2360"/>
      <c r="XEA2360"/>
      <c r="XEB2360"/>
      <c r="XEC2360"/>
      <c r="XED2360"/>
      <c r="XEE2360"/>
      <c r="XEF2360"/>
      <c r="XEG2360"/>
      <c r="XEH2360"/>
      <c r="XEI2360"/>
      <c r="XEJ2360"/>
      <c r="XEK2360"/>
      <c r="XEL2360"/>
      <c r="XEM2360"/>
      <c r="XEN2360"/>
      <c r="XEO2360"/>
      <c r="XEP2360"/>
      <c r="XEQ2360"/>
      <c r="XER2360"/>
      <c r="XES2360"/>
      <c r="XET2360"/>
      <c r="XEU2360"/>
      <c r="XEV2360"/>
      <c r="XEW2360"/>
      <c r="XEX2360"/>
      <c r="XEY2360"/>
      <c r="XEZ2360"/>
      <c r="XFA2360"/>
      <c r="XFB2360"/>
      <c r="XFC2360"/>
    </row>
    <row r="2361" spans="1:20 16329:16383" s="38" customFormat="1" ht="29.1" customHeight="1" outlineLevel="4" x14ac:dyDescent="0.25">
      <c r="A2361" s="60" t="s">
        <v>4248</v>
      </c>
      <c r="B2361" s="61" t="s">
        <v>4249</v>
      </c>
      <c r="C2361" s="61"/>
      <c r="D2361" s="1" t="s">
        <v>4250</v>
      </c>
      <c r="E2361" s="1"/>
      <c r="F2361" s="62"/>
      <c r="G2361" s="61"/>
      <c r="H2361" s="63"/>
      <c r="I2361" s="36"/>
      <c r="J2361" s="63"/>
      <c r="K2361" s="64"/>
      <c r="L2361" s="64"/>
      <c r="M2361" s="64"/>
      <c r="N2361" s="64"/>
      <c r="O2361" s="64">
        <f>SUM(O2362:O2367)</f>
        <v>0</v>
      </c>
      <c r="P2361" s="64">
        <f>SUM(P2362:P2367)</f>
        <v>0</v>
      </c>
      <c r="Q2361" s="64">
        <f>SUM(Q2362:Q2367)</f>
        <v>0</v>
      </c>
      <c r="R2361" s="64">
        <f>SUM(R2362:R2367)</f>
        <v>0</v>
      </c>
      <c r="S2361" s="64"/>
      <c r="T2361" s="36"/>
      <c r="XDA2361"/>
      <c r="XDB2361"/>
      <c r="XDC2361"/>
      <c r="XDD2361"/>
      <c r="XDE2361"/>
      <c r="XDF2361"/>
      <c r="XDG2361"/>
      <c r="XDH2361"/>
      <c r="XDI2361"/>
      <c r="XDJ2361"/>
      <c r="XDK2361"/>
      <c r="XDL2361"/>
      <c r="XDM2361"/>
      <c r="XDN2361"/>
      <c r="XDO2361"/>
      <c r="XDP2361"/>
      <c r="XDQ2361"/>
      <c r="XDR2361"/>
      <c r="XDS2361"/>
      <c r="XDT2361"/>
      <c r="XDU2361"/>
      <c r="XDV2361"/>
      <c r="XDW2361"/>
      <c r="XDX2361"/>
      <c r="XDY2361"/>
      <c r="XDZ2361"/>
      <c r="XEA2361"/>
      <c r="XEB2361"/>
      <c r="XEC2361"/>
      <c r="XED2361"/>
      <c r="XEE2361"/>
      <c r="XEF2361"/>
      <c r="XEG2361"/>
      <c r="XEH2361"/>
      <c r="XEI2361"/>
      <c r="XEJ2361"/>
      <c r="XEK2361"/>
      <c r="XEL2361"/>
      <c r="XEM2361"/>
      <c r="XEN2361"/>
      <c r="XEO2361"/>
      <c r="XEP2361"/>
      <c r="XEQ2361"/>
      <c r="XER2361"/>
      <c r="XES2361"/>
      <c r="XET2361"/>
      <c r="XEU2361"/>
      <c r="XEV2361"/>
      <c r="XEW2361"/>
      <c r="XEX2361"/>
      <c r="XEY2361"/>
      <c r="XEZ2361"/>
      <c r="XFA2361"/>
      <c r="XFB2361"/>
      <c r="XFC2361"/>
    </row>
    <row r="2362" spans="1:20 16329:16383" s="38" customFormat="1" ht="29.1" customHeight="1" outlineLevel="5" x14ac:dyDescent="0.25">
      <c r="A2362" s="49" t="s">
        <v>4251</v>
      </c>
      <c r="B2362" s="50"/>
      <c r="C2362" s="50"/>
      <c r="D2362" s="3" t="s">
        <v>4252</v>
      </c>
      <c r="E2362" s="3"/>
      <c r="F2362" s="51"/>
      <c r="G2362" s="50" t="s">
        <v>134</v>
      </c>
      <c r="H2362" s="52">
        <f>1</f>
        <v>1</v>
      </c>
      <c r="I2362" s="36"/>
      <c r="J2362" s="52">
        <v>1</v>
      </c>
      <c r="K2362" s="53">
        <f>0</f>
        <v>0</v>
      </c>
      <c r="L2362" s="53">
        <f>0</f>
        <v>0</v>
      </c>
      <c r="M2362" s="53">
        <f>0</f>
        <v>0</v>
      </c>
      <c r="N2362" s="54">
        <f t="shared" ref="N2362:N2367" si="444">SUM(K2362:M2362)</f>
        <v>0</v>
      </c>
      <c r="O2362" s="54">
        <f t="shared" ref="O2362:O2367" si="445">ROUND((H2362*K2362),2)</f>
        <v>0</v>
      </c>
      <c r="P2362" s="54">
        <f t="shared" ref="P2362:P2367" si="446">ROUND((H2362*L2362),2)</f>
        <v>0</v>
      </c>
      <c r="Q2362" s="54">
        <f t="shared" ref="Q2362:Q2367" si="447">ROUND((H2362*M2362),2)</f>
        <v>0</v>
      </c>
      <c r="R2362" s="54">
        <f t="shared" ref="R2362:R2367" si="448">ROUND((H2362*N2362),2)</f>
        <v>0</v>
      </c>
      <c r="S2362" s="54"/>
      <c r="T2362" s="36"/>
      <c r="XDA2362"/>
      <c r="XDB2362"/>
      <c r="XDC2362"/>
      <c r="XDD2362"/>
      <c r="XDE2362"/>
      <c r="XDF2362"/>
      <c r="XDG2362"/>
      <c r="XDH2362"/>
      <c r="XDI2362"/>
      <c r="XDJ2362"/>
      <c r="XDK2362"/>
      <c r="XDL2362"/>
      <c r="XDM2362"/>
      <c r="XDN2362"/>
      <c r="XDO2362"/>
      <c r="XDP2362"/>
      <c r="XDQ2362"/>
      <c r="XDR2362"/>
      <c r="XDS2362"/>
      <c r="XDT2362"/>
      <c r="XDU2362"/>
      <c r="XDV2362"/>
      <c r="XDW2362"/>
      <c r="XDX2362"/>
      <c r="XDY2362"/>
      <c r="XDZ2362"/>
      <c r="XEA2362"/>
      <c r="XEB2362"/>
      <c r="XEC2362"/>
      <c r="XED2362"/>
      <c r="XEE2362"/>
      <c r="XEF2362"/>
      <c r="XEG2362"/>
      <c r="XEH2362"/>
      <c r="XEI2362"/>
      <c r="XEJ2362"/>
      <c r="XEK2362"/>
      <c r="XEL2362"/>
      <c r="XEM2362"/>
      <c r="XEN2362"/>
      <c r="XEO2362"/>
      <c r="XEP2362"/>
      <c r="XEQ2362"/>
      <c r="XER2362"/>
      <c r="XES2362"/>
      <c r="XET2362"/>
      <c r="XEU2362"/>
      <c r="XEV2362"/>
      <c r="XEW2362"/>
      <c r="XEX2362"/>
      <c r="XEY2362"/>
      <c r="XEZ2362"/>
      <c r="XFA2362"/>
      <c r="XFB2362"/>
      <c r="XFC2362"/>
    </row>
    <row r="2363" spans="1:20 16329:16383" s="38" customFormat="1" ht="29.1" customHeight="1" outlineLevel="5" x14ac:dyDescent="0.25">
      <c r="A2363" s="49" t="s">
        <v>4253</v>
      </c>
      <c r="B2363" s="50"/>
      <c r="C2363" s="50"/>
      <c r="D2363" s="3" t="s">
        <v>4254</v>
      </c>
      <c r="E2363" s="3"/>
      <c r="F2363" s="51"/>
      <c r="G2363" s="50" t="s">
        <v>134</v>
      </c>
      <c r="H2363" s="52">
        <f>1</f>
        <v>1</v>
      </c>
      <c r="I2363" s="36"/>
      <c r="J2363" s="52">
        <v>1</v>
      </c>
      <c r="K2363" s="53">
        <f>0</f>
        <v>0</v>
      </c>
      <c r="L2363" s="53">
        <f>0</f>
        <v>0</v>
      </c>
      <c r="M2363" s="53">
        <f>0</f>
        <v>0</v>
      </c>
      <c r="N2363" s="54">
        <f t="shared" si="444"/>
        <v>0</v>
      </c>
      <c r="O2363" s="54">
        <f t="shared" si="445"/>
        <v>0</v>
      </c>
      <c r="P2363" s="54">
        <f t="shared" si="446"/>
        <v>0</v>
      </c>
      <c r="Q2363" s="54">
        <f t="shared" si="447"/>
        <v>0</v>
      </c>
      <c r="R2363" s="54">
        <f t="shared" si="448"/>
        <v>0</v>
      </c>
      <c r="S2363" s="54"/>
      <c r="T2363" s="36"/>
      <c r="XDA2363"/>
      <c r="XDB2363"/>
      <c r="XDC2363"/>
      <c r="XDD2363"/>
      <c r="XDE2363"/>
      <c r="XDF2363"/>
      <c r="XDG2363"/>
      <c r="XDH2363"/>
      <c r="XDI2363"/>
      <c r="XDJ2363"/>
      <c r="XDK2363"/>
      <c r="XDL2363"/>
      <c r="XDM2363"/>
      <c r="XDN2363"/>
      <c r="XDO2363"/>
      <c r="XDP2363"/>
      <c r="XDQ2363"/>
      <c r="XDR2363"/>
      <c r="XDS2363"/>
      <c r="XDT2363"/>
      <c r="XDU2363"/>
      <c r="XDV2363"/>
      <c r="XDW2363"/>
      <c r="XDX2363"/>
      <c r="XDY2363"/>
      <c r="XDZ2363"/>
      <c r="XEA2363"/>
      <c r="XEB2363"/>
      <c r="XEC2363"/>
      <c r="XED2363"/>
      <c r="XEE2363"/>
      <c r="XEF2363"/>
      <c r="XEG2363"/>
      <c r="XEH2363"/>
      <c r="XEI2363"/>
      <c r="XEJ2363"/>
      <c r="XEK2363"/>
      <c r="XEL2363"/>
      <c r="XEM2363"/>
      <c r="XEN2363"/>
      <c r="XEO2363"/>
      <c r="XEP2363"/>
      <c r="XEQ2363"/>
      <c r="XER2363"/>
      <c r="XES2363"/>
      <c r="XET2363"/>
      <c r="XEU2363"/>
      <c r="XEV2363"/>
      <c r="XEW2363"/>
      <c r="XEX2363"/>
      <c r="XEY2363"/>
      <c r="XEZ2363"/>
      <c r="XFA2363"/>
      <c r="XFB2363"/>
      <c r="XFC2363"/>
    </row>
    <row r="2364" spans="1:20 16329:16383" s="38" customFormat="1" ht="29.1" customHeight="1" outlineLevel="5" x14ac:dyDescent="0.25">
      <c r="A2364" s="49" t="s">
        <v>4255</v>
      </c>
      <c r="B2364" s="50"/>
      <c r="C2364" s="50"/>
      <c r="D2364" s="3" t="s">
        <v>4256</v>
      </c>
      <c r="E2364" s="3"/>
      <c r="F2364" s="51"/>
      <c r="G2364" s="50" t="s">
        <v>134</v>
      </c>
      <c r="H2364" s="52">
        <f>1</f>
        <v>1</v>
      </c>
      <c r="I2364" s="36"/>
      <c r="J2364" s="52">
        <v>1</v>
      </c>
      <c r="K2364" s="53">
        <f>0</f>
        <v>0</v>
      </c>
      <c r="L2364" s="53">
        <f>0</f>
        <v>0</v>
      </c>
      <c r="M2364" s="53">
        <f>0</f>
        <v>0</v>
      </c>
      <c r="N2364" s="54">
        <f t="shared" si="444"/>
        <v>0</v>
      </c>
      <c r="O2364" s="54">
        <f t="shared" si="445"/>
        <v>0</v>
      </c>
      <c r="P2364" s="54">
        <f t="shared" si="446"/>
        <v>0</v>
      </c>
      <c r="Q2364" s="54">
        <f t="shared" si="447"/>
        <v>0</v>
      </c>
      <c r="R2364" s="54">
        <f t="shared" si="448"/>
        <v>0</v>
      </c>
      <c r="S2364" s="54"/>
      <c r="T2364" s="36"/>
      <c r="XDA2364"/>
      <c r="XDB2364"/>
      <c r="XDC2364"/>
      <c r="XDD2364"/>
      <c r="XDE2364"/>
      <c r="XDF2364"/>
      <c r="XDG2364"/>
      <c r="XDH2364"/>
      <c r="XDI2364"/>
      <c r="XDJ2364"/>
      <c r="XDK2364"/>
      <c r="XDL2364"/>
      <c r="XDM2364"/>
      <c r="XDN2364"/>
      <c r="XDO2364"/>
      <c r="XDP2364"/>
      <c r="XDQ2364"/>
      <c r="XDR2364"/>
      <c r="XDS2364"/>
      <c r="XDT2364"/>
      <c r="XDU2364"/>
      <c r="XDV2364"/>
      <c r="XDW2364"/>
      <c r="XDX2364"/>
      <c r="XDY2364"/>
      <c r="XDZ2364"/>
      <c r="XEA2364"/>
      <c r="XEB2364"/>
      <c r="XEC2364"/>
      <c r="XED2364"/>
      <c r="XEE2364"/>
      <c r="XEF2364"/>
      <c r="XEG2364"/>
      <c r="XEH2364"/>
      <c r="XEI2364"/>
      <c r="XEJ2364"/>
      <c r="XEK2364"/>
      <c r="XEL2364"/>
      <c r="XEM2364"/>
      <c r="XEN2364"/>
      <c r="XEO2364"/>
      <c r="XEP2364"/>
      <c r="XEQ2364"/>
      <c r="XER2364"/>
      <c r="XES2364"/>
      <c r="XET2364"/>
      <c r="XEU2364"/>
      <c r="XEV2364"/>
      <c r="XEW2364"/>
      <c r="XEX2364"/>
      <c r="XEY2364"/>
      <c r="XEZ2364"/>
      <c r="XFA2364"/>
      <c r="XFB2364"/>
      <c r="XFC2364"/>
    </row>
    <row r="2365" spans="1:20 16329:16383" s="38" customFormat="1" ht="29.1" customHeight="1" outlineLevel="5" x14ac:dyDescent="0.25">
      <c r="A2365" s="49" t="s">
        <v>4257</v>
      </c>
      <c r="B2365" s="50"/>
      <c r="C2365" s="50"/>
      <c r="D2365" s="3" t="s">
        <v>4258</v>
      </c>
      <c r="E2365" s="3"/>
      <c r="F2365" s="51"/>
      <c r="G2365" s="50" t="s">
        <v>134</v>
      </c>
      <c r="H2365" s="52">
        <f>1</f>
        <v>1</v>
      </c>
      <c r="I2365" s="36"/>
      <c r="J2365" s="52">
        <v>1</v>
      </c>
      <c r="K2365" s="53">
        <f>0</f>
        <v>0</v>
      </c>
      <c r="L2365" s="53">
        <f>0</f>
        <v>0</v>
      </c>
      <c r="M2365" s="53">
        <f>0</f>
        <v>0</v>
      </c>
      <c r="N2365" s="54">
        <f t="shared" si="444"/>
        <v>0</v>
      </c>
      <c r="O2365" s="54">
        <f t="shared" si="445"/>
        <v>0</v>
      </c>
      <c r="P2365" s="54">
        <f t="shared" si="446"/>
        <v>0</v>
      </c>
      <c r="Q2365" s="54">
        <f t="shared" si="447"/>
        <v>0</v>
      </c>
      <c r="R2365" s="54">
        <f t="shared" si="448"/>
        <v>0</v>
      </c>
      <c r="S2365" s="54"/>
      <c r="T2365" s="36"/>
      <c r="XDA2365"/>
      <c r="XDB2365"/>
      <c r="XDC2365"/>
      <c r="XDD2365"/>
      <c r="XDE2365"/>
      <c r="XDF2365"/>
      <c r="XDG2365"/>
      <c r="XDH2365"/>
      <c r="XDI2365"/>
      <c r="XDJ2365"/>
      <c r="XDK2365"/>
      <c r="XDL2365"/>
      <c r="XDM2365"/>
      <c r="XDN2365"/>
      <c r="XDO2365"/>
      <c r="XDP2365"/>
      <c r="XDQ2365"/>
      <c r="XDR2365"/>
      <c r="XDS2365"/>
      <c r="XDT2365"/>
      <c r="XDU2365"/>
      <c r="XDV2365"/>
      <c r="XDW2365"/>
      <c r="XDX2365"/>
      <c r="XDY2365"/>
      <c r="XDZ2365"/>
      <c r="XEA2365"/>
      <c r="XEB2365"/>
      <c r="XEC2365"/>
      <c r="XED2365"/>
      <c r="XEE2365"/>
      <c r="XEF2365"/>
      <c r="XEG2365"/>
      <c r="XEH2365"/>
      <c r="XEI2365"/>
      <c r="XEJ2365"/>
      <c r="XEK2365"/>
      <c r="XEL2365"/>
      <c r="XEM2365"/>
      <c r="XEN2365"/>
      <c r="XEO2365"/>
      <c r="XEP2365"/>
      <c r="XEQ2365"/>
      <c r="XER2365"/>
      <c r="XES2365"/>
      <c r="XET2365"/>
      <c r="XEU2365"/>
      <c r="XEV2365"/>
      <c r="XEW2365"/>
      <c r="XEX2365"/>
      <c r="XEY2365"/>
      <c r="XEZ2365"/>
      <c r="XFA2365"/>
      <c r="XFB2365"/>
      <c r="XFC2365"/>
    </row>
    <row r="2366" spans="1:20 16329:16383" s="38" customFormat="1" ht="29.1" customHeight="1" outlineLevel="5" x14ac:dyDescent="0.25">
      <c r="A2366" s="49" t="s">
        <v>4259</v>
      </c>
      <c r="B2366" s="50"/>
      <c r="C2366" s="50"/>
      <c r="D2366" s="3" t="s">
        <v>4260</v>
      </c>
      <c r="E2366" s="3"/>
      <c r="F2366" s="51"/>
      <c r="G2366" s="50" t="s">
        <v>134</v>
      </c>
      <c r="H2366" s="52">
        <f>1</f>
        <v>1</v>
      </c>
      <c r="I2366" s="36"/>
      <c r="J2366" s="52">
        <v>1</v>
      </c>
      <c r="K2366" s="53">
        <f>0</f>
        <v>0</v>
      </c>
      <c r="L2366" s="53">
        <f>0</f>
        <v>0</v>
      </c>
      <c r="M2366" s="53">
        <f>0</f>
        <v>0</v>
      </c>
      <c r="N2366" s="54">
        <f t="shared" si="444"/>
        <v>0</v>
      </c>
      <c r="O2366" s="54">
        <f t="shared" si="445"/>
        <v>0</v>
      </c>
      <c r="P2366" s="54">
        <f t="shared" si="446"/>
        <v>0</v>
      </c>
      <c r="Q2366" s="54">
        <f t="shared" si="447"/>
        <v>0</v>
      </c>
      <c r="R2366" s="54">
        <f t="shared" si="448"/>
        <v>0</v>
      </c>
      <c r="S2366" s="54"/>
      <c r="T2366" s="36"/>
      <c r="XDA2366"/>
      <c r="XDB2366"/>
      <c r="XDC2366"/>
      <c r="XDD2366"/>
      <c r="XDE2366"/>
      <c r="XDF2366"/>
      <c r="XDG2366"/>
      <c r="XDH2366"/>
      <c r="XDI2366"/>
      <c r="XDJ2366"/>
      <c r="XDK2366"/>
      <c r="XDL2366"/>
      <c r="XDM2366"/>
      <c r="XDN2366"/>
      <c r="XDO2366"/>
      <c r="XDP2366"/>
      <c r="XDQ2366"/>
      <c r="XDR2366"/>
      <c r="XDS2366"/>
      <c r="XDT2366"/>
      <c r="XDU2366"/>
      <c r="XDV2366"/>
      <c r="XDW2366"/>
      <c r="XDX2366"/>
      <c r="XDY2366"/>
      <c r="XDZ2366"/>
      <c r="XEA2366"/>
      <c r="XEB2366"/>
      <c r="XEC2366"/>
      <c r="XED2366"/>
      <c r="XEE2366"/>
      <c r="XEF2366"/>
      <c r="XEG2366"/>
      <c r="XEH2366"/>
      <c r="XEI2366"/>
      <c r="XEJ2366"/>
      <c r="XEK2366"/>
      <c r="XEL2366"/>
      <c r="XEM2366"/>
      <c r="XEN2366"/>
      <c r="XEO2366"/>
      <c r="XEP2366"/>
      <c r="XEQ2366"/>
      <c r="XER2366"/>
      <c r="XES2366"/>
      <c r="XET2366"/>
      <c r="XEU2366"/>
      <c r="XEV2366"/>
      <c r="XEW2366"/>
      <c r="XEX2366"/>
      <c r="XEY2366"/>
      <c r="XEZ2366"/>
      <c r="XFA2366"/>
      <c r="XFB2366"/>
      <c r="XFC2366"/>
    </row>
    <row r="2367" spans="1:20 16329:16383" s="38" customFormat="1" ht="29.1" customHeight="1" outlineLevel="5" x14ac:dyDescent="0.25">
      <c r="A2367" s="49" t="s">
        <v>4261</v>
      </c>
      <c r="B2367" s="50"/>
      <c r="C2367" s="50"/>
      <c r="D2367" s="3" t="s">
        <v>4262</v>
      </c>
      <c r="E2367" s="3"/>
      <c r="F2367" s="51"/>
      <c r="G2367" s="50" t="s">
        <v>134</v>
      </c>
      <c r="H2367" s="52">
        <f>1</f>
        <v>1</v>
      </c>
      <c r="I2367" s="36"/>
      <c r="J2367" s="52">
        <v>1</v>
      </c>
      <c r="K2367" s="53">
        <f>0</f>
        <v>0</v>
      </c>
      <c r="L2367" s="53">
        <f>0</f>
        <v>0</v>
      </c>
      <c r="M2367" s="53">
        <f>0</f>
        <v>0</v>
      </c>
      <c r="N2367" s="54">
        <f t="shared" si="444"/>
        <v>0</v>
      </c>
      <c r="O2367" s="54">
        <f t="shared" si="445"/>
        <v>0</v>
      </c>
      <c r="P2367" s="54">
        <f t="shared" si="446"/>
        <v>0</v>
      </c>
      <c r="Q2367" s="54">
        <f t="shared" si="447"/>
        <v>0</v>
      </c>
      <c r="R2367" s="54">
        <f t="shared" si="448"/>
        <v>0</v>
      </c>
      <c r="S2367" s="54"/>
      <c r="T2367" s="36"/>
      <c r="XDA2367"/>
      <c r="XDB2367"/>
      <c r="XDC2367"/>
      <c r="XDD2367"/>
      <c r="XDE2367"/>
      <c r="XDF2367"/>
      <c r="XDG2367"/>
      <c r="XDH2367"/>
      <c r="XDI2367"/>
      <c r="XDJ2367"/>
      <c r="XDK2367"/>
      <c r="XDL2367"/>
      <c r="XDM2367"/>
      <c r="XDN2367"/>
      <c r="XDO2367"/>
      <c r="XDP2367"/>
      <c r="XDQ2367"/>
      <c r="XDR2367"/>
      <c r="XDS2367"/>
      <c r="XDT2367"/>
      <c r="XDU2367"/>
      <c r="XDV2367"/>
      <c r="XDW2367"/>
      <c r="XDX2367"/>
      <c r="XDY2367"/>
      <c r="XDZ2367"/>
      <c r="XEA2367"/>
      <c r="XEB2367"/>
      <c r="XEC2367"/>
      <c r="XED2367"/>
      <c r="XEE2367"/>
      <c r="XEF2367"/>
      <c r="XEG2367"/>
      <c r="XEH2367"/>
      <c r="XEI2367"/>
      <c r="XEJ2367"/>
      <c r="XEK2367"/>
      <c r="XEL2367"/>
      <c r="XEM2367"/>
      <c r="XEN2367"/>
      <c r="XEO2367"/>
      <c r="XEP2367"/>
      <c r="XEQ2367"/>
      <c r="XER2367"/>
      <c r="XES2367"/>
      <c r="XET2367"/>
      <c r="XEU2367"/>
      <c r="XEV2367"/>
      <c r="XEW2367"/>
      <c r="XEX2367"/>
      <c r="XEY2367"/>
      <c r="XEZ2367"/>
      <c r="XFA2367"/>
      <c r="XFB2367"/>
      <c r="XFC2367"/>
    </row>
    <row r="2368" spans="1:20 16329:16383" s="38" customFormat="1" ht="29.1" customHeight="1" outlineLevel="4" x14ac:dyDescent="0.25">
      <c r="A2368" s="60" t="s">
        <v>4263</v>
      </c>
      <c r="B2368" s="61" t="s">
        <v>4264</v>
      </c>
      <c r="C2368" s="61"/>
      <c r="D2368" s="1" t="s">
        <v>4265</v>
      </c>
      <c r="E2368" s="1"/>
      <c r="F2368" s="62"/>
      <c r="G2368" s="61"/>
      <c r="H2368" s="63"/>
      <c r="I2368" s="36"/>
      <c r="J2368" s="63"/>
      <c r="K2368" s="64"/>
      <c r="L2368" s="64"/>
      <c r="M2368" s="64"/>
      <c r="N2368" s="64"/>
      <c r="O2368" s="64">
        <f>O2369</f>
        <v>0</v>
      </c>
      <c r="P2368" s="64">
        <f>P2369</f>
        <v>0</v>
      </c>
      <c r="Q2368" s="64">
        <f>Q2369</f>
        <v>0</v>
      </c>
      <c r="R2368" s="64">
        <f>R2369</f>
        <v>0</v>
      </c>
      <c r="S2368" s="64"/>
      <c r="T2368" s="36"/>
      <c r="XDA2368"/>
      <c r="XDB2368"/>
      <c r="XDC2368"/>
      <c r="XDD2368"/>
      <c r="XDE2368"/>
      <c r="XDF2368"/>
      <c r="XDG2368"/>
      <c r="XDH2368"/>
      <c r="XDI2368"/>
      <c r="XDJ2368"/>
      <c r="XDK2368"/>
      <c r="XDL2368"/>
      <c r="XDM2368"/>
      <c r="XDN2368"/>
      <c r="XDO2368"/>
      <c r="XDP2368"/>
      <c r="XDQ2368"/>
      <c r="XDR2368"/>
      <c r="XDS2368"/>
      <c r="XDT2368"/>
      <c r="XDU2368"/>
      <c r="XDV2368"/>
      <c r="XDW2368"/>
      <c r="XDX2368"/>
      <c r="XDY2368"/>
      <c r="XDZ2368"/>
      <c r="XEA2368"/>
      <c r="XEB2368"/>
      <c r="XEC2368"/>
      <c r="XED2368"/>
      <c r="XEE2368"/>
      <c r="XEF2368"/>
      <c r="XEG2368"/>
      <c r="XEH2368"/>
      <c r="XEI2368"/>
      <c r="XEJ2368"/>
      <c r="XEK2368"/>
      <c r="XEL2368"/>
      <c r="XEM2368"/>
      <c r="XEN2368"/>
      <c r="XEO2368"/>
      <c r="XEP2368"/>
      <c r="XEQ2368"/>
      <c r="XER2368"/>
      <c r="XES2368"/>
      <c r="XET2368"/>
      <c r="XEU2368"/>
      <c r="XEV2368"/>
      <c r="XEW2368"/>
      <c r="XEX2368"/>
      <c r="XEY2368"/>
      <c r="XEZ2368"/>
      <c r="XFA2368"/>
      <c r="XFB2368"/>
      <c r="XFC2368"/>
    </row>
    <row r="2369" spans="1:20 16329:16383" s="38" customFormat="1" ht="29.1" customHeight="1" outlineLevel="5" x14ac:dyDescent="0.25">
      <c r="A2369" s="49" t="s">
        <v>4266</v>
      </c>
      <c r="B2369" s="50"/>
      <c r="C2369" s="50"/>
      <c r="D2369" s="3" t="s">
        <v>4267</v>
      </c>
      <c r="E2369" s="3"/>
      <c r="F2369" s="51"/>
      <c r="G2369" s="50" t="s">
        <v>134</v>
      </c>
      <c r="H2369" s="52">
        <f>1</f>
        <v>1</v>
      </c>
      <c r="I2369" s="36"/>
      <c r="J2369" s="52">
        <v>1</v>
      </c>
      <c r="K2369" s="53">
        <f>0</f>
        <v>0</v>
      </c>
      <c r="L2369" s="53">
        <f>0</f>
        <v>0</v>
      </c>
      <c r="M2369" s="53">
        <f>0</f>
        <v>0</v>
      </c>
      <c r="N2369" s="54">
        <f>SUM(K2369:M2369)</f>
        <v>0</v>
      </c>
      <c r="O2369" s="54">
        <f>ROUND((H2369*K2369),2)</f>
        <v>0</v>
      </c>
      <c r="P2369" s="54">
        <f>ROUND((H2369*L2369),2)</f>
        <v>0</v>
      </c>
      <c r="Q2369" s="54">
        <f>ROUND((H2369*M2369),2)</f>
        <v>0</v>
      </c>
      <c r="R2369" s="54">
        <f>ROUND((H2369*N2369),2)</f>
        <v>0</v>
      </c>
      <c r="S2369" s="54"/>
      <c r="T2369" s="36"/>
      <c r="XDA2369"/>
      <c r="XDB2369"/>
      <c r="XDC2369"/>
      <c r="XDD2369"/>
      <c r="XDE2369"/>
      <c r="XDF2369"/>
      <c r="XDG2369"/>
      <c r="XDH2369"/>
      <c r="XDI2369"/>
      <c r="XDJ2369"/>
      <c r="XDK2369"/>
      <c r="XDL2369"/>
      <c r="XDM2369"/>
      <c r="XDN2369"/>
      <c r="XDO2369"/>
      <c r="XDP2369"/>
      <c r="XDQ2369"/>
      <c r="XDR2369"/>
      <c r="XDS2369"/>
      <c r="XDT2369"/>
      <c r="XDU2369"/>
      <c r="XDV2369"/>
      <c r="XDW2369"/>
      <c r="XDX2369"/>
      <c r="XDY2369"/>
      <c r="XDZ2369"/>
      <c r="XEA2369"/>
      <c r="XEB2369"/>
      <c r="XEC2369"/>
      <c r="XED2369"/>
      <c r="XEE2369"/>
      <c r="XEF2369"/>
      <c r="XEG2369"/>
      <c r="XEH2369"/>
      <c r="XEI2369"/>
      <c r="XEJ2369"/>
      <c r="XEK2369"/>
      <c r="XEL2369"/>
      <c r="XEM2369"/>
      <c r="XEN2369"/>
      <c r="XEO2369"/>
      <c r="XEP2369"/>
      <c r="XEQ2369"/>
      <c r="XER2369"/>
      <c r="XES2369"/>
      <c r="XET2369"/>
      <c r="XEU2369"/>
      <c r="XEV2369"/>
      <c r="XEW2369"/>
      <c r="XEX2369"/>
      <c r="XEY2369"/>
      <c r="XEZ2369"/>
      <c r="XFA2369"/>
      <c r="XFB2369"/>
      <c r="XFC2369"/>
    </row>
    <row r="2370" spans="1:20 16329:16383" s="38" customFormat="1" ht="29.1" customHeight="1" outlineLevel="4" x14ac:dyDescent="0.25">
      <c r="A2370" s="60" t="s">
        <v>4268</v>
      </c>
      <c r="B2370" s="61" t="s">
        <v>4269</v>
      </c>
      <c r="C2370" s="61"/>
      <c r="D2370" s="1" t="s">
        <v>4270</v>
      </c>
      <c r="E2370" s="1"/>
      <c r="F2370" s="62"/>
      <c r="G2370" s="61"/>
      <c r="H2370" s="63"/>
      <c r="I2370" s="36"/>
      <c r="J2370" s="63"/>
      <c r="K2370" s="64"/>
      <c r="L2370" s="64"/>
      <c r="M2370" s="64"/>
      <c r="N2370" s="64"/>
      <c r="O2370" s="64">
        <f>SUM(O2371:O2382)</f>
        <v>0</v>
      </c>
      <c r="P2370" s="64">
        <f>SUM(P2371:P2382)</f>
        <v>0</v>
      </c>
      <c r="Q2370" s="64">
        <f>SUM(Q2371:Q2382)</f>
        <v>0</v>
      </c>
      <c r="R2370" s="64">
        <f>SUM(R2371:R2382)</f>
        <v>0</v>
      </c>
      <c r="S2370" s="64"/>
      <c r="T2370" s="36"/>
      <c r="XDA2370"/>
      <c r="XDB2370"/>
      <c r="XDC2370"/>
      <c r="XDD2370"/>
      <c r="XDE2370"/>
      <c r="XDF2370"/>
      <c r="XDG2370"/>
      <c r="XDH2370"/>
      <c r="XDI2370"/>
      <c r="XDJ2370"/>
      <c r="XDK2370"/>
      <c r="XDL2370"/>
      <c r="XDM2370"/>
      <c r="XDN2370"/>
      <c r="XDO2370"/>
      <c r="XDP2370"/>
      <c r="XDQ2370"/>
      <c r="XDR2370"/>
      <c r="XDS2370"/>
      <c r="XDT2370"/>
      <c r="XDU2370"/>
      <c r="XDV2370"/>
      <c r="XDW2370"/>
      <c r="XDX2370"/>
      <c r="XDY2370"/>
      <c r="XDZ2370"/>
      <c r="XEA2370"/>
      <c r="XEB2370"/>
      <c r="XEC2370"/>
      <c r="XED2370"/>
      <c r="XEE2370"/>
      <c r="XEF2370"/>
      <c r="XEG2370"/>
      <c r="XEH2370"/>
      <c r="XEI2370"/>
      <c r="XEJ2370"/>
      <c r="XEK2370"/>
      <c r="XEL2370"/>
      <c r="XEM2370"/>
      <c r="XEN2370"/>
      <c r="XEO2370"/>
      <c r="XEP2370"/>
      <c r="XEQ2370"/>
      <c r="XER2370"/>
      <c r="XES2370"/>
      <c r="XET2370"/>
      <c r="XEU2370"/>
      <c r="XEV2370"/>
      <c r="XEW2370"/>
      <c r="XEX2370"/>
      <c r="XEY2370"/>
      <c r="XEZ2370"/>
      <c r="XFA2370"/>
      <c r="XFB2370"/>
      <c r="XFC2370"/>
    </row>
    <row r="2371" spans="1:20 16329:16383" s="38" customFormat="1" ht="29.1" customHeight="1" outlineLevel="5" x14ac:dyDescent="0.25">
      <c r="A2371" s="49" t="s">
        <v>4271</v>
      </c>
      <c r="B2371" s="50"/>
      <c r="C2371" s="50"/>
      <c r="D2371" s="3" t="s">
        <v>4272</v>
      </c>
      <c r="E2371" s="3"/>
      <c r="F2371" s="51"/>
      <c r="G2371" s="50" t="s">
        <v>134</v>
      </c>
      <c r="H2371" s="52">
        <f>1</f>
        <v>1</v>
      </c>
      <c r="I2371" s="36"/>
      <c r="J2371" s="52">
        <v>1</v>
      </c>
      <c r="K2371" s="53">
        <f>0</f>
        <v>0</v>
      </c>
      <c r="L2371" s="53">
        <f>0</f>
        <v>0</v>
      </c>
      <c r="M2371" s="53">
        <f>0</f>
        <v>0</v>
      </c>
      <c r="N2371" s="54">
        <f t="shared" ref="N2371:N2382" si="449">SUM(K2371:M2371)</f>
        <v>0</v>
      </c>
      <c r="O2371" s="54">
        <f t="shared" ref="O2371:O2382" si="450">ROUND((H2371*K2371),2)</f>
        <v>0</v>
      </c>
      <c r="P2371" s="54">
        <f t="shared" ref="P2371:P2382" si="451">ROUND((H2371*L2371),2)</f>
        <v>0</v>
      </c>
      <c r="Q2371" s="54">
        <f t="shared" ref="Q2371:Q2382" si="452">ROUND((H2371*M2371),2)</f>
        <v>0</v>
      </c>
      <c r="R2371" s="54">
        <f t="shared" ref="R2371:R2382" si="453">ROUND((H2371*N2371),2)</f>
        <v>0</v>
      </c>
      <c r="S2371" s="54"/>
      <c r="T2371" s="36"/>
      <c r="XDA2371"/>
      <c r="XDB2371"/>
      <c r="XDC2371"/>
      <c r="XDD2371"/>
      <c r="XDE2371"/>
      <c r="XDF2371"/>
      <c r="XDG2371"/>
      <c r="XDH2371"/>
      <c r="XDI2371"/>
      <c r="XDJ2371"/>
      <c r="XDK2371"/>
      <c r="XDL2371"/>
      <c r="XDM2371"/>
      <c r="XDN2371"/>
      <c r="XDO2371"/>
      <c r="XDP2371"/>
      <c r="XDQ2371"/>
      <c r="XDR2371"/>
      <c r="XDS2371"/>
      <c r="XDT2371"/>
      <c r="XDU2371"/>
      <c r="XDV2371"/>
      <c r="XDW2371"/>
      <c r="XDX2371"/>
      <c r="XDY2371"/>
      <c r="XDZ2371"/>
      <c r="XEA2371"/>
      <c r="XEB2371"/>
      <c r="XEC2371"/>
      <c r="XED2371"/>
      <c r="XEE2371"/>
      <c r="XEF2371"/>
      <c r="XEG2371"/>
      <c r="XEH2371"/>
      <c r="XEI2371"/>
      <c r="XEJ2371"/>
      <c r="XEK2371"/>
      <c r="XEL2371"/>
      <c r="XEM2371"/>
      <c r="XEN2371"/>
      <c r="XEO2371"/>
      <c r="XEP2371"/>
      <c r="XEQ2371"/>
      <c r="XER2371"/>
      <c r="XES2371"/>
      <c r="XET2371"/>
      <c r="XEU2371"/>
      <c r="XEV2371"/>
      <c r="XEW2371"/>
      <c r="XEX2371"/>
      <c r="XEY2371"/>
      <c r="XEZ2371"/>
      <c r="XFA2371"/>
      <c r="XFB2371"/>
      <c r="XFC2371"/>
    </row>
    <row r="2372" spans="1:20 16329:16383" s="38" customFormat="1" ht="29.1" customHeight="1" outlineLevel="5" x14ac:dyDescent="0.25">
      <c r="A2372" s="49" t="s">
        <v>4273</v>
      </c>
      <c r="B2372" s="50"/>
      <c r="C2372" s="50"/>
      <c r="D2372" s="3" t="s">
        <v>4274</v>
      </c>
      <c r="E2372" s="3"/>
      <c r="F2372" s="51"/>
      <c r="G2372" s="50" t="s">
        <v>134</v>
      </c>
      <c r="H2372" s="52">
        <f>1</f>
        <v>1</v>
      </c>
      <c r="I2372" s="36"/>
      <c r="J2372" s="52">
        <v>1</v>
      </c>
      <c r="K2372" s="53">
        <f>0</f>
        <v>0</v>
      </c>
      <c r="L2372" s="53">
        <f>0</f>
        <v>0</v>
      </c>
      <c r="M2372" s="53">
        <f>0</f>
        <v>0</v>
      </c>
      <c r="N2372" s="54">
        <f t="shared" si="449"/>
        <v>0</v>
      </c>
      <c r="O2372" s="54">
        <f t="shared" si="450"/>
        <v>0</v>
      </c>
      <c r="P2372" s="54">
        <f t="shared" si="451"/>
        <v>0</v>
      </c>
      <c r="Q2372" s="54">
        <f t="shared" si="452"/>
        <v>0</v>
      </c>
      <c r="R2372" s="54">
        <f t="shared" si="453"/>
        <v>0</v>
      </c>
      <c r="S2372" s="54"/>
      <c r="T2372" s="36"/>
      <c r="XDA2372"/>
      <c r="XDB2372"/>
      <c r="XDC2372"/>
      <c r="XDD2372"/>
      <c r="XDE2372"/>
      <c r="XDF2372"/>
      <c r="XDG2372"/>
      <c r="XDH2372"/>
      <c r="XDI2372"/>
      <c r="XDJ2372"/>
      <c r="XDK2372"/>
      <c r="XDL2372"/>
      <c r="XDM2372"/>
      <c r="XDN2372"/>
      <c r="XDO2372"/>
      <c r="XDP2372"/>
      <c r="XDQ2372"/>
      <c r="XDR2372"/>
      <c r="XDS2372"/>
      <c r="XDT2372"/>
      <c r="XDU2372"/>
      <c r="XDV2372"/>
      <c r="XDW2372"/>
      <c r="XDX2372"/>
      <c r="XDY2372"/>
      <c r="XDZ2372"/>
      <c r="XEA2372"/>
      <c r="XEB2372"/>
      <c r="XEC2372"/>
      <c r="XED2372"/>
      <c r="XEE2372"/>
      <c r="XEF2372"/>
      <c r="XEG2372"/>
      <c r="XEH2372"/>
      <c r="XEI2372"/>
      <c r="XEJ2372"/>
      <c r="XEK2372"/>
      <c r="XEL2372"/>
      <c r="XEM2372"/>
      <c r="XEN2372"/>
      <c r="XEO2372"/>
      <c r="XEP2372"/>
      <c r="XEQ2372"/>
      <c r="XER2372"/>
      <c r="XES2372"/>
      <c r="XET2372"/>
      <c r="XEU2372"/>
      <c r="XEV2372"/>
      <c r="XEW2372"/>
      <c r="XEX2372"/>
      <c r="XEY2372"/>
      <c r="XEZ2372"/>
      <c r="XFA2372"/>
      <c r="XFB2372"/>
      <c r="XFC2372"/>
    </row>
    <row r="2373" spans="1:20 16329:16383" s="38" customFormat="1" ht="29.1" customHeight="1" outlineLevel="5" x14ac:dyDescent="0.25">
      <c r="A2373" s="49" t="s">
        <v>4275</v>
      </c>
      <c r="B2373" s="50"/>
      <c r="C2373" s="50"/>
      <c r="D2373" s="3" t="s">
        <v>4276</v>
      </c>
      <c r="E2373" s="3"/>
      <c r="F2373" s="51"/>
      <c r="G2373" s="50" t="s">
        <v>134</v>
      </c>
      <c r="H2373" s="52">
        <f>1</f>
        <v>1</v>
      </c>
      <c r="I2373" s="36"/>
      <c r="J2373" s="52">
        <v>1</v>
      </c>
      <c r="K2373" s="53">
        <f>0</f>
        <v>0</v>
      </c>
      <c r="L2373" s="53">
        <f>0</f>
        <v>0</v>
      </c>
      <c r="M2373" s="53">
        <f>0</f>
        <v>0</v>
      </c>
      <c r="N2373" s="54">
        <f t="shared" si="449"/>
        <v>0</v>
      </c>
      <c r="O2373" s="54">
        <f t="shared" si="450"/>
        <v>0</v>
      </c>
      <c r="P2373" s="54">
        <f t="shared" si="451"/>
        <v>0</v>
      </c>
      <c r="Q2373" s="54">
        <f t="shared" si="452"/>
        <v>0</v>
      </c>
      <c r="R2373" s="54">
        <f t="shared" si="453"/>
        <v>0</v>
      </c>
      <c r="S2373" s="54"/>
      <c r="T2373" s="36"/>
      <c r="XDA2373"/>
      <c r="XDB2373"/>
      <c r="XDC2373"/>
      <c r="XDD2373"/>
      <c r="XDE2373"/>
      <c r="XDF2373"/>
      <c r="XDG2373"/>
      <c r="XDH2373"/>
      <c r="XDI2373"/>
      <c r="XDJ2373"/>
      <c r="XDK2373"/>
      <c r="XDL2373"/>
      <c r="XDM2373"/>
      <c r="XDN2373"/>
      <c r="XDO2373"/>
      <c r="XDP2373"/>
      <c r="XDQ2373"/>
      <c r="XDR2373"/>
      <c r="XDS2373"/>
      <c r="XDT2373"/>
      <c r="XDU2373"/>
      <c r="XDV2373"/>
      <c r="XDW2373"/>
      <c r="XDX2373"/>
      <c r="XDY2373"/>
      <c r="XDZ2373"/>
      <c r="XEA2373"/>
      <c r="XEB2373"/>
      <c r="XEC2373"/>
      <c r="XED2373"/>
      <c r="XEE2373"/>
      <c r="XEF2373"/>
      <c r="XEG2373"/>
      <c r="XEH2373"/>
      <c r="XEI2373"/>
      <c r="XEJ2373"/>
      <c r="XEK2373"/>
      <c r="XEL2373"/>
      <c r="XEM2373"/>
      <c r="XEN2373"/>
      <c r="XEO2373"/>
      <c r="XEP2373"/>
      <c r="XEQ2373"/>
      <c r="XER2373"/>
      <c r="XES2373"/>
      <c r="XET2373"/>
      <c r="XEU2373"/>
      <c r="XEV2373"/>
      <c r="XEW2373"/>
      <c r="XEX2373"/>
      <c r="XEY2373"/>
      <c r="XEZ2373"/>
      <c r="XFA2373"/>
      <c r="XFB2373"/>
      <c r="XFC2373"/>
    </row>
    <row r="2374" spans="1:20 16329:16383" s="38" customFormat="1" ht="29.1" customHeight="1" outlineLevel="5" x14ac:dyDescent="0.25">
      <c r="A2374" s="49" t="s">
        <v>4277</v>
      </c>
      <c r="B2374" s="50"/>
      <c r="C2374" s="50"/>
      <c r="D2374" s="3" t="s">
        <v>4278</v>
      </c>
      <c r="E2374" s="3"/>
      <c r="F2374" s="51"/>
      <c r="G2374" s="50" t="s">
        <v>134</v>
      </c>
      <c r="H2374" s="52">
        <f>1</f>
        <v>1</v>
      </c>
      <c r="I2374" s="36"/>
      <c r="J2374" s="52">
        <v>1</v>
      </c>
      <c r="K2374" s="53">
        <f>0</f>
        <v>0</v>
      </c>
      <c r="L2374" s="53">
        <f>0</f>
        <v>0</v>
      </c>
      <c r="M2374" s="53">
        <f>0</f>
        <v>0</v>
      </c>
      <c r="N2374" s="54">
        <f t="shared" si="449"/>
        <v>0</v>
      </c>
      <c r="O2374" s="54">
        <f t="shared" si="450"/>
        <v>0</v>
      </c>
      <c r="P2374" s="54">
        <f t="shared" si="451"/>
        <v>0</v>
      </c>
      <c r="Q2374" s="54">
        <f t="shared" si="452"/>
        <v>0</v>
      </c>
      <c r="R2374" s="54">
        <f t="shared" si="453"/>
        <v>0</v>
      </c>
      <c r="S2374" s="54"/>
      <c r="T2374" s="36"/>
      <c r="XDA2374"/>
      <c r="XDB2374"/>
      <c r="XDC2374"/>
      <c r="XDD2374"/>
      <c r="XDE2374"/>
      <c r="XDF2374"/>
      <c r="XDG2374"/>
      <c r="XDH2374"/>
      <c r="XDI2374"/>
      <c r="XDJ2374"/>
      <c r="XDK2374"/>
      <c r="XDL2374"/>
      <c r="XDM2374"/>
      <c r="XDN2374"/>
      <c r="XDO2374"/>
      <c r="XDP2374"/>
      <c r="XDQ2374"/>
      <c r="XDR2374"/>
      <c r="XDS2374"/>
      <c r="XDT2374"/>
      <c r="XDU2374"/>
      <c r="XDV2374"/>
      <c r="XDW2374"/>
      <c r="XDX2374"/>
      <c r="XDY2374"/>
      <c r="XDZ2374"/>
      <c r="XEA2374"/>
      <c r="XEB2374"/>
      <c r="XEC2374"/>
      <c r="XED2374"/>
      <c r="XEE2374"/>
      <c r="XEF2374"/>
      <c r="XEG2374"/>
      <c r="XEH2374"/>
      <c r="XEI2374"/>
      <c r="XEJ2374"/>
      <c r="XEK2374"/>
      <c r="XEL2374"/>
      <c r="XEM2374"/>
      <c r="XEN2374"/>
      <c r="XEO2374"/>
      <c r="XEP2374"/>
      <c r="XEQ2374"/>
      <c r="XER2374"/>
      <c r="XES2374"/>
      <c r="XET2374"/>
      <c r="XEU2374"/>
      <c r="XEV2374"/>
      <c r="XEW2374"/>
      <c r="XEX2374"/>
      <c r="XEY2374"/>
      <c r="XEZ2374"/>
      <c r="XFA2374"/>
      <c r="XFB2374"/>
      <c r="XFC2374"/>
    </row>
    <row r="2375" spans="1:20 16329:16383" s="38" customFormat="1" ht="29.1" customHeight="1" outlineLevel="5" x14ac:dyDescent="0.25">
      <c r="A2375" s="49" t="s">
        <v>4279</v>
      </c>
      <c r="B2375" s="50"/>
      <c r="C2375" s="50"/>
      <c r="D2375" s="3" t="s">
        <v>4280</v>
      </c>
      <c r="E2375" s="3"/>
      <c r="F2375" s="51"/>
      <c r="G2375" s="50" t="s">
        <v>134</v>
      </c>
      <c r="H2375" s="52">
        <f>1</f>
        <v>1</v>
      </c>
      <c r="I2375" s="36"/>
      <c r="J2375" s="52">
        <v>1</v>
      </c>
      <c r="K2375" s="53">
        <f>0</f>
        <v>0</v>
      </c>
      <c r="L2375" s="53">
        <f>0</f>
        <v>0</v>
      </c>
      <c r="M2375" s="53">
        <f>0</f>
        <v>0</v>
      </c>
      <c r="N2375" s="54">
        <f t="shared" si="449"/>
        <v>0</v>
      </c>
      <c r="O2375" s="54">
        <f t="shared" si="450"/>
        <v>0</v>
      </c>
      <c r="P2375" s="54">
        <f t="shared" si="451"/>
        <v>0</v>
      </c>
      <c r="Q2375" s="54">
        <f t="shared" si="452"/>
        <v>0</v>
      </c>
      <c r="R2375" s="54">
        <f t="shared" si="453"/>
        <v>0</v>
      </c>
      <c r="S2375" s="54"/>
      <c r="T2375" s="36"/>
      <c r="XDA2375"/>
      <c r="XDB2375"/>
      <c r="XDC2375"/>
      <c r="XDD2375"/>
      <c r="XDE2375"/>
      <c r="XDF2375"/>
      <c r="XDG2375"/>
      <c r="XDH2375"/>
      <c r="XDI2375"/>
      <c r="XDJ2375"/>
      <c r="XDK2375"/>
      <c r="XDL2375"/>
      <c r="XDM2375"/>
      <c r="XDN2375"/>
      <c r="XDO2375"/>
      <c r="XDP2375"/>
      <c r="XDQ2375"/>
      <c r="XDR2375"/>
      <c r="XDS2375"/>
      <c r="XDT2375"/>
      <c r="XDU2375"/>
      <c r="XDV2375"/>
      <c r="XDW2375"/>
      <c r="XDX2375"/>
      <c r="XDY2375"/>
      <c r="XDZ2375"/>
      <c r="XEA2375"/>
      <c r="XEB2375"/>
      <c r="XEC2375"/>
      <c r="XED2375"/>
      <c r="XEE2375"/>
      <c r="XEF2375"/>
      <c r="XEG2375"/>
      <c r="XEH2375"/>
      <c r="XEI2375"/>
      <c r="XEJ2375"/>
      <c r="XEK2375"/>
      <c r="XEL2375"/>
      <c r="XEM2375"/>
      <c r="XEN2375"/>
      <c r="XEO2375"/>
      <c r="XEP2375"/>
      <c r="XEQ2375"/>
      <c r="XER2375"/>
      <c r="XES2375"/>
      <c r="XET2375"/>
      <c r="XEU2375"/>
      <c r="XEV2375"/>
      <c r="XEW2375"/>
      <c r="XEX2375"/>
      <c r="XEY2375"/>
      <c r="XEZ2375"/>
      <c r="XFA2375"/>
      <c r="XFB2375"/>
      <c r="XFC2375"/>
    </row>
    <row r="2376" spans="1:20 16329:16383" s="38" customFormat="1" ht="29.1" customHeight="1" outlineLevel="5" x14ac:dyDescent="0.25">
      <c r="A2376" s="49" t="s">
        <v>4281</v>
      </c>
      <c r="B2376" s="50"/>
      <c r="C2376" s="50"/>
      <c r="D2376" s="3" t="s">
        <v>4282</v>
      </c>
      <c r="E2376" s="3"/>
      <c r="F2376" s="51"/>
      <c r="G2376" s="50" t="s">
        <v>134</v>
      </c>
      <c r="H2376" s="52">
        <f>1</f>
        <v>1</v>
      </c>
      <c r="I2376" s="36"/>
      <c r="J2376" s="52">
        <v>1</v>
      </c>
      <c r="K2376" s="53">
        <f>0</f>
        <v>0</v>
      </c>
      <c r="L2376" s="53">
        <f>0</f>
        <v>0</v>
      </c>
      <c r="M2376" s="53">
        <f>0</f>
        <v>0</v>
      </c>
      <c r="N2376" s="54">
        <f t="shared" si="449"/>
        <v>0</v>
      </c>
      <c r="O2376" s="54">
        <f t="shared" si="450"/>
        <v>0</v>
      </c>
      <c r="P2376" s="54">
        <f t="shared" si="451"/>
        <v>0</v>
      </c>
      <c r="Q2376" s="54">
        <f t="shared" si="452"/>
        <v>0</v>
      </c>
      <c r="R2376" s="54">
        <f t="shared" si="453"/>
        <v>0</v>
      </c>
      <c r="S2376" s="54"/>
      <c r="T2376" s="36"/>
      <c r="XDA2376"/>
      <c r="XDB2376"/>
      <c r="XDC2376"/>
      <c r="XDD2376"/>
      <c r="XDE2376"/>
      <c r="XDF2376"/>
      <c r="XDG2376"/>
      <c r="XDH2376"/>
      <c r="XDI2376"/>
      <c r="XDJ2376"/>
      <c r="XDK2376"/>
      <c r="XDL2376"/>
      <c r="XDM2376"/>
      <c r="XDN2376"/>
      <c r="XDO2376"/>
      <c r="XDP2376"/>
      <c r="XDQ2376"/>
      <c r="XDR2376"/>
      <c r="XDS2376"/>
      <c r="XDT2376"/>
      <c r="XDU2376"/>
      <c r="XDV2376"/>
      <c r="XDW2376"/>
      <c r="XDX2376"/>
      <c r="XDY2376"/>
      <c r="XDZ2376"/>
      <c r="XEA2376"/>
      <c r="XEB2376"/>
      <c r="XEC2376"/>
      <c r="XED2376"/>
      <c r="XEE2376"/>
      <c r="XEF2376"/>
      <c r="XEG2376"/>
      <c r="XEH2376"/>
      <c r="XEI2376"/>
      <c r="XEJ2376"/>
      <c r="XEK2376"/>
      <c r="XEL2376"/>
      <c r="XEM2376"/>
      <c r="XEN2376"/>
      <c r="XEO2376"/>
      <c r="XEP2376"/>
      <c r="XEQ2376"/>
      <c r="XER2376"/>
      <c r="XES2376"/>
      <c r="XET2376"/>
      <c r="XEU2376"/>
      <c r="XEV2376"/>
      <c r="XEW2376"/>
      <c r="XEX2376"/>
      <c r="XEY2376"/>
      <c r="XEZ2376"/>
      <c r="XFA2376"/>
      <c r="XFB2376"/>
      <c r="XFC2376"/>
    </row>
    <row r="2377" spans="1:20 16329:16383" s="38" customFormat="1" ht="29.1" customHeight="1" outlineLevel="5" x14ac:dyDescent="0.25">
      <c r="A2377" s="49" t="s">
        <v>4283</v>
      </c>
      <c r="B2377" s="50"/>
      <c r="C2377" s="50"/>
      <c r="D2377" s="3" t="s">
        <v>4284</v>
      </c>
      <c r="E2377" s="3"/>
      <c r="F2377" s="51"/>
      <c r="G2377" s="50" t="s">
        <v>134</v>
      </c>
      <c r="H2377" s="52">
        <f>1</f>
        <v>1</v>
      </c>
      <c r="I2377" s="36"/>
      <c r="J2377" s="52">
        <v>1</v>
      </c>
      <c r="K2377" s="53">
        <f>0</f>
        <v>0</v>
      </c>
      <c r="L2377" s="53">
        <f>0</f>
        <v>0</v>
      </c>
      <c r="M2377" s="53">
        <f>0</f>
        <v>0</v>
      </c>
      <c r="N2377" s="54">
        <f t="shared" si="449"/>
        <v>0</v>
      </c>
      <c r="O2377" s="54">
        <f t="shared" si="450"/>
        <v>0</v>
      </c>
      <c r="P2377" s="54">
        <f t="shared" si="451"/>
        <v>0</v>
      </c>
      <c r="Q2377" s="54">
        <f t="shared" si="452"/>
        <v>0</v>
      </c>
      <c r="R2377" s="54">
        <f t="shared" si="453"/>
        <v>0</v>
      </c>
      <c r="S2377" s="54"/>
      <c r="T2377" s="36"/>
      <c r="XDA2377"/>
      <c r="XDB2377"/>
      <c r="XDC2377"/>
      <c r="XDD2377"/>
      <c r="XDE2377"/>
      <c r="XDF2377"/>
      <c r="XDG2377"/>
      <c r="XDH2377"/>
      <c r="XDI2377"/>
      <c r="XDJ2377"/>
      <c r="XDK2377"/>
      <c r="XDL2377"/>
      <c r="XDM2377"/>
      <c r="XDN2377"/>
      <c r="XDO2377"/>
      <c r="XDP2377"/>
      <c r="XDQ2377"/>
      <c r="XDR2377"/>
      <c r="XDS2377"/>
      <c r="XDT2377"/>
      <c r="XDU2377"/>
      <c r="XDV2377"/>
      <c r="XDW2377"/>
      <c r="XDX2377"/>
      <c r="XDY2377"/>
      <c r="XDZ2377"/>
      <c r="XEA2377"/>
      <c r="XEB2377"/>
      <c r="XEC2377"/>
      <c r="XED2377"/>
      <c r="XEE2377"/>
      <c r="XEF2377"/>
      <c r="XEG2377"/>
      <c r="XEH2377"/>
      <c r="XEI2377"/>
      <c r="XEJ2377"/>
      <c r="XEK2377"/>
      <c r="XEL2377"/>
      <c r="XEM2377"/>
      <c r="XEN2377"/>
      <c r="XEO2377"/>
      <c r="XEP2377"/>
      <c r="XEQ2377"/>
      <c r="XER2377"/>
      <c r="XES2377"/>
      <c r="XET2377"/>
      <c r="XEU2377"/>
      <c r="XEV2377"/>
      <c r="XEW2377"/>
      <c r="XEX2377"/>
      <c r="XEY2377"/>
      <c r="XEZ2377"/>
      <c r="XFA2377"/>
      <c r="XFB2377"/>
      <c r="XFC2377"/>
    </row>
    <row r="2378" spans="1:20 16329:16383" s="38" customFormat="1" ht="29.1" customHeight="1" outlineLevel="5" x14ac:dyDescent="0.25">
      <c r="A2378" s="49" t="s">
        <v>4285</v>
      </c>
      <c r="B2378" s="50"/>
      <c r="C2378" s="50"/>
      <c r="D2378" s="3" t="s">
        <v>4286</v>
      </c>
      <c r="E2378" s="3"/>
      <c r="F2378" s="51"/>
      <c r="G2378" s="50" t="s">
        <v>134</v>
      </c>
      <c r="H2378" s="52">
        <f>1</f>
        <v>1</v>
      </c>
      <c r="I2378" s="36"/>
      <c r="J2378" s="52">
        <v>1</v>
      </c>
      <c r="K2378" s="53">
        <f>0</f>
        <v>0</v>
      </c>
      <c r="L2378" s="53">
        <f>0</f>
        <v>0</v>
      </c>
      <c r="M2378" s="53">
        <f>0</f>
        <v>0</v>
      </c>
      <c r="N2378" s="54">
        <f t="shared" si="449"/>
        <v>0</v>
      </c>
      <c r="O2378" s="54">
        <f t="shared" si="450"/>
        <v>0</v>
      </c>
      <c r="P2378" s="54">
        <f t="shared" si="451"/>
        <v>0</v>
      </c>
      <c r="Q2378" s="54">
        <f t="shared" si="452"/>
        <v>0</v>
      </c>
      <c r="R2378" s="54">
        <f t="shared" si="453"/>
        <v>0</v>
      </c>
      <c r="S2378" s="54"/>
      <c r="T2378" s="36"/>
      <c r="XDA2378"/>
      <c r="XDB2378"/>
      <c r="XDC2378"/>
      <c r="XDD2378"/>
      <c r="XDE2378"/>
      <c r="XDF2378"/>
      <c r="XDG2378"/>
      <c r="XDH2378"/>
      <c r="XDI2378"/>
      <c r="XDJ2378"/>
      <c r="XDK2378"/>
      <c r="XDL2378"/>
      <c r="XDM2378"/>
      <c r="XDN2378"/>
      <c r="XDO2378"/>
      <c r="XDP2378"/>
      <c r="XDQ2378"/>
      <c r="XDR2378"/>
      <c r="XDS2378"/>
      <c r="XDT2378"/>
      <c r="XDU2378"/>
      <c r="XDV2378"/>
      <c r="XDW2378"/>
      <c r="XDX2378"/>
      <c r="XDY2378"/>
      <c r="XDZ2378"/>
      <c r="XEA2378"/>
      <c r="XEB2378"/>
      <c r="XEC2378"/>
      <c r="XED2378"/>
      <c r="XEE2378"/>
      <c r="XEF2378"/>
      <c r="XEG2378"/>
      <c r="XEH2378"/>
      <c r="XEI2378"/>
      <c r="XEJ2378"/>
      <c r="XEK2378"/>
      <c r="XEL2378"/>
      <c r="XEM2378"/>
      <c r="XEN2378"/>
      <c r="XEO2378"/>
      <c r="XEP2378"/>
      <c r="XEQ2378"/>
      <c r="XER2378"/>
      <c r="XES2378"/>
      <c r="XET2378"/>
      <c r="XEU2378"/>
      <c r="XEV2378"/>
      <c r="XEW2378"/>
      <c r="XEX2378"/>
      <c r="XEY2378"/>
      <c r="XEZ2378"/>
      <c r="XFA2378"/>
      <c r="XFB2378"/>
      <c r="XFC2378"/>
    </row>
    <row r="2379" spans="1:20 16329:16383" s="38" customFormat="1" ht="29.1" customHeight="1" outlineLevel="5" x14ac:dyDescent="0.25">
      <c r="A2379" s="49" t="s">
        <v>4287</v>
      </c>
      <c r="B2379" s="50"/>
      <c r="C2379" s="50"/>
      <c r="D2379" s="3" t="s">
        <v>4288</v>
      </c>
      <c r="E2379" s="3"/>
      <c r="F2379" s="51"/>
      <c r="G2379" s="50" t="s">
        <v>134</v>
      </c>
      <c r="H2379" s="52">
        <f>1</f>
        <v>1</v>
      </c>
      <c r="I2379" s="36"/>
      <c r="J2379" s="52">
        <v>1</v>
      </c>
      <c r="K2379" s="53">
        <f>0</f>
        <v>0</v>
      </c>
      <c r="L2379" s="53">
        <f>0</f>
        <v>0</v>
      </c>
      <c r="M2379" s="53">
        <f>0</f>
        <v>0</v>
      </c>
      <c r="N2379" s="54">
        <f t="shared" si="449"/>
        <v>0</v>
      </c>
      <c r="O2379" s="54">
        <f t="shared" si="450"/>
        <v>0</v>
      </c>
      <c r="P2379" s="54">
        <f t="shared" si="451"/>
        <v>0</v>
      </c>
      <c r="Q2379" s="54">
        <f t="shared" si="452"/>
        <v>0</v>
      </c>
      <c r="R2379" s="54">
        <f t="shared" si="453"/>
        <v>0</v>
      </c>
      <c r="S2379" s="54"/>
      <c r="T2379" s="36"/>
      <c r="XDA2379"/>
      <c r="XDB2379"/>
      <c r="XDC2379"/>
      <c r="XDD2379"/>
      <c r="XDE2379"/>
      <c r="XDF2379"/>
      <c r="XDG2379"/>
      <c r="XDH2379"/>
      <c r="XDI2379"/>
      <c r="XDJ2379"/>
      <c r="XDK2379"/>
      <c r="XDL2379"/>
      <c r="XDM2379"/>
      <c r="XDN2379"/>
      <c r="XDO2379"/>
      <c r="XDP2379"/>
      <c r="XDQ2379"/>
      <c r="XDR2379"/>
      <c r="XDS2379"/>
      <c r="XDT2379"/>
      <c r="XDU2379"/>
      <c r="XDV2379"/>
      <c r="XDW2379"/>
      <c r="XDX2379"/>
      <c r="XDY2379"/>
      <c r="XDZ2379"/>
      <c r="XEA2379"/>
      <c r="XEB2379"/>
      <c r="XEC2379"/>
      <c r="XED2379"/>
      <c r="XEE2379"/>
      <c r="XEF2379"/>
      <c r="XEG2379"/>
      <c r="XEH2379"/>
      <c r="XEI2379"/>
      <c r="XEJ2379"/>
      <c r="XEK2379"/>
      <c r="XEL2379"/>
      <c r="XEM2379"/>
      <c r="XEN2379"/>
      <c r="XEO2379"/>
      <c r="XEP2379"/>
      <c r="XEQ2379"/>
      <c r="XER2379"/>
      <c r="XES2379"/>
      <c r="XET2379"/>
      <c r="XEU2379"/>
      <c r="XEV2379"/>
      <c r="XEW2379"/>
      <c r="XEX2379"/>
      <c r="XEY2379"/>
      <c r="XEZ2379"/>
      <c r="XFA2379"/>
      <c r="XFB2379"/>
      <c r="XFC2379"/>
    </row>
    <row r="2380" spans="1:20 16329:16383" s="38" customFormat="1" ht="29.1" customHeight="1" outlineLevel="5" x14ac:dyDescent="0.25">
      <c r="A2380" s="49" t="s">
        <v>4289</v>
      </c>
      <c r="B2380" s="50"/>
      <c r="C2380" s="50"/>
      <c r="D2380" s="3" t="s">
        <v>4290</v>
      </c>
      <c r="E2380" s="3"/>
      <c r="F2380" s="51"/>
      <c r="G2380" s="50" t="s">
        <v>134</v>
      </c>
      <c r="H2380" s="52">
        <f>1</f>
        <v>1</v>
      </c>
      <c r="I2380" s="36"/>
      <c r="J2380" s="52">
        <v>1</v>
      </c>
      <c r="K2380" s="53">
        <f>0</f>
        <v>0</v>
      </c>
      <c r="L2380" s="53">
        <f>0</f>
        <v>0</v>
      </c>
      <c r="M2380" s="53">
        <f>0</f>
        <v>0</v>
      </c>
      <c r="N2380" s="54">
        <f t="shared" si="449"/>
        <v>0</v>
      </c>
      <c r="O2380" s="54">
        <f t="shared" si="450"/>
        <v>0</v>
      </c>
      <c r="P2380" s="54">
        <f t="shared" si="451"/>
        <v>0</v>
      </c>
      <c r="Q2380" s="54">
        <f t="shared" si="452"/>
        <v>0</v>
      </c>
      <c r="R2380" s="54">
        <f t="shared" si="453"/>
        <v>0</v>
      </c>
      <c r="S2380" s="54"/>
      <c r="T2380" s="36"/>
      <c r="XDA2380"/>
      <c r="XDB2380"/>
      <c r="XDC2380"/>
      <c r="XDD2380"/>
      <c r="XDE2380"/>
      <c r="XDF2380"/>
      <c r="XDG2380"/>
      <c r="XDH2380"/>
      <c r="XDI2380"/>
      <c r="XDJ2380"/>
      <c r="XDK2380"/>
      <c r="XDL2380"/>
      <c r="XDM2380"/>
      <c r="XDN2380"/>
      <c r="XDO2380"/>
      <c r="XDP2380"/>
      <c r="XDQ2380"/>
      <c r="XDR2380"/>
      <c r="XDS2380"/>
      <c r="XDT2380"/>
      <c r="XDU2380"/>
      <c r="XDV2380"/>
      <c r="XDW2380"/>
      <c r="XDX2380"/>
      <c r="XDY2380"/>
      <c r="XDZ2380"/>
      <c r="XEA2380"/>
      <c r="XEB2380"/>
      <c r="XEC2380"/>
      <c r="XED2380"/>
      <c r="XEE2380"/>
      <c r="XEF2380"/>
      <c r="XEG2380"/>
      <c r="XEH2380"/>
      <c r="XEI2380"/>
      <c r="XEJ2380"/>
      <c r="XEK2380"/>
      <c r="XEL2380"/>
      <c r="XEM2380"/>
      <c r="XEN2380"/>
      <c r="XEO2380"/>
      <c r="XEP2380"/>
      <c r="XEQ2380"/>
      <c r="XER2380"/>
      <c r="XES2380"/>
      <c r="XET2380"/>
      <c r="XEU2380"/>
      <c r="XEV2380"/>
      <c r="XEW2380"/>
      <c r="XEX2380"/>
      <c r="XEY2380"/>
      <c r="XEZ2380"/>
      <c r="XFA2380"/>
      <c r="XFB2380"/>
      <c r="XFC2380"/>
    </row>
    <row r="2381" spans="1:20 16329:16383" s="38" customFormat="1" ht="29.1" customHeight="1" outlineLevel="5" x14ac:dyDescent="0.25">
      <c r="A2381" s="49" t="s">
        <v>4291</v>
      </c>
      <c r="B2381" s="50"/>
      <c r="C2381" s="50"/>
      <c r="D2381" s="3" t="s">
        <v>4292</v>
      </c>
      <c r="E2381" s="3"/>
      <c r="F2381" s="51"/>
      <c r="G2381" s="50" t="s">
        <v>134</v>
      </c>
      <c r="H2381" s="52">
        <f>1</f>
        <v>1</v>
      </c>
      <c r="I2381" s="36"/>
      <c r="J2381" s="52">
        <v>1</v>
      </c>
      <c r="K2381" s="53">
        <f>0</f>
        <v>0</v>
      </c>
      <c r="L2381" s="53">
        <f>0</f>
        <v>0</v>
      </c>
      <c r="M2381" s="53">
        <f>0</f>
        <v>0</v>
      </c>
      <c r="N2381" s="54">
        <f t="shared" si="449"/>
        <v>0</v>
      </c>
      <c r="O2381" s="54">
        <f t="shared" si="450"/>
        <v>0</v>
      </c>
      <c r="P2381" s="54">
        <f t="shared" si="451"/>
        <v>0</v>
      </c>
      <c r="Q2381" s="54">
        <f t="shared" si="452"/>
        <v>0</v>
      </c>
      <c r="R2381" s="54">
        <f t="shared" si="453"/>
        <v>0</v>
      </c>
      <c r="S2381" s="54"/>
      <c r="T2381" s="36"/>
      <c r="XDA2381"/>
      <c r="XDB2381"/>
      <c r="XDC2381"/>
      <c r="XDD2381"/>
      <c r="XDE2381"/>
      <c r="XDF2381"/>
      <c r="XDG2381"/>
      <c r="XDH2381"/>
      <c r="XDI2381"/>
      <c r="XDJ2381"/>
      <c r="XDK2381"/>
      <c r="XDL2381"/>
      <c r="XDM2381"/>
      <c r="XDN2381"/>
      <c r="XDO2381"/>
      <c r="XDP2381"/>
      <c r="XDQ2381"/>
      <c r="XDR2381"/>
      <c r="XDS2381"/>
      <c r="XDT2381"/>
      <c r="XDU2381"/>
      <c r="XDV2381"/>
      <c r="XDW2381"/>
      <c r="XDX2381"/>
      <c r="XDY2381"/>
      <c r="XDZ2381"/>
      <c r="XEA2381"/>
      <c r="XEB2381"/>
      <c r="XEC2381"/>
      <c r="XED2381"/>
      <c r="XEE2381"/>
      <c r="XEF2381"/>
      <c r="XEG2381"/>
      <c r="XEH2381"/>
      <c r="XEI2381"/>
      <c r="XEJ2381"/>
      <c r="XEK2381"/>
      <c r="XEL2381"/>
      <c r="XEM2381"/>
      <c r="XEN2381"/>
      <c r="XEO2381"/>
      <c r="XEP2381"/>
      <c r="XEQ2381"/>
      <c r="XER2381"/>
      <c r="XES2381"/>
      <c r="XET2381"/>
      <c r="XEU2381"/>
      <c r="XEV2381"/>
      <c r="XEW2381"/>
      <c r="XEX2381"/>
      <c r="XEY2381"/>
      <c r="XEZ2381"/>
      <c r="XFA2381"/>
      <c r="XFB2381"/>
      <c r="XFC2381"/>
    </row>
    <row r="2382" spans="1:20 16329:16383" s="38" customFormat="1" ht="29.1" customHeight="1" outlineLevel="5" x14ac:dyDescent="0.25">
      <c r="A2382" s="49" t="s">
        <v>4293</v>
      </c>
      <c r="B2382" s="50"/>
      <c r="C2382" s="50"/>
      <c r="D2382" s="3" t="s">
        <v>4294</v>
      </c>
      <c r="E2382" s="3"/>
      <c r="F2382" s="51"/>
      <c r="G2382" s="50" t="s">
        <v>134</v>
      </c>
      <c r="H2382" s="52">
        <f>1</f>
        <v>1</v>
      </c>
      <c r="I2382" s="36"/>
      <c r="J2382" s="52">
        <v>1</v>
      </c>
      <c r="K2382" s="53">
        <f>0</f>
        <v>0</v>
      </c>
      <c r="L2382" s="53">
        <f>0</f>
        <v>0</v>
      </c>
      <c r="M2382" s="53">
        <f>0</f>
        <v>0</v>
      </c>
      <c r="N2382" s="54">
        <f t="shared" si="449"/>
        <v>0</v>
      </c>
      <c r="O2382" s="54">
        <f t="shared" si="450"/>
        <v>0</v>
      </c>
      <c r="P2382" s="54">
        <f t="shared" si="451"/>
        <v>0</v>
      </c>
      <c r="Q2382" s="54">
        <f t="shared" si="452"/>
        <v>0</v>
      </c>
      <c r="R2382" s="54">
        <f t="shared" si="453"/>
        <v>0</v>
      </c>
      <c r="S2382" s="54"/>
      <c r="T2382" s="36"/>
      <c r="XDA2382"/>
      <c r="XDB2382"/>
      <c r="XDC2382"/>
      <c r="XDD2382"/>
      <c r="XDE2382"/>
      <c r="XDF2382"/>
      <c r="XDG2382"/>
      <c r="XDH2382"/>
      <c r="XDI2382"/>
      <c r="XDJ2382"/>
      <c r="XDK2382"/>
      <c r="XDL2382"/>
      <c r="XDM2382"/>
      <c r="XDN2382"/>
      <c r="XDO2382"/>
      <c r="XDP2382"/>
      <c r="XDQ2382"/>
      <c r="XDR2382"/>
      <c r="XDS2382"/>
      <c r="XDT2382"/>
      <c r="XDU2382"/>
      <c r="XDV2382"/>
      <c r="XDW2382"/>
      <c r="XDX2382"/>
      <c r="XDY2382"/>
      <c r="XDZ2382"/>
      <c r="XEA2382"/>
      <c r="XEB2382"/>
      <c r="XEC2382"/>
      <c r="XED2382"/>
      <c r="XEE2382"/>
      <c r="XEF2382"/>
      <c r="XEG2382"/>
      <c r="XEH2382"/>
      <c r="XEI2382"/>
      <c r="XEJ2382"/>
      <c r="XEK2382"/>
      <c r="XEL2382"/>
      <c r="XEM2382"/>
      <c r="XEN2382"/>
      <c r="XEO2382"/>
      <c r="XEP2382"/>
      <c r="XEQ2382"/>
      <c r="XER2382"/>
      <c r="XES2382"/>
      <c r="XET2382"/>
      <c r="XEU2382"/>
      <c r="XEV2382"/>
      <c r="XEW2382"/>
      <c r="XEX2382"/>
      <c r="XEY2382"/>
      <c r="XEZ2382"/>
      <c r="XFA2382"/>
      <c r="XFB2382"/>
      <c r="XFC2382"/>
    </row>
    <row r="2383" spans="1:20 16329:16383" s="38" customFormat="1" ht="29.1" customHeight="1" outlineLevel="4" x14ac:dyDescent="0.25">
      <c r="A2383" s="60" t="s">
        <v>4295</v>
      </c>
      <c r="B2383" s="61" t="s">
        <v>4296</v>
      </c>
      <c r="C2383" s="61"/>
      <c r="D2383" s="1" t="s">
        <v>4297</v>
      </c>
      <c r="E2383" s="1"/>
      <c r="F2383" s="62"/>
      <c r="G2383" s="61"/>
      <c r="H2383" s="63"/>
      <c r="I2383" s="36"/>
      <c r="J2383" s="63"/>
      <c r="K2383" s="64"/>
      <c r="L2383" s="64"/>
      <c r="M2383" s="64"/>
      <c r="N2383" s="64"/>
      <c r="O2383" s="64">
        <f>O2384+O2385</f>
        <v>0</v>
      </c>
      <c r="P2383" s="64">
        <f>P2384+P2385</f>
        <v>0</v>
      </c>
      <c r="Q2383" s="64">
        <f>Q2384+Q2385</f>
        <v>0</v>
      </c>
      <c r="R2383" s="64">
        <f>R2384+R2385</f>
        <v>0</v>
      </c>
      <c r="S2383" s="64"/>
      <c r="T2383" s="36"/>
      <c r="XDA2383"/>
      <c r="XDB2383"/>
      <c r="XDC2383"/>
      <c r="XDD2383"/>
      <c r="XDE2383"/>
      <c r="XDF2383"/>
      <c r="XDG2383"/>
      <c r="XDH2383"/>
      <c r="XDI2383"/>
      <c r="XDJ2383"/>
      <c r="XDK2383"/>
      <c r="XDL2383"/>
      <c r="XDM2383"/>
      <c r="XDN2383"/>
      <c r="XDO2383"/>
      <c r="XDP2383"/>
      <c r="XDQ2383"/>
      <c r="XDR2383"/>
      <c r="XDS2383"/>
      <c r="XDT2383"/>
      <c r="XDU2383"/>
      <c r="XDV2383"/>
      <c r="XDW2383"/>
      <c r="XDX2383"/>
      <c r="XDY2383"/>
      <c r="XDZ2383"/>
      <c r="XEA2383"/>
      <c r="XEB2383"/>
      <c r="XEC2383"/>
      <c r="XED2383"/>
      <c r="XEE2383"/>
      <c r="XEF2383"/>
      <c r="XEG2383"/>
      <c r="XEH2383"/>
      <c r="XEI2383"/>
      <c r="XEJ2383"/>
      <c r="XEK2383"/>
      <c r="XEL2383"/>
      <c r="XEM2383"/>
      <c r="XEN2383"/>
      <c r="XEO2383"/>
      <c r="XEP2383"/>
      <c r="XEQ2383"/>
      <c r="XER2383"/>
      <c r="XES2383"/>
      <c r="XET2383"/>
      <c r="XEU2383"/>
      <c r="XEV2383"/>
      <c r="XEW2383"/>
      <c r="XEX2383"/>
      <c r="XEY2383"/>
      <c r="XEZ2383"/>
      <c r="XFA2383"/>
      <c r="XFB2383"/>
      <c r="XFC2383"/>
    </row>
    <row r="2384" spans="1:20 16329:16383" s="38" customFormat="1" ht="29.1" customHeight="1" outlineLevel="5" x14ac:dyDescent="0.25">
      <c r="A2384" s="49" t="s">
        <v>4298</v>
      </c>
      <c r="B2384" s="50"/>
      <c r="C2384" s="50"/>
      <c r="D2384" s="3" t="s">
        <v>4299</v>
      </c>
      <c r="E2384" s="3"/>
      <c r="F2384" s="51"/>
      <c r="G2384" s="50" t="s">
        <v>134</v>
      </c>
      <c r="H2384" s="52">
        <f>1</f>
        <v>1</v>
      </c>
      <c r="I2384" s="36"/>
      <c r="J2384" s="52">
        <v>1</v>
      </c>
      <c r="K2384" s="53">
        <f>0</f>
        <v>0</v>
      </c>
      <c r="L2384" s="53">
        <f>0</f>
        <v>0</v>
      </c>
      <c r="M2384" s="53">
        <f>0</f>
        <v>0</v>
      </c>
      <c r="N2384" s="54">
        <f>SUM(K2384:M2384)</f>
        <v>0</v>
      </c>
      <c r="O2384" s="54">
        <f>ROUND((H2384*K2384),2)</f>
        <v>0</v>
      </c>
      <c r="P2384" s="54">
        <f>ROUND((H2384*L2384),2)</f>
        <v>0</v>
      </c>
      <c r="Q2384" s="54">
        <f>ROUND((H2384*M2384),2)</f>
        <v>0</v>
      </c>
      <c r="R2384" s="54">
        <f>ROUND((H2384*N2384),2)</f>
        <v>0</v>
      </c>
      <c r="S2384" s="54"/>
      <c r="T2384" s="36"/>
      <c r="XDA2384"/>
      <c r="XDB2384"/>
      <c r="XDC2384"/>
      <c r="XDD2384"/>
      <c r="XDE2384"/>
      <c r="XDF2384"/>
      <c r="XDG2384"/>
      <c r="XDH2384"/>
      <c r="XDI2384"/>
      <c r="XDJ2384"/>
      <c r="XDK2384"/>
      <c r="XDL2384"/>
      <c r="XDM2384"/>
      <c r="XDN2384"/>
      <c r="XDO2384"/>
      <c r="XDP2384"/>
      <c r="XDQ2384"/>
      <c r="XDR2384"/>
      <c r="XDS2384"/>
      <c r="XDT2384"/>
      <c r="XDU2384"/>
      <c r="XDV2384"/>
      <c r="XDW2384"/>
      <c r="XDX2384"/>
      <c r="XDY2384"/>
      <c r="XDZ2384"/>
      <c r="XEA2384"/>
      <c r="XEB2384"/>
      <c r="XEC2384"/>
      <c r="XED2384"/>
      <c r="XEE2384"/>
      <c r="XEF2384"/>
      <c r="XEG2384"/>
      <c r="XEH2384"/>
      <c r="XEI2384"/>
      <c r="XEJ2384"/>
      <c r="XEK2384"/>
      <c r="XEL2384"/>
      <c r="XEM2384"/>
      <c r="XEN2384"/>
      <c r="XEO2384"/>
      <c r="XEP2384"/>
      <c r="XEQ2384"/>
      <c r="XER2384"/>
      <c r="XES2384"/>
      <c r="XET2384"/>
      <c r="XEU2384"/>
      <c r="XEV2384"/>
      <c r="XEW2384"/>
      <c r="XEX2384"/>
      <c r="XEY2384"/>
      <c r="XEZ2384"/>
      <c r="XFA2384"/>
      <c r="XFB2384"/>
      <c r="XFC2384"/>
    </row>
    <row r="2385" spans="1:20 16329:16383" s="38" customFormat="1" ht="29.1" customHeight="1" outlineLevel="5" x14ac:dyDescent="0.25">
      <c r="A2385" s="49" t="s">
        <v>4300</v>
      </c>
      <c r="B2385" s="50"/>
      <c r="C2385" s="50"/>
      <c r="D2385" s="3" t="s">
        <v>4301</v>
      </c>
      <c r="E2385" s="3"/>
      <c r="F2385" s="51"/>
      <c r="G2385" s="50" t="s">
        <v>134</v>
      </c>
      <c r="H2385" s="52">
        <f>1</f>
        <v>1</v>
      </c>
      <c r="I2385" s="36"/>
      <c r="J2385" s="52">
        <v>1</v>
      </c>
      <c r="K2385" s="53">
        <f>0</f>
        <v>0</v>
      </c>
      <c r="L2385" s="53">
        <f>0</f>
        <v>0</v>
      </c>
      <c r="M2385" s="53">
        <f>0</f>
        <v>0</v>
      </c>
      <c r="N2385" s="54">
        <f>SUM(K2385:M2385)</f>
        <v>0</v>
      </c>
      <c r="O2385" s="54">
        <f>ROUND((H2385*K2385),2)</f>
        <v>0</v>
      </c>
      <c r="P2385" s="54">
        <f>ROUND((H2385*L2385),2)</f>
        <v>0</v>
      </c>
      <c r="Q2385" s="54">
        <f>ROUND((H2385*M2385),2)</f>
        <v>0</v>
      </c>
      <c r="R2385" s="54">
        <f>ROUND((H2385*N2385),2)</f>
        <v>0</v>
      </c>
      <c r="S2385" s="54"/>
      <c r="T2385" s="36"/>
      <c r="XDA2385"/>
      <c r="XDB2385"/>
      <c r="XDC2385"/>
      <c r="XDD2385"/>
      <c r="XDE2385"/>
      <c r="XDF2385"/>
      <c r="XDG2385"/>
      <c r="XDH2385"/>
      <c r="XDI2385"/>
      <c r="XDJ2385"/>
      <c r="XDK2385"/>
      <c r="XDL2385"/>
      <c r="XDM2385"/>
      <c r="XDN2385"/>
      <c r="XDO2385"/>
      <c r="XDP2385"/>
      <c r="XDQ2385"/>
      <c r="XDR2385"/>
      <c r="XDS2385"/>
      <c r="XDT2385"/>
      <c r="XDU2385"/>
      <c r="XDV2385"/>
      <c r="XDW2385"/>
      <c r="XDX2385"/>
      <c r="XDY2385"/>
      <c r="XDZ2385"/>
      <c r="XEA2385"/>
      <c r="XEB2385"/>
      <c r="XEC2385"/>
      <c r="XED2385"/>
      <c r="XEE2385"/>
      <c r="XEF2385"/>
      <c r="XEG2385"/>
      <c r="XEH2385"/>
      <c r="XEI2385"/>
      <c r="XEJ2385"/>
      <c r="XEK2385"/>
      <c r="XEL2385"/>
      <c r="XEM2385"/>
      <c r="XEN2385"/>
      <c r="XEO2385"/>
      <c r="XEP2385"/>
      <c r="XEQ2385"/>
      <c r="XER2385"/>
      <c r="XES2385"/>
      <c r="XET2385"/>
      <c r="XEU2385"/>
      <c r="XEV2385"/>
      <c r="XEW2385"/>
      <c r="XEX2385"/>
      <c r="XEY2385"/>
      <c r="XEZ2385"/>
      <c r="XFA2385"/>
      <c r="XFB2385"/>
      <c r="XFC2385"/>
    </row>
    <row r="2386" spans="1:20 16329:16383" s="38" customFormat="1" ht="29.1" customHeight="1" outlineLevel="4" x14ac:dyDescent="0.25">
      <c r="A2386" s="60" t="s">
        <v>4302</v>
      </c>
      <c r="B2386" s="61" t="s">
        <v>4303</v>
      </c>
      <c r="C2386" s="61"/>
      <c r="D2386" s="1" t="s">
        <v>4304</v>
      </c>
      <c r="E2386" s="1"/>
      <c r="F2386" s="62"/>
      <c r="G2386" s="61"/>
      <c r="H2386" s="63"/>
      <c r="I2386" s="36"/>
      <c r="J2386" s="63"/>
      <c r="K2386" s="64"/>
      <c r="L2386" s="64"/>
      <c r="M2386" s="64"/>
      <c r="N2386" s="64"/>
      <c r="O2386" s="64">
        <f>O2387+O2388</f>
        <v>0</v>
      </c>
      <c r="P2386" s="64">
        <f>P2387+P2388</f>
        <v>0</v>
      </c>
      <c r="Q2386" s="64">
        <f>Q2387+Q2388</f>
        <v>0</v>
      </c>
      <c r="R2386" s="64">
        <f>R2387+R2388</f>
        <v>0</v>
      </c>
      <c r="S2386" s="64"/>
      <c r="T2386" s="36"/>
      <c r="XDA2386"/>
      <c r="XDB2386"/>
      <c r="XDC2386"/>
      <c r="XDD2386"/>
      <c r="XDE2386"/>
      <c r="XDF2386"/>
      <c r="XDG2386"/>
      <c r="XDH2386"/>
      <c r="XDI2386"/>
      <c r="XDJ2386"/>
      <c r="XDK2386"/>
      <c r="XDL2386"/>
      <c r="XDM2386"/>
      <c r="XDN2386"/>
      <c r="XDO2386"/>
      <c r="XDP2386"/>
      <c r="XDQ2386"/>
      <c r="XDR2386"/>
      <c r="XDS2386"/>
      <c r="XDT2386"/>
      <c r="XDU2386"/>
      <c r="XDV2386"/>
      <c r="XDW2386"/>
      <c r="XDX2386"/>
      <c r="XDY2386"/>
      <c r="XDZ2386"/>
      <c r="XEA2386"/>
      <c r="XEB2386"/>
      <c r="XEC2386"/>
      <c r="XED2386"/>
      <c r="XEE2386"/>
      <c r="XEF2386"/>
      <c r="XEG2386"/>
      <c r="XEH2386"/>
      <c r="XEI2386"/>
      <c r="XEJ2386"/>
      <c r="XEK2386"/>
      <c r="XEL2386"/>
      <c r="XEM2386"/>
      <c r="XEN2386"/>
      <c r="XEO2386"/>
      <c r="XEP2386"/>
      <c r="XEQ2386"/>
      <c r="XER2386"/>
      <c r="XES2386"/>
      <c r="XET2386"/>
      <c r="XEU2386"/>
      <c r="XEV2386"/>
      <c r="XEW2386"/>
      <c r="XEX2386"/>
      <c r="XEY2386"/>
      <c r="XEZ2386"/>
      <c r="XFA2386"/>
      <c r="XFB2386"/>
      <c r="XFC2386"/>
    </row>
    <row r="2387" spans="1:20 16329:16383" s="38" customFormat="1" ht="29.1" customHeight="1" outlineLevel="5" x14ac:dyDescent="0.25">
      <c r="A2387" s="49" t="s">
        <v>4305</v>
      </c>
      <c r="B2387" s="50"/>
      <c r="C2387" s="50"/>
      <c r="D2387" s="3" t="s">
        <v>4306</v>
      </c>
      <c r="E2387" s="3"/>
      <c r="F2387" s="51"/>
      <c r="G2387" s="50" t="s">
        <v>134</v>
      </c>
      <c r="H2387" s="52">
        <f>1</f>
        <v>1</v>
      </c>
      <c r="I2387" s="36"/>
      <c r="J2387" s="52">
        <v>1</v>
      </c>
      <c r="K2387" s="53">
        <f>0</f>
        <v>0</v>
      </c>
      <c r="L2387" s="53">
        <f>0</f>
        <v>0</v>
      </c>
      <c r="M2387" s="53">
        <f>0</f>
        <v>0</v>
      </c>
      <c r="N2387" s="54">
        <f>SUM(K2387:M2387)</f>
        <v>0</v>
      </c>
      <c r="O2387" s="54">
        <f>ROUND((H2387*K2387),2)</f>
        <v>0</v>
      </c>
      <c r="P2387" s="54">
        <f>ROUND((H2387*L2387),2)</f>
        <v>0</v>
      </c>
      <c r="Q2387" s="54">
        <f>ROUND((H2387*M2387),2)</f>
        <v>0</v>
      </c>
      <c r="R2387" s="54">
        <f>ROUND((H2387*N2387),2)</f>
        <v>0</v>
      </c>
      <c r="S2387" s="54"/>
      <c r="T2387" s="36"/>
      <c r="XDA2387"/>
      <c r="XDB2387"/>
      <c r="XDC2387"/>
      <c r="XDD2387"/>
      <c r="XDE2387"/>
      <c r="XDF2387"/>
      <c r="XDG2387"/>
      <c r="XDH2387"/>
      <c r="XDI2387"/>
      <c r="XDJ2387"/>
      <c r="XDK2387"/>
      <c r="XDL2387"/>
      <c r="XDM2387"/>
      <c r="XDN2387"/>
      <c r="XDO2387"/>
      <c r="XDP2387"/>
      <c r="XDQ2387"/>
      <c r="XDR2387"/>
      <c r="XDS2387"/>
      <c r="XDT2387"/>
      <c r="XDU2387"/>
      <c r="XDV2387"/>
      <c r="XDW2387"/>
      <c r="XDX2387"/>
      <c r="XDY2387"/>
      <c r="XDZ2387"/>
      <c r="XEA2387"/>
      <c r="XEB2387"/>
      <c r="XEC2387"/>
      <c r="XED2387"/>
      <c r="XEE2387"/>
      <c r="XEF2387"/>
      <c r="XEG2387"/>
      <c r="XEH2387"/>
      <c r="XEI2387"/>
      <c r="XEJ2387"/>
      <c r="XEK2387"/>
      <c r="XEL2387"/>
      <c r="XEM2387"/>
      <c r="XEN2387"/>
      <c r="XEO2387"/>
      <c r="XEP2387"/>
      <c r="XEQ2387"/>
      <c r="XER2387"/>
      <c r="XES2387"/>
      <c r="XET2387"/>
      <c r="XEU2387"/>
      <c r="XEV2387"/>
      <c r="XEW2387"/>
      <c r="XEX2387"/>
      <c r="XEY2387"/>
      <c r="XEZ2387"/>
      <c r="XFA2387"/>
      <c r="XFB2387"/>
      <c r="XFC2387"/>
    </row>
    <row r="2388" spans="1:20 16329:16383" s="38" customFormat="1" ht="29.1" customHeight="1" outlineLevel="5" x14ac:dyDescent="0.25">
      <c r="A2388" s="49" t="s">
        <v>4307</v>
      </c>
      <c r="B2388" s="50"/>
      <c r="C2388" s="50"/>
      <c r="D2388" s="3" t="s">
        <v>4308</v>
      </c>
      <c r="E2388" s="3"/>
      <c r="F2388" s="51"/>
      <c r="G2388" s="50" t="s">
        <v>134</v>
      </c>
      <c r="H2388" s="52">
        <f>1</f>
        <v>1</v>
      </c>
      <c r="I2388" s="36"/>
      <c r="J2388" s="52">
        <v>1</v>
      </c>
      <c r="K2388" s="53">
        <f>0</f>
        <v>0</v>
      </c>
      <c r="L2388" s="53">
        <f>0</f>
        <v>0</v>
      </c>
      <c r="M2388" s="53">
        <f>0</f>
        <v>0</v>
      </c>
      <c r="N2388" s="54">
        <f>SUM(K2388:M2388)</f>
        <v>0</v>
      </c>
      <c r="O2388" s="54">
        <f>ROUND((H2388*K2388),2)</f>
        <v>0</v>
      </c>
      <c r="P2388" s="54">
        <f>ROUND((H2388*L2388),2)</f>
        <v>0</v>
      </c>
      <c r="Q2388" s="54">
        <f>ROUND((H2388*M2388),2)</f>
        <v>0</v>
      </c>
      <c r="R2388" s="54">
        <f>ROUND((H2388*N2388),2)</f>
        <v>0</v>
      </c>
      <c r="S2388" s="54"/>
      <c r="T2388" s="36"/>
      <c r="XDA2388"/>
      <c r="XDB2388"/>
      <c r="XDC2388"/>
      <c r="XDD2388"/>
      <c r="XDE2388"/>
      <c r="XDF2388"/>
      <c r="XDG2388"/>
      <c r="XDH2388"/>
      <c r="XDI2388"/>
      <c r="XDJ2388"/>
      <c r="XDK2388"/>
      <c r="XDL2388"/>
      <c r="XDM2388"/>
      <c r="XDN2388"/>
      <c r="XDO2388"/>
      <c r="XDP2388"/>
      <c r="XDQ2388"/>
      <c r="XDR2388"/>
      <c r="XDS2388"/>
      <c r="XDT2388"/>
      <c r="XDU2388"/>
      <c r="XDV2388"/>
      <c r="XDW2388"/>
      <c r="XDX2388"/>
      <c r="XDY2388"/>
      <c r="XDZ2388"/>
      <c r="XEA2388"/>
      <c r="XEB2388"/>
      <c r="XEC2388"/>
      <c r="XED2388"/>
      <c r="XEE2388"/>
      <c r="XEF2388"/>
      <c r="XEG2388"/>
      <c r="XEH2388"/>
      <c r="XEI2388"/>
      <c r="XEJ2388"/>
      <c r="XEK2388"/>
      <c r="XEL2388"/>
      <c r="XEM2388"/>
      <c r="XEN2388"/>
      <c r="XEO2388"/>
      <c r="XEP2388"/>
      <c r="XEQ2388"/>
      <c r="XER2388"/>
      <c r="XES2388"/>
      <c r="XET2388"/>
      <c r="XEU2388"/>
      <c r="XEV2388"/>
      <c r="XEW2388"/>
      <c r="XEX2388"/>
      <c r="XEY2388"/>
      <c r="XEZ2388"/>
      <c r="XFA2388"/>
      <c r="XFB2388"/>
      <c r="XFC2388"/>
    </row>
    <row r="2389" spans="1:20 16329:16383" s="38" customFormat="1" ht="29.1" customHeight="1" outlineLevel="4" x14ac:dyDescent="0.25">
      <c r="A2389" s="60" t="s">
        <v>4309</v>
      </c>
      <c r="B2389" s="61" t="s">
        <v>4310</v>
      </c>
      <c r="C2389" s="61"/>
      <c r="D2389" s="1" t="s">
        <v>4311</v>
      </c>
      <c r="E2389" s="1"/>
      <c r="F2389" s="62"/>
      <c r="G2389" s="61"/>
      <c r="H2389" s="63"/>
      <c r="I2389" s="36"/>
      <c r="J2389" s="63"/>
      <c r="K2389" s="64"/>
      <c r="L2389" s="64"/>
      <c r="M2389" s="64"/>
      <c r="N2389" s="64"/>
      <c r="O2389" s="64">
        <f>SUM(O2390:O2394)</f>
        <v>0</v>
      </c>
      <c r="P2389" s="64">
        <f>SUM(P2390:P2394)</f>
        <v>0</v>
      </c>
      <c r="Q2389" s="64">
        <f>SUM(Q2390:Q2394)</f>
        <v>0</v>
      </c>
      <c r="R2389" s="64">
        <f>SUM(R2390:R2394)</f>
        <v>0</v>
      </c>
      <c r="S2389" s="64"/>
      <c r="T2389" s="36"/>
      <c r="XDA2389"/>
      <c r="XDB2389"/>
      <c r="XDC2389"/>
      <c r="XDD2389"/>
      <c r="XDE2389"/>
      <c r="XDF2389"/>
      <c r="XDG2389"/>
      <c r="XDH2389"/>
      <c r="XDI2389"/>
      <c r="XDJ2389"/>
      <c r="XDK2389"/>
      <c r="XDL2389"/>
      <c r="XDM2389"/>
      <c r="XDN2389"/>
      <c r="XDO2389"/>
      <c r="XDP2389"/>
      <c r="XDQ2389"/>
      <c r="XDR2389"/>
      <c r="XDS2389"/>
      <c r="XDT2389"/>
      <c r="XDU2389"/>
      <c r="XDV2389"/>
      <c r="XDW2389"/>
      <c r="XDX2389"/>
      <c r="XDY2389"/>
      <c r="XDZ2389"/>
      <c r="XEA2389"/>
      <c r="XEB2389"/>
      <c r="XEC2389"/>
      <c r="XED2389"/>
      <c r="XEE2389"/>
      <c r="XEF2389"/>
      <c r="XEG2389"/>
      <c r="XEH2389"/>
      <c r="XEI2389"/>
      <c r="XEJ2389"/>
      <c r="XEK2389"/>
      <c r="XEL2389"/>
      <c r="XEM2389"/>
      <c r="XEN2389"/>
      <c r="XEO2389"/>
      <c r="XEP2389"/>
      <c r="XEQ2389"/>
      <c r="XER2389"/>
      <c r="XES2389"/>
      <c r="XET2389"/>
      <c r="XEU2389"/>
      <c r="XEV2389"/>
      <c r="XEW2389"/>
      <c r="XEX2389"/>
      <c r="XEY2389"/>
      <c r="XEZ2389"/>
      <c r="XFA2389"/>
      <c r="XFB2389"/>
      <c r="XFC2389"/>
    </row>
    <row r="2390" spans="1:20 16329:16383" s="38" customFormat="1" ht="29.1" customHeight="1" outlineLevel="5" x14ac:dyDescent="0.25">
      <c r="A2390" s="49" t="s">
        <v>4312</v>
      </c>
      <c r="B2390" s="50"/>
      <c r="C2390" s="50"/>
      <c r="D2390" s="3" t="s">
        <v>4313</v>
      </c>
      <c r="E2390" s="3"/>
      <c r="F2390" s="51"/>
      <c r="G2390" s="50" t="s">
        <v>134</v>
      </c>
      <c r="H2390" s="52">
        <f>1</f>
        <v>1</v>
      </c>
      <c r="I2390" s="36"/>
      <c r="J2390" s="52">
        <v>1</v>
      </c>
      <c r="K2390" s="53">
        <f>0</f>
        <v>0</v>
      </c>
      <c r="L2390" s="53">
        <f>0</f>
        <v>0</v>
      </c>
      <c r="M2390" s="53">
        <f>0</f>
        <v>0</v>
      </c>
      <c r="N2390" s="54">
        <f>SUM(K2390:M2390)</f>
        <v>0</v>
      </c>
      <c r="O2390" s="54">
        <f>ROUND((H2390*K2390),2)</f>
        <v>0</v>
      </c>
      <c r="P2390" s="54">
        <f>ROUND((H2390*L2390),2)</f>
        <v>0</v>
      </c>
      <c r="Q2390" s="54">
        <f>ROUND((H2390*M2390),2)</f>
        <v>0</v>
      </c>
      <c r="R2390" s="54">
        <f>ROUND((H2390*N2390),2)</f>
        <v>0</v>
      </c>
      <c r="S2390" s="54"/>
      <c r="T2390" s="36"/>
      <c r="XDA2390"/>
      <c r="XDB2390"/>
      <c r="XDC2390"/>
      <c r="XDD2390"/>
      <c r="XDE2390"/>
      <c r="XDF2390"/>
      <c r="XDG2390"/>
      <c r="XDH2390"/>
      <c r="XDI2390"/>
      <c r="XDJ2390"/>
      <c r="XDK2390"/>
      <c r="XDL2390"/>
      <c r="XDM2390"/>
      <c r="XDN2390"/>
      <c r="XDO2390"/>
      <c r="XDP2390"/>
      <c r="XDQ2390"/>
      <c r="XDR2390"/>
      <c r="XDS2390"/>
      <c r="XDT2390"/>
      <c r="XDU2390"/>
      <c r="XDV2390"/>
      <c r="XDW2390"/>
      <c r="XDX2390"/>
      <c r="XDY2390"/>
      <c r="XDZ2390"/>
      <c r="XEA2390"/>
      <c r="XEB2390"/>
      <c r="XEC2390"/>
      <c r="XED2390"/>
      <c r="XEE2390"/>
      <c r="XEF2390"/>
      <c r="XEG2390"/>
      <c r="XEH2390"/>
      <c r="XEI2390"/>
      <c r="XEJ2390"/>
      <c r="XEK2390"/>
      <c r="XEL2390"/>
      <c r="XEM2390"/>
      <c r="XEN2390"/>
      <c r="XEO2390"/>
      <c r="XEP2390"/>
      <c r="XEQ2390"/>
      <c r="XER2390"/>
      <c r="XES2390"/>
      <c r="XET2390"/>
      <c r="XEU2390"/>
      <c r="XEV2390"/>
      <c r="XEW2390"/>
      <c r="XEX2390"/>
      <c r="XEY2390"/>
      <c r="XEZ2390"/>
      <c r="XFA2390"/>
      <c r="XFB2390"/>
      <c r="XFC2390"/>
    </row>
    <row r="2391" spans="1:20 16329:16383" s="38" customFormat="1" ht="29.1" customHeight="1" outlineLevel="5" x14ac:dyDescent="0.25">
      <c r="A2391" s="49" t="s">
        <v>4314</v>
      </c>
      <c r="B2391" s="50"/>
      <c r="C2391" s="50"/>
      <c r="D2391" s="3" t="s">
        <v>4301</v>
      </c>
      <c r="E2391" s="3"/>
      <c r="F2391" s="51"/>
      <c r="G2391" s="50" t="s">
        <v>134</v>
      </c>
      <c r="H2391" s="52">
        <f>1</f>
        <v>1</v>
      </c>
      <c r="I2391" s="36"/>
      <c r="J2391" s="52">
        <v>1</v>
      </c>
      <c r="K2391" s="53">
        <f>0</f>
        <v>0</v>
      </c>
      <c r="L2391" s="53">
        <f>0</f>
        <v>0</v>
      </c>
      <c r="M2391" s="53">
        <f>0</f>
        <v>0</v>
      </c>
      <c r="N2391" s="54">
        <f>SUM(K2391:M2391)</f>
        <v>0</v>
      </c>
      <c r="O2391" s="54">
        <f>ROUND((H2391*K2391),2)</f>
        <v>0</v>
      </c>
      <c r="P2391" s="54">
        <f>ROUND((H2391*L2391),2)</f>
        <v>0</v>
      </c>
      <c r="Q2391" s="54">
        <f>ROUND((H2391*M2391),2)</f>
        <v>0</v>
      </c>
      <c r="R2391" s="54">
        <f>ROUND((H2391*N2391),2)</f>
        <v>0</v>
      </c>
      <c r="S2391" s="54"/>
      <c r="T2391" s="36"/>
      <c r="XDA2391"/>
      <c r="XDB2391"/>
      <c r="XDC2391"/>
      <c r="XDD2391"/>
      <c r="XDE2391"/>
      <c r="XDF2391"/>
      <c r="XDG2391"/>
      <c r="XDH2391"/>
      <c r="XDI2391"/>
      <c r="XDJ2391"/>
      <c r="XDK2391"/>
      <c r="XDL2391"/>
      <c r="XDM2391"/>
      <c r="XDN2391"/>
      <c r="XDO2391"/>
      <c r="XDP2391"/>
      <c r="XDQ2391"/>
      <c r="XDR2391"/>
      <c r="XDS2391"/>
      <c r="XDT2391"/>
      <c r="XDU2391"/>
      <c r="XDV2391"/>
      <c r="XDW2391"/>
      <c r="XDX2391"/>
      <c r="XDY2391"/>
      <c r="XDZ2391"/>
      <c r="XEA2391"/>
      <c r="XEB2391"/>
      <c r="XEC2391"/>
      <c r="XED2391"/>
      <c r="XEE2391"/>
      <c r="XEF2391"/>
      <c r="XEG2391"/>
      <c r="XEH2391"/>
      <c r="XEI2391"/>
      <c r="XEJ2391"/>
      <c r="XEK2391"/>
      <c r="XEL2391"/>
      <c r="XEM2391"/>
      <c r="XEN2391"/>
      <c r="XEO2391"/>
      <c r="XEP2391"/>
      <c r="XEQ2391"/>
      <c r="XER2391"/>
      <c r="XES2391"/>
      <c r="XET2391"/>
      <c r="XEU2391"/>
      <c r="XEV2391"/>
      <c r="XEW2391"/>
      <c r="XEX2391"/>
      <c r="XEY2391"/>
      <c r="XEZ2391"/>
      <c r="XFA2391"/>
      <c r="XFB2391"/>
      <c r="XFC2391"/>
    </row>
    <row r="2392" spans="1:20 16329:16383" s="38" customFormat="1" ht="29.1" customHeight="1" outlineLevel="5" x14ac:dyDescent="0.25">
      <c r="A2392" s="49" t="s">
        <v>4315</v>
      </c>
      <c r="B2392" s="50"/>
      <c r="C2392" s="50"/>
      <c r="D2392" s="3" t="s">
        <v>4316</v>
      </c>
      <c r="E2392" s="3"/>
      <c r="F2392" s="51"/>
      <c r="G2392" s="50" t="s">
        <v>134</v>
      </c>
      <c r="H2392" s="52">
        <f>1</f>
        <v>1</v>
      </c>
      <c r="I2392" s="36"/>
      <c r="J2392" s="52">
        <v>1</v>
      </c>
      <c r="K2392" s="53">
        <f>0</f>
        <v>0</v>
      </c>
      <c r="L2392" s="53">
        <f>0</f>
        <v>0</v>
      </c>
      <c r="M2392" s="53">
        <f>0</f>
        <v>0</v>
      </c>
      <c r="N2392" s="54">
        <f>SUM(K2392:M2392)</f>
        <v>0</v>
      </c>
      <c r="O2392" s="54">
        <f>ROUND((H2392*K2392),2)</f>
        <v>0</v>
      </c>
      <c r="P2392" s="54">
        <f>ROUND((H2392*L2392),2)</f>
        <v>0</v>
      </c>
      <c r="Q2392" s="54">
        <f>ROUND((H2392*M2392),2)</f>
        <v>0</v>
      </c>
      <c r="R2392" s="54">
        <f>ROUND((H2392*N2392),2)</f>
        <v>0</v>
      </c>
      <c r="S2392" s="54"/>
      <c r="T2392" s="36"/>
      <c r="XDA2392"/>
      <c r="XDB2392"/>
      <c r="XDC2392"/>
      <c r="XDD2392"/>
      <c r="XDE2392"/>
      <c r="XDF2392"/>
      <c r="XDG2392"/>
      <c r="XDH2392"/>
      <c r="XDI2392"/>
      <c r="XDJ2392"/>
      <c r="XDK2392"/>
      <c r="XDL2392"/>
      <c r="XDM2392"/>
      <c r="XDN2392"/>
      <c r="XDO2392"/>
      <c r="XDP2392"/>
      <c r="XDQ2392"/>
      <c r="XDR2392"/>
      <c r="XDS2392"/>
      <c r="XDT2392"/>
      <c r="XDU2392"/>
      <c r="XDV2392"/>
      <c r="XDW2392"/>
      <c r="XDX2392"/>
      <c r="XDY2392"/>
      <c r="XDZ2392"/>
      <c r="XEA2392"/>
      <c r="XEB2392"/>
      <c r="XEC2392"/>
      <c r="XED2392"/>
      <c r="XEE2392"/>
      <c r="XEF2392"/>
      <c r="XEG2392"/>
      <c r="XEH2392"/>
      <c r="XEI2392"/>
      <c r="XEJ2392"/>
      <c r="XEK2392"/>
      <c r="XEL2392"/>
      <c r="XEM2392"/>
      <c r="XEN2392"/>
      <c r="XEO2392"/>
      <c r="XEP2392"/>
      <c r="XEQ2392"/>
      <c r="XER2392"/>
      <c r="XES2392"/>
      <c r="XET2392"/>
      <c r="XEU2392"/>
      <c r="XEV2392"/>
      <c r="XEW2392"/>
      <c r="XEX2392"/>
      <c r="XEY2392"/>
      <c r="XEZ2392"/>
      <c r="XFA2392"/>
      <c r="XFB2392"/>
      <c r="XFC2392"/>
    </row>
    <row r="2393" spans="1:20 16329:16383" s="38" customFormat="1" ht="29.1" customHeight="1" outlineLevel="5" x14ac:dyDescent="0.25">
      <c r="A2393" s="49" t="s">
        <v>4317</v>
      </c>
      <c r="B2393" s="50"/>
      <c r="C2393" s="50"/>
      <c r="D2393" s="3" t="s">
        <v>4318</v>
      </c>
      <c r="E2393" s="3"/>
      <c r="F2393" s="51"/>
      <c r="G2393" s="50" t="s">
        <v>134</v>
      </c>
      <c r="H2393" s="52">
        <f>1</f>
        <v>1</v>
      </c>
      <c r="I2393" s="36"/>
      <c r="J2393" s="52">
        <v>1</v>
      </c>
      <c r="K2393" s="53">
        <f>0</f>
        <v>0</v>
      </c>
      <c r="L2393" s="53">
        <f>0</f>
        <v>0</v>
      </c>
      <c r="M2393" s="53">
        <f>0</f>
        <v>0</v>
      </c>
      <c r="N2393" s="54">
        <f>SUM(K2393:M2393)</f>
        <v>0</v>
      </c>
      <c r="O2393" s="54">
        <f>ROUND((H2393*K2393),2)</f>
        <v>0</v>
      </c>
      <c r="P2393" s="54">
        <f>ROUND((H2393*L2393),2)</f>
        <v>0</v>
      </c>
      <c r="Q2393" s="54">
        <f>ROUND((H2393*M2393),2)</f>
        <v>0</v>
      </c>
      <c r="R2393" s="54">
        <f>ROUND((H2393*N2393),2)</f>
        <v>0</v>
      </c>
      <c r="S2393" s="54"/>
      <c r="T2393" s="36"/>
      <c r="XDA2393"/>
      <c r="XDB2393"/>
      <c r="XDC2393"/>
      <c r="XDD2393"/>
      <c r="XDE2393"/>
      <c r="XDF2393"/>
      <c r="XDG2393"/>
      <c r="XDH2393"/>
      <c r="XDI2393"/>
      <c r="XDJ2393"/>
      <c r="XDK2393"/>
      <c r="XDL2393"/>
      <c r="XDM2393"/>
      <c r="XDN2393"/>
      <c r="XDO2393"/>
      <c r="XDP2393"/>
      <c r="XDQ2393"/>
      <c r="XDR2393"/>
      <c r="XDS2393"/>
      <c r="XDT2393"/>
      <c r="XDU2393"/>
      <c r="XDV2393"/>
      <c r="XDW2393"/>
      <c r="XDX2393"/>
      <c r="XDY2393"/>
      <c r="XDZ2393"/>
      <c r="XEA2393"/>
      <c r="XEB2393"/>
      <c r="XEC2393"/>
      <c r="XED2393"/>
      <c r="XEE2393"/>
      <c r="XEF2393"/>
      <c r="XEG2393"/>
      <c r="XEH2393"/>
      <c r="XEI2393"/>
      <c r="XEJ2393"/>
      <c r="XEK2393"/>
      <c r="XEL2393"/>
      <c r="XEM2393"/>
      <c r="XEN2393"/>
      <c r="XEO2393"/>
      <c r="XEP2393"/>
      <c r="XEQ2393"/>
      <c r="XER2393"/>
      <c r="XES2393"/>
      <c r="XET2393"/>
      <c r="XEU2393"/>
      <c r="XEV2393"/>
      <c r="XEW2393"/>
      <c r="XEX2393"/>
      <c r="XEY2393"/>
      <c r="XEZ2393"/>
      <c r="XFA2393"/>
      <c r="XFB2393"/>
      <c r="XFC2393"/>
    </row>
    <row r="2394" spans="1:20 16329:16383" s="38" customFormat="1" ht="29.1" customHeight="1" outlineLevel="5" x14ac:dyDescent="0.25">
      <c r="A2394" s="49" t="s">
        <v>4319</v>
      </c>
      <c r="B2394" s="50"/>
      <c r="C2394" s="50"/>
      <c r="D2394" s="3" t="s">
        <v>4320</v>
      </c>
      <c r="E2394" s="3"/>
      <c r="F2394" s="51"/>
      <c r="G2394" s="50" t="s">
        <v>134</v>
      </c>
      <c r="H2394" s="52">
        <f>1</f>
        <v>1</v>
      </c>
      <c r="I2394" s="36"/>
      <c r="J2394" s="52">
        <v>1</v>
      </c>
      <c r="K2394" s="53">
        <f>0</f>
        <v>0</v>
      </c>
      <c r="L2394" s="53">
        <f>0</f>
        <v>0</v>
      </c>
      <c r="M2394" s="53">
        <f>0</f>
        <v>0</v>
      </c>
      <c r="N2394" s="54">
        <f>SUM(K2394:M2394)</f>
        <v>0</v>
      </c>
      <c r="O2394" s="54">
        <f>ROUND((H2394*K2394),2)</f>
        <v>0</v>
      </c>
      <c r="P2394" s="54">
        <f>ROUND((H2394*L2394),2)</f>
        <v>0</v>
      </c>
      <c r="Q2394" s="54">
        <f>ROUND((H2394*M2394),2)</f>
        <v>0</v>
      </c>
      <c r="R2394" s="54">
        <f>ROUND((H2394*N2394),2)</f>
        <v>0</v>
      </c>
      <c r="S2394" s="54"/>
      <c r="T2394" s="36"/>
      <c r="XDA2394"/>
      <c r="XDB2394"/>
      <c r="XDC2394"/>
      <c r="XDD2394"/>
      <c r="XDE2394"/>
      <c r="XDF2394"/>
      <c r="XDG2394"/>
      <c r="XDH2394"/>
      <c r="XDI2394"/>
      <c r="XDJ2394"/>
      <c r="XDK2394"/>
      <c r="XDL2394"/>
      <c r="XDM2394"/>
      <c r="XDN2394"/>
      <c r="XDO2394"/>
      <c r="XDP2394"/>
      <c r="XDQ2394"/>
      <c r="XDR2394"/>
      <c r="XDS2394"/>
      <c r="XDT2394"/>
      <c r="XDU2394"/>
      <c r="XDV2394"/>
      <c r="XDW2394"/>
      <c r="XDX2394"/>
      <c r="XDY2394"/>
      <c r="XDZ2394"/>
      <c r="XEA2394"/>
      <c r="XEB2394"/>
      <c r="XEC2394"/>
      <c r="XED2394"/>
      <c r="XEE2394"/>
      <c r="XEF2394"/>
      <c r="XEG2394"/>
      <c r="XEH2394"/>
      <c r="XEI2394"/>
      <c r="XEJ2394"/>
      <c r="XEK2394"/>
      <c r="XEL2394"/>
      <c r="XEM2394"/>
      <c r="XEN2394"/>
      <c r="XEO2394"/>
      <c r="XEP2394"/>
      <c r="XEQ2394"/>
      <c r="XER2394"/>
      <c r="XES2394"/>
      <c r="XET2394"/>
      <c r="XEU2394"/>
      <c r="XEV2394"/>
      <c r="XEW2394"/>
      <c r="XEX2394"/>
      <c r="XEY2394"/>
      <c r="XEZ2394"/>
      <c r="XFA2394"/>
      <c r="XFB2394"/>
      <c r="XFC2394"/>
    </row>
    <row r="2395" spans="1:20 16329:16383" s="38" customFormat="1" ht="29.1" customHeight="1" outlineLevel="3" x14ac:dyDescent="0.25">
      <c r="A2395" s="55" t="s">
        <v>4321</v>
      </c>
      <c r="B2395" s="56" t="s">
        <v>4322</v>
      </c>
      <c r="C2395" s="56"/>
      <c r="D2395" s="2" t="s">
        <v>4323</v>
      </c>
      <c r="E2395" s="2"/>
      <c r="F2395" s="57"/>
      <c r="G2395" s="56"/>
      <c r="H2395" s="58"/>
      <c r="I2395" s="36"/>
      <c r="J2395" s="58"/>
      <c r="K2395" s="59"/>
      <c r="L2395" s="59"/>
      <c r="M2395" s="59"/>
      <c r="N2395" s="59"/>
      <c r="O2395" s="59">
        <f>O2396+O2398+O2401+O2405+O2408</f>
        <v>0</v>
      </c>
      <c r="P2395" s="59">
        <f>P2396+P2398+P2401+P2405+P2408</f>
        <v>0</v>
      </c>
      <c r="Q2395" s="59">
        <f>Q2396+Q2398+Q2401+Q2405+Q2408</f>
        <v>0</v>
      </c>
      <c r="R2395" s="59">
        <f>R2396+R2398+R2401+R2405+R2408</f>
        <v>0</v>
      </c>
      <c r="S2395" s="59"/>
      <c r="T2395" s="36"/>
      <c r="XDA2395"/>
      <c r="XDB2395"/>
      <c r="XDC2395"/>
      <c r="XDD2395"/>
      <c r="XDE2395"/>
      <c r="XDF2395"/>
      <c r="XDG2395"/>
      <c r="XDH2395"/>
      <c r="XDI2395"/>
      <c r="XDJ2395"/>
      <c r="XDK2395"/>
      <c r="XDL2395"/>
      <c r="XDM2395"/>
      <c r="XDN2395"/>
      <c r="XDO2395"/>
      <c r="XDP2395"/>
      <c r="XDQ2395"/>
      <c r="XDR2395"/>
      <c r="XDS2395"/>
      <c r="XDT2395"/>
      <c r="XDU2395"/>
      <c r="XDV2395"/>
      <c r="XDW2395"/>
      <c r="XDX2395"/>
      <c r="XDY2395"/>
      <c r="XDZ2395"/>
      <c r="XEA2395"/>
      <c r="XEB2395"/>
      <c r="XEC2395"/>
      <c r="XED2395"/>
      <c r="XEE2395"/>
      <c r="XEF2395"/>
      <c r="XEG2395"/>
      <c r="XEH2395"/>
      <c r="XEI2395"/>
      <c r="XEJ2395"/>
      <c r="XEK2395"/>
      <c r="XEL2395"/>
      <c r="XEM2395"/>
      <c r="XEN2395"/>
      <c r="XEO2395"/>
      <c r="XEP2395"/>
      <c r="XEQ2395"/>
      <c r="XER2395"/>
      <c r="XES2395"/>
      <c r="XET2395"/>
      <c r="XEU2395"/>
      <c r="XEV2395"/>
      <c r="XEW2395"/>
      <c r="XEX2395"/>
      <c r="XEY2395"/>
      <c r="XEZ2395"/>
      <c r="XFA2395"/>
      <c r="XFB2395"/>
      <c r="XFC2395"/>
    </row>
    <row r="2396" spans="1:20 16329:16383" s="38" customFormat="1" ht="29.1" customHeight="1" outlineLevel="4" x14ac:dyDescent="0.25">
      <c r="A2396" s="60" t="s">
        <v>4324</v>
      </c>
      <c r="B2396" s="61" t="s">
        <v>4325</v>
      </c>
      <c r="C2396" s="61"/>
      <c r="D2396" s="1" t="s">
        <v>4241</v>
      </c>
      <c r="E2396" s="1"/>
      <c r="F2396" s="62"/>
      <c r="G2396" s="61"/>
      <c r="H2396" s="63"/>
      <c r="I2396" s="36"/>
      <c r="J2396" s="63"/>
      <c r="K2396" s="64"/>
      <c r="L2396" s="64"/>
      <c r="M2396" s="64"/>
      <c r="N2396" s="64"/>
      <c r="O2396" s="64">
        <f>O2397</f>
        <v>0</v>
      </c>
      <c r="P2396" s="64">
        <f>P2397</f>
        <v>0</v>
      </c>
      <c r="Q2396" s="64">
        <f>Q2397</f>
        <v>0</v>
      </c>
      <c r="R2396" s="64">
        <f>R2397</f>
        <v>0</v>
      </c>
      <c r="S2396" s="64"/>
      <c r="T2396" s="36"/>
      <c r="XDA2396"/>
      <c r="XDB2396"/>
      <c r="XDC2396"/>
      <c r="XDD2396"/>
      <c r="XDE2396"/>
      <c r="XDF2396"/>
      <c r="XDG2396"/>
      <c r="XDH2396"/>
      <c r="XDI2396"/>
      <c r="XDJ2396"/>
      <c r="XDK2396"/>
      <c r="XDL2396"/>
      <c r="XDM2396"/>
      <c r="XDN2396"/>
      <c r="XDO2396"/>
      <c r="XDP2396"/>
      <c r="XDQ2396"/>
      <c r="XDR2396"/>
      <c r="XDS2396"/>
      <c r="XDT2396"/>
      <c r="XDU2396"/>
      <c r="XDV2396"/>
      <c r="XDW2396"/>
      <c r="XDX2396"/>
      <c r="XDY2396"/>
      <c r="XDZ2396"/>
      <c r="XEA2396"/>
      <c r="XEB2396"/>
      <c r="XEC2396"/>
      <c r="XED2396"/>
      <c r="XEE2396"/>
      <c r="XEF2396"/>
      <c r="XEG2396"/>
      <c r="XEH2396"/>
      <c r="XEI2396"/>
      <c r="XEJ2396"/>
      <c r="XEK2396"/>
      <c r="XEL2396"/>
      <c r="XEM2396"/>
      <c r="XEN2396"/>
      <c r="XEO2396"/>
      <c r="XEP2396"/>
      <c r="XEQ2396"/>
      <c r="XER2396"/>
      <c r="XES2396"/>
      <c r="XET2396"/>
      <c r="XEU2396"/>
      <c r="XEV2396"/>
      <c r="XEW2396"/>
      <c r="XEX2396"/>
      <c r="XEY2396"/>
      <c r="XEZ2396"/>
      <c r="XFA2396"/>
      <c r="XFB2396"/>
      <c r="XFC2396"/>
    </row>
    <row r="2397" spans="1:20 16329:16383" s="38" customFormat="1" ht="29.1" customHeight="1" outlineLevel="5" x14ac:dyDescent="0.25">
      <c r="A2397" s="49" t="s">
        <v>4326</v>
      </c>
      <c r="B2397" s="50"/>
      <c r="C2397" s="50"/>
      <c r="D2397" s="3" t="s">
        <v>4327</v>
      </c>
      <c r="E2397" s="3"/>
      <c r="F2397" s="51"/>
      <c r="G2397" s="50" t="s">
        <v>134</v>
      </c>
      <c r="H2397" s="52">
        <f>1</f>
        <v>1</v>
      </c>
      <c r="I2397" s="36"/>
      <c r="J2397" s="52">
        <v>1</v>
      </c>
      <c r="K2397" s="53">
        <f>0</f>
        <v>0</v>
      </c>
      <c r="L2397" s="53">
        <f>0</f>
        <v>0</v>
      </c>
      <c r="M2397" s="53">
        <f>0</f>
        <v>0</v>
      </c>
      <c r="N2397" s="54">
        <f>SUM(K2397:M2397)</f>
        <v>0</v>
      </c>
      <c r="O2397" s="54">
        <f>ROUND((H2397*K2397),2)</f>
        <v>0</v>
      </c>
      <c r="P2397" s="54">
        <f>ROUND((H2397*L2397),2)</f>
        <v>0</v>
      </c>
      <c r="Q2397" s="54">
        <f>ROUND((H2397*M2397),2)</f>
        <v>0</v>
      </c>
      <c r="R2397" s="54">
        <f>ROUND((H2397*N2397),2)</f>
        <v>0</v>
      </c>
      <c r="S2397" s="54"/>
      <c r="T2397" s="36"/>
      <c r="XDA2397"/>
      <c r="XDB2397"/>
      <c r="XDC2397"/>
      <c r="XDD2397"/>
      <c r="XDE2397"/>
      <c r="XDF2397"/>
      <c r="XDG2397"/>
      <c r="XDH2397"/>
      <c r="XDI2397"/>
      <c r="XDJ2397"/>
      <c r="XDK2397"/>
      <c r="XDL2397"/>
      <c r="XDM2397"/>
      <c r="XDN2397"/>
      <c r="XDO2397"/>
      <c r="XDP2397"/>
      <c r="XDQ2397"/>
      <c r="XDR2397"/>
      <c r="XDS2397"/>
      <c r="XDT2397"/>
      <c r="XDU2397"/>
      <c r="XDV2397"/>
      <c r="XDW2397"/>
      <c r="XDX2397"/>
      <c r="XDY2397"/>
      <c r="XDZ2397"/>
      <c r="XEA2397"/>
      <c r="XEB2397"/>
      <c r="XEC2397"/>
      <c r="XED2397"/>
      <c r="XEE2397"/>
      <c r="XEF2397"/>
      <c r="XEG2397"/>
      <c r="XEH2397"/>
      <c r="XEI2397"/>
      <c r="XEJ2397"/>
      <c r="XEK2397"/>
      <c r="XEL2397"/>
      <c r="XEM2397"/>
      <c r="XEN2397"/>
      <c r="XEO2397"/>
      <c r="XEP2397"/>
      <c r="XEQ2397"/>
      <c r="XER2397"/>
      <c r="XES2397"/>
      <c r="XET2397"/>
      <c r="XEU2397"/>
      <c r="XEV2397"/>
      <c r="XEW2397"/>
      <c r="XEX2397"/>
      <c r="XEY2397"/>
      <c r="XEZ2397"/>
      <c r="XFA2397"/>
      <c r="XFB2397"/>
      <c r="XFC2397"/>
    </row>
    <row r="2398" spans="1:20 16329:16383" s="38" customFormat="1" ht="29.1" customHeight="1" outlineLevel="4" x14ac:dyDescent="0.25">
      <c r="A2398" s="60" t="s">
        <v>4328</v>
      </c>
      <c r="B2398" s="61" t="s">
        <v>4329</v>
      </c>
      <c r="C2398" s="61"/>
      <c r="D2398" s="1" t="s">
        <v>4250</v>
      </c>
      <c r="E2398" s="1"/>
      <c r="F2398" s="62"/>
      <c r="G2398" s="61"/>
      <c r="H2398" s="63"/>
      <c r="I2398" s="36"/>
      <c r="J2398" s="63"/>
      <c r="K2398" s="64"/>
      <c r="L2398" s="64"/>
      <c r="M2398" s="64"/>
      <c r="N2398" s="64"/>
      <c r="O2398" s="64">
        <f>O2399+O2400</f>
        <v>0</v>
      </c>
      <c r="P2398" s="64">
        <f>P2399+P2400</f>
        <v>0</v>
      </c>
      <c r="Q2398" s="64">
        <f>Q2399+Q2400</f>
        <v>0</v>
      </c>
      <c r="R2398" s="64">
        <f>R2399+R2400</f>
        <v>0</v>
      </c>
      <c r="S2398" s="64"/>
      <c r="T2398" s="36"/>
      <c r="XDA2398"/>
      <c r="XDB2398"/>
      <c r="XDC2398"/>
      <c r="XDD2398"/>
      <c r="XDE2398"/>
      <c r="XDF2398"/>
      <c r="XDG2398"/>
      <c r="XDH2398"/>
      <c r="XDI2398"/>
      <c r="XDJ2398"/>
      <c r="XDK2398"/>
      <c r="XDL2398"/>
      <c r="XDM2398"/>
      <c r="XDN2398"/>
      <c r="XDO2398"/>
      <c r="XDP2398"/>
      <c r="XDQ2398"/>
      <c r="XDR2398"/>
      <c r="XDS2398"/>
      <c r="XDT2398"/>
      <c r="XDU2398"/>
      <c r="XDV2398"/>
      <c r="XDW2398"/>
      <c r="XDX2398"/>
      <c r="XDY2398"/>
      <c r="XDZ2398"/>
      <c r="XEA2398"/>
      <c r="XEB2398"/>
      <c r="XEC2398"/>
      <c r="XED2398"/>
      <c r="XEE2398"/>
      <c r="XEF2398"/>
      <c r="XEG2398"/>
      <c r="XEH2398"/>
      <c r="XEI2398"/>
      <c r="XEJ2398"/>
      <c r="XEK2398"/>
      <c r="XEL2398"/>
      <c r="XEM2398"/>
      <c r="XEN2398"/>
      <c r="XEO2398"/>
      <c r="XEP2398"/>
      <c r="XEQ2398"/>
      <c r="XER2398"/>
      <c r="XES2398"/>
      <c r="XET2398"/>
      <c r="XEU2398"/>
      <c r="XEV2398"/>
      <c r="XEW2398"/>
      <c r="XEX2398"/>
      <c r="XEY2398"/>
      <c r="XEZ2398"/>
      <c r="XFA2398"/>
      <c r="XFB2398"/>
      <c r="XFC2398"/>
    </row>
    <row r="2399" spans="1:20 16329:16383" s="38" customFormat="1" ht="29.1" customHeight="1" outlineLevel="5" x14ac:dyDescent="0.25">
      <c r="A2399" s="49" t="s">
        <v>4330</v>
      </c>
      <c r="B2399" s="50"/>
      <c r="C2399" s="50"/>
      <c r="D2399" s="3" t="s">
        <v>4252</v>
      </c>
      <c r="E2399" s="3"/>
      <c r="F2399" s="51"/>
      <c r="G2399" s="50" t="s">
        <v>134</v>
      </c>
      <c r="H2399" s="52">
        <f>1</f>
        <v>1</v>
      </c>
      <c r="I2399" s="36"/>
      <c r="J2399" s="52">
        <v>1</v>
      </c>
      <c r="K2399" s="53">
        <f>0</f>
        <v>0</v>
      </c>
      <c r="L2399" s="53">
        <f>0</f>
        <v>0</v>
      </c>
      <c r="M2399" s="53">
        <f>0</f>
        <v>0</v>
      </c>
      <c r="N2399" s="54">
        <f>SUM(K2399:M2399)</f>
        <v>0</v>
      </c>
      <c r="O2399" s="54">
        <f>ROUND((H2399*K2399),2)</f>
        <v>0</v>
      </c>
      <c r="P2399" s="54">
        <f>ROUND((H2399*L2399),2)</f>
        <v>0</v>
      </c>
      <c r="Q2399" s="54">
        <f>ROUND((H2399*M2399),2)</f>
        <v>0</v>
      </c>
      <c r="R2399" s="54">
        <f>ROUND((H2399*N2399),2)</f>
        <v>0</v>
      </c>
      <c r="S2399" s="54"/>
      <c r="T2399" s="36"/>
      <c r="XDA2399"/>
      <c r="XDB2399"/>
      <c r="XDC2399"/>
      <c r="XDD2399"/>
      <c r="XDE2399"/>
      <c r="XDF2399"/>
      <c r="XDG2399"/>
      <c r="XDH2399"/>
      <c r="XDI2399"/>
      <c r="XDJ2399"/>
      <c r="XDK2399"/>
      <c r="XDL2399"/>
      <c r="XDM2399"/>
      <c r="XDN2399"/>
      <c r="XDO2399"/>
      <c r="XDP2399"/>
      <c r="XDQ2399"/>
      <c r="XDR2399"/>
      <c r="XDS2399"/>
      <c r="XDT2399"/>
      <c r="XDU2399"/>
      <c r="XDV2399"/>
      <c r="XDW2399"/>
      <c r="XDX2399"/>
      <c r="XDY2399"/>
      <c r="XDZ2399"/>
      <c r="XEA2399"/>
      <c r="XEB2399"/>
      <c r="XEC2399"/>
      <c r="XED2399"/>
      <c r="XEE2399"/>
      <c r="XEF2399"/>
      <c r="XEG2399"/>
      <c r="XEH2399"/>
      <c r="XEI2399"/>
      <c r="XEJ2399"/>
      <c r="XEK2399"/>
      <c r="XEL2399"/>
      <c r="XEM2399"/>
      <c r="XEN2399"/>
      <c r="XEO2399"/>
      <c r="XEP2399"/>
      <c r="XEQ2399"/>
      <c r="XER2399"/>
      <c r="XES2399"/>
      <c r="XET2399"/>
      <c r="XEU2399"/>
      <c r="XEV2399"/>
      <c r="XEW2399"/>
      <c r="XEX2399"/>
      <c r="XEY2399"/>
      <c r="XEZ2399"/>
      <c r="XFA2399"/>
      <c r="XFB2399"/>
      <c r="XFC2399"/>
    </row>
    <row r="2400" spans="1:20 16329:16383" s="38" customFormat="1" ht="29.1" customHeight="1" outlineLevel="5" x14ac:dyDescent="0.25">
      <c r="A2400" s="49" t="s">
        <v>4331</v>
      </c>
      <c r="B2400" s="50"/>
      <c r="C2400" s="50"/>
      <c r="D2400" s="3" t="s">
        <v>4254</v>
      </c>
      <c r="E2400" s="3"/>
      <c r="F2400" s="51"/>
      <c r="G2400" s="50" t="s">
        <v>134</v>
      </c>
      <c r="H2400" s="52">
        <f>1</f>
        <v>1</v>
      </c>
      <c r="I2400" s="36"/>
      <c r="J2400" s="52">
        <v>1</v>
      </c>
      <c r="K2400" s="53">
        <f>0</f>
        <v>0</v>
      </c>
      <c r="L2400" s="53">
        <f>0</f>
        <v>0</v>
      </c>
      <c r="M2400" s="53">
        <f>0</f>
        <v>0</v>
      </c>
      <c r="N2400" s="54">
        <f>SUM(K2400:M2400)</f>
        <v>0</v>
      </c>
      <c r="O2400" s="54">
        <f>ROUND((H2400*K2400),2)</f>
        <v>0</v>
      </c>
      <c r="P2400" s="54">
        <f>ROUND((H2400*L2400),2)</f>
        <v>0</v>
      </c>
      <c r="Q2400" s="54">
        <f>ROUND((H2400*M2400),2)</f>
        <v>0</v>
      </c>
      <c r="R2400" s="54">
        <f>ROUND((H2400*N2400),2)</f>
        <v>0</v>
      </c>
      <c r="S2400" s="54"/>
      <c r="T2400" s="36"/>
      <c r="XDA2400"/>
      <c r="XDB2400"/>
      <c r="XDC2400"/>
      <c r="XDD2400"/>
      <c r="XDE2400"/>
      <c r="XDF2400"/>
      <c r="XDG2400"/>
      <c r="XDH2400"/>
      <c r="XDI2400"/>
      <c r="XDJ2400"/>
      <c r="XDK2400"/>
      <c r="XDL2400"/>
      <c r="XDM2400"/>
      <c r="XDN2400"/>
      <c r="XDO2400"/>
      <c r="XDP2400"/>
      <c r="XDQ2400"/>
      <c r="XDR2400"/>
      <c r="XDS2400"/>
      <c r="XDT2400"/>
      <c r="XDU2400"/>
      <c r="XDV2400"/>
      <c r="XDW2400"/>
      <c r="XDX2400"/>
      <c r="XDY2400"/>
      <c r="XDZ2400"/>
      <c r="XEA2400"/>
      <c r="XEB2400"/>
      <c r="XEC2400"/>
      <c r="XED2400"/>
      <c r="XEE2400"/>
      <c r="XEF2400"/>
      <c r="XEG2400"/>
      <c r="XEH2400"/>
      <c r="XEI2400"/>
      <c r="XEJ2400"/>
      <c r="XEK2400"/>
      <c r="XEL2400"/>
      <c r="XEM2400"/>
      <c r="XEN2400"/>
      <c r="XEO2400"/>
      <c r="XEP2400"/>
      <c r="XEQ2400"/>
      <c r="XER2400"/>
      <c r="XES2400"/>
      <c r="XET2400"/>
      <c r="XEU2400"/>
      <c r="XEV2400"/>
      <c r="XEW2400"/>
      <c r="XEX2400"/>
      <c r="XEY2400"/>
      <c r="XEZ2400"/>
      <c r="XFA2400"/>
      <c r="XFB2400"/>
      <c r="XFC2400"/>
    </row>
    <row r="2401" spans="1:20 16329:16383" s="38" customFormat="1" ht="29.1" customHeight="1" outlineLevel="4" x14ac:dyDescent="0.25">
      <c r="A2401" s="60" t="s">
        <v>4332</v>
      </c>
      <c r="B2401" s="61" t="s">
        <v>4333</v>
      </c>
      <c r="C2401" s="61"/>
      <c r="D2401" s="1" t="s">
        <v>4270</v>
      </c>
      <c r="E2401" s="1"/>
      <c r="F2401" s="62"/>
      <c r="G2401" s="61"/>
      <c r="H2401" s="63"/>
      <c r="I2401" s="36"/>
      <c r="J2401" s="63"/>
      <c r="K2401" s="64"/>
      <c r="L2401" s="64"/>
      <c r="M2401" s="64"/>
      <c r="N2401" s="64"/>
      <c r="O2401" s="64">
        <f>SUM(O2402:O2404)</f>
        <v>0</v>
      </c>
      <c r="P2401" s="64">
        <f>SUM(P2402:P2404)</f>
        <v>0</v>
      </c>
      <c r="Q2401" s="64">
        <f>SUM(Q2402:Q2404)</f>
        <v>0</v>
      </c>
      <c r="R2401" s="64">
        <f>SUM(R2402:R2404)</f>
        <v>0</v>
      </c>
      <c r="S2401" s="64"/>
      <c r="T2401" s="36"/>
      <c r="XDA2401"/>
      <c r="XDB2401"/>
      <c r="XDC2401"/>
      <c r="XDD2401"/>
      <c r="XDE2401"/>
      <c r="XDF2401"/>
      <c r="XDG2401"/>
      <c r="XDH2401"/>
      <c r="XDI2401"/>
      <c r="XDJ2401"/>
      <c r="XDK2401"/>
      <c r="XDL2401"/>
      <c r="XDM2401"/>
      <c r="XDN2401"/>
      <c r="XDO2401"/>
      <c r="XDP2401"/>
      <c r="XDQ2401"/>
      <c r="XDR2401"/>
      <c r="XDS2401"/>
      <c r="XDT2401"/>
      <c r="XDU2401"/>
      <c r="XDV2401"/>
      <c r="XDW2401"/>
      <c r="XDX2401"/>
      <c r="XDY2401"/>
      <c r="XDZ2401"/>
      <c r="XEA2401"/>
      <c r="XEB2401"/>
      <c r="XEC2401"/>
      <c r="XED2401"/>
      <c r="XEE2401"/>
      <c r="XEF2401"/>
      <c r="XEG2401"/>
      <c r="XEH2401"/>
      <c r="XEI2401"/>
      <c r="XEJ2401"/>
      <c r="XEK2401"/>
      <c r="XEL2401"/>
      <c r="XEM2401"/>
      <c r="XEN2401"/>
      <c r="XEO2401"/>
      <c r="XEP2401"/>
      <c r="XEQ2401"/>
      <c r="XER2401"/>
      <c r="XES2401"/>
      <c r="XET2401"/>
      <c r="XEU2401"/>
      <c r="XEV2401"/>
      <c r="XEW2401"/>
      <c r="XEX2401"/>
      <c r="XEY2401"/>
      <c r="XEZ2401"/>
      <c r="XFA2401"/>
      <c r="XFB2401"/>
      <c r="XFC2401"/>
    </row>
    <row r="2402" spans="1:20 16329:16383" s="38" customFormat="1" ht="29.1" customHeight="1" outlineLevel="5" x14ac:dyDescent="0.25">
      <c r="A2402" s="49" t="s">
        <v>4334</v>
      </c>
      <c r="B2402" s="50"/>
      <c r="C2402" s="50"/>
      <c r="D2402" s="3" t="s">
        <v>4335</v>
      </c>
      <c r="E2402" s="3"/>
      <c r="F2402" s="51"/>
      <c r="G2402" s="50" t="s">
        <v>134</v>
      </c>
      <c r="H2402" s="52">
        <f>1</f>
        <v>1</v>
      </c>
      <c r="I2402" s="36"/>
      <c r="J2402" s="52">
        <v>1</v>
      </c>
      <c r="K2402" s="53">
        <f>0</f>
        <v>0</v>
      </c>
      <c r="L2402" s="53">
        <f>0</f>
        <v>0</v>
      </c>
      <c r="M2402" s="53">
        <f>0</f>
        <v>0</v>
      </c>
      <c r="N2402" s="54">
        <f>SUM(K2402:M2402)</f>
        <v>0</v>
      </c>
      <c r="O2402" s="54">
        <f>ROUND((H2402*K2402),2)</f>
        <v>0</v>
      </c>
      <c r="P2402" s="54">
        <f>ROUND((H2402*L2402),2)</f>
        <v>0</v>
      </c>
      <c r="Q2402" s="54">
        <f>ROUND((H2402*M2402),2)</f>
        <v>0</v>
      </c>
      <c r="R2402" s="54">
        <f>ROUND((H2402*N2402),2)</f>
        <v>0</v>
      </c>
      <c r="S2402" s="54"/>
      <c r="T2402" s="36"/>
      <c r="XDA2402"/>
      <c r="XDB2402"/>
      <c r="XDC2402"/>
      <c r="XDD2402"/>
      <c r="XDE2402"/>
      <c r="XDF2402"/>
      <c r="XDG2402"/>
      <c r="XDH2402"/>
      <c r="XDI2402"/>
      <c r="XDJ2402"/>
      <c r="XDK2402"/>
      <c r="XDL2402"/>
      <c r="XDM2402"/>
      <c r="XDN2402"/>
      <c r="XDO2402"/>
      <c r="XDP2402"/>
      <c r="XDQ2402"/>
      <c r="XDR2402"/>
      <c r="XDS2402"/>
      <c r="XDT2402"/>
      <c r="XDU2402"/>
      <c r="XDV2402"/>
      <c r="XDW2402"/>
      <c r="XDX2402"/>
      <c r="XDY2402"/>
      <c r="XDZ2402"/>
      <c r="XEA2402"/>
      <c r="XEB2402"/>
      <c r="XEC2402"/>
      <c r="XED2402"/>
      <c r="XEE2402"/>
      <c r="XEF2402"/>
      <c r="XEG2402"/>
      <c r="XEH2402"/>
      <c r="XEI2402"/>
      <c r="XEJ2402"/>
      <c r="XEK2402"/>
      <c r="XEL2402"/>
      <c r="XEM2402"/>
      <c r="XEN2402"/>
      <c r="XEO2402"/>
      <c r="XEP2402"/>
      <c r="XEQ2402"/>
      <c r="XER2402"/>
      <c r="XES2402"/>
      <c r="XET2402"/>
      <c r="XEU2402"/>
      <c r="XEV2402"/>
      <c r="XEW2402"/>
      <c r="XEX2402"/>
      <c r="XEY2402"/>
      <c r="XEZ2402"/>
      <c r="XFA2402"/>
      <c r="XFB2402"/>
      <c r="XFC2402"/>
    </row>
    <row r="2403" spans="1:20 16329:16383" s="38" customFormat="1" ht="29.1" customHeight="1" outlineLevel="5" x14ac:dyDescent="0.25">
      <c r="A2403" s="49" t="s">
        <v>4336</v>
      </c>
      <c r="B2403" s="50"/>
      <c r="C2403" s="50"/>
      <c r="D2403" s="3" t="s">
        <v>4337</v>
      </c>
      <c r="E2403" s="3"/>
      <c r="F2403" s="51"/>
      <c r="G2403" s="50" t="s">
        <v>134</v>
      </c>
      <c r="H2403" s="52">
        <f>1</f>
        <v>1</v>
      </c>
      <c r="I2403" s="36"/>
      <c r="J2403" s="52">
        <v>1</v>
      </c>
      <c r="K2403" s="53">
        <f>0</f>
        <v>0</v>
      </c>
      <c r="L2403" s="53">
        <f>0</f>
        <v>0</v>
      </c>
      <c r="M2403" s="53">
        <f>0</f>
        <v>0</v>
      </c>
      <c r="N2403" s="54">
        <f>SUM(K2403:M2403)</f>
        <v>0</v>
      </c>
      <c r="O2403" s="54">
        <f>ROUND((H2403*K2403),2)</f>
        <v>0</v>
      </c>
      <c r="P2403" s="54">
        <f>ROUND((H2403*L2403),2)</f>
        <v>0</v>
      </c>
      <c r="Q2403" s="54">
        <f>ROUND((H2403*M2403),2)</f>
        <v>0</v>
      </c>
      <c r="R2403" s="54">
        <f>ROUND((H2403*N2403),2)</f>
        <v>0</v>
      </c>
      <c r="S2403" s="54"/>
      <c r="T2403" s="36"/>
      <c r="XDA2403"/>
      <c r="XDB2403"/>
      <c r="XDC2403"/>
      <c r="XDD2403"/>
      <c r="XDE2403"/>
      <c r="XDF2403"/>
      <c r="XDG2403"/>
      <c r="XDH2403"/>
      <c r="XDI2403"/>
      <c r="XDJ2403"/>
      <c r="XDK2403"/>
      <c r="XDL2403"/>
      <c r="XDM2403"/>
      <c r="XDN2403"/>
      <c r="XDO2403"/>
      <c r="XDP2403"/>
      <c r="XDQ2403"/>
      <c r="XDR2403"/>
      <c r="XDS2403"/>
      <c r="XDT2403"/>
      <c r="XDU2403"/>
      <c r="XDV2403"/>
      <c r="XDW2403"/>
      <c r="XDX2403"/>
      <c r="XDY2403"/>
      <c r="XDZ2403"/>
      <c r="XEA2403"/>
      <c r="XEB2403"/>
      <c r="XEC2403"/>
      <c r="XED2403"/>
      <c r="XEE2403"/>
      <c r="XEF2403"/>
      <c r="XEG2403"/>
      <c r="XEH2403"/>
      <c r="XEI2403"/>
      <c r="XEJ2403"/>
      <c r="XEK2403"/>
      <c r="XEL2403"/>
      <c r="XEM2403"/>
      <c r="XEN2403"/>
      <c r="XEO2403"/>
      <c r="XEP2403"/>
      <c r="XEQ2403"/>
      <c r="XER2403"/>
      <c r="XES2403"/>
      <c r="XET2403"/>
      <c r="XEU2403"/>
      <c r="XEV2403"/>
      <c r="XEW2403"/>
      <c r="XEX2403"/>
      <c r="XEY2403"/>
      <c r="XEZ2403"/>
      <c r="XFA2403"/>
      <c r="XFB2403"/>
      <c r="XFC2403"/>
    </row>
    <row r="2404" spans="1:20 16329:16383" s="38" customFormat="1" ht="29.1" customHeight="1" outlineLevel="5" x14ac:dyDescent="0.25">
      <c r="A2404" s="49" t="s">
        <v>4338</v>
      </c>
      <c r="B2404" s="50"/>
      <c r="C2404" s="50"/>
      <c r="D2404" s="3" t="s">
        <v>4339</v>
      </c>
      <c r="E2404" s="3"/>
      <c r="F2404" s="51"/>
      <c r="G2404" s="50" t="s">
        <v>134</v>
      </c>
      <c r="H2404" s="52">
        <f>1</f>
        <v>1</v>
      </c>
      <c r="I2404" s="36"/>
      <c r="J2404" s="52">
        <v>1</v>
      </c>
      <c r="K2404" s="53">
        <f>0</f>
        <v>0</v>
      </c>
      <c r="L2404" s="53">
        <f>0</f>
        <v>0</v>
      </c>
      <c r="M2404" s="53">
        <f>0</f>
        <v>0</v>
      </c>
      <c r="N2404" s="54">
        <f>SUM(K2404:M2404)</f>
        <v>0</v>
      </c>
      <c r="O2404" s="54">
        <f>ROUND((H2404*K2404),2)</f>
        <v>0</v>
      </c>
      <c r="P2404" s="54">
        <f>ROUND((H2404*L2404),2)</f>
        <v>0</v>
      </c>
      <c r="Q2404" s="54">
        <f>ROUND((H2404*M2404),2)</f>
        <v>0</v>
      </c>
      <c r="R2404" s="54">
        <f>ROUND((H2404*N2404),2)</f>
        <v>0</v>
      </c>
      <c r="S2404" s="54"/>
      <c r="T2404" s="36"/>
      <c r="XDA2404"/>
      <c r="XDB2404"/>
      <c r="XDC2404"/>
      <c r="XDD2404"/>
      <c r="XDE2404"/>
      <c r="XDF2404"/>
      <c r="XDG2404"/>
      <c r="XDH2404"/>
      <c r="XDI2404"/>
      <c r="XDJ2404"/>
      <c r="XDK2404"/>
      <c r="XDL2404"/>
      <c r="XDM2404"/>
      <c r="XDN2404"/>
      <c r="XDO2404"/>
      <c r="XDP2404"/>
      <c r="XDQ2404"/>
      <c r="XDR2404"/>
      <c r="XDS2404"/>
      <c r="XDT2404"/>
      <c r="XDU2404"/>
      <c r="XDV2404"/>
      <c r="XDW2404"/>
      <c r="XDX2404"/>
      <c r="XDY2404"/>
      <c r="XDZ2404"/>
      <c r="XEA2404"/>
      <c r="XEB2404"/>
      <c r="XEC2404"/>
      <c r="XED2404"/>
      <c r="XEE2404"/>
      <c r="XEF2404"/>
      <c r="XEG2404"/>
      <c r="XEH2404"/>
      <c r="XEI2404"/>
      <c r="XEJ2404"/>
      <c r="XEK2404"/>
      <c r="XEL2404"/>
      <c r="XEM2404"/>
      <c r="XEN2404"/>
      <c r="XEO2404"/>
      <c r="XEP2404"/>
      <c r="XEQ2404"/>
      <c r="XER2404"/>
      <c r="XES2404"/>
      <c r="XET2404"/>
      <c r="XEU2404"/>
      <c r="XEV2404"/>
      <c r="XEW2404"/>
      <c r="XEX2404"/>
      <c r="XEY2404"/>
      <c r="XEZ2404"/>
      <c r="XFA2404"/>
      <c r="XFB2404"/>
      <c r="XFC2404"/>
    </row>
    <row r="2405" spans="1:20 16329:16383" s="38" customFormat="1" ht="29.1" customHeight="1" outlineLevel="4" x14ac:dyDescent="0.25">
      <c r="A2405" s="60" t="s">
        <v>4340</v>
      </c>
      <c r="B2405" s="61" t="s">
        <v>4341</v>
      </c>
      <c r="C2405" s="61"/>
      <c r="D2405" s="1" t="s">
        <v>4297</v>
      </c>
      <c r="E2405" s="1"/>
      <c r="F2405" s="62"/>
      <c r="G2405" s="61"/>
      <c r="H2405" s="63"/>
      <c r="I2405" s="36"/>
      <c r="J2405" s="63"/>
      <c r="K2405" s="64"/>
      <c r="L2405" s="64"/>
      <c r="M2405" s="64"/>
      <c r="N2405" s="64"/>
      <c r="O2405" s="64">
        <f>O2406+O2407</f>
        <v>0</v>
      </c>
      <c r="P2405" s="64">
        <f>P2406+P2407</f>
        <v>0</v>
      </c>
      <c r="Q2405" s="64">
        <f>Q2406+Q2407</f>
        <v>0</v>
      </c>
      <c r="R2405" s="64">
        <f>R2406+R2407</f>
        <v>0</v>
      </c>
      <c r="S2405" s="64"/>
      <c r="T2405" s="36"/>
      <c r="XDA2405"/>
      <c r="XDB2405"/>
      <c r="XDC2405"/>
      <c r="XDD2405"/>
      <c r="XDE2405"/>
      <c r="XDF2405"/>
      <c r="XDG2405"/>
      <c r="XDH2405"/>
      <c r="XDI2405"/>
      <c r="XDJ2405"/>
      <c r="XDK2405"/>
      <c r="XDL2405"/>
      <c r="XDM2405"/>
      <c r="XDN2405"/>
      <c r="XDO2405"/>
      <c r="XDP2405"/>
      <c r="XDQ2405"/>
      <c r="XDR2405"/>
      <c r="XDS2405"/>
      <c r="XDT2405"/>
      <c r="XDU2405"/>
      <c r="XDV2405"/>
      <c r="XDW2405"/>
      <c r="XDX2405"/>
      <c r="XDY2405"/>
      <c r="XDZ2405"/>
      <c r="XEA2405"/>
      <c r="XEB2405"/>
      <c r="XEC2405"/>
      <c r="XED2405"/>
      <c r="XEE2405"/>
      <c r="XEF2405"/>
      <c r="XEG2405"/>
      <c r="XEH2405"/>
      <c r="XEI2405"/>
      <c r="XEJ2405"/>
      <c r="XEK2405"/>
      <c r="XEL2405"/>
      <c r="XEM2405"/>
      <c r="XEN2405"/>
      <c r="XEO2405"/>
      <c r="XEP2405"/>
      <c r="XEQ2405"/>
      <c r="XER2405"/>
      <c r="XES2405"/>
      <c r="XET2405"/>
      <c r="XEU2405"/>
      <c r="XEV2405"/>
      <c r="XEW2405"/>
      <c r="XEX2405"/>
      <c r="XEY2405"/>
      <c r="XEZ2405"/>
      <c r="XFA2405"/>
      <c r="XFB2405"/>
      <c r="XFC2405"/>
    </row>
    <row r="2406" spans="1:20 16329:16383" s="38" customFormat="1" ht="29.1" customHeight="1" outlineLevel="5" x14ac:dyDescent="0.25">
      <c r="A2406" s="49" t="s">
        <v>4342</v>
      </c>
      <c r="B2406" s="50"/>
      <c r="C2406" s="50"/>
      <c r="D2406" s="3" t="s">
        <v>4343</v>
      </c>
      <c r="E2406" s="3"/>
      <c r="F2406" s="51"/>
      <c r="G2406" s="50" t="s">
        <v>134</v>
      </c>
      <c r="H2406" s="52">
        <f>1</f>
        <v>1</v>
      </c>
      <c r="I2406" s="36"/>
      <c r="J2406" s="52">
        <v>1</v>
      </c>
      <c r="K2406" s="53">
        <f>0</f>
        <v>0</v>
      </c>
      <c r="L2406" s="53">
        <f>0</f>
        <v>0</v>
      </c>
      <c r="M2406" s="53">
        <f>0</f>
        <v>0</v>
      </c>
      <c r="N2406" s="54">
        <f>SUM(K2406:M2406)</f>
        <v>0</v>
      </c>
      <c r="O2406" s="54">
        <f>ROUND((H2406*K2406),2)</f>
        <v>0</v>
      </c>
      <c r="P2406" s="54">
        <f>ROUND((H2406*L2406),2)</f>
        <v>0</v>
      </c>
      <c r="Q2406" s="54">
        <f>ROUND((H2406*M2406),2)</f>
        <v>0</v>
      </c>
      <c r="R2406" s="54">
        <f>ROUND((H2406*N2406),2)</f>
        <v>0</v>
      </c>
      <c r="S2406" s="54"/>
      <c r="T2406" s="36"/>
      <c r="XDA2406"/>
      <c r="XDB2406"/>
      <c r="XDC2406"/>
      <c r="XDD2406"/>
      <c r="XDE2406"/>
      <c r="XDF2406"/>
      <c r="XDG2406"/>
      <c r="XDH2406"/>
      <c r="XDI2406"/>
      <c r="XDJ2406"/>
      <c r="XDK2406"/>
      <c r="XDL2406"/>
      <c r="XDM2406"/>
      <c r="XDN2406"/>
      <c r="XDO2406"/>
      <c r="XDP2406"/>
      <c r="XDQ2406"/>
      <c r="XDR2406"/>
      <c r="XDS2406"/>
      <c r="XDT2406"/>
      <c r="XDU2406"/>
      <c r="XDV2406"/>
      <c r="XDW2406"/>
      <c r="XDX2406"/>
      <c r="XDY2406"/>
      <c r="XDZ2406"/>
      <c r="XEA2406"/>
      <c r="XEB2406"/>
      <c r="XEC2406"/>
      <c r="XED2406"/>
      <c r="XEE2406"/>
      <c r="XEF2406"/>
      <c r="XEG2406"/>
      <c r="XEH2406"/>
      <c r="XEI2406"/>
      <c r="XEJ2406"/>
      <c r="XEK2406"/>
      <c r="XEL2406"/>
      <c r="XEM2406"/>
      <c r="XEN2406"/>
      <c r="XEO2406"/>
      <c r="XEP2406"/>
      <c r="XEQ2406"/>
      <c r="XER2406"/>
      <c r="XES2406"/>
      <c r="XET2406"/>
      <c r="XEU2406"/>
      <c r="XEV2406"/>
      <c r="XEW2406"/>
      <c r="XEX2406"/>
      <c r="XEY2406"/>
      <c r="XEZ2406"/>
      <c r="XFA2406"/>
      <c r="XFB2406"/>
      <c r="XFC2406"/>
    </row>
    <row r="2407" spans="1:20 16329:16383" s="38" customFormat="1" ht="29.1" customHeight="1" outlineLevel="5" x14ac:dyDescent="0.25">
      <c r="A2407" s="49" t="s">
        <v>4344</v>
      </c>
      <c r="B2407" s="50"/>
      <c r="C2407" s="50"/>
      <c r="D2407" s="3" t="s">
        <v>4345</v>
      </c>
      <c r="E2407" s="3"/>
      <c r="F2407" s="51"/>
      <c r="G2407" s="50" t="s">
        <v>134</v>
      </c>
      <c r="H2407" s="52">
        <f>1</f>
        <v>1</v>
      </c>
      <c r="I2407" s="36"/>
      <c r="J2407" s="52">
        <v>1</v>
      </c>
      <c r="K2407" s="53">
        <f>0</f>
        <v>0</v>
      </c>
      <c r="L2407" s="53">
        <f>0</f>
        <v>0</v>
      </c>
      <c r="M2407" s="53">
        <f>0</f>
        <v>0</v>
      </c>
      <c r="N2407" s="54">
        <f>SUM(K2407:M2407)</f>
        <v>0</v>
      </c>
      <c r="O2407" s="54">
        <f>ROUND((H2407*K2407),2)</f>
        <v>0</v>
      </c>
      <c r="P2407" s="54">
        <f>ROUND((H2407*L2407),2)</f>
        <v>0</v>
      </c>
      <c r="Q2407" s="54">
        <f>ROUND((H2407*M2407),2)</f>
        <v>0</v>
      </c>
      <c r="R2407" s="54">
        <f>ROUND((H2407*N2407),2)</f>
        <v>0</v>
      </c>
      <c r="S2407" s="54"/>
      <c r="T2407" s="36"/>
      <c r="XDA2407"/>
      <c r="XDB2407"/>
      <c r="XDC2407"/>
      <c r="XDD2407"/>
      <c r="XDE2407"/>
      <c r="XDF2407"/>
      <c r="XDG2407"/>
      <c r="XDH2407"/>
      <c r="XDI2407"/>
      <c r="XDJ2407"/>
      <c r="XDK2407"/>
      <c r="XDL2407"/>
      <c r="XDM2407"/>
      <c r="XDN2407"/>
      <c r="XDO2407"/>
      <c r="XDP2407"/>
      <c r="XDQ2407"/>
      <c r="XDR2407"/>
      <c r="XDS2407"/>
      <c r="XDT2407"/>
      <c r="XDU2407"/>
      <c r="XDV2407"/>
      <c r="XDW2407"/>
      <c r="XDX2407"/>
      <c r="XDY2407"/>
      <c r="XDZ2407"/>
      <c r="XEA2407"/>
      <c r="XEB2407"/>
      <c r="XEC2407"/>
      <c r="XED2407"/>
      <c r="XEE2407"/>
      <c r="XEF2407"/>
      <c r="XEG2407"/>
      <c r="XEH2407"/>
      <c r="XEI2407"/>
      <c r="XEJ2407"/>
      <c r="XEK2407"/>
      <c r="XEL2407"/>
      <c r="XEM2407"/>
      <c r="XEN2407"/>
      <c r="XEO2407"/>
      <c r="XEP2407"/>
      <c r="XEQ2407"/>
      <c r="XER2407"/>
      <c r="XES2407"/>
      <c r="XET2407"/>
      <c r="XEU2407"/>
      <c r="XEV2407"/>
      <c r="XEW2407"/>
      <c r="XEX2407"/>
      <c r="XEY2407"/>
      <c r="XEZ2407"/>
      <c r="XFA2407"/>
      <c r="XFB2407"/>
      <c r="XFC2407"/>
    </row>
    <row r="2408" spans="1:20 16329:16383" s="38" customFormat="1" ht="29.1" customHeight="1" outlineLevel="4" x14ac:dyDescent="0.25">
      <c r="A2408" s="60" t="s">
        <v>4346</v>
      </c>
      <c r="B2408" s="61" t="s">
        <v>4347</v>
      </c>
      <c r="C2408" s="61"/>
      <c r="D2408" s="1" t="s">
        <v>4304</v>
      </c>
      <c r="E2408" s="1"/>
      <c r="F2408" s="62"/>
      <c r="G2408" s="61"/>
      <c r="H2408" s="63"/>
      <c r="I2408" s="36"/>
      <c r="J2408" s="63"/>
      <c r="K2408" s="64"/>
      <c r="L2408" s="64"/>
      <c r="M2408" s="64"/>
      <c r="N2408" s="64"/>
      <c r="O2408" s="64">
        <f>O2409</f>
        <v>0</v>
      </c>
      <c r="P2408" s="64">
        <f>P2409</f>
        <v>0</v>
      </c>
      <c r="Q2408" s="64">
        <f>Q2409</f>
        <v>0</v>
      </c>
      <c r="R2408" s="64">
        <f>R2409</f>
        <v>0</v>
      </c>
      <c r="S2408" s="64"/>
      <c r="T2408" s="36"/>
      <c r="XDA2408"/>
      <c r="XDB2408"/>
      <c r="XDC2408"/>
      <c r="XDD2408"/>
      <c r="XDE2408"/>
      <c r="XDF2408"/>
      <c r="XDG2408"/>
      <c r="XDH2408"/>
      <c r="XDI2408"/>
      <c r="XDJ2408"/>
      <c r="XDK2408"/>
      <c r="XDL2408"/>
      <c r="XDM2408"/>
      <c r="XDN2408"/>
      <c r="XDO2408"/>
      <c r="XDP2408"/>
      <c r="XDQ2408"/>
      <c r="XDR2408"/>
      <c r="XDS2408"/>
      <c r="XDT2408"/>
      <c r="XDU2408"/>
      <c r="XDV2408"/>
      <c r="XDW2408"/>
      <c r="XDX2408"/>
      <c r="XDY2408"/>
      <c r="XDZ2408"/>
      <c r="XEA2408"/>
      <c r="XEB2408"/>
      <c r="XEC2408"/>
      <c r="XED2408"/>
      <c r="XEE2408"/>
      <c r="XEF2408"/>
      <c r="XEG2408"/>
      <c r="XEH2408"/>
      <c r="XEI2408"/>
      <c r="XEJ2408"/>
      <c r="XEK2408"/>
      <c r="XEL2408"/>
      <c r="XEM2408"/>
      <c r="XEN2408"/>
      <c r="XEO2408"/>
      <c r="XEP2408"/>
      <c r="XEQ2408"/>
      <c r="XER2408"/>
      <c r="XES2408"/>
      <c r="XET2408"/>
      <c r="XEU2408"/>
      <c r="XEV2408"/>
      <c r="XEW2408"/>
      <c r="XEX2408"/>
      <c r="XEY2408"/>
      <c r="XEZ2408"/>
      <c r="XFA2408"/>
      <c r="XFB2408"/>
      <c r="XFC2408"/>
    </row>
    <row r="2409" spans="1:20 16329:16383" s="38" customFormat="1" ht="29.1" customHeight="1" outlineLevel="5" x14ac:dyDescent="0.25">
      <c r="A2409" s="49" t="s">
        <v>4348</v>
      </c>
      <c r="B2409" s="50"/>
      <c r="C2409" s="50"/>
      <c r="D2409" s="3" t="s">
        <v>4349</v>
      </c>
      <c r="E2409" s="3"/>
      <c r="F2409" s="51"/>
      <c r="G2409" s="50" t="s">
        <v>134</v>
      </c>
      <c r="H2409" s="52">
        <f>1</f>
        <v>1</v>
      </c>
      <c r="I2409" s="36"/>
      <c r="J2409" s="52">
        <v>1</v>
      </c>
      <c r="K2409" s="53">
        <f>0</f>
        <v>0</v>
      </c>
      <c r="L2409" s="53">
        <f>0</f>
        <v>0</v>
      </c>
      <c r="M2409" s="53">
        <f>0</f>
        <v>0</v>
      </c>
      <c r="N2409" s="54">
        <f>SUM(K2409:M2409)</f>
        <v>0</v>
      </c>
      <c r="O2409" s="54">
        <f>ROUND((H2409*K2409),2)</f>
        <v>0</v>
      </c>
      <c r="P2409" s="54">
        <f>ROUND((H2409*L2409),2)</f>
        <v>0</v>
      </c>
      <c r="Q2409" s="54">
        <f>ROUND((H2409*M2409),2)</f>
        <v>0</v>
      </c>
      <c r="R2409" s="54">
        <f>ROUND((H2409*N2409),2)</f>
        <v>0</v>
      </c>
      <c r="S2409" s="54"/>
      <c r="T2409" s="36"/>
      <c r="XDA2409"/>
      <c r="XDB2409"/>
      <c r="XDC2409"/>
      <c r="XDD2409"/>
      <c r="XDE2409"/>
      <c r="XDF2409"/>
      <c r="XDG2409"/>
      <c r="XDH2409"/>
      <c r="XDI2409"/>
      <c r="XDJ2409"/>
      <c r="XDK2409"/>
      <c r="XDL2409"/>
      <c r="XDM2409"/>
      <c r="XDN2409"/>
      <c r="XDO2409"/>
      <c r="XDP2409"/>
      <c r="XDQ2409"/>
      <c r="XDR2409"/>
      <c r="XDS2409"/>
      <c r="XDT2409"/>
      <c r="XDU2409"/>
      <c r="XDV2409"/>
      <c r="XDW2409"/>
      <c r="XDX2409"/>
      <c r="XDY2409"/>
      <c r="XDZ2409"/>
      <c r="XEA2409"/>
      <c r="XEB2409"/>
      <c r="XEC2409"/>
      <c r="XED2409"/>
      <c r="XEE2409"/>
      <c r="XEF2409"/>
      <c r="XEG2409"/>
      <c r="XEH2409"/>
      <c r="XEI2409"/>
      <c r="XEJ2409"/>
      <c r="XEK2409"/>
      <c r="XEL2409"/>
      <c r="XEM2409"/>
      <c r="XEN2409"/>
      <c r="XEO2409"/>
      <c r="XEP2409"/>
      <c r="XEQ2409"/>
      <c r="XER2409"/>
      <c r="XES2409"/>
      <c r="XET2409"/>
      <c r="XEU2409"/>
      <c r="XEV2409"/>
      <c r="XEW2409"/>
      <c r="XEX2409"/>
      <c r="XEY2409"/>
      <c r="XEZ2409"/>
      <c r="XFA2409"/>
      <c r="XFB2409"/>
      <c r="XFC2409"/>
    </row>
    <row r="2410" spans="1:20 16329:16383" s="38" customFormat="1" ht="29.1" customHeight="1" outlineLevel="2" x14ac:dyDescent="0.25">
      <c r="A2410" s="44" t="s">
        <v>4350</v>
      </c>
      <c r="B2410" s="45" t="s">
        <v>4351</v>
      </c>
      <c r="C2410" s="45" t="s">
        <v>4002</v>
      </c>
      <c r="D2410" s="4" t="s">
        <v>4352</v>
      </c>
      <c r="E2410" s="4"/>
      <c r="F2410" s="46"/>
      <c r="G2410" s="45" t="s">
        <v>102</v>
      </c>
      <c r="H2410" s="47"/>
      <c r="I2410" s="36"/>
      <c r="J2410" s="47"/>
      <c r="K2410" s="48"/>
      <c r="L2410" s="48"/>
      <c r="M2410" s="48"/>
      <c r="N2410" s="48"/>
      <c r="O2410" s="48">
        <f>O2411+O2412</f>
        <v>0</v>
      </c>
      <c r="P2410" s="48">
        <f>P2411+P2412</f>
        <v>0</v>
      </c>
      <c r="Q2410" s="48">
        <f>Q2411+Q2412</f>
        <v>0</v>
      </c>
      <c r="R2410" s="48">
        <f>R2411+R2412</f>
        <v>0</v>
      </c>
      <c r="S2410" s="48"/>
      <c r="T2410" s="36"/>
      <c r="XDA2410"/>
      <c r="XDB2410"/>
      <c r="XDC2410"/>
      <c r="XDD2410"/>
      <c r="XDE2410"/>
      <c r="XDF2410"/>
      <c r="XDG2410"/>
      <c r="XDH2410"/>
      <c r="XDI2410"/>
      <c r="XDJ2410"/>
      <c r="XDK2410"/>
      <c r="XDL2410"/>
      <c r="XDM2410"/>
      <c r="XDN2410"/>
      <c r="XDO2410"/>
      <c r="XDP2410"/>
      <c r="XDQ2410"/>
      <c r="XDR2410"/>
      <c r="XDS2410"/>
      <c r="XDT2410"/>
      <c r="XDU2410"/>
      <c r="XDV2410"/>
      <c r="XDW2410"/>
      <c r="XDX2410"/>
      <c r="XDY2410"/>
      <c r="XDZ2410"/>
      <c r="XEA2410"/>
      <c r="XEB2410"/>
      <c r="XEC2410"/>
      <c r="XED2410"/>
      <c r="XEE2410"/>
      <c r="XEF2410"/>
      <c r="XEG2410"/>
      <c r="XEH2410"/>
      <c r="XEI2410"/>
      <c r="XEJ2410"/>
      <c r="XEK2410"/>
      <c r="XEL2410"/>
      <c r="XEM2410"/>
      <c r="XEN2410"/>
      <c r="XEO2410"/>
      <c r="XEP2410"/>
      <c r="XEQ2410"/>
      <c r="XER2410"/>
      <c r="XES2410"/>
      <c r="XET2410"/>
      <c r="XEU2410"/>
      <c r="XEV2410"/>
      <c r="XEW2410"/>
      <c r="XEX2410"/>
      <c r="XEY2410"/>
      <c r="XEZ2410"/>
      <c r="XFA2410"/>
      <c r="XFB2410"/>
      <c r="XFC2410"/>
    </row>
    <row r="2411" spans="1:20 16329:16383" s="38" customFormat="1" ht="29.1" customHeight="1" outlineLevel="3" x14ac:dyDescent="0.25">
      <c r="A2411" s="49" t="s">
        <v>4353</v>
      </c>
      <c r="B2411" s="50"/>
      <c r="C2411" s="50"/>
      <c r="D2411" s="3" t="s">
        <v>4354</v>
      </c>
      <c r="E2411" s="3"/>
      <c r="F2411" s="51"/>
      <c r="G2411" s="50" t="s">
        <v>194</v>
      </c>
      <c r="H2411" s="52">
        <f>1</f>
        <v>1</v>
      </c>
      <c r="I2411" s="36"/>
      <c r="J2411" s="52">
        <v>1</v>
      </c>
      <c r="K2411" s="53">
        <f>0</f>
        <v>0</v>
      </c>
      <c r="L2411" s="53">
        <f>0</f>
        <v>0</v>
      </c>
      <c r="M2411" s="53">
        <f>0</f>
        <v>0</v>
      </c>
      <c r="N2411" s="54">
        <f>SUM(K2411:M2411)</f>
        <v>0</v>
      </c>
      <c r="O2411" s="54">
        <f>ROUND((H2411*K2411),2)</f>
        <v>0</v>
      </c>
      <c r="P2411" s="54">
        <f>ROUND((H2411*L2411),2)</f>
        <v>0</v>
      </c>
      <c r="Q2411" s="54">
        <f>ROUND((H2411*M2411),2)</f>
        <v>0</v>
      </c>
      <c r="R2411" s="54">
        <f>ROUND((H2411*N2411),2)</f>
        <v>0</v>
      </c>
      <c r="S2411" s="54"/>
      <c r="T2411" s="36"/>
      <c r="XDA2411"/>
      <c r="XDB2411"/>
      <c r="XDC2411"/>
      <c r="XDD2411"/>
      <c r="XDE2411"/>
      <c r="XDF2411"/>
      <c r="XDG2411"/>
      <c r="XDH2411"/>
      <c r="XDI2411"/>
      <c r="XDJ2411"/>
      <c r="XDK2411"/>
      <c r="XDL2411"/>
      <c r="XDM2411"/>
      <c r="XDN2411"/>
      <c r="XDO2411"/>
      <c r="XDP2411"/>
      <c r="XDQ2411"/>
      <c r="XDR2411"/>
      <c r="XDS2411"/>
      <c r="XDT2411"/>
      <c r="XDU2411"/>
      <c r="XDV2411"/>
      <c r="XDW2411"/>
      <c r="XDX2411"/>
      <c r="XDY2411"/>
      <c r="XDZ2411"/>
      <c r="XEA2411"/>
      <c r="XEB2411"/>
      <c r="XEC2411"/>
      <c r="XED2411"/>
      <c r="XEE2411"/>
      <c r="XEF2411"/>
      <c r="XEG2411"/>
      <c r="XEH2411"/>
      <c r="XEI2411"/>
      <c r="XEJ2411"/>
      <c r="XEK2411"/>
      <c r="XEL2411"/>
      <c r="XEM2411"/>
      <c r="XEN2411"/>
      <c r="XEO2411"/>
      <c r="XEP2411"/>
      <c r="XEQ2411"/>
      <c r="XER2411"/>
      <c r="XES2411"/>
      <c r="XET2411"/>
      <c r="XEU2411"/>
      <c r="XEV2411"/>
      <c r="XEW2411"/>
      <c r="XEX2411"/>
      <c r="XEY2411"/>
      <c r="XEZ2411"/>
      <c r="XFA2411"/>
      <c r="XFB2411"/>
      <c r="XFC2411"/>
    </row>
    <row r="2412" spans="1:20 16329:16383" s="38" customFormat="1" ht="29.1" customHeight="1" outlineLevel="3" x14ac:dyDescent="0.25">
      <c r="A2412" s="49" t="s">
        <v>4355</v>
      </c>
      <c r="B2412" s="50"/>
      <c r="C2412" s="50"/>
      <c r="D2412" s="3" t="s">
        <v>4356</v>
      </c>
      <c r="E2412" s="3"/>
      <c r="F2412" s="51"/>
      <c r="G2412" s="50" t="s">
        <v>194</v>
      </c>
      <c r="H2412" s="52">
        <f>1</f>
        <v>1</v>
      </c>
      <c r="I2412" s="36"/>
      <c r="J2412" s="52">
        <v>1</v>
      </c>
      <c r="K2412" s="53">
        <f>0</f>
        <v>0</v>
      </c>
      <c r="L2412" s="53">
        <f>0</f>
        <v>0</v>
      </c>
      <c r="M2412" s="53">
        <f>0</f>
        <v>0</v>
      </c>
      <c r="N2412" s="54">
        <f>SUM(K2412:M2412)</f>
        <v>0</v>
      </c>
      <c r="O2412" s="54">
        <f>ROUND((H2412*K2412),2)</f>
        <v>0</v>
      </c>
      <c r="P2412" s="54">
        <f>ROUND((H2412*L2412),2)</f>
        <v>0</v>
      </c>
      <c r="Q2412" s="54">
        <f>ROUND((H2412*M2412),2)</f>
        <v>0</v>
      </c>
      <c r="R2412" s="54">
        <f>ROUND((H2412*N2412),2)</f>
        <v>0</v>
      </c>
      <c r="S2412" s="54"/>
      <c r="T2412" s="36"/>
      <c r="XDA2412"/>
      <c r="XDB2412"/>
      <c r="XDC2412"/>
      <c r="XDD2412"/>
      <c r="XDE2412"/>
      <c r="XDF2412"/>
      <c r="XDG2412"/>
      <c r="XDH2412"/>
      <c r="XDI2412"/>
      <c r="XDJ2412"/>
      <c r="XDK2412"/>
      <c r="XDL2412"/>
      <c r="XDM2412"/>
      <c r="XDN2412"/>
      <c r="XDO2412"/>
      <c r="XDP2412"/>
      <c r="XDQ2412"/>
      <c r="XDR2412"/>
      <c r="XDS2412"/>
      <c r="XDT2412"/>
      <c r="XDU2412"/>
      <c r="XDV2412"/>
      <c r="XDW2412"/>
      <c r="XDX2412"/>
      <c r="XDY2412"/>
      <c r="XDZ2412"/>
      <c r="XEA2412"/>
      <c r="XEB2412"/>
      <c r="XEC2412"/>
      <c r="XED2412"/>
      <c r="XEE2412"/>
      <c r="XEF2412"/>
      <c r="XEG2412"/>
      <c r="XEH2412"/>
      <c r="XEI2412"/>
      <c r="XEJ2412"/>
      <c r="XEK2412"/>
      <c r="XEL2412"/>
      <c r="XEM2412"/>
      <c r="XEN2412"/>
      <c r="XEO2412"/>
      <c r="XEP2412"/>
      <c r="XEQ2412"/>
      <c r="XER2412"/>
      <c r="XES2412"/>
      <c r="XET2412"/>
      <c r="XEU2412"/>
      <c r="XEV2412"/>
      <c r="XEW2412"/>
      <c r="XEX2412"/>
      <c r="XEY2412"/>
      <c r="XEZ2412"/>
      <c r="XFA2412"/>
      <c r="XFB2412"/>
      <c r="XFC2412"/>
    </row>
    <row r="2413" spans="1:20 16329:16383" s="38" customFormat="1" ht="29.1" customHeight="1" outlineLevel="2" x14ac:dyDescent="0.25">
      <c r="A2413" s="44" t="s">
        <v>4357</v>
      </c>
      <c r="B2413" s="45" t="s">
        <v>4358</v>
      </c>
      <c r="C2413" s="45" t="s">
        <v>4359</v>
      </c>
      <c r="D2413" s="4" t="s">
        <v>4360</v>
      </c>
      <c r="E2413" s="4"/>
      <c r="F2413" s="46"/>
      <c r="G2413" s="45" t="s">
        <v>134</v>
      </c>
      <c r="H2413" s="47"/>
      <c r="I2413" s="36"/>
      <c r="J2413" s="47"/>
      <c r="K2413" s="48"/>
      <c r="L2413" s="48"/>
      <c r="M2413" s="48"/>
      <c r="N2413" s="48"/>
      <c r="O2413" s="48">
        <f>O2414+O2446</f>
        <v>0</v>
      </c>
      <c r="P2413" s="48">
        <f>P2414+P2446</f>
        <v>0</v>
      </c>
      <c r="Q2413" s="48">
        <f>Q2414+Q2446</f>
        <v>0</v>
      </c>
      <c r="R2413" s="48">
        <f>R2414+R2446</f>
        <v>0</v>
      </c>
      <c r="S2413" s="48"/>
      <c r="T2413" s="36"/>
      <c r="XDA2413"/>
      <c r="XDB2413"/>
      <c r="XDC2413"/>
      <c r="XDD2413"/>
      <c r="XDE2413"/>
      <c r="XDF2413"/>
      <c r="XDG2413"/>
      <c r="XDH2413"/>
      <c r="XDI2413"/>
      <c r="XDJ2413"/>
      <c r="XDK2413"/>
      <c r="XDL2413"/>
      <c r="XDM2413"/>
      <c r="XDN2413"/>
      <c r="XDO2413"/>
      <c r="XDP2413"/>
      <c r="XDQ2413"/>
      <c r="XDR2413"/>
      <c r="XDS2413"/>
      <c r="XDT2413"/>
      <c r="XDU2413"/>
      <c r="XDV2413"/>
      <c r="XDW2413"/>
      <c r="XDX2413"/>
      <c r="XDY2413"/>
      <c r="XDZ2413"/>
      <c r="XEA2413"/>
      <c r="XEB2413"/>
      <c r="XEC2413"/>
      <c r="XED2413"/>
      <c r="XEE2413"/>
      <c r="XEF2413"/>
      <c r="XEG2413"/>
      <c r="XEH2413"/>
      <c r="XEI2413"/>
      <c r="XEJ2413"/>
      <c r="XEK2413"/>
      <c r="XEL2413"/>
      <c r="XEM2413"/>
      <c r="XEN2413"/>
      <c r="XEO2413"/>
      <c r="XEP2413"/>
      <c r="XEQ2413"/>
      <c r="XER2413"/>
      <c r="XES2413"/>
      <c r="XET2413"/>
      <c r="XEU2413"/>
      <c r="XEV2413"/>
      <c r="XEW2413"/>
      <c r="XEX2413"/>
      <c r="XEY2413"/>
      <c r="XEZ2413"/>
      <c r="XFA2413"/>
      <c r="XFB2413"/>
      <c r="XFC2413"/>
    </row>
    <row r="2414" spans="1:20 16329:16383" s="38" customFormat="1" ht="29.1" customHeight="1" outlineLevel="3" x14ac:dyDescent="0.25">
      <c r="A2414" s="55" t="s">
        <v>4361</v>
      </c>
      <c r="B2414" s="56" t="s">
        <v>4362</v>
      </c>
      <c r="C2414" s="56"/>
      <c r="D2414" s="2" t="s">
        <v>4363</v>
      </c>
      <c r="E2414" s="2"/>
      <c r="F2414" s="57"/>
      <c r="G2414" s="56"/>
      <c r="H2414" s="58"/>
      <c r="I2414" s="36"/>
      <c r="J2414" s="58"/>
      <c r="K2414" s="59"/>
      <c r="L2414" s="59"/>
      <c r="M2414" s="59"/>
      <c r="N2414" s="59"/>
      <c r="O2414" s="59">
        <f>SUM(O2415:O2445)</f>
        <v>0</v>
      </c>
      <c r="P2414" s="59">
        <f>SUM(P2415:P2445)</f>
        <v>0</v>
      </c>
      <c r="Q2414" s="59">
        <f>SUM(Q2415:Q2445)</f>
        <v>0</v>
      </c>
      <c r="R2414" s="59">
        <f>SUM(R2415:R2445)</f>
        <v>0</v>
      </c>
      <c r="S2414" s="59"/>
      <c r="T2414" s="36"/>
      <c r="XDA2414"/>
      <c r="XDB2414"/>
      <c r="XDC2414"/>
      <c r="XDD2414"/>
      <c r="XDE2414"/>
      <c r="XDF2414"/>
      <c r="XDG2414"/>
      <c r="XDH2414"/>
      <c r="XDI2414"/>
      <c r="XDJ2414"/>
      <c r="XDK2414"/>
      <c r="XDL2414"/>
      <c r="XDM2414"/>
      <c r="XDN2414"/>
      <c r="XDO2414"/>
      <c r="XDP2414"/>
      <c r="XDQ2414"/>
      <c r="XDR2414"/>
      <c r="XDS2414"/>
      <c r="XDT2414"/>
      <c r="XDU2414"/>
      <c r="XDV2414"/>
      <c r="XDW2414"/>
      <c r="XDX2414"/>
      <c r="XDY2414"/>
      <c r="XDZ2414"/>
      <c r="XEA2414"/>
      <c r="XEB2414"/>
      <c r="XEC2414"/>
      <c r="XED2414"/>
      <c r="XEE2414"/>
      <c r="XEF2414"/>
      <c r="XEG2414"/>
      <c r="XEH2414"/>
      <c r="XEI2414"/>
      <c r="XEJ2414"/>
      <c r="XEK2414"/>
      <c r="XEL2414"/>
      <c r="XEM2414"/>
      <c r="XEN2414"/>
      <c r="XEO2414"/>
      <c r="XEP2414"/>
      <c r="XEQ2414"/>
      <c r="XER2414"/>
      <c r="XES2414"/>
      <c r="XET2414"/>
      <c r="XEU2414"/>
      <c r="XEV2414"/>
      <c r="XEW2414"/>
      <c r="XEX2414"/>
      <c r="XEY2414"/>
      <c r="XEZ2414"/>
      <c r="XFA2414"/>
      <c r="XFB2414"/>
      <c r="XFC2414"/>
    </row>
    <row r="2415" spans="1:20 16329:16383" s="38" customFormat="1" ht="29.1" customHeight="1" outlineLevel="4" x14ac:dyDescent="0.25">
      <c r="A2415" s="49" t="s">
        <v>4364</v>
      </c>
      <c r="B2415" s="50"/>
      <c r="C2415" s="50"/>
      <c r="D2415" s="3" t="s">
        <v>4365</v>
      </c>
      <c r="E2415" s="3"/>
      <c r="F2415" s="51"/>
      <c r="G2415" s="50" t="s">
        <v>134</v>
      </c>
      <c r="H2415" s="52">
        <f>1</f>
        <v>1</v>
      </c>
      <c r="I2415" s="36"/>
      <c r="J2415" s="52">
        <v>1</v>
      </c>
      <c r="K2415" s="53">
        <f>0</f>
        <v>0</v>
      </c>
      <c r="L2415" s="53">
        <f>0</f>
        <v>0</v>
      </c>
      <c r="M2415" s="53">
        <f>0</f>
        <v>0</v>
      </c>
      <c r="N2415" s="54">
        <f t="shared" ref="N2415:N2445" si="454">SUM(K2415:M2415)</f>
        <v>0</v>
      </c>
      <c r="O2415" s="54">
        <f t="shared" ref="O2415:O2445" si="455">ROUND((H2415*K2415),2)</f>
        <v>0</v>
      </c>
      <c r="P2415" s="54">
        <f t="shared" ref="P2415:P2445" si="456">ROUND((H2415*L2415),2)</f>
        <v>0</v>
      </c>
      <c r="Q2415" s="54">
        <f t="shared" ref="Q2415:Q2445" si="457">ROUND((H2415*M2415),2)</f>
        <v>0</v>
      </c>
      <c r="R2415" s="54">
        <f t="shared" ref="R2415:R2445" si="458">ROUND((H2415*N2415),2)</f>
        <v>0</v>
      </c>
      <c r="S2415" s="54"/>
      <c r="T2415" s="36"/>
      <c r="XDA2415"/>
      <c r="XDB2415"/>
      <c r="XDC2415"/>
      <c r="XDD2415"/>
      <c r="XDE2415"/>
      <c r="XDF2415"/>
      <c r="XDG2415"/>
      <c r="XDH2415"/>
      <c r="XDI2415"/>
      <c r="XDJ2415"/>
      <c r="XDK2415"/>
      <c r="XDL2415"/>
      <c r="XDM2415"/>
      <c r="XDN2415"/>
      <c r="XDO2415"/>
      <c r="XDP2415"/>
      <c r="XDQ2415"/>
      <c r="XDR2415"/>
      <c r="XDS2415"/>
      <c r="XDT2415"/>
      <c r="XDU2415"/>
      <c r="XDV2415"/>
      <c r="XDW2415"/>
      <c r="XDX2415"/>
      <c r="XDY2415"/>
      <c r="XDZ2415"/>
      <c r="XEA2415"/>
      <c r="XEB2415"/>
      <c r="XEC2415"/>
      <c r="XED2415"/>
      <c r="XEE2415"/>
      <c r="XEF2415"/>
      <c r="XEG2415"/>
      <c r="XEH2415"/>
      <c r="XEI2415"/>
      <c r="XEJ2415"/>
      <c r="XEK2415"/>
      <c r="XEL2415"/>
      <c r="XEM2415"/>
      <c r="XEN2415"/>
      <c r="XEO2415"/>
      <c r="XEP2415"/>
      <c r="XEQ2415"/>
      <c r="XER2415"/>
      <c r="XES2415"/>
      <c r="XET2415"/>
      <c r="XEU2415"/>
      <c r="XEV2415"/>
      <c r="XEW2415"/>
      <c r="XEX2415"/>
      <c r="XEY2415"/>
      <c r="XEZ2415"/>
      <c r="XFA2415"/>
      <c r="XFB2415"/>
      <c r="XFC2415"/>
    </row>
    <row r="2416" spans="1:20 16329:16383" s="38" customFormat="1" ht="29.1" customHeight="1" outlineLevel="4" x14ac:dyDescent="0.25">
      <c r="A2416" s="49" t="s">
        <v>4366</v>
      </c>
      <c r="B2416" s="50"/>
      <c r="C2416" s="50"/>
      <c r="D2416" s="3" t="s">
        <v>4367</v>
      </c>
      <c r="E2416" s="3"/>
      <c r="F2416" s="51"/>
      <c r="G2416" s="50" t="s">
        <v>134</v>
      </c>
      <c r="H2416" s="52">
        <f>1</f>
        <v>1</v>
      </c>
      <c r="I2416" s="36"/>
      <c r="J2416" s="52">
        <v>1</v>
      </c>
      <c r="K2416" s="53">
        <f>0</f>
        <v>0</v>
      </c>
      <c r="L2416" s="53">
        <f>0</f>
        <v>0</v>
      </c>
      <c r="M2416" s="53">
        <f>0</f>
        <v>0</v>
      </c>
      <c r="N2416" s="54">
        <f t="shared" si="454"/>
        <v>0</v>
      </c>
      <c r="O2416" s="54">
        <f t="shared" si="455"/>
        <v>0</v>
      </c>
      <c r="P2416" s="54">
        <f t="shared" si="456"/>
        <v>0</v>
      </c>
      <c r="Q2416" s="54">
        <f t="shared" si="457"/>
        <v>0</v>
      </c>
      <c r="R2416" s="54">
        <f t="shared" si="458"/>
        <v>0</v>
      </c>
      <c r="S2416" s="54"/>
      <c r="T2416" s="36"/>
      <c r="XDA2416"/>
      <c r="XDB2416"/>
      <c r="XDC2416"/>
      <c r="XDD2416"/>
      <c r="XDE2416"/>
      <c r="XDF2416"/>
      <c r="XDG2416"/>
      <c r="XDH2416"/>
      <c r="XDI2416"/>
      <c r="XDJ2416"/>
      <c r="XDK2416"/>
      <c r="XDL2416"/>
      <c r="XDM2416"/>
      <c r="XDN2416"/>
      <c r="XDO2416"/>
      <c r="XDP2416"/>
      <c r="XDQ2416"/>
      <c r="XDR2416"/>
      <c r="XDS2416"/>
      <c r="XDT2416"/>
      <c r="XDU2416"/>
      <c r="XDV2416"/>
      <c r="XDW2416"/>
      <c r="XDX2416"/>
      <c r="XDY2416"/>
      <c r="XDZ2416"/>
      <c r="XEA2416"/>
      <c r="XEB2416"/>
      <c r="XEC2416"/>
      <c r="XED2416"/>
      <c r="XEE2416"/>
      <c r="XEF2416"/>
      <c r="XEG2416"/>
      <c r="XEH2416"/>
      <c r="XEI2416"/>
      <c r="XEJ2416"/>
      <c r="XEK2416"/>
      <c r="XEL2416"/>
      <c r="XEM2416"/>
      <c r="XEN2416"/>
      <c r="XEO2416"/>
      <c r="XEP2416"/>
      <c r="XEQ2416"/>
      <c r="XER2416"/>
      <c r="XES2416"/>
      <c r="XET2416"/>
      <c r="XEU2416"/>
      <c r="XEV2416"/>
      <c r="XEW2416"/>
      <c r="XEX2416"/>
      <c r="XEY2416"/>
      <c r="XEZ2416"/>
      <c r="XFA2416"/>
      <c r="XFB2416"/>
      <c r="XFC2416"/>
    </row>
    <row r="2417" spans="1:20 16329:16383" s="38" customFormat="1" ht="29.1" customHeight="1" outlineLevel="4" x14ac:dyDescent="0.25">
      <c r="A2417" s="49" t="s">
        <v>4368</v>
      </c>
      <c r="B2417" s="50"/>
      <c r="C2417" s="50"/>
      <c r="D2417" s="3" t="s">
        <v>4369</v>
      </c>
      <c r="E2417" s="3"/>
      <c r="F2417" s="51"/>
      <c r="G2417" s="50" t="s">
        <v>134</v>
      </c>
      <c r="H2417" s="52">
        <f>1</f>
        <v>1</v>
      </c>
      <c r="I2417" s="36"/>
      <c r="J2417" s="52">
        <v>1</v>
      </c>
      <c r="K2417" s="53">
        <f>0</f>
        <v>0</v>
      </c>
      <c r="L2417" s="53">
        <f>0</f>
        <v>0</v>
      </c>
      <c r="M2417" s="53">
        <f>0</f>
        <v>0</v>
      </c>
      <c r="N2417" s="54">
        <f t="shared" si="454"/>
        <v>0</v>
      </c>
      <c r="O2417" s="54">
        <f t="shared" si="455"/>
        <v>0</v>
      </c>
      <c r="P2417" s="54">
        <f t="shared" si="456"/>
        <v>0</v>
      </c>
      <c r="Q2417" s="54">
        <f t="shared" si="457"/>
        <v>0</v>
      </c>
      <c r="R2417" s="54">
        <f t="shared" si="458"/>
        <v>0</v>
      </c>
      <c r="S2417" s="54"/>
      <c r="T2417" s="36"/>
      <c r="XDA2417"/>
      <c r="XDB2417"/>
      <c r="XDC2417"/>
      <c r="XDD2417"/>
      <c r="XDE2417"/>
      <c r="XDF2417"/>
      <c r="XDG2417"/>
      <c r="XDH2417"/>
      <c r="XDI2417"/>
      <c r="XDJ2417"/>
      <c r="XDK2417"/>
      <c r="XDL2417"/>
      <c r="XDM2417"/>
      <c r="XDN2417"/>
      <c r="XDO2417"/>
      <c r="XDP2417"/>
      <c r="XDQ2417"/>
      <c r="XDR2417"/>
      <c r="XDS2417"/>
      <c r="XDT2417"/>
      <c r="XDU2417"/>
      <c r="XDV2417"/>
      <c r="XDW2417"/>
      <c r="XDX2417"/>
      <c r="XDY2417"/>
      <c r="XDZ2417"/>
      <c r="XEA2417"/>
      <c r="XEB2417"/>
      <c r="XEC2417"/>
      <c r="XED2417"/>
      <c r="XEE2417"/>
      <c r="XEF2417"/>
      <c r="XEG2417"/>
      <c r="XEH2417"/>
      <c r="XEI2417"/>
      <c r="XEJ2417"/>
      <c r="XEK2417"/>
      <c r="XEL2417"/>
      <c r="XEM2417"/>
      <c r="XEN2417"/>
      <c r="XEO2417"/>
      <c r="XEP2417"/>
      <c r="XEQ2417"/>
      <c r="XER2417"/>
      <c r="XES2417"/>
      <c r="XET2417"/>
      <c r="XEU2417"/>
      <c r="XEV2417"/>
      <c r="XEW2417"/>
      <c r="XEX2417"/>
      <c r="XEY2417"/>
      <c r="XEZ2417"/>
      <c r="XFA2417"/>
      <c r="XFB2417"/>
      <c r="XFC2417"/>
    </row>
    <row r="2418" spans="1:20 16329:16383" s="38" customFormat="1" ht="29.1" customHeight="1" outlineLevel="4" x14ac:dyDescent="0.25">
      <c r="A2418" s="49" t="s">
        <v>4370</v>
      </c>
      <c r="B2418" s="50"/>
      <c r="C2418" s="50"/>
      <c r="D2418" s="3" t="s">
        <v>4371</v>
      </c>
      <c r="E2418" s="3"/>
      <c r="F2418" s="51"/>
      <c r="G2418" s="50" t="s">
        <v>134</v>
      </c>
      <c r="H2418" s="52">
        <f>1</f>
        <v>1</v>
      </c>
      <c r="I2418" s="36"/>
      <c r="J2418" s="52">
        <v>1</v>
      </c>
      <c r="K2418" s="53">
        <f>0</f>
        <v>0</v>
      </c>
      <c r="L2418" s="53">
        <f>0</f>
        <v>0</v>
      </c>
      <c r="M2418" s="53">
        <f>0</f>
        <v>0</v>
      </c>
      <c r="N2418" s="54">
        <f t="shared" si="454"/>
        <v>0</v>
      </c>
      <c r="O2418" s="54">
        <f t="shared" si="455"/>
        <v>0</v>
      </c>
      <c r="P2418" s="54">
        <f t="shared" si="456"/>
        <v>0</v>
      </c>
      <c r="Q2418" s="54">
        <f t="shared" si="457"/>
        <v>0</v>
      </c>
      <c r="R2418" s="54">
        <f t="shared" si="458"/>
        <v>0</v>
      </c>
      <c r="S2418" s="54"/>
      <c r="T2418" s="36"/>
      <c r="XDA2418"/>
      <c r="XDB2418"/>
      <c r="XDC2418"/>
      <c r="XDD2418"/>
      <c r="XDE2418"/>
      <c r="XDF2418"/>
      <c r="XDG2418"/>
      <c r="XDH2418"/>
      <c r="XDI2418"/>
      <c r="XDJ2418"/>
      <c r="XDK2418"/>
      <c r="XDL2418"/>
      <c r="XDM2418"/>
      <c r="XDN2418"/>
      <c r="XDO2418"/>
      <c r="XDP2418"/>
      <c r="XDQ2418"/>
      <c r="XDR2418"/>
      <c r="XDS2418"/>
      <c r="XDT2418"/>
      <c r="XDU2418"/>
      <c r="XDV2418"/>
      <c r="XDW2418"/>
      <c r="XDX2418"/>
      <c r="XDY2418"/>
      <c r="XDZ2418"/>
      <c r="XEA2418"/>
      <c r="XEB2418"/>
      <c r="XEC2418"/>
      <c r="XED2418"/>
      <c r="XEE2418"/>
      <c r="XEF2418"/>
      <c r="XEG2418"/>
      <c r="XEH2418"/>
      <c r="XEI2418"/>
      <c r="XEJ2418"/>
      <c r="XEK2418"/>
      <c r="XEL2418"/>
      <c r="XEM2418"/>
      <c r="XEN2418"/>
      <c r="XEO2418"/>
      <c r="XEP2418"/>
      <c r="XEQ2418"/>
      <c r="XER2418"/>
      <c r="XES2418"/>
      <c r="XET2418"/>
      <c r="XEU2418"/>
      <c r="XEV2418"/>
      <c r="XEW2418"/>
      <c r="XEX2418"/>
      <c r="XEY2418"/>
      <c r="XEZ2418"/>
      <c r="XFA2418"/>
      <c r="XFB2418"/>
      <c r="XFC2418"/>
    </row>
    <row r="2419" spans="1:20 16329:16383" s="38" customFormat="1" ht="29.1" customHeight="1" outlineLevel="4" x14ac:dyDescent="0.25">
      <c r="A2419" s="49" t="s">
        <v>4372</v>
      </c>
      <c r="B2419" s="50"/>
      <c r="C2419" s="50"/>
      <c r="D2419" s="3" t="s">
        <v>4373</v>
      </c>
      <c r="E2419" s="3"/>
      <c r="F2419" s="51"/>
      <c r="G2419" s="50" t="s">
        <v>134</v>
      </c>
      <c r="H2419" s="52">
        <f>1</f>
        <v>1</v>
      </c>
      <c r="I2419" s="36"/>
      <c r="J2419" s="52">
        <v>1</v>
      </c>
      <c r="K2419" s="53">
        <f>0</f>
        <v>0</v>
      </c>
      <c r="L2419" s="53">
        <f>0</f>
        <v>0</v>
      </c>
      <c r="M2419" s="53">
        <f>0</f>
        <v>0</v>
      </c>
      <c r="N2419" s="54">
        <f t="shared" si="454"/>
        <v>0</v>
      </c>
      <c r="O2419" s="54">
        <f t="shared" si="455"/>
        <v>0</v>
      </c>
      <c r="P2419" s="54">
        <f t="shared" si="456"/>
        <v>0</v>
      </c>
      <c r="Q2419" s="54">
        <f t="shared" si="457"/>
        <v>0</v>
      </c>
      <c r="R2419" s="54">
        <f t="shared" si="458"/>
        <v>0</v>
      </c>
      <c r="S2419" s="54"/>
      <c r="T2419" s="36"/>
      <c r="XDA2419"/>
      <c r="XDB2419"/>
      <c r="XDC2419"/>
      <c r="XDD2419"/>
      <c r="XDE2419"/>
      <c r="XDF2419"/>
      <c r="XDG2419"/>
      <c r="XDH2419"/>
      <c r="XDI2419"/>
      <c r="XDJ2419"/>
      <c r="XDK2419"/>
      <c r="XDL2419"/>
      <c r="XDM2419"/>
      <c r="XDN2419"/>
      <c r="XDO2419"/>
      <c r="XDP2419"/>
      <c r="XDQ2419"/>
      <c r="XDR2419"/>
      <c r="XDS2419"/>
      <c r="XDT2419"/>
      <c r="XDU2419"/>
      <c r="XDV2419"/>
      <c r="XDW2419"/>
      <c r="XDX2419"/>
      <c r="XDY2419"/>
      <c r="XDZ2419"/>
      <c r="XEA2419"/>
      <c r="XEB2419"/>
      <c r="XEC2419"/>
      <c r="XED2419"/>
      <c r="XEE2419"/>
      <c r="XEF2419"/>
      <c r="XEG2419"/>
      <c r="XEH2419"/>
      <c r="XEI2419"/>
      <c r="XEJ2419"/>
      <c r="XEK2419"/>
      <c r="XEL2419"/>
      <c r="XEM2419"/>
      <c r="XEN2419"/>
      <c r="XEO2419"/>
      <c r="XEP2419"/>
      <c r="XEQ2419"/>
      <c r="XER2419"/>
      <c r="XES2419"/>
      <c r="XET2419"/>
      <c r="XEU2419"/>
      <c r="XEV2419"/>
      <c r="XEW2419"/>
      <c r="XEX2419"/>
      <c r="XEY2419"/>
      <c r="XEZ2419"/>
      <c r="XFA2419"/>
      <c r="XFB2419"/>
      <c r="XFC2419"/>
    </row>
    <row r="2420" spans="1:20 16329:16383" s="38" customFormat="1" ht="29.1" customHeight="1" outlineLevel="4" x14ac:dyDescent="0.25">
      <c r="A2420" s="49" t="s">
        <v>4374</v>
      </c>
      <c r="B2420" s="50"/>
      <c r="C2420" s="50"/>
      <c r="D2420" s="3" t="s">
        <v>4375</v>
      </c>
      <c r="E2420" s="3"/>
      <c r="F2420" s="51"/>
      <c r="G2420" s="50" t="s">
        <v>134</v>
      </c>
      <c r="H2420" s="52">
        <f>1</f>
        <v>1</v>
      </c>
      <c r="I2420" s="36"/>
      <c r="J2420" s="52">
        <v>1</v>
      </c>
      <c r="K2420" s="53">
        <f>0</f>
        <v>0</v>
      </c>
      <c r="L2420" s="53">
        <f>0</f>
        <v>0</v>
      </c>
      <c r="M2420" s="53">
        <f>0</f>
        <v>0</v>
      </c>
      <c r="N2420" s="54">
        <f t="shared" si="454"/>
        <v>0</v>
      </c>
      <c r="O2420" s="54">
        <f t="shared" si="455"/>
        <v>0</v>
      </c>
      <c r="P2420" s="54">
        <f t="shared" si="456"/>
        <v>0</v>
      </c>
      <c r="Q2420" s="54">
        <f t="shared" si="457"/>
        <v>0</v>
      </c>
      <c r="R2420" s="54">
        <f t="shared" si="458"/>
        <v>0</v>
      </c>
      <c r="S2420" s="54"/>
      <c r="T2420" s="36"/>
      <c r="XDA2420"/>
      <c r="XDB2420"/>
      <c r="XDC2420"/>
      <c r="XDD2420"/>
      <c r="XDE2420"/>
      <c r="XDF2420"/>
      <c r="XDG2420"/>
      <c r="XDH2420"/>
      <c r="XDI2420"/>
      <c r="XDJ2420"/>
      <c r="XDK2420"/>
      <c r="XDL2420"/>
      <c r="XDM2420"/>
      <c r="XDN2420"/>
      <c r="XDO2420"/>
      <c r="XDP2420"/>
      <c r="XDQ2420"/>
      <c r="XDR2420"/>
      <c r="XDS2420"/>
      <c r="XDT2420"/>
      <c r="XDU2420"/>
      <c r="XDV2420"/>
      <c r="XDW2420"/>
      <c r="XDX2420"/>
      <c r="XDY2420"/>
      <c r="XDZ2420"/>
      <c r="XEA2420"/>
      <c r="XEB2420"/>
      <c r="XEC2420"/>
      <c r="XED2420"/>
      <c r="XEE2420"/>
      <c r="XEF2420"/>
      <c r="XEG2420"/>
      <c r="XEH2420"/>
      <c r="XEI2420"/>
      <c r="XEJ2420"/>
      <c r="XEK2420"/>
      <c r="XEL2420"/>
      <c r="XEM2420"/>
      <c r="XEN2420"/>
      <c r="XEO2420"/>
      <c r="XEP2420"/>
      <c r="XEQ2420"/>
      <c r="XER2420"/>
      <c r="XES2420"/>
      <c r="XET2420"/>
      <c r="XEU2420"/>
      <c r="XEV2420"/>
      <c r="XEW2420"/>
      <c r="XEX2420"/>
      <c r="XEY2420"/>
      <c r="XEZ2420"/>
      <c r="XFA2420"/>
      <c r="XFB2420"/>
      <c r="XFC2420"/>
    </row>
    <row r="2421" spans="1:20 16329:16383" s="38" customFormat="1" ht="29.1" customHeight="1" outlineLevel="4" x14ac:dyDescent="0.25">
      <c r="A2421" s="49" t="s">
        <v>4376</v>
      </c>
      <c r="B2421" s="50"/>
      <c r="C2421" s="50"/>
      <c r="D2421" s="3" t="s">
        <v>4377</v>
      </c>
      <c r="E2421" s="3"/>
      <c r="F2421" s="51"/>
      <c r="G2421" s="50" t="s">
        <v>134</v>
      </c>
      <c r="H2421" s="52">
        <f>1</f>
        <v>1</v>
      </c>
      <c r="I2421" s="36"/>
      <c r="J2421" s="52">
        <v>1</v>
      </c>
      <c r="K2421" s="53">
        <f>0</f>
        <v>0</v>
      </c>
      <c r="L2421" s="53">
        <f>0</f>
        <v>0</v>
      </c>
      <c r="M2421" s="53">
        <f>0</f>
        <v>0</v>
      </c>
      <c r="N2421" s="54">
        <f t="shared" si="454"/>
        <v>0</v>
      </c>
      <c r="O2421" s="54">
        <f t="shared" si="455"/>
        <v>0</v>
      </c>
      <c r="P2421" s="54">
        <f t="shared" si="456"/>
        <v>0</v>
      </c>
      <c r="Q2421" s="54">
        <f t="shared" si="457"/>
        <v>0</v>
      </c>
      <c r="R2421" s="54">
        <f t="shared" si="458"/>
        <v>0</v>
      </c>
      <c r="S2421" s="54"/>
      <c r="T2421" s="36"/>
      <c r="XDA2421"/>
      <c r="XDB2421"/>
      <c r="XDC2421"/>
      <c r="XDD2421"/>
      <c r="XDE2421"/>
      <c r="XDF2421"/>
      <c r="XDG2421"/>
      <c r="XDH2421"/>
      <c r="XDI2421"/>
      <c r="XDJ2421"/>
      <c r="XDK2421"/>
      <c r="XDL2421"/>
      <c r="XDM2421"/>
      <c r="XDN2421"/>
      <c r="XDO2421"/>
      <c r="XDP2421"/>
      <c r="XDQ2421"/>
      <c r="XDR2421"/>
      <c r="XDS2421"/>
      <c r="XDT2421"/>
      <c r="XDU2421"/>
      <c r="XDV2421"/>
      <c r="XDW2421"/>
      <c r="XDX2421"/>
      <c r="XDY2421"/>
      <c r="XDZ2421"/>
      <c r="XEA2421"/>
      <c r="XEB2421"/>
      <c r="XEC2421"/>
      <c r="XED2421"/>
      <c r="XEE2421"/>
      <c r="XEF2421"/>
      <c r="XEG2421"/>
      <c r="XEH2421"/>
      <c r="XEI2421"/>
      <c r="XEJ2421"/>
      <c r="XEK2421"/>
      <c r="XEL2421"/>
      <c r="XEM2421"/>
      <c r="XEN2421"/>
      <c r="XEO2421"/>
      <c r="XEP2421"/>
      <c r="XEQ2421"/>
      <c r="XER2421"/>
      <c r="XES2421"/>
      <c r="XET2421"/>
      <c r="XEU2421"/>
      <c r="XEV2421"/>
      <c r="XEW2421"/>
      <c r="XEX2421"/>
      <c r="XEY2421"/>
      <c r="XEZ2421"/>
      <c r="XFA2421"/>
      <c r="XFB2421"/>
      <c r="XFC2421"/>
    </row>
    <row r="2422" spans="1:20 16329:16383" s="38" customFormat="1" ht="29.1" customHeight="1" outlineLevel="4" x14ac:dyDescent="0.25">
      <c r="A2422" s="49" t="s">
        <v>4378</v>
      </c>
      <c r="B2422" s="50"/>
      <c r="C2422" s="50"/>
      <c r="D2422" s="3" t="s">
        <v>4379</v>
      </c>
      <c r="E2422" s="3"/>
      <c r="F2422" s="51"/>
      <c r="G2422" s="50" t="s">
        <v>134</v>
      </c>
      <c r="H2422" s="52">
        <f>1</f>
        <v>1</v>
      </c>
      <c r="I2422" s="36"/>
      <c r="J2422" s="52">
        <v>1</v>
      </c>
      <c r="K2422" s="53">
        <f>0</f>
        <v>0</v>
      </c>
      <c r="L2422" s="53">
        <f>0</f>
        <v>0</v>
      </c>
      <c r="M2422" s="53">
        <f>0</f>
        <v>0</v>
      </c>
      <c r="N2422" s="54">
        <f t="shared" si="454"/>
        <v>0</v>
      </c>
      <c r="O2422" s="54">
        <f t="shared" si="455"/>
        <v>0</v>
      </c>
      <c r="P2422" s="54">
        <f t="shared" si="456"/>
        <v>0</v>
      </c>
      <c r="Q2422" s="54">
        <f t="shared" si="457"/>
        <v>0</v>
      </c>
      <c r="R2422" s="54">
        <f t="shared" si="458"/>
        <v>0</v>
      </c>
      <c r="S2422" s="54"/>
      <c r="T2422" s="36"/>
      <c r="XDA2422"/>
      <c r="XDB2422"/>
      <c r="XDC2422"/>
      <c r="XDD2422"/>
      <c r="XDE2422"/>
      <c r="XDF2422"/>
      <c r="XDG2422"/>
      <c r="XDH2422"/>
      <c r="XDI2422"/>
      <c r="XDJ2422"/>
      <c r="XDK2422"/>
      <c r="XDL2422"/>
      <c r="XDM2422"/>
      <c r="XDN2422"/>
      <c r="XDO2422"/>
      <c r="XDP2422"/>
      <c r="XDQ2422"/>
      <c r="XDR2422"/>
      <c r="XDS2422"/>
      <c r="XDT2422"/>
      <c r="XDU2422"/>
      <c r="XDV2422"/>
      <c r="XDW2422"/>
      <c r="XDX2422"/>
      <c r="XDY2422"/>
      <c r="XDZ2422"/>
      <c r="XEA2422"/>
      <c r="XEB2422"/>
      <c r="XEC2422"/>
      <c r="XED2422"/>
      <c r="XEE2422"/>
      <c r="XEF2422"/>
      <c r="XEG2422"/>
      <c r="XEH2422"/>
      <c r="XEI2422"/>
      <c r="XEJ2422"/>
      <c r="XEK2422"/>
      <c r="XEL2422"/>
      <c r="XEM2422"/>
      <c r="XEN2422"/>
      <c r="XEO2422"/>
      <c r="XEP2422"/>
      <c r="XEQ2422"/>
      <c r="XER2422"/>
      <c r="XES2422"/>
      <c r="XET2422"/>
      <c r="XEU2422"/>
      <c r="XEV2422"/>
      <c r="XEW2422"/>
      <c r="XEX2422"/>
      <c r="XEY2422"/>
      <c r="XEZ2422"/>
      <c r="XFA2422"/>
      <c r="XFB2422"/>
      <c r="XFC2422"/>
    </row>
    <row r="2423" spans="1:20 16329:16383" s="38" customFormat="1" ht="29.1" customHeight="1" outlineLevel="4" x14ac:dyDescent="0.25">
      <c r="A2423" s="49" t="s">
        <v>4380</v>
      </c>
      <c r="B2423" s="50"/>
      <c r="C2423" s="50"/>
      <c r="D2423" s="3" t="s">
        <v>4381</v>
      </c>
      <c r="E2423" s="3"/>
      <c r="F2423" s="51"/>
      <c r="G2423" s="50" t="s">
        <v>134</v>
      </c>
      <c r="H2423" s="52">
        <f>1</f>
        <v>1</v>
      </c>
      <c r="I2423" s="36"/>
      <c r="J2423" s="52">
        <v>1</v>
      </c>
      <c r="K2423" s="53">
        <f>0</f>
        <v>0</v>
      </c>
      <c r="L2423" s="53">
        <f>0</f>
        <v>0</v>
      </c>
      <c r="M2423" s="53">
        <f>0</f>
        <v>0</v>
      </c>
      <c r="N2423" s="54">
        <f t="shared" si="454"/>
        <v>0</v>
      </c>
      <c r="O2423" s="54">
        <f t="shared" si="455"/>
        <v>0</v>
      </c>
      <c r="P2423" s="54">
        <f t="shared" si="456"/>
        <v>0</v>
      </c>
      <c r="Q2423" s="54">
        <f t="shared" si="457"/>
        <v>0</v>
      </c>
      <c r="R2423" s="54">
        <f t="shared" si="458"/>
        <v>0</v>
      </c>
      <c r="S2423" s="54"/>
      <c r="T2423" s="36"/>
      <c r="XDA2423"/>
      <c r="XDB2423"/>
      <c r="XDC2423"/>
      <c r="XDD2423"/>
      <c r="XDE2423"/>
      <c r="XDF2423"/>
      <c r="XDG2423"/>
      <c r="XDH2423"/>
      <c r="XDI2423"/>
      <c r="XDJ2423"/>
      <c r="XDK2423"/>
      <c r="XDL2423"/>
      <c r="XDM2423"/>
      <c r="XDN2423"/>
      <c r="XDO2423"/>
      <c r="XDP2423"/>
      <c r="XDQ2423"/>
      <c r="XDR2423"/>
      <c r="XDS2423"/>
      <c r="XDT2423"/>
      <c r="XDU2423"/>
      <c r="XDV2423"/>
      <c r="XDW2423"/>
      <c r="XDX2423"/>
      <c r="XDY2423"/>
      <c r="XDZ2423"/>
      <c r="XEA2423"/>
      <c r="XEB2423"/>
      <c r="XEC2423"/>
      <c r="XED2423"/>
      <c r="XEE2423"/>
      <c r="XEF2423"/>
      <c r="XEG2423"/>
      <c r="XEH2423"/>
      <c r="XEI2423"/>
      <c r="XEJ2423"/>
      <c r="XEK2423"/>
      <c r="XEL2423"/>
      <c r="XEM2423"/>
      <c r="XEN2423"/>
      <c r="XEO2423"/>
      <c r="XEP2423"/>
      <c r="XEQ2423"/>
      <c r="XER2423"/>
      <c r="XES2423"/>
      <c r="XET2423"/>
      <c r="XEU2423"/>
      <c r="XEV2423"/>
      <c r="XEW2423"/>
      <c r="XEX2423"/>
      <c r="XEY2423"/>
      <c r="XEZ2423"/>
      <c r="XFA2423"/>
      <c r="XFB2423"/>
      <c r="XFC2423"/>
    </row>
    <row r="2424" spans="1:20 16329:16383" s="38" customFormat="1" ht="29.1" customHeight="1" outlineLevel="4" x14ac:dyDescent="0.25">
      <c r="A2424" s="49" t="s">
        <v>4382</v>
      </c>
      <c r="B2424" s="50"/>
      <c r="C2424" s="50"/>
      <c r="D2424" s="3" t="s">
        <v>4383</v>
      </c>
      <c r="E2424" s="3"/>
      <c r="F2424" s="51"/>
      <c r="G2424" s="50" t="s">
        <v>134</v>
      </c>
      <c r="H2424" s="52">
        <f>1</f>
        <v>1</v>
      </c>
      <c r="I2424" s="36"/>
      <c r="J2424" s="52">
        <v>1</v>
      </c>
      <c r="K2424" s="53">
        <f>0</f>
        <v>0</v>
      </c>
      <c r="L2424" s="53">
        <f>0</f>
        <v>0</v>
      </c>
      <c r="M2424" s="53">
        <f>0</f>
        <v>0</v>
      </c>
      <c r="N2424" s="54">
        <f t="shared" si="454"/>
        <v>0</v>
      </c>
      <c r="O2424" s="54">
        <f t="shared" si="455"/>
        <v>0</v>
      </c>
      <c r="P2424" s="54">
        <f t="shared" si="456"/>
        <v>0</v>
      </c>
      <c r="Q2424" s="54">
        <f t="shared" si="457"/>
        <v>0</v>
      </c>
      <c r="R2424" s="54">
        <f t="shared" si="458"/>
        <v>0</v>
      </c>
      <c r="S2424" s="54"/>
      <c r="T2424" s="36"/>
      <c r="XDA2424"/>
      <c r="XDB2424"/>
      <c r="XDC2424"/>
      <c r="XDD2424"/>
      <c r="XDE2424"/>
      <c r="XDF2424"/>
      <c r="XDG2424"/>
      <c r="XDH2424"/>
      <c r="XDI2424"/>
      <c r="XDJ2424"/>
      <c r="XDK2424"/>
      <c r="XDL2424"/>
      <c r="XDM2424"/>
      <c r="XDN2424"/>
      <c r="XDO2424"/>
      <c r="XDP2424"/>
      <c r="XDQ2424"/>
      <c r="XDR2424"/>
      <c r="XDS2424"/>
      <c r="XDT2424"/>
      <c r="XDU2424"/>
      <c r="XDV2424"/>
      <c r="XDW2424"/>
      <c r="XDX2424"/>
      <c r="XDY2424"/>
      <c r="XDZ2424"/>
      <c r="XEA2424"/>
      <c r="XEB2424"/>
      <c r="XEC2424"/>
      <c r="XED2424"/>
      <c r="XEE2424"/>
      <c r="XEF2424"/>
      <c r="XEG2424"/>
      <c r="XEH2424"/>
      <c r="XEI2424"/>
      <c r="XEJ2424"/>
      <c r="XEK2424"/>
      <c r="XEL2424"/>
      <c r="XEM2424"/>
      <c r="XEN2424"/>
      <c r="XEO2424"/>
      <c r="XEP2424"/>
      <c r="XEQ2424"/>
      <c r="XER2424"/>
      <c r="XES2424"/>
      <c r="XET2424"/>
      <c r="XEU2424"/>
      <c r="XEV2424"/>
      <c r="XEW2424"/>
      <c r="XEX2424"/>
      <c r="XEY2424"/>
      <c r="XEZ2424"/>
      <c r="XFA2424"/>
      <c r="XFB2424"/>
      <c r="XFC2424"/>
    </row>
    <row r="2425" spans="1:20 16329:16383" s="38" customFormat="1" ht="29.1" customHeight="1" outlineLevel="4" x14ac:dyDescent="0.25">
      <c r="A2425" s="49" t="s">
        <v>4384</v>
      </c>
      <c r="B2425" s="50"/>
      <c r="C2425" s="50"/>
      <c r="D2425" s="3" t="s">
        <v>4385</v>
      </c>
      <c r="E2425" s="3"/>
      <c r="F2425" s="51"/>
      <c r="G2425" s="50" t="s">
        <v>134</v>
      </c>
      <c r="H2425" s="52">
        <f>1</f>
        <v>1</v>
      </c>
      <c r="I2425" s="36"/>
      <c r="J2425" s="52">
        <v>1</v>
      </c>
      <c r="K2425" s="53">
        <f>0</f>
        <v>0</v>
      </c>
      <c r="L2425" s="53">
        <f>0</f>
        <v>0</v>
      </c>
      <c r="M2425" s="53">
        <f>0</f>
        <v>0</v>
      </c>
      <c r="N2425" s="54">
        <f t="shared" si="454"/>
        <v>0</v>
      </c>
      <c r="O2425" s="54">
        <f t="shared" si="455"/>
        <v>0</v>
      </c>
      <c r="P2425" s="54">
        <f t="shared" si="456"/>
        <v>0</v>
      </c>
      <c r="Q2425" s="54">
        <f t="shared" si="457"/>
        <v>0</v>
      </c>
      <c r="R2425" s="54">
        <f t="shared" si="458"/>
        <v>0</v>
      </c>
      <c r="S2425" s="54"/>
      <c r="T2425" s="36"/>
      <c r="XDA2425"/>
      <c r="XDB2425"/>
      <c r="XDC2425"/>
      <c r="XDD2425"/>
      <c r="XDE2425"/>
      <c r="XDF2425"/>
      <c r="XDG2425"/>
      <c r="XDH2425"/>
      <c r="XDI2425"/>
      <c r="XDJ2425"/>
      <c r="XDK2425"/>
      <c r="XDL2425"/>
      <c r="XDM2425"/>
      <c r="XDN2425"/>
      <c r="XDO2425"/>
      <c r="XDP2425"/>
      <c r="XDQ2425"/>
      <c r="XDR2425"/>
      <c r="XDS2425"/>
      <c r="XDT2425"/>
      <c r="XDU2425"/>
      <c r="XDV2425"/>
      <c r="XDW2425"/>
      <c r="XDX2425"/>
      <c r="XDY2425"/>
      <c r="XDZ2425"/>
      <c r="XEA2425"/>
      <c r="XEB2425"/>
      <c r="XEC2425"/>
      <c r="XED2425"/>
      <c r="XEE2425"/>
      <c r="XEF2425"/>
      <c r="XEG2425"/>
      <c r="XEH2425"/>
      <c r="XEI2425"/>
      <c r="XEJ2425"/>
      <c r="XEK2425"/>
      <c r="XEL2425"/>
      <c r="XEM2425"/>
      <c r="XEN2425"/>
      <c r="XEO2425"/>
      <c r="XEP2425"/>
      <c r="XEQ2425"/>
      <c r="XER2425"/>
      <c r="XES2425"/>
      <c r="XET2425"/>
      <c r="XEU2425"/>
      <c r="XEV2425"/>
      <c r="XEW2425"/>
      <c r="XEX2425"/>
      <c r="XEY2425"/>
      <c r="XEZ2425"/>
      <c r="XFA2425"/>
      <c r="XFB2425"/>
      <c r="XFC2425"/>
    </row>
    <row r="2426" spans="1:20 16329:16383" s="38" customFormat="1" ht="29.1" customHeight="1" outlineLevel="4" x14ac:dyDescent="0.25">
      <c r="A2426" s="49" t="s">
        <v>4386</v>
      </c>
      <c r="B2426" s="50"/>
      <c r="C2426" s="50"/>
      <c r="D2426" s="3" t="s">
        <v>4387</v>
      </c>
      <c r="E2426" s="3"/>
      <c r="F2426" s="51"/>
      <c r="G2426" s="50" t="s">
        <v>134</v>
      </c>
      <c r="H2426" s="52">
        <f>1</f>
        <v>1</v>
      </c>
      <c r="I2426" s="36"/>
      <c r="J2426" s="52">
        <v>1</v>
      </c>
      <c r="K2426" s="53">
        <f>0</f>
        <v>0</v>
      </c>
      <c r="L2426" s="53">
        <f>0</f>
        <v>0</v>
      </c>
      <c r="M2426" s="53">
        <f>0</f>
        <v>0</v>
      </c>
      <c r="N2426" s="54">
        <f t="shared" si="454"/>
        <v>0</v>
      </c>
      <c r="O2426" s="54">
        <f t="shared" si="455"/>
        <v>0</v>
      </c>
      <c r="P2426" s="54">
        <f t="shared" si="456"/>
        <v>0</v>
      </c>
      <c r="Q2426" s="54">
        <f t="shared" si="457"/>
        <v>0</v>
      </c>
      <c r="R2426" s="54">
        <f t="shared" si="458"/>
        <v>0</v>
      </c>
      <c r="S2426" s="54"/>
      <c r="T2426" s="36"/>
      <c r="XDA2426"/>
      <c r="XDB2426"/>
      <c r="XDC2426"/>
      <c r="XDD2426"/>
      <c r="XDE2426"/>
      <c r="XDF2426"/>
      <c r="XDG2426"/>
      <c r="XDH2426"/>
      <c r="XDI2426"/>
      <c r="XDJ2426"/>
      <c r="XDK2426"/>
      <c r="XDL2426"/>
      <c r="XDM2426"/>
      <c r="XDN2426"/>
      <c r="XDO2426"/>
      <c r="XDP2426"/>
      <c r="XDQ2426"/>
      <c r="XDR2426"/>
      <c r="XDS2426"/>
      <c r="XDT2426"/>
      <c r="XDU2426"/>
      <c r="XDV2426"/>
      <c r="XDW2426"/>
      <c r="XDX2426"/>
      <c r="XDY2426"/>
      <c r="XDZ2426"/>
      <c r="XEA2426"/>
      <c r="XEB2426"/>
      <c r="XEC2426"/>
      <c r="XED2426"/>
      <c r="XEE2426"/>
      <c r="XEF2426"/>
      <c r="XEG2426"/>
      <c r="XEH2426"/>
      <c r="XEI2426"/>
      <c r="XEJ2426"/>
      <c r="XEK2426"/>
      <c r="XEL2426"/>
      <c r="XEM2426"/>
      <c r="XEN2426"/>
      <c r="XEO2426"/>
      <c r="XEP2426"/>
      <c r="XEQ2426"/>
      <c r="XER2426"/>
      <c r="XES2426"/>
      <c r="XET2426"/>
      <c r="XEU2426"/>
      <c r="XEV2426"/>
      <c r="XEW2426"/>
      <c r="XEX2426"/>
      <c r="XEY2426"/>
      <c r="XEZ2426"/>
      <c r="XFA2426"/>
      <c r="XFB2426"/>
      <c r="XFC2426"/>
    </row>
    <row r="2427" spans="1:20 16329:16383" s="38" customFormat="1" ht="29.1" customHeight="1" outlineLevel="4" x14ac:dyDescent="0.25">
      <c r="A2427" s="49" t="s">
        <v>4388</v>
      </c>
      <c r="B2427" s="50"/>
      <c r="C2427" s="50"/>
      <c r="D2427" s="3" t="s">
        <v>4389</v>
      </c>
      <c r="E2427" s="3"/>
      <c r="F2427" s="51"/>
      <c r="G2427" s="50" t="s">
        <v>134</v>
      </c>
      <c r="H2427" s="52">
        <f>1</f>
        <v>1</v>
      </c>
      <c r="I2427" s="36"/>
      <c r="J2427" s="52">
        <v>1</v>
      </c>
      <c r="K2427" s="53">
        <f>0</f>
        <v>0</v>
      </c>
      <c r="L2427" s="53">
        <f>0</f>
        <v>0</v>
      </c>
      <c r="M2427" s="53">
        <f>0</f>
        <v>0</v>
      </c>
      <c r="N2427" s="54">
        <f t="shared" si="454"/>
        <v>0</v>
      </c>
      <c r="O2427" s="54">
        <f t="shared" si="455"/>
        <v>0</v>
      </c>
      <c r="P2427" s="54">
        <f t="shared" si="456"/>
        <v>0</v>
      </c>
      <c r="Q2427" s="54">
        <f t="shared" si="457"/>
        <v>0</v>
      </c>
      <c r="R2427" s="54">
        <f t="shared" si="458"/>
        <v>0</v>
      </c>
      <c r="S2427" s="54"/>
      <c r="T2427" s="36"/>
      <c r="XDA2427"/>
      <c r="XDB2427"/>
      <c r="XDC2427"/>
      <c r="XDD2427"/>
      <c r="XDE2427"/>
      <c r="XDF2427"/>
      <c r="XDG2427"/>
      <c r="XDH2427"/>
      <c r="XDI2427"/>
      <c r="XDJ2427"/>
      <c r="XDK2427"/>
      <c r="XDL2427"/>
      <c r="XDM2427"/>
      <c r="XDN2427"/>
      <c r="XDO2427"/>
      <c r="XDP2427"/>
      <c r="XDQ2427"/>
      <c r="XDR2427"/>
      <c r="XDS2427"/>
      <c r="XDT2427"/>
      <c r="XDU2427"/>
      <c r="XDV2427"/>
      <c r="XDW2427"/>
      <c r="XDX2427"/>
      <c r="XDY2427"/>
      <c r="XDZ2427"/>
      <c r="XEA2427"/>
      <c r="XEB2427"/>
      <c r="XEC2427"/>
      <c r="XED2427"/>
      <c r="XEE2427"/>
      <c r="XEF2427"/>
      <c r="XEG2427"/>
      <c r="XEH2427"/>
      <c r="XEI2427"/>
      <c r="XEJ2427"/>
      <c r="XEK2427"/>
      <c r="XEL2427"/>
      <c r="XEM2427"/>
      <c r="XEN2427"/>
      <c r="XEO2427"/>
      <c r="XEP2427"/>
      <c r="XEQ2427"/>
      <c r="XER2427"/>
      <c r="XES2427"/>
      <c r="XET2427"/>
      <c r="XEU2427"/>
      <c r="XEV2427"/>
      <c r="XEW2427"/>
      <c r="XEX2427"/>
      <c r="XEY2427"/>
      <c r="XEZ2427"/>
      <c r="XFA2427"/>
      <c r="XFB2427"/>
      <c r="XFC2427"/>
    </row>
    <row r="2428" spans="1:20 16329:16383" s="38" customFormat="1" ht="29.1" customHeight="1" outlineLevel="4" x14ac:dyDescent="0.25">
      <c r="A2428" s="49" t="s">
        <v>4390</v>
      </c>
      <c r="B2428" s="50"/>
      <c r="C2428" s="50"/>
      <c r="D2428" s="3" t="s">
        <v>4391</v>
      </c>
      <c r="E2428" s="3"/>
      <c r="F2428" s="51"/>
      <c r="G2428" s="50" t="s">
        <v>134</v>
      </c>
      <c r="H2428" s="52">
        <f>1</f>
        <v>1</v>
      </c>
      <c r="I2428" s="36"/>
      <c r="J2428" s="52">
        <v>1</v>
      </c>
      <c r="K2428" s="53">
        <f>0</f>
        <v>0</v>
      </c>
      <c r="L2428" s="53">
        <f>0</f>
        <v>0</v>
      </c>
      <c r="M2428" s="53">
        <f>0</f>
        <v>0</v>
      </c>
      <c r="N2428" s="54">
        <f t="shared" si="454"/>
        <v>0</v>
      </c>
      <c r="O2428" s="54">
        <f t="shared" si="455"/>
        <v>0</v>
      </c>
      <c r="P2428" s="54">
        <f t="shared" si="456"/>
        <v>0</v>
      </c>
      <c r="Q2428" s="54">
        <f t="shared" si="457"/>
        <v>0</v>
      </c>
      <c r="R2428" s="54">
        <f t="shared" si="458"/>
        <v>0</v>
      </c>
      <c r="S2428" s="54"/>
      <c r="T2428" s="36"/>
      <c r="XDA2428"/>
      <c r="XDB2428"/>
      <c r="XDC2428"/>
      <c r="XDD2428"/>
      <c r="XDE2428"/>
      <c r="XDF2428"/>
      <c r="XDG2428"/>
      <c r="XDH2428"/>
      <c r="XDI2428"/>
      <c r="XDJ2428"/>
      <c r="XDK2428"/>
      <c r="XDL2428"/>
      <c r="XDM2428"/>
      <c r="XDN2428"/>
      <c r="XDO2428"/>
      <c r="XDP2428"/>
      <c r="XDQ2428"/>
      <c r="XDR2428"/>
      <c r="XDS2428"/>
      <c r="XDT2428"/>
      <c r="XDU2428"/>
      <c r="XDV2428"/>
      <c r="XDW2428"/>
      <c r="XDX2428"/>
      <c r="XDY2428"/>
      <c r="XDZ2428"/>
      <c r="XEA2428"/>
      <c r="XEB2428"/>
      <c r="XEC2428"/>
      <c r="XED2428"/>
      <c r="XEE2428"/>
      <c r="XEF2428"/>
      <c r="XEG2428"/>
      <c r="XEH2428"/>
      <c r="XEI2428"/>
      <c r="XEJ2428"/>
      <c r="XEK2428"/>
      <c r="XEL2428"/>
      <c r="XEM2428"/>
      <c r="XEN2428"/>
      <c r="XEO2428"/>
      <c r="XEP2428"/>
      <c r="XEQ2428"/>
      <c r="XER2428"/>
      <c r="XES2428"/>
      <c r="XET2428"/>
      <c r="XEU2428"/>
      <c r="XEV2428"/>
      <c r="XEW2428"/>
      <c r="XEX2428"/>
      <c r="XEY2428"/>
      <c r="XEZ2428"/>
      <c r="XFA2428"/>
      <c r="XFB2428"/>
      <c r="XFC2428"/>
    </row>
    <row r="2429" spans="1:20 16329:16383" s="38" customFormat="1" ht="29.1" customHeight="1" outlineLevel="4" x14ac:dyDescent="0.25">
      <c r="A2429" s="49" t="s">
        <v>4392</v>
      </c>
      <c r="B2429" s="50"/>
      <c r="C2429" s="50"/>
      <c r="D2429" s="3" t="s">
        <v>4393</v>
      </c>
      <c r="E2429" s="3"/>
      <c r="F2429" s="51"/>
      <c r="G2429" s="50" t="s">
        <v>134</v>
      </c>
      <c r="H2429" s="52">
        <f>1</f>
        <v>1</v>
      </c>
      <c r="I2429" s="36"/>
      <c r="J2429" s="52">
        <v>1</v>
      </c>
      <c r="K2429" s="53">
        <f>0</f>
        <v>0</v>
      </c>
      <c r="L2429" s="53">
        <f>0</f>
        <v>0</v>
      </c>
      <c r="M2429" s="53">
        <f>0</f>
        <v>0</v>
      </c>
      <c r="N2429" s="54">
        <f t="shared" si="454"/>
        <v>0</v>
      </c>
      <c r="O2429" s="54">
        <f t="shared" si="455"/>
        <v>0</v>
      </c>
      <c r="P2429" s="54">
        <f t="shared" si="456"/>
        <v>0</v>
      </c>
      <c r="Q2429" s="54">
        <f t="shared" si="457"/>
        <v>0</v>
      </c>
      <c r="R2429" s="54">
        <f t="shared" si="458"/>
        <v>0</v>
      </c>
      <c r="S2429" s="54"/>
      <c r="T2429" s="36"/>
      <c r="XDA2429"/>
      <c r="XDB2429"/>
      <c r="XDC2429"/>
      <c r="XDD2429"/>
      <c r="XDE2429"/>
      <c r="XDF2429"/>
      <c r="XDG2429"/>
      <c r="XDH2429"/>
      <c r="XDI2429"/>
      <c r="XDJ2429"/>
      <c r="XDK2429"/>
      <c r="XDL2429"/>
      <c r="XDM2429"/>
      <c r="XDN2429"/>
      <c r="XDO2429"/>
      <c r="XDP2429"/>
      <c r="XDQ2429"/>
      <c r="XDR2429"/>
      <c r="XDS2429"/>
      <c r="XDT2429"/>
      <c r="XDU2429"/>
      <c r="XDV2429"/>
      <c r="XDW2429"/>
      <c r="XDX2429"/>
      <c r="XDY2429"/>
      <c r="XDZ2429"/>
      <c r="XEA2429"/>
      <c r="XEB2429"/>
      <c r="XEC2429"/>
      <c r="XED2429"/>
      <c r="XEE2429"/>
      <c r="XEF2429"/>
      <c r="XEG2429"/>
      <c r="XEH2429"/>
      <c r="XEI2429"/>
      <c r="XEJ2429"/>
      <c r="XEK2429"/>
      <c r="XEL2429"/>
      <c r="XEM2429"/>
      <c r="XEN2429"/>
      <c r="XEO2429"/>
      <c r="XEP2429"/>
      <c r="XEQ2429"/>
      <c r="XER2429"/>
      <c r="XES2429"/>
      <c r="XET2429"/>
      <c r="XEU2429"/>
      <c r="XEV2429"/>
      <c r="XEW2429"/>
      <c r="XEX2429"/>
      <c r="XEY2429"/>
      <c r="XEZ2429"/>
      <c r="XFA2429"/>
      <c r="XFB2429"/>
      <c r="XFC2429"/>
    </row>
    <row r="2430" spans="1:20 16329:16383" s="38" customFormat="1" ht="29.1" customHeight="1" outlineLevel="4" x14ac:dyDescent="0.25">
      <c r="A2430" s="49" t="s">
        <v>4394</v>
      </c>
      <c r="B2430" s="50"/>
      <c r="C2430" s="50"/>
      <c r="D2430" s="3" t="s">
        <v>4395</v>
      </c>
      <c r="E2430" s="3"/>
      <c r="F2430" s="51"/>
      <c r="G2430" s="50" t="s">
        <v>134</v>
      </c>
      <c r="H2430" s="52">
        <f>1</f>
        <v>1</v>
      </c>
      <c r="I2430" s="36"/>
      <c r="J2430" s="52">
        <v>1</v>
      </c>
      <c r="K2430" s="53">
        <f>0</f>
        <v>0</v>
      </c>
      <c r="L2430" s="53">
        <f>0</f>
        <v>0</v>
      </c>
      <c r="M2430" s="53">
        <f>0</f>
        <v>0</v>
      </c>
      <c r="N2430" s="54">
        <f t="shared" si="454"/>
        <v>0</v>
      </c>
      <c r="O2430" s="54">
        <f t="shared" si="455"/>
        <v>0</v>
      </c>
      <c r="P2430" s="54">
        <f t="shared" si="456"/>
        <v>0</v>
      </c>
      <c r="Q2430" s="54">
        <f t="shared" si="457"/>
        <v>0</v>
      </c>
      <c r="R2430" s="54">
        <f t="shared" si="458"/>
        <v>0</v>
      </c>
      <c r="S2430" s="54"/>
      <c r="T2430" s="36"/>
      <c r="XDA2430"/>
      <c r="XDB2430"/>
      <c r="XDC2430"/>
      <c r="XDD2430"/>
      <c r="XDE2430"/>
      <c r="XDF2430"/>
      <c r="XDG2430"/>
      <c r="XDH2430"/>
      <c r="XDI2430"/>
      <c r="XDJ2430"/>
      <c r="XDK2430"/>
      <c r="XDL2430"/>
      <c r="XDM2430"/>
      <c r="XDN2430"/>
      <c r="XDO2430"/>
      <c r="XDP2430"/>
      <c r="XDQ2430"/>
      <c r="XDR2430"/>
      <c r="XDS2430"/>
      <c r="XDT2430"/>
      <c r="XDU2430"/>
      <c r="XDV2430"/>
      <c r="XDW2430"/>
      <c r="XDX2430"/>
      <c r="XDY2430"/>
      <c r="XDZ2430"/>
      <c r="XEA2430"/>
      <c r="XEB2430"/>
      <c r="XEC2430"/>
      <c r="XED2430"/>
      <c r="XEE2430"/>
      <c r="XEF2430"/>
      <c r="XEG2430"/>
      <c r="XEH2430"/>
      <c r="XEI2430"/>
      <c r="XEJ2430"/>
      <c r="XEK2430"/>
      <c r="XEL2430"/>
      <c r="XEM2430"/>
      <c r="XEN2430"/>
      <c r="XEO2430"/>
      <c r="XEP2430"/>
      <c r="XEQ2430"/>
      <c r="XER2430"/>
      <c r="XES2430"/>
      <c r="XET2430"/>
      <c r="XEU2430"/>
      <c r="XEV2430"/>
      <c r="XEW2430"/>
      <c r="XEX2430"/>
      <c r="XEY2430"/>
      <c r="XEZ2430"/>
      <c r="XFA2430"/>
      <c r="XFB2430"/>
      <c r="XFC2430"/>
    </row>
    <row r="2431" spans="1:20 16329:16383" s="38" customFormat="1" ht="29.1" customHeight="1" outlineLevel="4" x14ac:dyDescent="0.25">
      <c r="A2431" s="49" t="s">
        <v>4396</v>
      </c>
      <c r="B2431" s="50"/>
      <c r="C2431" s="50"/>
      <c r="D2431" s="3" t="s">
        <v>4397</v>
      </c>
      <c r="E2431" s="3"/>
      <c r="F2431" s="51"/>
      <c r="G2431" s="50" t="s">
        <v>134</v>
      </c>
      <c r="H2431" s="52">
        <f>1</f>
        <v>1</v>
      </c>
      <c r="I2431" s="36"/>
      <c r="J2431" s="52">
        <v>1</v>
      </c>
      <c r="K2431" s="53">
        <f>0</f>
        <v>0</v>
      </c>
      <c r="L2431" s="53">
        <f>0</f>
        <v>0</v>
      </c>
      <c r="M2431" s="53">
        <f>0</f>
        <v>0</v>
      </c>
      <c r="N2431" s="54">
        <f t="shared" si="454"/>
        <v>0</v>
      </c>
      <c r="O2431" s="54">
        <f t="shared" si="455"/>
        <v>0</v>
      </c>
      <c r="P2431" s="54">
        <f t="shared" si="456"/>
        <v>0</v>
      </c>
      <c r="Q2431" s="54">
        <f t="shared" si="457"/>
        <v>0</v>
      </c>
      <c r="R2431" s="54">
        <f t="shared" si="458"/>
        <v>0</v>
      </c>
      <c r="S2431" s="54"/>
      <c r="T2431" s="36"/>
      <c r="XDA2431"/>
      <c r="XDB2431"/>
      <c r="XDC2431"/>
      <c r="XDD2431"/>
      <c r="XDE2431"/>
      <c r="XDF2431"/>
      <c r="XDG2431"/>
      <c r="XDH2431"/>
      <c r="XDI2431"/>
      <c r="XDJ2431"/>
      <c r="XDK2431"/>
      <c r="XDL2431"/>
      <c r="XDM2431"/>
      <c r="XDN2431"/>
      <c r="XDO2431"/>
      <c r="XDP2431"/>
      <c r="XDQ2431"/>
      <c r="XDR2431"/>
      <c r="XDS2431"/>
      <c r="XDT2431"/>
      <c r="XDU2431"/>
      <c r="XDV2431"/>
      <c r="XDW2431"/>
      <c r="XDX2431"/>
      <c r="XDY2431"/>
      <c r="XDZ2431"/>
      <c r="XEA2431"/>
      <c r="XEB2431"/>
      <c r="XEC2431"/>
      <c r="XED2431"/>
      <c r="XEE2431"/>
      <c r="XEF2431"/>
      <c r="XEG2431"/>
      <c r="XEH2431"/>
      <c r="XEI2431"/>
      <c r="XEJ2431"/>
      <c r="XEK2431"/>
      <c r="XEL2431"/>
      <c r="XEM2431"/>
      <c r="XEN2431"/>
      <c r="XEO2431"/>
      <c r="XEP2431"/>
      <c r="XEQ2431"/>
      <c r="XER2431"/>
      <c r="XES2431"/>
      <c r="XET2431"/>
      <c r="XEU2431"/>
      <c r="XEV2431"/>
      <c r="XEW2431"/>
      <c r="XEX2431"/>
      <c r="XEY2431"/>
      <c r="XEZ2431"/>
      <c r="XFA2431"/>
      <c r="XFB2431"/>
      <c r="XFC2431"/>
    </row>
    <row r="2432" spans="1:20 16329:16383" s="38" customFormat="1" ht="29.1" customHeight="1" outlineLevel="4" x14ac:dyDescent="0.25">
      <c r="A2432" s="49" t="s">
        <v>4398</v>
      </c>
      <c r="B2432" s="50"/>
      <c r="C2432" s="50"/>
      <c r="D2432" s="3" t="s">
        <v>4399</v>
      </c>
      <c r="E2432" s="3"/>
      <c r="F2432" s="51"/>
      <c r="G2432" s="50" t="s">
        <v>134</v>
      </c>
      <c r="H2432" s="52">
        <f>1</f>
        <v>1</v>
      </c>
      <c r="I2432" s="36"/>
      <c r="J2432" s="52">
        <v>1</v>
      </c>
      <c r="K2432" s="53">
        <f>0</f>
        <v>0</v>
      </c>
      <c r="L2432" s="53">
        <f>0</f>
        <v>0</v>
      </c>
      <c r="M2432" s="53">
        <f>0</f>
        <v>0</v>
      </c>
      <c r="N2432" s="54">
        <f t="shared" si="454"/>
        <v>0</v>
      </c>
      <c r="O2432" s="54">
        <f t="shared" si="455"/>
        <v>0</v>
      </c>
      <c r="P2432" s="54">
        <f t="shared" si="456"/>
        <v>0</v>
      </c>
      <c r="Q2432" s="54">
        <f t="shared" si="457"/>
        <v>0</v>
      </c>
      <c r="R2432" s="54">
        <f t="shared" si="458"/>
        <v>0</v>
      </c>
      <c r="S2432" s="54"/>
      <c r="T2432" s="36"/>
      <c r="XDA2432"/>
      <c r="XDB2432"/>
      <c r="XDC2432"/>
      <c r="XDD2432"/>
      <c r="XDE2432"/>
      <c r="XDF2432"/>
      <c r="XDG2432"/>
      <c r="XDH2432"/>
      <c r="XDI2432"/>
      <c r="XDJ2432"/>
      <c r="XDK2432"/>
      <c r="XDL2432"/>
      <c r="XDM2432"/>
      <c r="XDN2432"/>
      <c r="XDO2432"/>
      <c r="XDP2432"/>
      <c r="XDQ2432"/>
      <c r="XDR2432"/>
      <c r="XDS2432"/>
      <c r="XDT2432"/>
      <c r="XDU2432"/>
      <c r="XDV2432"/>
      <c r="XDW2432"/>
      <c r="XDX2432"/>
      <c r="XDY2432"/>
      <c r="XDZ2432"/>
      <c r="XEA2432"/>
      <c r="XEB2432"/>
      <c r="XEC2432"/>
      <c r="XED2432"/>
      <c r="XEE2432"/>
      <c r="XEF2432"/>
      <c r="XEG2432"/>
      <c r="XEH2432"/>
      <c r="XEI2432"/>
      <c r="XEJ2432"/>
      <c r="XEK2432"/>
      <c r="XEL2432"/>
      <c r="XEM2432"/>
      <c r="XEN2432"/>
      <c r="XEO2432"/>
      <c r="XEP2432"/>
      <c r="XEQ2432"/>
      <c r="XER2432"/>
      <c r="XES2432"/>
      <c r="XET2432"/>
      <c r="XEU2432"/>
      <c r="XEV2432"/>
      <c r="XEW2432"/>
      <c r="XEX2432"/>
      <c r="XEY2432"/>
      <c r="XEZ2432"/>
      <c r="XFA2432"/>
      <c r="XFB2432"/>
      <c r="XFC2432"/>
    </row>
    <row r="2433" spans="1:20 16329:16383" s="38" customFormat="1" ht="29.1" customHeight="1" outlineLevel="4" x14ac:dyDescent="0.25">
      <c r="A2433" s="49" t="s">
        <v>4400</v>
      </c>
      <c r="B2433" s="50"/>
      <c r="C2433" s="50"/>
      <c r="D2433" s="3" t="s">
        <v>4401</v>
      </c>
      <c r="E2433" s="3"/>
      <c r="F2433" s="51"/>
      <c r="G2433" s="50" t="s">
        <v>134</v>
      </c>
      <c r="H2433" s="52">
        <f>1</f>
        <v>1</v>
      </c>
      <c r="I2433" s="36"/>
      <c r="J2433" s="52">
        <v>1</v>
      </c>
      <c r="K2433" s="53">
        <f>0</f>
        <v>0</v>
      </c>
      <c r="L2433" s="53">
        <f>0</f>
        <v>0</v>
      </c>
      <c r="M2433" s="53">
        <f>0</f>
        <v>0</v>
      </c>
      <c r="N2433" s="54">
        <f t="shared" si="454"/>
        <v>0</v>
      </c>
      <c r="O2433" s="54">
        <f t="shared" si="455"/>
        <v>0</v>
      </c>
      <c r="P2433" s="54">
        <f t="shared" si="456"/>
        <v>0</v>
      </c>
      <c r="Q2433" s="54">
        <f t="shared" si="457"/>
        <v>0</v>
      </c>
      <c r="R2433" s="54">
        <f t="shared" si="458"/>
        <v>0</v>
      </c>
      <c r="S2433" s="54"/>
      <c r="T2433" s="36"/>
      <c r="XDA2433"/>
      <c r="XDB2433"/>
      <c r="XDC2433"/>
      <c r="XDD2433"/>
      <c r="XDE2433"/>
      <c r="XDF2433"/>
      <c r="XDG2433"/>
      <c r="XDH2433"/>
      <c r="XDI2433"/>
      <c r="XDJ2433"/>
      <c r="XDK2433"/>
      <c r="XDL2433"/>
      <c r="XDM2433"/>
      <c r="XDN2433"/>
      <c r="XDO2433"/>
      <c r="XDP2433"/>
      <c r="XDQ2433"/>
      <c r="XDR2433"/>
      <c r="XDS2433"/>
      <c r="XDT2433"/>
      <c r="XDU2433"/>
      <c r="XDV2433"/>
      <c r="XDW2433"/>
      <c r="XDX2433"/>
      <c r="XDY2433"/>
      <c r="XDZ2433"/>
      <c r="XEA2433"/>
      <c r="XEB2433"/>
      <c r="XEC2433"/>
      <c r="XED2433"/>
      <c r="XEE2433"/>
      <c r="XEF2433"/>
      <c r="XEG2433"/>
      <c r="XEH2433"/>
      <c r="XEI2433"/>
      <c r="XEJ2433"/>
      <c r="XEK2433"/>
      <c r="XEL2433"/>
      <c r="XEM2433"/>
      <c r="XEN2433"/>
      <c r="XEO2433"/>
      <c r="XEP2433"/>
      <c r="XEQ2433"/>
      <c r="XER2433"/>
      <c r="XES2433"/>
      <c r="XET2433"/>
      <c r="XEU2433"/>
      <c r="XEV2433"/>
      <c r="XEW2433"/>
      <c r="XEX2433"/>
      <c r="XEY2433"/>
      <c r="XEZ2433"/>
      <c r="XFA2433"/>
      <c r="XFB2433"/>
      <c r="XFC2433"/>
    </row>
    <row r="2434" spans="1:20 16329:16383" s="38" customFormat="1" ht="29.1" customHeight="1" outlineLevel="4" x14ac:dyDescent="0.25">
      <c r="A2434" s="49" t="s">
        <v>4402</v>
      </c>
      <c r="B2434" s="50"/>
      <c r="C2434" s="50"/>
      <c r="D2434" s="3" t="s">
        <v>4403</v>
      </c>
      <c r="E2434" s="3"/>
      <c r="F2434" s="51"/>
      <c r="G2434" s="50" t="s">
        <v>134</v>
      </c>
      <c r="H2434" s="52">
        <f>1</f>
        <v>1</v>
      </c>
      <c r="I2434" s="36"/>
      <c r="J2434" s="52">
        <v>1</v>
      </c>
      <c r="K2434" s="53">
        <f>0</f>
        <v>0</v>
      </c>
      <c r="L2434" s="53">
        <f>0</f>
        <v>0</v>
      </c>
      <c r="M2434" s="53">
        <f>0</f>
        <v>0</v>
      </c>
      <c r="N2434" s="54">
        <f t="shared" si="454"/>
        <v>0</v>
      </c>
      <c r="O2434" s="54">
        <f t="shared" si="455"/>
        <v>0</v>
      </c>
      <c r="P2434" s="54">
        <f t="shared" si="456"/>
        <v>0</v>
      </c>
      <c r="Q2434" s="54">
        <f t="shared" si="457"/>
        <v>0</v>
      </c>
      <c r="R2434" s="54">
        <f t="shared" si="458"/>
        <v>0</v>
      </c>
      <c r="S2434" s="54"/>
      <c r="T2434" s="36"/>
      <c r="XDA2434"/>
      <c r="XDB2434"/>
      <c r="XDC2434"/>
      <c r="XDD2434"/>
      <c r="XDE2434"/>
      <c r="XDF2434"/>
      <c r="XDG2434"/>
      <c r="XDH2434"/>
      <c r="XDI2434"/>
      <c r="XDJ2434"/>
      <c r="XDK2434"/>
      <c r="XDL2434"/>
      <c r="XDM2434"/>
      <c r="XDN2434"/>
      <c r="XDO2434"/>
      <c r="XDP2434"/>
      <c r="XDQ2434"/>
      <c r="XDR2434"/>
      <c r="XDS2434"/>
      <c r="XDT2434"/>
      <c r="XDU2434"/>
      <c r="XDV2434"/>
      <c r="XDW2434"/>
      <c r="XDX2434"/>
      <c r="XDY2434"/>
      <c r="XDZ2434"/>
      <c r="XEA2434"/>
      <c r="XEB2434"/>
      <c r="XEC2434"/>
      <c r="XED2434"/>
      <c r="XEE2434"/>
      <c r="XEF2434"/>
      <c r="XEG2434"/>
      <c r="XEH2434"/>
      <c r="XEI2434"/>
      <c r="XEJ2434"/>
      <c r="XEK2434"/>
      <c r="XEL2434"/>
      <c r="XEM2434"/>
      <c r="XEN2434"/>
      <c r="XEO2434"/>
      <c r="XEP2434"/>
      <c r="XEQ2434"/>
      <c r="XER2434"/>
      <c r="XES2434"/>
      <c r="XET2434"/>
      <c r="XEU2434"/>
      <c r="XEV2434"/>
      <c r="XEW2434"/>
      <c r="XEX2434"/>
      <c r="XEY2434"/>
      <c r="XEZ2434"/>
      <c r="XFA2434"/>
      <c r="XFB2434"/>
      <c r="XFC2434"/>
    </row>
    <row r="2435" spans="1:20 16329:16383" s="38" customFormat="1" ht="29.1" customHeight="1" outlineLevel="4" x14ac:dyDescent="0.25">
      <c r="A2435" s="49" t="s">
        <v>4404</v>
      </c>
      <c r="B2435" s="50"/>
      <c r="C2435" s="50"/>
      <c r="D2435" s="3" t="s">
        <v>4405</v>
      </c>
      <c r="E2435" s="3"/>
      <c r="F2435" s="51"/>
      <c r="G2435" s="50" t="s">
        <v>134</v>
      </c>
      <c r="H2435" s="52">
        <f>1</f>
        <v>1</v>
      </c>
      <c r="I2435" s="36"/>
      <c r="J2435" s="52">
        <v>1</v>
      </c>
      <c r="K2435" s="53">
        <f>0</f>
        <v>0</v>
      </c>
      <c r="L2435" s="53">
        <f>0</f>
        <v>0</v>
      </c>
      <c r="M2435" s="53">
        <f>0</f>
        <v>0</v>
      </c>
      <c r="N2435" s="54">
        <f t="shared" si="454"/>
        <v>0</v>
      </c>
      <c r="O2435" s="54">
        <f t="shared" si="455"/>
        <v>0</v>
      </c>
      <c r="P2435" s="54">
        <f t="shared" si="456"/>
        <v>0</v>
      </c>
      <c r="Q2435" s="54">
        <f t="shared" si="457"/>
        <v>0</v>
      </c>
      <c r="R2435" s="54">
        <f t="shared" si="458"/>
        <v>0</v>
      </c>
      <c r="S2435" s="54"/>
      <c r="T2435" s="36"/>
      <c r="XDA2435"/>
      <c r="XDB2435"/>
      <c r="XDC2435"/>
      <c r="XDD2435"/>
      <c r="XDE2435"/>
      <c r="XDF2435"/>
      <c r="XDG2435"/>
      <c r="XDH2435"/>
      <c r="XDI2435"/>
      <c r="XDJ2435"/>
      <c r="XDK2435"/>
      <c r="XDL2435"/>
      <c r="XDM2435"/>
      <c r="XDN2435"/>
      <c r="XDO2435"/>
      <c r="XDP2435"/>
      <c r="XDQ2435"/>
      <c r="XDR2435"/>
      <c r="XDS2435"/>
      <c r="XDT2435"/>
      <c r="XDU2435"/>
      <c r="XDV2435"/>
      <c r="XDW2435"/>
      <c r="XDX2435"/>
      <c r="XDY2435"/>
      <c r="XDZ2435"/>
      <c r="XEA2435"/>
      <c r="XEB2435"/>
      <c r="XEC2435"/>
      <c r="XED2435"/>
      <c r="XEE2435"/>
      <c r="XEF2435"/>
      <c r="XEG2435"/>
      <c r="XEH2435"/>
      <c r="XEI2435"/>
      <c r="XEJ2435"/>
      <c r="XEK2435"/>
      <c r="XEL2435"/>
      <c r="XEM2435"/>
      <c r="XEN2435"/>
      <c r="XEO2435"/>
      <c r="XEP2435"/>
      <c r="XEQ2435"/>
      <c r="XER2435"/>
      <c r="XES2435"/>
      <c r="XET2435"/>
      <c r="XEU2435"/>
      <c r="XEV2435"/>
      <c r="XEW2435"/>
      <c r="XEX2435"/>
      <c r="XEY2435"/>
      <c r="XEZ2435"/>
      <c r="XFA2435"/>
      <c r="XFB2435"/>
      <c r="XFC2435"/>
    </row>
    <row r="2436" spans="1:20 16329:16383" s="38" customFormat="1" ht="29.1" customHeight="1" outlineLevel="4" x14ac:dyDescent="0.25">
      <c r="A2436" s="49" t="s">
        <v>4406</v>
      </c>
      <c r="B2436" s="50"/>
      <c r="C2436" s="50"/>
      <c r="D2436" s="3" t="s">
        <v>4407</v>
      </c>
      <c r="E2436" s="3"/>
      <c r="F2436" s="51"/>
      <c r="G2436" s="50" t="s">
        <v>134</v>
      </c>
      <c r="H2436" s="52">
        <f>1</f>
        <v>1</v>
      </c>
      <c r="I2436" s="36"/>
      <c r="J2436" s="52">
        <v>1</v>
      </c>
      <c r="K2436" s="53">
        <f>0</f>
        <v>0</v>
      </c>
      <c r="L2436" s="53">
        <f>0</f>
        <v>0</v>
      </c>
      <c r="M2436" s="53">
        <f>0</f>
        <v>0</v>
      </c>
      <c r="N2436" s="54">
        <f t="shared" si="454"/>
        <v>0</v>
      </c>
      <c r="O2436" s="54">
        <f t="shared" si="455"/>
        <v>0</v>
      </c>
      <c r="P2436" s="54">
        <f t="shared" si="456"/>
        <v>0</v>
      </c>
      <c r="Q2436" s="54">
        <f t="shared" si="457"/>
        <v>0</v>
      </c>
      <c r="R2436" s="54">
        <f t="shared" si="458"/>
        <v>0</v>
      </c>
      <c r="S2436" s="54"/>
      <c r="T2436" s="36"/>
      <c r="XDA2436"/>
      <c r="XDB2436"/>
      <c r="XDC2436"/>
      <c r="XDD2436"/>
      <c r="XDE2436"/>
      <c r="XDF2436"/>
      <c r="XDG2436"/>
      <c r="XDH2436"/>
      <c r="XDI2436"/>
      <c r="XDJ2436"/>
      <c r="XDK2436"/>
      <c r="XDL2436"/>
      <c r="XDM2436"/>
      <c r="XDN2436"/>
      <c r="XDO2436"/>
      <c r="XDP2436"/>
      <c r="XDQ2436"/>
      <c r="XDR2436"/>
      <c r="XDS2436"/>
      <c r="XDT2436"/>
      <c r="XDU2436"/>
      <c r="XDV2436"/>
      <c r="XDW2436"/>
      <c r="XDX2436"/>
      <c r="XDY2436"/>
      <c r="XDZ2436"/>
      <c r="XEA2436"/>
      <c r="XEB2436"/>
      <c r="XEC2436"/>
      <c r="XED2436"/>
      <c r="XEE2436"/>
      <c r="XEF2436"/>
      <c r="XEG2436"/>
      <c r="XEH2436"/>
      <c r="XEI2436"/>
      <c r="XEJ2436"/>
      <c r="XEK2436"/>
      <c r="XEL2436"/>
      <c r="XEM2436"/>
      <c r="XEN2436"/>
      <c r="XEO2436"/>
      <c r="XEP2436"/>
      <c r="XEQ2436"/>
      <c r="XER2436"/>
      <c r="XES2436"/>
      <c r="XET2436"/>
      <c r="XEU2436"/>
      <c r="XEV2436"/>
      <c r="XEW2436"/>
      <c r="XEX2436"/>
      <c r="XEY2436"/>
      <c r="XEZ2436"/>
      <c r="XFA2436"/>
      <c r="XFB2436"/>
      <c r="XFC2436"/>
    </row>
    <row r="2437" spans="1:20 16329:16383" s="38" customFormat="1" ht="29.1" customHeight="1" outlineLevel="4" x14ac:dyDescent="0.25">
      <c r="A2437" s="49" t="s">
        <v>4408</v>
      </c>
      <c r="B2437" s="50"/>
      <c r="C2437" s="50"/>
      <c r="D2437" s="3" t="s">
        <v>4409</v>
      </c>
      <c r="E2437" s="3"/>
      <c r="F2437" s="51"/>
      <c r="G2437" s="50" t="s">
        <v>134</v>
      </c>
      <c r="H2437" s="52">
        <f>1</f>
        <v>1</v>
      </c>
      <c r="I2437" s="36"/>
      <c r="J2437" s="52">
        <v>1</v>
      </c>
      <c r="K2437" s="53">
        <f>0</f>
        <v>0</v>
      </c>
      <c r="L2437" s="53">
        <f>0</f>
        <v>0</v>
      </c>
      <c r="M2437" s="53">
        <f>0</f>
        <v>0</v>
      </c>
      <c r="N2437" s="54">
        <f t="shared" si="454"/>
        <v>0</v>
      </c>
      <c r="O2437" s="54">
        <f t="shared" si="455"/>
        <v>0</v>
      </c>
      <c r="P2437" s="54">
        <f t="shared" si="456"/>
        <v>0</v>
      </c>
      <c r="Q2437" s="54">
        <f t="shared" si="457"/>
        <v>0</v>
      </c>
      <c r="R2437" s="54">
        <f t="shared" si="458"/>
        <v>0</v>
      </c>
      <c r="S2437" s="54"/>
      <c r="T2437" s="36"/>
      <c r="XDA2437"/>
      <c r="XDB2437"/>
      <c r="XDC2437"/>
      <c r="XDD2437"/>
      <c r="XDE2437"/>
      <c r="XDF2437"/>
      <c r="XDG2437"/>
      <c r="XDH2437"/>
      <c r="XDI2437"/>
      <c r="XDJ2437"/>
      <c r="XDK2437"/>
      <c r="XDL2437"/>
      <c r="XDM2437"/>
      <c r="XDN2437"/>
      <c r="XDO2437"/>
      <c r="XDP2437"/>
      <c r="XDQ2437"/>
      <c r="XDR2437"/>
      <c r="XDS2437"/>
      <c r="XDT2437"/>
      <c r="XDU2437"/>
      <c r="XDV2437"/>
      <c r="XDW2437"/>
      <c r="XDX2437"/>
      <c r="XDY2437"/>
      <c r="XDZ2437"/>
      <c r="XEA2437"/>
      <c r="XEB2437"/>
      <c r="XEC2437"/>
      <c r="XED2437"/>
      <c r="XEE2437"/>
      <c r="XEF2437"/>
      <c r="XEG2437"/>
      <c r="XEH2437"/>
      <c r="XEI2437"/>
      <c r="XEJ2437"/>
      <c r="XEK2437"/>
      <c r="XEL2437"/>
      <c r="XEM2437"/>
      <c r="XEN2437"/>
      <c r="XEO2437"/>
      <c r="XEP2437"/>
      <c r="XEQ2437"/>
      <c r="XER2437"/>
      <c r="XES2437"/>
      <c r="XET2437"/>
      <c r="XEU2437"/>
      <c r="XEV2437"/>
      <c r="XEW2437"/>
      <c r="XEX2437"/>
      <c r="XEY2437"/>
      <c r="XEZ2437"/>
      <c r="XFA2437"/>
      <c r="XFB2437"/>
      <c r="XFC2437"/>
    </row>
    <row r="2438" spans="1:20 16329:16383" s="38" customFormat="1" ht="29.1" customHeight="1" outlineLevel="4" x14ac:dyDescent="0.25">
      <c r="A2438" s="49" t="s">
        <v>4410</v>
      </c>
      <c r="B2438" s="50"/>
      <c r="C2438" s="50"/>
      <c r="D2438" s="3" t="s">
        <v>4411</v>
      </c>
      <c r="E2438" s="3"/>
      <c r="F2438" s="51"/>
      <c r="G2438" s="50" t="s">
        <v>134</v>
      </c>
      <c r="H2438" s="52">
        <f>1</f>
        <v>1</v>
      </c>
      <c r="I2438" s="36"/>
      <c r="J2438" s="52">
        <v>1</v>
      </c>
      <c r="K2438" s="53">
        <f>0</f>
        <v>0</v>
      </c>
      <c r="L2438" s="53">
        <f>0</f>
        <v>0</v>
      </c>
      <c r="M2438" s="53">
        <f>0</f>
        <v>0</v>
      </c>
      <c r="N2438" s="54">
        <f t="shared" si="454"/>
        <v>0</v>
      </c>
      <c r="O2438" s="54">
        <f t="shared" si="455"/>
        <v>0</v>
      </c>
      <c r="P2438" s="54">
        <f t="shared" si="456"/>
        <v>0</v>
      </c>
      <c r="Q2438" s="54">
        <f t="shared" si="457"/>
        <v>0</v>
      </c>
      <c r="R2438" s="54">
        <f t="shared" si="458"/>
        <v>0</v>
      </c>
      <c r="S2438" s="54"/>
      <c r="T2438" s="36"/>
      <c r="XDA2438"/>
      <c r="XDB2438"/>
      <c r="XDC2438"/>
      <c r="XDD2438"/>
      <c r="XDE2438"/>
      <c r="XDF2438"/>
      <c r="XDG2438"/>
      <c r="XDH2438"/>
      <c r="XDI2438"/>
      <c r="XDJ2438"/>
      <c r="XDK2438"/>
      <c r="XDL2438"/>
      <c r="XDM2438"/>
      <c r="XDN2438"/>
      <c r="XDO2438"/>
      <c r="XDP2438"/>
      <c r="XDQ2438"/>
      <c r="XDR2438"/>
      <c r="XDS2438"/>
      <c r="XDT2438"/>
      <c r="XDU2438"/>
      <c r="XDV2438"/>
      <c r="XDW2438"/>
      <c r="XDX2438"/>
      <c r="XDY2438"/>
      <c r="XDZ2438"/>
      <c r="XEA2438"/>
      <c r="XEB2438"/>
      <c r="XEC2438"/>
      <c r="XED2438"/>
      <c r="XEE2438"/>
      <c r="XEF2438"/>
      <c r="XEG2438"/>
      <c r="XEH2438"/>
      <c r="XEI2438"/>
      <c r="XEJ2438"/>
      <c r="XEK2438"/>
      <c r="XEL2438"/>
      <c r="XEM2438"/>
      <c r="XEN2438"/>
      <c r="XEO2438"/>
      <c r="XEP2438"/>
      <c r="XEQ2438"/>
      <c r="XER2438"/>
      <c r="XES2438"/>
      <c r="XET2438"/>
      <c r="XEU2438"/>
      <c r="XEV2438"/>
      <c r="XEW2438"/>
      <c r="XEX2438"/>
      <c r="XEY2438"/>
      <c r="XEZ2438"/>
      <c r="XFA2438"/>
      <c r="XFB2438"/>
      <c r="XFC2438"/>
    </row>
    <row r="2439" spans="1:20 16329:16383" s="38" customFormat="1" ht="29.1" customHeight="1" outlineLevel="4" x14ac:dyDescent="0.25">
      <c r="A2439" s="49" t="s">
        <v>4412</v>
      </c>
      <c r="B2439" s="50"/>
      <c r="C2439" s="50"/>
      <c r="D2439" s="3" t="s">
        <v>4413</v>
      </c>
      <c r="E2439" s="3"/>
      <c r="F2439" s="51"/>
      <c r="G2439" s="50" t="s">
        <v>134</v>
      </c>
      <c r="H2439" s="52">
        <f>1</f>
        <v>1</v>
      </c>
      <c r="I2439" s="36"/>
      <c r="J2439" s="52">
        <v>1</v>
      </c>
      <c r="K2439" s="53">
        <f>0</f>
        <v>0</v>
      </c>
      <c r="L2439" s="53">
        <f>0</f>
        <v>0</v>
      </c>
      <c r="M2439" s="53">
        <f>0</f>
        <v>0</v>
      </c>
      <c r="N2439" s="54">
        <f t="shared" si="454"/>
        <v>0</v>
      </c>
      <c r="O2439" s="54">
        <f t="shared" si="455"/>
        <v>0</v>
      </c>
      <c r="P2439" s="54">
        <f t="shared" si="456"/>
        <v>0</v>
      </c>
      <c r="Q2439" s="54">
        <f t="shared" si="457"/>
        <v>0</v>
      </c>
      <c r="R2439" s="54">
        <f t="shared" si="458"/>
        <v>0</v>
      </c>
      <c r="S2439" s="54"/>
      <c r="T2439" s="36"/>
      <c r="XDA2439"/>
      <c r="XDB2439"/>
      <c r="XDC2439"/>
      <c r="XDD2439"/>
      <c r="XDE2439"/>
      <c r="XDF2439"/>
      <c r="XDG2439"/>
      <c r="XDH2439"/>
      <c r="XDI2439"/>
      <c r="XDJ2439"/>
      <c r="XDK2439"/>
      <c r="XDL2439"/>
      <c r="XDM2439"/>
      <c r="XDN2439"/>
      <c r="XDO2439"/>
      <c r="XDP2439"/>
      <c r="XDQ2439"/>
      <c r="XDR2439"/>
      <c r="XDS2439"/>
      <c r="XDT2439"/>
      <c r="XDU2439"/>
      <c r="XDV2439"/>
      <c r="XDW2439"/>
      <c r="XDX2439"/>
      <c r="XDY2439"/>
      <c r="XDZ2439"/>
      <c r="XEA2439"/>
      <c r="XEB2439"/>
      <c r="XEC2439"/>
      <c r="XED2439"/>
      <c r="XEE2439"/>
      <c r="XEF2439"/>
      <c r="XEG2439"/>
      <c r="XEH2439"/>
      <c r="XEI2439"/>
      <c r="XEJ2439"/>
      <c r="XEK2439"/>
      <c r="XEL2439"/>
      <c r="XEM2439"/>
      <c r="XEN2439"/>
      <c r="XEO2439"/>
      <c r="XEP2439"/>
      <c r="XEQ2439"/>
      <c r="XER2439"/>
      <c r="XES2439"/>
      <c r="XET2439"/>
      <c r="XEU2439"/>
      <c r="XEV2439"/>
      <c r="XEW2439"/>
      <c r="XEX2439"/>
      <c r="XEY2439"/>
      <c r="XEZ2439"/>
      <c r="XFA2439"/>
      <c r="XFB2439"/>
      <c r="XFC2439"/>
    </row>
    <row r="2440" spans="1:20 16329:16383" s="38" customFormat="1" ht="29.1" customHeight="1" outlineLevel="4" x14ac:dyDescent="0.25">
      <c r="A2440" s="49" t="s">
        <v>4414</v>
      </c>
      <c r="B2440" s="50"/>
      <c r="C2440" s="50"/>
      <c r="D2440" s="3" t="s">
        <v>4415</v>
      </c>
      <c r="E2440" s="3"/>
      <c r="F2440" s="51"/>
      <c r="G2440" s="50" t="s">
        <v>134</v>
      </c>
      <c r="H2440" s="52">
        <f>1</f>
        <v>1</v>
      </c>
      <c r="I2440" s="36"/>
      <c r="J2440" s="52">
        <v>1</v>
      </c>
      <c r="K2440" s="53">
        <f>0</f>
        <v>0</v>
      </c>
      <c r="L2440" s="53">
        <f>0</f>
        <v>0</v>
      </c>
      <c r="M2440" s="53">
        <f>0</f>
        <v>0</v>
      </c>
      <c r="N2440" s="54">
        <f t="shared" si="454"/>
        <v>0</v>
      </c>
      <c r="O2440" s="54">
        <f t="shared" si="455"/>
        <v>0</v>
      </c>
      <c r="P2440" s="54">
        <f t="shared" si="456"/>
        <v>0</v>
      </c>
      <c r="Q2440" s="54">
        <f t="shared" si="457"/>
        <v>0</v>
      </c>
      <c r="R2440" s="54">
        <f t="shared" si="458"/>
        <v>0</v>
      </c>
      <c r="S2440" s="54"/>
      <c r="T2440" s="36"/>
      <c r="XDA2440"/>
      <c r="XDB2440"/>
      <c r="XDC2440"/>
      <c r="XDD2440"/>
      <c r="XDE2440"/>
      <c r="XDF2440"/>
      <c r="XDG2440"/>
      <c r="XDH2440"/>
      <c r="XDI2440"/>
      <c r="XDJ2440"/>
      <c r="XDK2440"/>
      <c r="XDL2440"/>
      <c r="XDM2440"/>
      <c r="XDN2440"/>
      <c r="XDO2440"/>
      <c r="XDP2440"/>
      <c r="XDQ2440"/>
      <c r="XDR2440"/>
      <c r="XDS2440"/>
      <c r="XDT2440"/>
      <c r="XDU2440"/>
      <c r="XDV2440"/>
      <c r="XDW2440"/>
      <c r="XDX2440"/>
      <c r="XDY2440"/>
      <c r="XDZ2440"/>
      <c r="XEA2440"/>
      <c r="XEB2440"/>
      <c r="XEC2440"/>
      <c r="XED2440"/>
      <c r="XEE2440"/>
      <c r="XEF2440"/>
      <c r="XEG2440"/>
      <c r="XEH2440"/>
      <c r="XEI2440"/>
      <c r="XEJ2440"/>
      <c r="XEK2440"/>
      <c r="XEL2440"/>
      <c r="XEM2440"/>
      <c r="XEN2440"/>
      <c r="XEO2440"/>
      <c r="XEP2440"/>
      <c r="XEQ2440"/>
      <c r="XER2440"/>
      <c r="XES2440"/>
      <c r="XET2440"/>
      <c r="XEU2440"/>
      <c r="XEV2440"/>
      <c r="XEW2440"/>
      <c r="XEX2440"/>
      <c r="XEY2440"/>
      <c r="XEZ2440"/>
      <c r="XFA2440"/>
      <c r="XFB2440"/>
      <c r="XFC2440"/>
    </row>
    <row r="2441" spans="1:20 16329:16383" s="38" customFormat="1" ht="29.1" customHeight="1" outlineLevel="4" x14ac:dyDescent="0.25">
      <c r="A2441" s="49" t="s">
        <v>4416</v>
      </c>
      <c r="B2441" s="50"/>
      <c r="C2441" s="50"/>
      <c r="D2441" s="3" t="s">
        <v>4417</v>
      </c>
      <c r="E2441" s="3"/>
      <c r="F2441" s="51"/>
      <c r="G2441" s="50" t="s">
        <v>134</v>
      </c>
      <c r="H2441" s="52">
        <f>1</f>
        <v>1</v>
      </c>
      <c r="I2441" s="36"/>
      <c r="J2441" s="52">
        <v>1</v>
      </c>
      <c r="K2441" s="53">
        <f>0</f>
        <v>0</v>
      </c>
      <c r="L2441" s="53">
        <f>0</f>
        <v>0</v>
      </c>
      <c r="M2441" s="53">
        <f>0</f>
        <v>0</v>
      </c>
      <c r="N2441" s="54">
        <f t="shared" si="454"/>
        <v>0</v>
      </c>
      <c r="O2441" s="54">
        <f t="shared" si="455"/>
        <v>0</v>
      </c>
      <c r="P2441" s="54">
        <f t="shared" si="456"/>
        <v>0</v>
      </c>
      <c r="Q2441" s="54">
        <f t="shared" si="457"/>
        <v>0</v>
      </c>
      <c r="R2441" s="54">
        <f t="shared" si="458"/>
        <v>0</v>
      </c>
      <c r="S2441" s="54"/>
      <c r="T2441" s="36"/>
      <c r="XDA2441"/>
      <c r="XDB2441"/>
      <c r="XDC2441"/>
      <c r="XDD2441"/>
      <c r="XDE2441"/>
      <c r="XDF2441"/>
      <c r="XDG2441"/>
      <c r="XDH2441"/>
      <c r="XDI2441"/>
      <c r="XDJ2441"/>
      <c r="XDK2441"/>
      <c r="XDL2441"/>
      <c r="XDM2441"/>
      <c r="XDN2441"/>
      <c r="XDO2441"/>
      <c r="XDP2441"/>
      <c r="XDQ2441"/>
      <c r="XDR2441"/>
      <c r="XDS2441"/>
      <c r="XDT2441"/>
      <c r="XDU2441"/>
      <c r="XDV2441"/>
      <c r="XDW2441"/>
      <c r="XDX2441"/>
      <c r="XDY2441"/>
      <c r="XDZ2441"/>
      <c r="XEA2441"/>
      <c r="XEB2441"/>
      <c r="XEC2441"/>
      <c r="XED2441"/>
      <c r="XEE2441"/>
      <c r="XEF2441"/>
      <c r="XEG2441"/>
      <c r="XEH2441"/>
      <c r="XEI2441"/>
      <c r="XEJ2441"/>
      <c r="XEK2441"/>
      <c r="XEL2441"/>
      <c r="XEM2441"/>
      <c r="XEN2441"/>
      <c r="XEO2441"/>
      <c r="XEP2441"/>
      <c r="XEQ2441"/>
      <c r="XER2441"/>
      <c r="XES2441"/>
      <c r="XET2441"/>
      <c r="XEU2441"/>
      <c r="XEV2441"/>
      <c r="XEW2441"/>
      <c r="XEX2441"/>
      <c r="XEY2441"/>
      <c r="XEZ2441"/>
      <c r="XFA2441"/>
      <c r="XFB2441"/>
      <c r="XFC2441"/>
    </row>
    <row r="2442" spans="1:20 16329:16383" s="38" customFormat="1" ht="29.1" customHeight="1" outlineLevel="4" x14ac:dyDescent="0.25">
      <c r="A2442" s="49" t="s">
        <v>4418</v>
      </c>
      <c r="B2442" s="50"/>
      <c r="C2442" s="50"/>
      <c r="D2442" s="3" t="s">
        <v>4419</v>
      </c>
      <c r="E2442" s="3"/>
      <c r="F2442" s="51"/>
      <c r="G2442" s="50" t="s">
        <v>134</v>
      </c>
      <c r="H2442" s="52">
        <f>1</f>
        <v>1</v>
      </c>
      <c r="I2442" s="36"/>
      <c r="J2442" s="52">
        <v>1</v>
      </c>
      <c r="K2442" s="53">
        <f>0</f>
        <v>0</v>
      </c>
      <c r="L2442" s="53">
        <f>0</f>
        <v>0</v>
      </c>
      <c r="M2442" s="53">
        <f>0</f>
        <v>0</v>
      </c>
      <c r="N2442" s="54">
        <f t="shared" si="454"/>
        <v>0</v>
      </c>
      <c r="O2442" s="54">
        <f t="shared" si="455"/>
        <v>0</v>
      </c>
      <c r="P2442" s="54">
        <f t="shared" si="456"/>
        <v>0</v>
      </c>
      <c r="Q2442" s="54">
        <f t="shared" si="457"/>
        <v>0</v>
      </c>
      <c r="R2442" s="54">
        <f t="shared" si="458"/>
        <v>0</v>
      </c>
      <c r="S2442" s="54"/>
      <c r="T2442" s="36"/>
      <c r="XDA2442"/>
      <c r="XDB2442"/>
      <c r="XDC2442"/>
      <c r="XDD2442"/>
      <c r="XDE2442"/>
      <c r="XDF2442"/>
      <c r="XDG2442"/>
      <c r="XDH2442"/>
      <c r="XDI2442"/>
      <c r="XDJ2442"/>
      <c r="XDK2442"/>
      <c r="XDL2442"/>
      <c r="XDM2442"/>
      <c r="XDN2442"/>
      <c r="XDO2442"/>
      <c r="XDP2442"/>
      <c r="XDQ2442"/>
      <c r="XDR2442"/>
      <c r="XDS2442"/>
      <c r="XDT2442"/>
      <c r="XDU2442"/>
      <c r="XDV2442"/>
      <c r="XDW2442"/>
      <c r="XDX2442"/>
      <c r="XDY2442"/>
      <c r="XDZ2442"/>
      <c r="XEA2442"/>
      <c r="XEB2442"/>
      <c r="XEC2442"/>
      <c r="XED2442"/>
      <c r="XEE2442"/>
      <c r="XEF2442"/>
      <c r="XEG2442"/>
      <c r="XEH2442"/>
      <c r="XEI2442"/>
      <c r="XEJ2442"/>
      <c r="XEK2442"/>
      <c r="XEL2442"/>
      <c r="XEM2442"/>
      <c r="XEN2442"/>
      <c r="XEO2442"/>
      <c r="XEP2442"/>
      <c r="XEQ2442"/>
      <c r="XER2442"/>
      <c r="XES2442"/>
      <c r="XET2442"/>
      <c r="XEU2442"/>
      <c r="XEV2442"/>
      <c r="XEW2442"/>
      <c r="XEX2442"/>
      <c r="XEY2442"/>
      <c r="XEZ2442"/>
      <c r="XFA2442"/>
      <c r="XFB2442"/>
      <c r="XFC2442"/>
    </row>
    <row r="2443" spans="1:20 16329:16383" s="38" customFormat="1" ht="29.1" customHeight="1" outlineLevel="4" x14ac:dyDescent="0.25">
      <c r="A2443" s="49" t="s">
        <v>4420</v>
      </c>
      <c r="B2443" s="50"/>
      <c r="C2443" s="50"/>
      <c r="D2443" s="3" t="s">
        <v>4421</v>
      </c>
      <c r="E2443" s="3"/>
      <c r="F2443" s="51"/>
      <c r="G2443" s="50" t="s">
        <v>134</v>
      </c>
      <c r="H2443" s="52">
        <f>1</f>
        <v>1</v>
      </c>
      <c r="I2443" s="36"/>
      <c r="J2443" s="52">
        <v>1</v>
      </c>
      <c r="K2443" s="53">
        <f>0</f>
        <v>0</v>
      </c>
      <c r="L2443" s="53">
        <f>0</f>
        <v>0</v>
      </c>
      <c r="M2443" s="53">
        <f>0</f>
        <v>0</v>
      </c>
      <c r="N2443" s="54">
        <f t="shared" si="454"/>
        <v>0</v>
      </c>
      <c r="O2443" s="54">
        <f t="shared" si="455"/>
        <v>0</v>
      </c>
      <c r="P2443" s="54">
        <f t="shared" si="456"/>
        <v>0</v>
      </c>
      <c r="Q2443" s="54">
        <f t="shared" si="457"/>
        <v>0</v>
      </c>
      <c r="R2443" s="54">
        <f t="shared" si="458"/>
        <v>0</v>
      </c>
      <c r="S2443" s="54"/>
      <c r="T2443" s="36"/>
      <c r="XDA2443"/>
      <c r="XDB2443"/>
      <c r="XDC2443"/>
      <c r="XDD2443"/>
      <c r="XDE2443"/>
      <c r="XDF2443"/>
      <c r="XDG2443"/>
      <c r="XDH2443"/>
      <c r="XDI2443"/>
      <c r="XDJ2443"/>
      <c r="XDK2443"/>
      <c r="XDL2443"/>
      <c r="XDM2443"/>
      <c r="XDN2443"/>
      <c r="XDO2443"/>
      <c r="XDP2443"/>
      <c r="XDQ2443"/>
      <c r="XDR2443"/>
      <c r="XDS2443"/>
      <c r="XDT2443"/>
      <c r="XDU2443"/>
      <c r="XDV2443"/>
      <c r="XDW2443"/>
      <c r="XDX2443"/>
      <c r="XDY2443"/>
      <c r="XDZ2443"/>
      <c r="XEA2443"/>
      <c r="XEB2443"/>
      <c r="XEC2443"/>
      <c r="XED2443"/>
      <c r="XEE2443"/>
      <c r="XEF2443"/>
      <c r="XEG2443"/>
      <c r="XEH2443"/>
      <c r="XEI2443"/>
      <c r="XEJ2443"/>
      <c r="XEK2443"/>
      <c r="XEL2443"/>
      <c r="XEM2443"/>
      <c r="XEN2443"/>
      <c r="XEO2443"/>
      <c r="XEP2443"/>
      <c r="XEQ2443"/>
      <c r="XER2443"/>
      <c r="XES2443"/>
      <c r="XET2443"/>
      <c r="XEU2443"/>
      <c r="XEV2443"/>
      <c r="XEW2443"/>
      <c r="XEX2443"/>
      <c r="XEY2443"/>
      <c r="XEZ2443"/>
      <c r="XFA2443"/>
      <c r="XFB2443"/>
      <c r="XFC2443"/>
    </row>
    <row r="2444" spans="1:20 16329:16383" s="38" customFormat="1" ht="29.1" customHeight="1" outlineLevel="4" x14ac:dyDescent="0.25">
      <c r="A2444" s="49" t="s">
        <v>4422</v>
      </c>
      <c r="B2444" s="50"/>
      <c r="C2444" s="50"/>
      <c r="D2444" s="3" t="s">
        <v>4423</v>
      </c>
      <c r="E2444" s="3"/>
      <c r="F2444" s="51"/>
      <c r="G2444" s="50" t="s">
        <v>134</v>
      </c>
      <c r="H2444" s="52">
        <f>1</f>
        <v>1</v>
      </c>
      <c r="I2444" s="36"/>
      <c r="J2444" s="52">
        <v>1</v>
      </c>
      <c r="K2444" s="53">
        <f>0</f>
        <v>0</v>
      </c>
      <c r="L2444" s="53">
        <f>0</f>
        <v>0</v>
      </c>
      <c r="M2444" s="53">
        <f>0</f>
        <v>0</v>
      </c>
      <c r="N2444" s="54">
        <f t="shared" si="454"/>
        <v>0</v>
      </c>
      <c r="O2444" s="54">
        <f t="shared" si="455"/>
        <v>0</v>
      </c>
      <c r="P2444" s="54">
        <f t="shared" si="456"/>
        <v>0</v>
      </c>
      <c r="Q2444" s="54">
        <f t="shared" si="457"/>
        <v>0</v>
      </c>
      <c r="R2444" s="54">
        <f t="shared" si="458"/>
        <v>0</v>
      </c>
      <c r="S2444" s="54"/>
      <c r="T2444" s="36"/>
      <c r="XDA2444"/>
      <c r="XDB2444"/>
      <c r="XDC2444"/>
      <c r="XDD2444"/>
      <c r="XDE2444"/>
      <c r="XDF2444"/>
      <c r="XDG2444"/>
      <c r="XDH2444"/>
      <c r="XDI2444"/>
      <c r="XDJ2444"/>
      <c r="XDK2444"/>
      <c r="XDL2444"/>
      <c r="XDM2444"/>
      <c r="XDN2444"/>
      <c r="XDO2444"/>
      <c r="XDP2444"/>
      <c r="XDQ2444"/>
      <c r="XDR2444"/>
      <c r="XDS2444"/>
      <c r="XDT2444"/>
      <c r="XDU2444"/>
      <c r="XDV2444"/>
      <c r="XDW2444"/>
      <c r="XDX2444"/>
      <c r="XDY2444"/>
      <c r="XDZ2444"/>
      <c r="XEA2444"/>
      <c r="XEB2444"/>
      <c r="XEC2444"/>
      <c r="XED2444"/>
      <c r="XEE2444"/>
      <c r="XEF2444"/>
      <c r="XEG2444"/>
      <c r="XEH2444"/>
      <c r="XEI2444"/>
      <c r="XEJ2444"/>
      <c r="XEK2444"/>
      <c r="XEL2444"/>
      <c r="XEM2444"/>
      <c r="XEN2444"/>
      <c r="XEO2444"/>
      <c r="XEP2444"/>
      <c r="XEQ2444"/>
      <c r="XER2444"/>
      <c r="XES2444"/>
      <c r="XET2444"/>
      <c r="XEU2444"/>
      <c r="XEV2444"/>
      <c r="XEW2444"/>
      <c r="XEX2444"/>
      <c r="XEY2444"/>
      <c r="XEZ2444"/>
      <c r="XFA2444"/>
      <c r="XFB2444"/>
      <c r="XFC2444"/>
    </row>
    <row r="2445" spans="1:20 16329:16383" s="38" customFormat="1" ht="29.1" customHeight="1" outlineLevel="4" x14ac:dyDescent="0.25">
      <c r="A2445" s="49" t="s">
        <v>4424</v>
      </c>
      <c r="B2445" s="50"/>
      <c r="C2445" s="50"/>
      <c r="D2445" s="3" t="s">
        <v>4425</v>
      </c>
      <c r="E2445" s="3"/>
      <c r="F2445" s="51"/>
      <c r="G2445" s="50" t="s">
        <v>134</v>
      </c>
      <c r="H2445" s="52">
        <f>1</f>
        <v>1</v>
      </c>
      <c r="I2445" s="36"/>
      <c r="J2445" s="52">
        <v>1</v>
      </c>
      <c r="K2445" s="53">
        <f>0</f>
        <v>0</v>
      </c>
      <c r="L2445" s="53">
        <f>0</f>
        <v>0</v>
      </c>
      <c r="M2445" s="53">
        <f>0</f>
        <v>0</v>
      </c>
      <c r="N2445" s="54">
        <f t="shared" si="454"/>
        <v>0</v>
      </c>
      <c r="O2445" s="54">
        <f t="shared" si="455"/>
        <v>0</v>
      </c>
      <c r="P2445" s="54">
        <f t="shared" si="456"/>
        <v>0</v>
      </c>
      <c r="Q2445" s="54">
        <f t="shared" si="457"/>
        <v>0</v>
      </c>
      <c r="R2445" s="54">
        <f t="shared" si="458"/>
        <v>0</v>
      </c>
      <c r="S2445" s="54"/>
      <c r="T2445" s="36"/>
      <c r="XDA2445"/>
      <c r="XDB2445"/>
      <c r="XDC2445"/>
      <c r="XDD2445"/>
      <c r="XDE2445"/>
      <c r="XDF2445"/>
      <c r="XDG2445"/>
      <c r="XDH2445"/>
      <c r="XDI2445"/>
      <c r="XDJ2445"/>
      <c r="XDK2445"/>
      <c r="XDL2445"/>
      <c r="XDM2445"/>
      <c r="XDN2445"/>
      <c r="XDO2445"/>
      <c r="XDP2445"/>
      <c r="XDQ2445"/>
      <c r="XDR2445"/>
      <c r="XDS2445"/>
      <c r="XDT2445"/>
      <c r="XDU2445"/>
      <c r="XDV2445"/>
      <c r="XDW2445"/>
      <c r="XDX2445"/>
      <c r="XDY2445"/>
      <c r="XDZ2445"/>
      <c r="XEA2445"/>
      <c r="XEB2445"/>
      <c r="XEC2445"/>
      <c r="XED2445"/>
      <c r="XEE2445"/>
      <c r="XEF2445"/>
      <c r="XEG2445"/>
      <c r="XEH2445"/>
      <c r="XEI2445"/>
      <c r="XEJ2445"/>
      <c r="XEK2445"/>
      <c r="XEL2445"/>
      <c r="XEM2445"/>
      <c r="XEN2445"/>
      <c r="XEO2445"/>
      <c r="XEP2445"/>
      <c r="XEQ2445"/>
      <c r="XER2445"/>
      <c r="XES2445"/>
      <c r="XET2445"/>
      <c r="XEU2445"/>
      <c r="XEV2445"/>
      <c r="XEW2445"/>
      <c r="XEX2445"/>
      <c r="XEY2445"/>
      <c r="XEZ2445"/>
      <c r="XFA2445"/>
      <c r="XFB2445"/>
      <c r="XFC2445"/>
    </row>
    <row r="2446" spans="1:20 16329:16383" s="38" customFormat="1" ht="29.1" customHeight="1" outlineLevel="3" x14ac:dyDescent="0.25">
      <c r="A2446" s="55" t="s">
        <v>4426</v>
      </c>
      <c r="B2446" s="56" t="s">
        <v>4427</v>
      </c>
      <c r="C2446" s="56"/>
      <c r="D2446" s="2" t="s">
        <v>4428</v>
      </c>
      <c r="E2446" s="2"/>
      <c r="F2446" s="57"/>
      <c r="G2446" s="56"/>
      <c r="H2446" s="58"/>
      <c r="I2446" s="36"/>
      <c r="J2446" s="58"/>
      <c r="K2446" s="59"/>
      <c r="L2446" s="59"/>
      <c r="M2446" s="59"/>
      <c r="N2446" s="59"/>
      <c r="O2446" s="59">
        <f>SUM(O2447:O2459)</f>
        <v>0</v>
      </c>
      <c r="P2446" s="59">
        <f>SUM(P2447:P2459)</f>
        <v>0</v>
      </c>
      <c r="Q2446" s="59">
        <f>SUM(Q2447:Q2459)</f>
        <v>0</v>
      </c>
      <c r="R2446" s="59">
        <f>SUM(R2447:R2459)</f>
        <v>0</v>
      </c>
      <c r="S2446" s="59"/>
      <c r="T2446" s="36"/>
      <c r="XDA2446"/>
      <c r="XDB2446"/>
      <c r="XDC2446"/>
      <c r="XDD2446"/>
      <c r="XDE2446"/>
      <c r="XDF2446"/>
      <c r="XDG2446"/>
      <c r="XDH2446"/>
      <c r="XDI2446"/>
      <c r="XDJ2446"/>
      <c r="XDK2446"/>
      <c r="XDL2446"/>
      <c r="XDM2446"/>
      <c r="XDN2446"/>
      <c r="XDO2446"/>
      <c r="XDP2446"/>
      <c r="XDQ2446"/>
      <c r="XDR2446"/>
      <c r="XDS2446"/>
      <c r="XDT2446"/>
      <c r="XDU2446"/>
      <c r="XDV2446"/>
      <c r="XDW2446"/>
      <c r="XDX2446"/>
      <c r="XDY2446"/>
      <c r="XDZ2446"/>
      <c r="XEA2446"/>
      <c r="XEB2446"/>
      <c r="XEC2446"/>
      <c r="XED2446"/>
      <c r="XEE2446"/>
      <c r="XEF2446"/>
      <c r="XEG2446"/>
      <c r="XEH2446"/>
      <c r="XEI2446"/>
      <c r="XEJ2446"/>
      <c r="XEK2446"/>
      <c r="XEL2446"/>
      <c r="XEM2446"/>
      <c r="XEN2446"/>
      <c r="XEO2446"/>
      <c r="XEP2446"/>
      <c r="XEQ2446"/>
      <c r="XER2446"/>
      <c r="XES2446"/>
      <c r="XET2446"/>
      <c r="XEU2446"/>
      <c r="XEV2446"/>
      <c r="XEW2446"/>
      <c r="XEX2446"/>
      <c r="XEY2446"/>
      <c r="XEZ2446"/>
      <c r="XFA2446"/>
      <c r="XFB2446"/>
      <c r="XFC2446"/>
    </row>
    <row r="2447" spans="1:20 16329:16383" s="38" customFormat="1" ht="29.1" customHeight="1" outlineLevel="4" x14ac:dyDescent="0.25">
      <c r="A2447" s="49" t="s">
        <v>4429</v>
      </c>
      <c r="B2447" s="50"/>
      <c r="C2447" s="50"/>
      <c r="D2447" s="3" t="s">
        <v>4430</v>
      </c>
      <c r="E2447" s="3"/>
      <c r="F2447" s="51"/>
      <c r="G2447" s="50" t="s">
        <v>134</v>
      </c>
      <c r="H2447" s="52">
        <f>1</f>
        <v>1</v>
      </c>
      <c r="I2447" s="36"/>
      <c r="J2447" s="52">
        <v>1</v>
      </c>
      <c r="K2447" s="53">
        <f>0</f>
        <v>0</v>
      </c>
      <c r="L2447" s="53">
        <f>0</f>
        <v>0</v>
      </c>
      <c r="M2447" s="53">
        <f>0</f>
        <v>0</v>
      </c>
      <c r="N2447" s="54">
        <f t="shared" ref="N2447:N2459" si="459">SUM(K2447:M2447)</f>
        <v>0</v>
      </c>
      <c r="O2447" s="54">
        <f t="shared" ref="O2447:O2459" si="460">ROUND((H2447*K2447),2)</f>
        <v>0</v>
      </c>
      <c r="P2447" s="54">
        <f t="shared" ref="P2447:P2459" si="461">ROUND((H2447*L2447),2)</f>
        <v>0</v>
      </c>
      <c r="Q2447" s="54">
        <f t="shared" ref="Q2447:Q2459" si="462">ROUND((H2447*M2447),2)</f>
        <v>0</v>
      </c>
      <c r="R2447" s="54">
        <f t="shared" ref="R2447:R2459" si="463">ROUND((H2447*N2447),2)</f>
        <v>0</v>
      </c>
      <c r="S2447" s="54"/>
      <c r="T2447" s="36"/>
      <c r="XDA2447"/>
      <c r="XDB2447"/>
      <c r="XDC2447"/>
      <c r="XDD2447"/>
      <c r="XDE2447"/>
      <c r="XDF2447"/>
      <c r="XDG2447"/>
      <c r="XDH2447"/>
      <c r="XDI2447"/>
      <c r="XDJ2447"/>
      <c r="XDK2447"/>
      <c r="XDL2447"/>
      <c r="XDM2447"/>
      <c r="XDN2447"/>
      <c r="XDO2447"/>
      <c r="XDP2447"/>
      <c r="XDQ2447"/>
      <c r="XDR2447"/>
      <c r="XDS2447"/>
      <c r="XDT2447"/>
      <c r="XDU2447"/>
      <c r="XDV2447"/>
      <c r="XDW2447"/>
      <c r="XDX2447"/>
      <c r="XDY2447"/>
      <c r="XDZ2447"/>
      <c r="XEA2447"/>
      <c r="XEB2447"/>
      <c r="XEC2447"/>
      <c r="XED2447"/>
      <c r="XEE2447"/>
      <c r="XEF2447"/>
      <c r="XEG2447"/>
      <c r="XEH2447"/>
      <c r="XEI2447"/>
      <c r="XEJ2447"/>
      <c r="XEK2447"/>
      <c r="XEL2447"/>
      <c r="XEM2447"/>
      <c r="XEN2447"/>
      <c r="XEO2447"/>
      <c r="XEP2447"/>
      <c r="XEQ2447"/>
      <c r="XER2447"/>
      <c r="XES2447"/>
      <c r="XET2447"/>
      <c r="XEU2447"/>
      <c r="XEV2447"/>
      <c r="XEW2447"/>
      <c r="XEX2447"/>
      <c r="XEY2447"/>
      <c r="XEZ2447"/>
      <c r="XFA2447"/>
      <c r="XFB2447"/>
      <c r="XFC2447"/>
    </row>
    <row r="2448" spans="1:20 16329:16383" s="38" customFormat="1" ht="29.1" customHeight="1" outlineLevel="4" x14ac:dyDescent="0.25">
      <c r="A2448" s="49" t="s">
        <v>4431</v>
      </c>
      <c r="B2448" s="50"/>
      <c r="C2448" s="50"/>
      <c r="D2448" s="3" t="s">
        <v>4430</v>
      </c>
      <c r="E2448" s="3"/>
      <c r="F2448" s="51"/>
      <c r="G2448" s="50" t="s">
        <v>134</v>
      </c>
      <c r="H2448" s="52">
        <f>1</f>
        <v>1</v>
      </c>
      <c r="I2448" s="36"/>
      <c r="J2448" s="52">
        <v>1</v>
      </c>
      <c r="K2448" s="53">
        <f>0</f>
        <v>0</v>
      </c>
      <c r="L2448" s="53">
        <f>0</f>
        <v>0</v>
      </c>
      <c r="M2448" s="53">
        <f>0</f>
        <v>0</v>
      </c>
      <c r="N2448" s="54">
        <f t="shared" si="459"/>
        <v>0</v>
      </c>
      <c r="O2448" s="54">
        <f t="shared" si="460"/>
        <v>0</v>
      </c>
      <c r="P2448" s="54">
        <f t="shared" si="461"/>
        <v>0</v>
      </c>
      <c r="Q2448" s="54">
        <f t="shared" si="462"/>
        <v>0</v>
      </c>
      <c r="R2448" s="54">
        <f t="shared" si="463"/>
        <v>0</v>
      </c>
      <c r="S2448" s="54"/>
      <c r="T2448" s="36"/>
      <c r="XDA2448"/>
      <c r="XDB2448"/>
      <c r="XDC2448"/>
      <c r="XDD2448"/>
      <c r="XDE2448"/>
      <c r="XDF2448"/>
      <c r="XDG2448"/>
      <c r="XDH2448"/>
      <c r="XDI2448"/>
      <c r="XDJ2448"/>
      <c r="XDK2448"/>
      <c r="XDL2448"/>
      <c r="XDM2448"/>
      <c r="XDN2448"/>
      <c r="XDO2448"/>
      <c r="XDP2448"/>
      <c r="XDQ2448"/>
      <c r="XDR2448"/>
      <c r="XDS2448"/>
      <c r="XDT2448"/>
      <c r="XDU2448"/>
      <c r="XDV2448"/>
      <c r="XDW2448"/>
      <c r="XDX2448"/>
      <c r="XDY2448"/>
      <c r="XDZ2448"/>
      <c r="XEA2448"/>
      <c r="XEB2448"/>
      <c r="XEC2448"/>
      <c r="XED2448"/>
      <c r="XEE2448"/>
      <c r="XEF2448"/>
      <c r="XEG2448"/>
      <c r="XEH2448"/>
      <c r="XEI2448"/>
      <c r="XEJ2448"/>
      <c r="XEK2448"/>
      <c r="XEL2448"/>
      <c r="XEM2448"/>
      <c r="XEN2448"/>
      <c r="XEO2448"/>
      <c r="XEP2448"/>
      <c r="XEQ2448"/>
      <c r="XER2448"/>
      <c r="XES2448"/>
      <c r="XET2448"/>
      <c r="XEU2448"/>
      <c r="XEV2448"/>
      <c r="XEW2448"/>
      <c r="XEX2448"/>
      <c r="XEY2448"/>
      <c r="XEZ2448"/>
      <c r="XFA2448"/>
      <c r="XFB2448"/>
      <c r="XFC2448"/>
    </row>
    <row r="2449" spans="1:20 16329:16383" s="38" customFormat="1" ht="29.1" customHeight="1" outlineLevel="4" x14ac:dyDescent="0.25">
      <c r="A2449" s="49" t="s">
        <v>4432</v>
      </c>
      <c r="B2449" s="50"/>
      <c r="C2449" s="50"/>
      <c r="D2449" s="3" t="s">
        <v>4433</v>
      </c>
      <c r="E2449" s="3"/>
      <c r="F2449" s="51"/>
      <c r="G2449" s="50" t="s">
        <v>134</v>
      </c>
      <c r="H2449" s="52">
        <f>1</f>
        <v>1</v>
      </c>
      <c r="I2449" s="36"/>
      <c r="J2449" s="52">
        <v>1</v>
      </c>
      <c r="K2449" s="53">
        <f>0</f>
        <v>0</v>
      </c>
      <c r="L2449" s="53">
        <f>0</f>
        <v>0</v>
      </c>
      <c r="M2449" s="53">
        <f>0</f>
        <v>0</v>
      </c>
      <c r="N2449" s="54">
        <f t="shared" si="459"/>
        <v>0</v>
      </c>
      <c r="O2449" s="54">
        <f t="shared" si="460"/>
        <v>0</v>
      </c>
      <c r="P2449" s="54">
        <f t="shared" si="461"/>
        <v>0</v>
      </c>
      <c r="Q2449" s="54">
        <f t="shared" si="462"/>
        <v>0</v>
      </c>
      <c r="R2449" s="54">
        <f t="shared" si="463"/>
        <v>0</v>
      </c>
      <c r="S2449" s="54"/>
      <c r="T2449" s="36"/>
      <c r="XDA2449"/>
      <c r="XDB2449"/>
      <c r="XDC2449"/>
      <c r="XDD2449"/>
      <c r="XDE2449"/>
      <c r="XDF2449"/>
      <c r="XDG2449"/>
      <c r="XDH2449"/>
      <c r="XDI2449"/>
      <c r="XDJ2449"/>
      <c r="XDK2449"/>
      <c r="XDL2449"/>
      <c r="XDM2449"/>
      <c r="XDN2449"/>
      <c r="XDO2449"/>
      <c r="XDP2449"/>
      <c r="XDQ2449"/>
      <c r="XDR2449"/>
      <c r="XDS2449"/>
      <c r="XDT2449"/>
      <c r="XDU2449"/>
      <c r="XDV2449"/>
      <c r="XDW2449"/>
      <c r="XDX2449"/>
      <c r="XDY2449"/>
      <c r="XDZ2449"/>
      <c r="XEA2449"/>
      <c r="XEB2449"/>
      <c r="XEC2449"/>
      <c r="XED2449"/>
      <c r="XEE2449"/>
      <c r="XEF2449"/>
      <c r="XEG2449"/>
      <c r="XEH2449"/>
      <c r="XEI2449"/>
      <c r="XEJ2449"/>
      <c r="XEK2449"/>
      <c r="XEL2449"/>
      <c r="XEM2449"/>
      <c r="XEN2449"/>
      <c r="XEO2449"/>
      <c r="XEP2449"/>
      <c r="XEQ2449"/>
      <c r="XER2449"/>
      <c r="XES2449"/>
      <c r="XET2449"/>
      <c r="XEU2449"/>
      <c r="XEV2449"/>
      <c r="XEW2449"/>
      <c r="XEX2449"/>
      <c r="XEY2449"/>
      <c r="XEZ2449"/>
      <c r="XFA2449"/>
      <c r="XFB2449"/>
      <c r="XFC2449"/>
    </row>
    <row r="2450" spans="1:20 16329:16383" s="38" customFormat="1" ht="29.1" customHeight="1" outlineLevel="4" x14ac:dyDescent="0.25">
      <c r="A2450" s="49" t="s">
        <v>4434</v>
      </c>
      <c r="B2450" s="50"/>
      <c r="C2450" s="50"/>
      <c r="D2450" s="3" t="s">
        <v>4435</v>
      </c>
      <c r="E2450" s="3"/>
      <c r="F2450" s="51"/>
      <c r="G2450" s="50" t="s">
        <v>134</v>
      </c>
      <c r="H2450" s="52">
        <f>1</f>
        <v>1</v>
      </c>
      <c r="I2450" s="36"/>
      <c r="J2450" s="52">
        <v>1</v>
      </c>
      <c r="K2450" s="53">
        <f>0</f>
        <v>0</v>
      </c>
      <c r="L2450" s="53">
        <f>0</f>
        <v>0</v>
      </c>
      <c r="M2450" s="53">
        <f>0</f>
        <v>0</v>
      </c>
      <c r="N2450" s="54">
        <f t="shared" si="459"/>
        <v>0</v>
      </c>
      <c r="O2450" s="54">
        <f t="shared" si="460"/>
        <v>0</v>
      </c>
      <c r="P2450" s="54">
        <f t="shared" si="461"/>
        <v>0</v>
      </c>
      <c r="Q2450" s="54">
        <f t="shared" si="462"/>
        <v>0</v>
      </c>
      <c r="R2450" s="54">
        <f t="shared" si="463"/>
        <v>0</v>
      </c>
      <c r="S2450" s="54"/>
      <c r="T2450" s="36"/>
      <c r="XDA2450"/>
      <c r="XDB2450"/>
      <c r="XDC2450"/>
      <c r="XDD2450"/>
      <c r="XDE2450"/>
      <c r="XDF2450"/>
      <c r="XDG2450"/>
      <c r="XDH2450"/>
      <c r="XDI2450"/>
      <c r="XDJ2450"/>
      <c r="XDK2450"/>
      <c r="XDL2450"/>
      <c r="XDM2450"/>
      <c r="XDN2450"/>
      <c r="XDO2450"/>
      <c r="XDP2450"/>
      <c r="XDQ2450"/>
      <c r="XDR2450"/>
      <c r="XDS2450"/>
      <c r="XDT2450"/>
      <c r="XDU2450"/>
      <c r="XDV2450"/>
      <c r="XDW2450"/>
      <c r="XDX2450"/>
      <c r="XDY2450"/>
      <c r="XDZ2450"/>
      <c r="XEA2450"/>
      <c r="XEB2450"/>
      <c r="XEC2450"/>
      <c r="XED2450"/>
      <c r="XEE2450"/>
      <c r="XEF2450"/>
      <c r="XEG2450"/>
      <c r="XEH2450"/>
      <c r="XEI2450"/>
      <c r="XEJ2450"/>
      <c r="XEK2450"/>
      <c r="XEL2450"/>
      <c r="XEM2450"/>
      <c r="XEN2450"/>
      <c r="XEO2450"/>
      <c r="XEP2450"/>
      <c r="XEQ2450"/>
      <c r="XER2450"/>
      <c r="XES2450"/>
      <c r="XET2450"/>
      <c r="XEU2450"/>
      <c r="XEV2450"/>
      <c r="XEW2450"/>
      <c r="XEX2450"/>
      <c r="XEY2450"/>
      <c r="XEZ2450"/>
      <c r="XFA2450"/>
      <c r="XFB2450"/>
      <c r="XFC2450"/>
    </row>
    <row r="2451" spans="1:20 16329:16383" s="38" customFormat="1" ht="29.1" customHeight="1" outlineLevel="4" x14ac:dyDescent="0.25">
      <c r="A2451" s="49" t="s">
        <v>4436</v>
      </c>
      <c r="B2451" s="50"/>
      <c r="C2451" s="50"/>
      <c r="D2451" s="3" t="s">
        <v>4437</v>
      </c>
      <c r="E2451" s="3"/>
      <c r="F2451" s="51"/>
      <c r="G2451" s="50" t="s">
        <v>134</v>
      </c>
      <c r="H2451" s="52">
        <f>1</f>
        <v>1</v>
      </c>
      <c r="I2451" s="36"/>
      <c r="J2451" s="52">
        <v>1</v>
      </c>
      <c r="K2451" s="53">
        <f>0</f>
        <v>0</v>
      </c>
      <c r="L2451" s="53">
        <f>0</f>
        <v>0</v>
      </c>
      <c r="M2451" s="53">
        <f>0</f>
        <v>0</v>
      </c>
      <c r="N2451" s="54">
        <f t="shared" si="459"/>
        <v>0</v>
      </c>
      <c r="O2451" s="54">
        <f t="shared" si="460"/>
        <v>0</v>
      </c>
      <c r="P2451" s="54">
        <f t="shared" si="461"/>
        <v>0</v>
      </c>
      <c r="Q2451" s="54">
        <f t="shared" si="462"/>
        <v>0</v>
      </c>
      <c r="R2451" s="54">
        <f t="shared" si="463"/>
        <v>0</v>
      </c>
      <c r="S2451" s="54"/>
      <c r="T2451" s="36"/>
      <c r="XDA2451"/>
      <c r="XDB2451"/>
      <c r="XDC2451"/>
      <c r="XDD2451"/>
      <c r="XDE2451"/>
      <c r="XDF2451"/>
      <c r="XDG2451"/>
      <c r="XDH2451"/>
      <c r="XDI2451"/>
      <c r="XDJ2451"/>
      <c r="XDK2451"/>
      <c r="XDL2451"/>
      <c r="XDM2451"/>
      <c r="XDN2451"/>
      <c r="XDO2451"/>
      <c r="XDP2451"/>
      <c r="XDQ2451"/>
      <c r="XDR2451"/>
      <c r="XDS2451"/>
      <c r="XDT2451"/>
      <c r="XDU2451"/>
      <c r="XDV2451"/>
      <c r="XDW2451"/>
      <c r="XDX2451"/>
      <c r="XDY2451"/>
      <c r="XDZ2451"/>
      <c r="XEA2451"/>
      <c r="XEB2451"/>
      <c r="XEC2451"/>
      <c r="XED2451"/>
      <c r="XEE2451"/>
      <c r="XEF2451"/>
      <c r="XEG2451"/>
      <c r="XEH2451"/>
      <c r="XEI2451"/>
      <c r="XEJ2451"/>
      <c r="XEK2451"/>
      <c r="XEL2451"/>
      <c r="XEM2451"/>
      <c r="XEN2451"/>
      <c r="XEO2451"/>
      <c r="XEP2451"/>
      <c r="XEQ2451"/>
      <c r="XER2451"/>
      <c r="XES2451"/>
      <c r="XET2451"/>
      <c r="XEU2451"/>
      <c r="XEV2451"/>
      <c r="XEW2451"/>
      <c r="XEX2451"/>
      <c r="XEY2451"/>
      <c r="XEZ2451"/>
      <c r="XFA2451"/>
      <c r="XFB2451"/>
      <c r="XFC2451"/>
    </row>
    <row r="2452" spans="1:20 16329:16383" s="38" customFormat="1" ht="29.1" customHeight="1" outlineLevel="4" x14ac:dyDescent="0.25">
      <c r="A2452" s="49" t="s">
        <v>4438</v>
      </c>
      <c r="B2452" s="50"/>
      <c r="C2452" s="50"/>
      <c r="D2452" s="3" t="s">
        <v>4409</v>
      </c>
      <c r="E2452" s="3"/>
      <c r="F2452" s="51"/>
      <c r="G2452" s="50" t="s">
        <v>134</v>
      </c>
      <c r="H2452" s="52">
        <f>1</f>
        <v>1</v>
      </c>
      <c r="I2452" s="36"/>
      <c r="J2452" s="52">
        <v>1</v>
      </c>
      <c r="K2452" s="53">
        <f>0</f>
        <v>0</v>
      </c>
      <c r="L2452" s="53">
        <f>0</f>
        <v>0</v>
      </c>
      <c r="M2452" s="53">
        <f>0</f>
        <v>0</v>
      </c>
      <c r="N2452" s="54">
        <f t="shared" si="459"/>
        <v>0</v>
      </c>
      <c r="O2452" s="54">
        <f t="shared" si="460"/>
        <v>0</v>
      </c>
      <c r="P2452" s="54">
        <f t="shared" si="461"/>
        <v>0</v>
      </c>
      <c r="Q2452" s="54">
        <f t="shared" si="462"/>
        <v>0</v>
      </c>
      <c r="R2452" s="54">
        <f t="shared" si="463"/>
        <v>0</v>
      </c>
      <c r="S2452" s="54"/>
      <c r="T2452" s="36"/>
      <c r="XDA2452"/>
      <c r="XDB2452"/>
      <c r="XDC2452"/>
      <c r="XDD2452"/>
      <c r="XDE2452"/>
      <c r="XDF2452"/>
      <c r="XDG2452"/>
      <c r="XDH2452"/>
      <c r="XDI2452"/>
      <c r="XDJ2452"/>
      <c r="XDK2452"/>
      <c r="XDL2452"/>
      <c r="XDM2452"/>
      <c r="XDN2452"/>
      <c r="XDO2452"/>
      <c r="XDP2452"/>
      <c r="XDQ2452"/>
      <c r="XDR2452"/>
      <c r="XDS2452"/>
      <c r="XDT2452"/>
      <c r="XDU2452"/>
      <c r="XDV2452"/>
      <c r="XDW2452"/>
      <c r="XDX2452"/>
      <c r="XDY2452"/>
      <c r="XDZ2452"/>
      <c r="XEA2452"/>
      <c r="XEB2452"/>
      <c r="XEC2452"/>
      <c r="XED2452"/>
      <c r="XEE2452"/>
      <c r="XEF2452"/>
      <c r="XEG2452"/>
      <c r="XEH2452"/>
      <c r="XEI2452"/>
      <c r="XEJ2452"/>
      <c r="XEK2452"/>
      <c r="XEL2452"/>
      <c r="XEM2452"/>
      <c r="XEN2452"/>
      <c r="XEO2452"/>
      <c r="XEP2452"/>
      <c r="XEQ2452"/>
      <c r="XER2452"/>
      <c r="XES2452"/>
      <c r="XET2452"/>
      <c r="XEU2452"/>
      <c r="XEV2452"/>
      <c r="XEW2452"/>
      <c r="XEX2452"/>
      <c r="XEY2452"/>
      <c r="XEZ2452"/>
      <c r="XFA2452"/>
      <c r="XFB2452"/>
      <c r="XFC2452"/>
    </row>
    <row r="2453" spans="1:20 16329:16383" s="38" customFormat="1" ht="29.1" customHeight="1" outlineLevel="4" x14ac:dyDescent="0.25">
      <c r="A2453" s="49" t="s">
        <v>4439</v>
      </c>
      <c r="B2453" s="50"/>
      <c r="C2453" s="50"/>
      <c r="D2453" s="3" t="s">
        <v>4440</v>
      </c>
      <c r="E2453" s="3"/>
      <c r="F2453" s="51"/>
      <c r="G2453" s="50" t="s">
        <v>134</v>
      </c>
      <c r="H2453" s="52">
        <f>1</f>
        <v>1</v>
      </c>
      <c r="I2453" s="36"/>
      <c r="J2453" s="52">
        <v>1</v>
      </c>
      <c r="K2453" s="53">
        <f>0</f>
        <v>0</v>
      </c>
      <c r="L2453" s="53">
        <f>0</f>
        <v>0</v>
      </c>
      <c r="M2453" s="53">
        <f>0</f>
        <v>0</v>
      </c>
      <c r="N2453" s="54">
        <f t="shared" si="459"/>
        <v>0</v>
      </c>
      <c r="O2453" s="54">
        <f t="shared" si="460"/>
        <v>0</v>
      </c>
      <c r="P2453" s="54">
        <f t="shared" si="461"/>
        <v>0</v>
      </c>
      <c r="Q2453" s="54">
        <f t="shared" si="462"/>
        <v>0</v>
      </c>
      <c r="R2453" s="54">
        <f t="shared" si="463"/>
        <v>0</v>
      </c>
      <c r="S2453" s="54"/>
      <c r="T2453" s="36"/>
      <c r="XDA2453"/>
      <c r="XDB2453"/>
      <c r="XDC2453"/>
      <c r="XDD2453"/>
      <c r="XDE2453"/>
      <c r="XDF2453"/>
      <c r="XDG2453"/>
      <c r="XDH2453"/>
      <c r="XDI2453"/>
      <c r="XDJ2453"/>
      <c r="XDK2453"/>
      <c r="XDL2453"/>
      <c r="XDM2453"/>
      <c r="XDN2453"/>
      <c r="XDO2453"/>
      <c r="XDP2453"/>
      <c r="XDQ2453"/>
      <c r="XDR2453"/>
      <c r="XDS2453"/>
      <c r="XDT2453"/>
      <c r="XDU2453"/>
      <c r="XDV2453"/>
      <c r="XDW2453"/>
      <c r="XDX2453"/>
      <c r="XDY2453"/>
      <c r="XDZ2453"/>
      <c r="XEA2453"/>
      <c r="XEB2453"/>
      <c r="XEC2453"/>
      <c r="XED2453"/>
      <c r="XEE2453"/>
      <c r="XEF2453"/>
      <c r="XEG2453"/>
      <c r="XEH2453"/>
      <c r="XEI2453"/>
      <c r="XEJ2453"/>
      <c r="XEK2453"/>
      <c r="XEL2453"/>
      <c r="XEM2453"/>
      <c r="XEN2453"/>
      <c r="XEO2453"/>
      <c r="XEP2453"/>
      <c r="XEQ2453"/>
      <c r="XER2453"/>
      <c r="XES2453"/>
      <c r="XET2453"/>
      <c r="XEU2453"/>
      <c r="XEV2453"/>
      <c r="XEW2453"/>
      <c r="XEX2453"/>
      <c r="XEY2453"/>
      <c r="XEZ2453"/>
      <c r="XFA2453"/>
      <c r="XFB2453"/>
      <c r="XFC2453"/>
    </row>
    <row r="2454" spans="1:20 16329:16383" s="38" customFormat="1" ht="29.1" customHeight="1" outlineLevel="4" x14ac:dyDescent="0.25">
      <c r="A2454" s="49" t="s">
        <v>4441</v>
      </c>
      <c r="B2454" s="50"/>
      <c r="C2454" s="50"/>
      <c r="D2454" s="3" t="s">
        <v>4379</v>
      </c>
      <c r="E2454" s="3"/>
      <c r="F2454" s="51"/>
      <c r="G2454" s="50" t="s">
        <v>134</v>
      </c>
      <c r="H2454" s="52">
        <f>1</f>
        <v>1</v>
      </c>
      <c r="I2454" s="36"/>
      <c r="J2454" s="52">
        <v>1</v>
      </c>
      <c r="K2454" s="53">
        <f>0</f>
        <v>0</v>
      </c>
      <c r="L2454" s="53">
        <f>0</f>
        <v>0</v>
      </c>
      <c r="M2454" s="53">
        <f>0</f>
        <v>0</v>
      </c>
      <c r="N2454" s="54">
        <f t="shared" si="459"/>
        <v>0</v>
      </c>
      <c r="O2454" s="54">
        <f t="shared" si="460"/>
        <v>0</v>
      </c>
      <c r="P2454" s="54">
        <f t="shared" si="461"/>
        <v>0</v>
      </c>
      <c r="Q2454" s="54">
        <f t="shared" si="462"/>
        <v>0</v>
      </c>
      <c r="R2454" s="54">
        <f t="shared" si="463"/>
        <v>0</v>
      </c>
      <c r="S2454" s="54"/>
      <c r="T2454" s="36"/>
      <c r="XDA2454"/>
      <c r="XDB2454"/>
      <c r="XDC2454"/>
      <c r="XDD2454"/>
      <c r="XDE2454"/>
      <c r="XDF2454"/>
      <c r="XDG2454"/>
      <c r="XDH2454"/>
      <c r="XDI2454"/>
      <c r="XDJ2454"/>
      <c r="XDK2454"/>
      <c r="XDL2454"/>
      <c r="XDM2454"/>
      <c r="XDN2454"/>
      <c r="XDO2454"/>
      <c r="XDP2454"/>
      <c r="XDQ2454"/>
      <c r="XDR2454"/>
      <c r="XDS2454"/>
      <c r="XDT2454"/>
      <c r="XDU2454"/>
      <c r="XDV2454"/>
      <c r="XDW2454"/>
      <c r="XDX2454"/>
      <c r="XDY2454"/>
      <c r="XDZ2454"/>
      <c r="XEA2454"/>
      <c r="XEB2454"/>
      <c r="XEC2454"/>
      <c r="XED2454"/>
      <c r="XEE2454"/>
      <c r="XEF2454"/>
      <c r="XEG2454"/>
      <c r="XEH2454"/>
      <c r="XEI2454"/>
      <c r="XEJ2454"/>
      <c r="XEK2454"/>
      <c r="XEL2454"/>
      <c r="XEM2454"/>
      <c r="XEN2454"/>
      <c r="XEO2454"/>
      <c r="XEP2454"/>
      <c r="XEQ2454"/>
      <c r="XER2454"/>
      <c r="XES2454"/>
      <c r="XET2454"/>
      <c r="XEU2454"/>
      <c r="XEV2454"/>
      <c r="XEW2454"/>
      <c r="XEX2454"/>
      <c r="XEY2454"/>
      <c r="XEZ2454"/>
      <c r="XFA2454"/>
      <c r="XFB2454"/>
      <c r="XFC2454"/>
    </row>
    <row r="2455" spans="1:20 16329:16383" s="38" customFormat="1" ht="29.1" customHeight="1" outlineLevel="4" x14ac:dyDescent="0.25">
      <c r="A2455" s="49" t="s">
        <v>4442</v>
      </c>
      <c r="B2455" s="50"/>
      <c r="C2455" s="50"/>
      <c r="D2455" s="3" t="s">
        <v>4443</v>
      </c>
      <c r="E2455" s="3"/>
      <c r="F2455" s="51"/>
      <c r="G2455" s="50" t="s">
        <v>134</v>
      </c>
      <c r="H2455" s="52">
        <f>1</f>
        <v>1</v>
      </c>
      <c r="I2455" s="36"/>
      <c r="J2455" s="52">
        <v>1</v>
      </c>
      <c r="K2455" s="53">
        <f>0</f>
        <v>0</v>
      </c>
      <c r="L2455" s="53">
        <f>0</f>
        <v>0</v>
      </c>
      <c r="M2455" s="53">
        <f>0</f>
        <v>0</v>
      </c>
      <c r="N2455" s="54">
        <f t="shared" si="459"/>
        <v>0</v>
      </c>
      <c r="O2455" s="54">
        <f t="shared" si="460"/>
        <v>0</v>
      </c>
      <c r="P2455" s="54">
        <f t="shared" si="461"/>
        <v>0</v>
      </c>
      <c r="Q2455" s="54">
        <f t="shared" si="462"/>
        <v>0</v>
      </c>
      <c r="R2455" s="54">
        <f t="shared" si="463"/>
        <v>0</v>
      </c>
      <c r="S2455" s="54"/>
      <c r="T2455" s="36"/>
      <c r="XDA2455"/>
      <c r="XDB2455"/>
      <c r="XDC2455"/>
      <c r="XDD2455"/>
      <c r="XDE2455"/>
      <c r="XDF2455"/>
      <c r="XDG2455"/>
      <c r="XDH2455"/>
      <c r="XDI2455"/>
      <c r="XDJ2455"/>
      <c r="XDK2455"/>
      <c r="XDL2455"/>
      <c r="XDM2455"/>
      <c r="XDN2455"/>
      <c r="XDO2455"/>
      <c r="XDP2455"/>
      <c r="XDQ2455"/>
      <c r="XDR2455"/>
      <c r="XDS2455"/>
      <c r="XDT2455"/>
      <c r="XDU2455"/>
      <c r="XDV2455"/>
      <c r="XDW2455"/>
      <c r="XDX2455"/>
      <c r="XDY2455"/>
      <c r="XDZ2455"/>
      <c r="XEA2455"/>
      <c r="XEB2455"/>
      <c r="XEC2455"/>
      <c r="XED2455"/>
      <c r="XEE2455"/>
      <c r="XEF2455"/>
      <c r="XEG2455"/>
      <c r="XEH2455"/>
      <c r="XEI2455"/>
      <c r="XEJ2455"/>
      <c r="XEK2455"/>
      <c r="XEL2455"/>
      <c r="XEM2455"/>
      <c r="XEN2455"/>
      <c r="XEO2455"/>
      <c r="XEP2455"/>
      <c r="XEQ2455"/>
      <c r="XER2455"/>
      <c r="XES2455"/>
      <c r="XET2455"/>
      <c r="XEU2455"/>
      <c r="XEV2455"/>
      <c r="XEW2455"/>
      <c r="XEX2455"/>
      <c r="XEY2455"/>
      <c r="XEZ2455"/>
      <c r="XFA2455"/>
      <c r="XFB2455"/>
      <c r="XFC2455"/>
    </row>
    <row r="2456" spans="1:20 16329:16383" s="38" customFormat="1" ht="29.1" customHeight="1" outlineLevel="4" x14ac:dyDescent="0.25">
      <c r="A2456" s="49" t="s">
        <v>4444</v>
      </c>
      <c r="B2456" s="50"/>
      <c r="C2456" s="50"/>
      <c r="D2456" s="3" t="s">
        <v>4443</v>
      </c>
      <c r="E2456" s="3"/>
      <c r="F2456" s="51"/>
      <c r="G2456" s="50" t="s">
        <v>134</v>
      </c>
      <c r="H2456" s="52">
        <f>1</f>
        <v>1</v>
      </c>
      <c r="I2456" s="36"/>
      <c r="J2456" s="52">
        <v>1</v>
      </c>
      <c r="K2456" s="53">
        <f>0</f>
        <v>0</v>
      </c>
      <c r="L2456" s="53">
        <f>0</f>
        <v>0</v>
      </c>
      <c r="M2456" s="53">
        <f>0</f>
        <v>0</v>
      </c>
      <c r="N2456" s="54">
        <f t="shared" si="459"/>
        <v>0</v>
      </c>
      <c r="O2456" s="54">
        <f t="shared" si="460"/>
        <v>0</v>
      </c>
      <c r="P2456" s="54">
        <f t="shared" si="461"/>
        <v>0</v>
      </c>
      <c r="Q2456" s="54">
        <f t="shared" si="462"/>
        <v>0</v>
      </c>
      <c r="R2456" s="54">
        <f t="shared" si="463"/>
        <v>0</v>
      </c>
      <c r="S2456" s="54"/>
      <c r="T2456" s="36"/>
      <c r="XDA2456"/>
      <c r="XDB2456"/>
      <c r="XDC2456"/>
      <c r="XDD2456"/>
      <c r="XDE2456"/>
      <c r="XDF2456"/>
      <c r="XDG2456"/>
      <c r="XDH2456"/>
      <c r="XDI2456"/>
      <c r="XDJ2456"/>
      <c r="XDK2456"/>
      <c r="XDL2456"/>
      <c r="XDM2456"/>
      <c r="XDN2456"/>
      <c r="XDO2456"/>
      <c r="XDP2456"/>
      <c r="XDQ2456"/>
      <c r="XDR2456"/>
      <c r="XDS2456"/>
      <c r="XDT2456"/>
      <c r="XDU2456"/>
      <c r="XDV2456"/>
      <c r="XDW2456"/>
      <c r="XDX2456"/>
      <c r="XDY2456"/>
      <c r="XDZ2456"/>
      <c r="XEA2456"/>
      <c r="XEB2456"/>
      <c r="XEC2456"/>
      <c r="XED2456"/>
      <c r="XEE2456"/>
      <c r="XEF2456"/>
      <c r="XEG2456"/>
      <c r="XEH2456"/>
      <c r="XEI2456"/>
      <c r="XEJ2456"/>
      <c r="XEK2456"/>
      <c r="XEL2456"/>
      <c r="XEM2456"/>
      <c r="XEN2456"/>
      <c r="XEO2456"/>
      <c r="XEP2456"/>
      <c r="XEQ2456"/>
      <c r="XER2456"/>
      <c r="XES2456"/>
      <c r="XET2456"/>
      <c r="XEU2456"/>
      <c r="XEV2456"/>
      <c r="XEW2456"/>
      <c r="XEX2456"/>
      <c r="XEY2456"/>
      <c r="XEZ2456"/>
      <c r="XFA2456"/>
      <c r="XFB2456"/>
      <c r="XFC2456"/>
    </row>
    <row r="2457" spans="1:20 16329:16383" s="38" customFormat="1" ht="29.1" customHeight="1" outlineLevel="4" x14ac:dyDescent="0.25">
      <c r="A2457" s="49" t="s">
        <v>4445</v>
      </c>
      <c r="B2457" s="50"/>
      <c r="C2457" s="50"/>
      <c r="D2457" s="3" t="s">
        <v>4446</v>
      </c>
      <c r="E2457" s="3"/>
      <c r="F2457" s="51"/>
      <c r="G2457" s="50" t="s">
        <v>134</v>
      </c>
      <c r="H2457" s="52">
        <f>1</f>
        <v>1</v>
      </c>
      <c r="I2457" s="36"/>
      <c r="J2457" s="52">
        <v>1</v>
      </c>
      <c r="K2457" s="53">
        <f>0</f>
        <v>0</v>
      </c>
      <c r="L2457" s="53">
        <f>0</f>
        <v>0</v>
      </c>
      <c r="M2457" s="53">
        <f>0</f>
        <v>0</v>
      </c>
      <c r="N2457" s="54">
        <f t="shared" si="459"/>
        <v>0</v>
      </c>
      <c r="O2457" s="54">
        <f t="shared" si="460"/>
        <v>0</v>
      </c>
      <c r="P2457" s="54">
        <f t="shared" si="461"/>
        <v>0</v>
      </c>
      <c r="Q2457" s="54">
        <f t="shared" si="462"/>
        <v>0</v>
      </c>
      <c r="R2457" s="54">
        <f t="shared" si="463"/>
        <v>0</v>
      </c>
      <c r="S2457" s="54"/>
      <c r="T2457" s="36"/>
      <c r="XDA2457"/>
      <c r="XDB2457"/>
      <c r="XDC2457"/>
      <c r="XDD2457"/>
      <c r="XDE2457"/>
      <c r="XDF2457"/>
      <c r="XDG2457"/>
      <c r="XDH2457"/>
      <c r="XDI2457"/>
      <c r="XDJ2457"/>
      <c r="XDK2457"/>
      <c r="XDL2457"/>
      <c r="XDM2457"/>
      <c r="XDN2457"/>
      <c r="XDO2457"/>
      <c r="XDP2457"/>
      <c r="XDQ2457"/>
      <c r="XDR2457"/>
      <c r="XDS2457"/>
      <c r="XDT2457"/>
      <c r="XDU2457"/>
      <c r="XDV2457"/>
      <c r="XDW2457"/>
      <c r="XDX2457"/>
      <c r="XDY2457"/>
      <c r="XDZ2457"/>
      <c r="XEA2457"/>
      <c r="XEB2457"/>
      <c r="XEC2457"/>
      <c r="XED2457"/>
      <c r="XEE2457"/>
      <c r="XEF2457"/>
      <c r="XEG2457"/>
      <c r="XEH2457"/>
      <c r="XEI2457"/>
      <c r="XEJ2457"/>
      <c r="XEK2457"/>
      <c r="XEL2457"/>
      <c r="XEM2457"/>
      <c r="XEN2457"/>
      <c r="XEO2457"/>
      <c r="XEP2457"/>
      <c r="XEQ2457"/>
      <c r="XER2457"/>
      <c r="XES2457"/>
      <c r="XET2457"/>
      <c r="XEU2457"/>
      <c r="XEV2457"/>
      <c r="XEW2457"/>
      <c r="XEX2457"/>
      <c r="XEY2457"/>
      <c r="XEZ2457"/>
      <c r="XFA2457"/>
      <c r="XFB2457"/>
      <c r="XFC2457"/>
    </row>
    <row r="2458" spans="1:20 16329:16383" s="38" customFormat="1" ht="29.1" customHeight="1" outlineLevel="4" x14ac:dyDescent="0.25">
      <c r="A2458" s="49" t="s">
        <v>4447</v>
      </c>
      <c r="B2458" s="50"/>
      <c r="C2458" s="50"/>
      <c r="D2458" s="3" t="s">
        <v>4448</v>
      </c>
      <c r="E2458" s="3"/>
      <c r="F2458" s="51"/>
      <c r="G2458" s="50" t="s">
        <v>134</v>
      </c>
      <c r="H2458" s="52">
        <f>1</f>
        <v>1</v>
      </c>
      <c r="I2458" s="36"/>
      <c r="J2458" s="52">
        <v>1</v>
      </c>
      <c r="K2458" s="53">
        <f>0</f>
        <v>0</v>
      </c>
      <c r="L2458" s="53">
        <f>0</f>
        <v>0</v>
      </c>
      <c r="M2458" s="53">
        <f>0</f>
        <v>0</v>
      </c>
      <c r="N2458" s="54">
        <f t="shared" si="459"/>
        <v>0</v>
      </c>
      <c r="O2458" s="54">
        <f t="shared" si="460"/>
        <v>0</v>
      </c>
      <c r="P2458" s="54">
        <f t="shared" si="461"/>
        <v>0</v>
      </c>
      <c r="Q2458" s="54">
        <f t="shared" si="462"/>
        <v>0</v>
      </c>
      <c r="R2458" s="54">
        <f t="shared" si="463"/>
        <v>0</v>
      </c>
      <c r="S2458" s="54"/>
      <c r="T2458" s="36"/>
      <c r="XDA2458"/>
      <c r="XDB2458"/>
      <c r="XDC2458"/>
      <c r="XDD2458"/>
      <c r="XDE2458"/>
      <c r="XDF2458"/>
      <c r="XDG2458"/>
      <c r="XDH2458"/>
      <c r="XDI2458"/>
      <c r="XDJ2458"/>
      <c r="XDK2458"/>
      <c r="XDL2458"/>
      <c r="XDM2458"/>
      <c r="XDN2458"/>
      <c r="XDO2458"/>
      <c r="XDP2458"/>
      <c r="XDQ2458"/>
      <c r="XDR2458"/>
      <c r="XDS2458"/>
      <c r="XDT2458"/>
      <c r="XDU2458"/>
      <c r="XDV2458"/>
      <c r="XDW2458"/>
      <c r="XDX2458"/>
      <c r="XDY2458"/>
      <c r="XDZ2458"/>
      <c r="XEA2458"/>
      <c r="XEB2458"/>
      <c r="XEC2458"/>
      <c r="XED2458"/>
      <c r="XEE2458"/>
      <c r="XEF2458"/>
      <c r="XEG2458"/>
      <c r="XEH2458"/>
      <c r="XEI2458"/>
      <c r="XEJ2458"/>
      <c r="XEK2458"/>
      <c r="XEL2458"/>
      <c r="XEM2458"/>
      <c r="XEN2458"/>
      <c r="XEO2458"/>
      <c r="XEP2458"/>
      <c r="XEQ2458"/>
      <c r="XER2458"/>
      <c r="XES2458"/>
      <c r="XET2458"/>
      <c r="XEU2458"/>
      <c r="XEV2458"/>
      <c r="XEW2458"/>
      <c r="XEX2458"/>
      <c r="XEY2458"/>
      <c r="XEZ2458"/>
      <c r="XFA2458"/>
      <c r="XFB2458"/>
      <c r="XFC2458"/>
    </row>
    <row r="2459" spans="1:20 16329:16383" s="38" customFormat="1" ht="29.1" customHeight="1" outlineLevel="4" x14ac:dyDescent="0.25">
      <c r="A2459" s="49" t="s">
        <v>4449</v>
      </c>
      <c r="B2459" s="50"/>
      <c r="C2459" s="50"/>
      <c r="D2459" s="3" t="s">
        <v>4450</v>
      </c>
      <c r="E2459" s="3"/>
      <c r="F2459" s="51"/>
      <c r="G2459" s="50" t="s">
        <v>134</v>
      </c>
      <c r="H2459" s="52">
        <f>1</f>
        <v>1</v>
      </c>
      <c r="I2459" s="36"/>
      <c r="J2459" s="52">
        <v>1</v>
      </c>
      <c r="K2459" s="53">
        <f>0</f>
        <v>0</v>
      </c>
      <c r="L2459" s="53">
        <f>0</f>
        <v>0</v>
      </c>
      <c r="M2459" s="53">
        <f>0</f>
        <v>0</v>
      </c>
      <c r="N2459" s="54">
        <f t="shared" si="459"/>
        <v>0</v>
      </c>
      <c r="O2459" s="54">
        <f t="shared" si="460"/>
        <v>0</v>
      </c>
      <c r="P2459" s="54">
        <f t="shared" si="461"/>
        <v>0</v>
      </c>
      <c r="Q2459" s="54">
        <f t="shared" si="462"/>
        <v>0</v>
      </c>
      <c r="R2459" s="54">
        <f t="shared" si="463"/>
        <v>0</v>
      </c>
      <c r="S2459" s="54"/>
      <c r="T2459" s="36"/>
      <c r="XDA2459"/>
      <c r="XDB2459"/>
      <c r="XDC2459"/>
      <c r="XDD2459"/>
      <c r="XDE2459"/>
      <c r="XDF2459"/>
      <c r="XDG2459"/>
      <c r="XDH2459"/>
      <c r="XDI2459"/>
      <c r="XDJ2459"/>
      <c r="XDK2459"/>
      <c r="XDL2459"/>
      <c r="XDM2459"/>
      <c r="XDN2459"/>
      <c r="XDO2459"/>
      <c r="XDP2459"/>
      <c r="XDQ2459"/>
      <c r="XDR2459"/>
      <c r="XDS2459"/>
      <c r="XDT2459"/>
      <c r="XDU2459"/>
      <c r="XDV2459"/>
      <c r="XDW2459"/>
      <c r="XDX2459"/>
      <c r="XDY2459"/>
      <c r="XDZ2459"/>
      <c r="XEA2459"/>
      <c r="XEB2459"/>
      <c r="XEC2459"/>
      <c r="XED2459"/>
      <c r="XEE2459"/>
      <c r="XEF2459"/>
      <c r="XEG2459"/>
      <c r="XEH2459"/>
      <c r="XEI2459"/>
      <c r="XEJ2459"/>
      <c r="XEK2459"/>
      <c r="XEL2459"/>
      <c r="XEM2459"/>
      <c r="XEN2459"/>
      <c r="XEO2459"/>
      <c r="XEP2459"/>
      <c r="XEQ2459"/>
      <c r="XER2459"/>
      <c r="XES2459"/>
      <c r="XET2459"/>
      <c r="XEU2459"/>
      <c r="XEV2459"/>
      <c r="XEW2459"/>
      <c r="XEX2459"/>
      <c r="XEY2459"/>
      <c r="XEZ2459"/>
      <c r="XFA2459"/>
      <c r="XFB2459"/>
      <c r="XFC2459"/>
    </row>
    <row r="2460" spans="1:20 16329:16383" s="38" customFormat="1" ht="29.1" customHeight="1" outlineLevel="2" x14ac:dyDescent="0.25">
      <c r="A2460" s="44" t="s">
        <v>4451</v>
      </c>
      <c r="B2460" s="45" t="s">
        <v>4452</v>
      </c>
      <c r="C2460" s="45" t="s">
        <v>4453</v>
      </c>
      <c r="D2460" s="4" t="s">
        <v>4454</v>
      </c>
      <c r="E2460" s="4"/>
      <c r="F2460" s="46"/>
      <c r="G2460" s="45" t="s">
        <v>29</v>
      </c>
      <c r="H2460" s="47"/>
      <c r="I2460" s="36"/>
      <c r="J2460" s="47"/>
      <c r="K2460" s="48"/>
      <c r="L2460" s="48"/>
      <c r="M2460" s="48"/>
      <c r="N2460" s="48"/>
      <c r="O2460" s="48">
        <f>O2461+O2462</f>
        <v>0</v>
      </c>
      <c r="P2460" s="48">
        <f>P2461+P2462</f>
        <v>0</v>
      </c>
      <c r="Q2460" s="48">
        <f>Q2461+Q2462</f>
        <v>0</v>
      </c>
      <c r="R2460" s="48">
        <f>R2461+R2462</f>
        <v>0</v>
      </c>
      <c r="S2460" s="48"/>
      <c r="T2460" s="36"/>
      <c r="XDA2460"/>
      <c r="XDB2460"/>
      <c r="XDC2460"/>
      <c r="XDD2460"/>
      <c r="XDE2460"/>
      <c r="XDF2460"/>
      <c r="XDG2460"/>
      <c r="XDH2460"/>
      <c r="XDI2460"/>
      <c r="XDJ2460"/>
      <c r="XDK2460"/>
      <c r="XDL2460"/>
      <c r="XDM2460"/>
      <c r="XDN2460"/>
      <c r="XDO2460"/>
      <c r="XDP2460"/>
      <c r="XDQ2460"/>
      <c r="XDR2460"/>
      <c r="XDS2460"/>
      <c r="XDT2460"/>
      <c r="XDU2460"/>
      <c r="XDV2460"/>
      <c r="XDW2460"/>
      <c r="XDX2460"/>
      <c r="XDY2460"/>
      <c r="XDZ2460"/>
      <c r="XEA2460"/>
      <c r="XEB2460"/>
      <c r="XEC2460"/>
      <c r="XED2460"/>
      <c r="XEE2460"/>
      <c r="XEF2460"/>
      <c r="XEG2460"/>
      <c r="XEH2460"/>
      <c r="XEI2460"/>
      <c r="XEJ2460"/>
      <c r="XEK2460"/>
      <c r="XEL2460"/>
      <c r="XEM2460"/>
      <c r="XEN2460"/>
      <c r="XEO2460"/>
      <c r="XEP2460"/>
      <c r="XEQ2460"/>
      <c r="XER2460"/>
      <c r="XES2460"/>
      <c r="XET2460"/>
      <c r="XEU2460"/>
      <c r="XEV2460"/>
      <c r="XEW2460"/>
      <c r="XEX2460"/>
      <c r="XEY2460"/>
      <c r="XEZ2460"/>
      <c r="XFA2460"/>
      <c r="XFB2460"/>
      <c r="XFC2460"/>
    </row>
    <row r="2461" spans="1:20 16329:16383" s="38" customFormat="1" ht="29.1" customHeight="1" outlineLevel="3" x14ac:dyDescent="0.25">
      <c r="A2461" s="49" t="s">
        <v>4455</v>
      </c>
      <c r="B2461" s="50"/>
      <c r="C2461" s="50"/>
      <c r="D2461" s="3" t="s">
        <v>4454</v>
      </c>
      <c r="E2461" s="3"/>
      <c r="F2461" s="51"/>
      <c r="G2461" s="50" t="s">
        <v>29</v>
      </c>
      <c r="H2461" s="52">
        <f>1</f>
        <v>1</v>
      </c>
      <c r="I2461" s="36"/>
      <c r="J2461" s="52">
        <v>1</v>
      </c>
      <c r="K2461" s="53">
        <f>0</f>
        <v>0</v>
      </c>
      <c r="L2461" s="53">
        <f>0</f>
        <v>0</v>
      </c>
      <c r="M2461" s="53">
        <f>0</f>
        <v>0</v>
      </c>
      <c r="N2461" s="54">
        <f>SUM(K2461:M2461)</f>
        <v>0</v>
      </c>
      <c r="O2461" s="54">
        <f>ROUND((H2461*K2461),2)</f>
        <v>0</v>
      </c>
      <c r="P2461" s="54">
        <f>ROUND((H2461*L2461),2)</f>
        <v>0</v>
      </c>
      <c r="Q2461" s="54">
        <f>ROUND((H2461*M2461),2)</f>
        <v>0</v>
      </c>
      <c r="R2461" s="54">
        <f>ROUND((H2461*N2461),2)</f>
        <v>0</v>
      </c>
      <c r="S2461" s="54"/>
      <c r="T2461" s="36"/>
      <c r="XDA2461"/>
      <c r="XDB2461"/>
      <c r="XDC2461"/>
      <c r="XDD2461"/>
      <c r="XDE2461"/>
      <c r="XDF2461"/>
      <c r="XDG2461"/>
      <c r="XDH2461"/>
      <c r="XDI2461"/>
      <c r="XDJ2461"/>
      <c r="XDK2461"/>
      <c r="XDL2461"/>
      <c r="XDM2461"/>
      <c r="XDN2461"/>
      <c r="XDO2461"/>
      <c r="XDP2461"/>
      <c r="XDQ2461"/>
      <c r="XDR2461"/>
      <c r="XDS2461"/>
      <c r="XDT2461"/>
      <c r="XDU2461"/>
      <c r="XDV2461"/>
      <c r="XDW2461"/>
      <c r="XDX2461"/>
      <c r="XDY2461"/>
      <c r="XDZ2461"/>
      <c r="XEA2461"/>
      <c r="XEB2461"/>
      <c r="XEC2461"/>
      <c r="XED2461"/>
      <c r="XEE2461"/>
      <c r="XEF2461"/>
      <c r="XEG2461"/>
      <c r="XEH2461"/>
      <c r="XEI2461"/>
      <c r="XEJ2461"/>
      <c r="XEK2461"/>
      <c r="XEL2461"/>
      <c r="XEM2461"/>
      <c r="XEN2461"/>
      <c r="XEO2461"/>
      <c r="XEP2461"/>
      <c r="XEQ2461"/>
      <c r="XER2461"/>
      <c r="XES2461"/>
      <c r="XET2461"/>
      <c r="XEU2461"/>
      <c r="XEV2461"/>
      <c r="XEW2461"/>
      <c r="XEX2461"/>
      <c r="XEY2461"/>
      <c r="XEZ2461"/>
      <c r="XFA2461"/>
      <c r="XFB2461"/>
      <c r="XFC2461"/>
    </row>
    <row r="2462" spans="1:20 16329:16383" s="38" customFormat="1" ht="29.1" customHeight="1" outlineLevel="3" x14ac:dyDescent="0.25">
      <c r="A2462" s="49" t="s">
        <v>4456</v>
      </c>
      <c r="B2462" s="50"/>
      <c r="C2462" s="50"/>
      <c r="D2462" s="3" t="s">
        <v>4457</v>
      </c>
      <c r="E2462" s="3"/>
      <c r="F2462" s="51"/>
      <c r="G2462" s="50" t="s">
        <v>29</v>
      </c>
      <c r="H2462" s="52">
        <f>1</f>
        <v>1</v>
      </c>
      <c r="I2462" s="36"/>
      <c r="J2462" s="52">
        <v>1</v>
      </c>
      <c r="K2462" s="53">
        <f>0</f>
        <v>0</v>
      </c>
      <c r="L2462" s="53">
        <f>0</f>
        <v>0</v>
      </c>
      <c r="M2462" s="53">
        <f>0</f>
        <v>0</v>
      </c>
      <c r="N2462" s="54">
        <f>SUM(K2462:M2462)</f>
        <v>0</v>
      </c>
      <c r="O2462" s="54">
        <f>ROUND((H2462*K2462),2)</f>
        <v>0</v>
      </c>
      <c r="P2462" s="54">
        <f>ROUND((H2462*L2462),2)</f>
        <v>0</v>
      </c>
      <c r="Q2462" s="54">
        <f>ROUND((H2462*M2462),2)</f>
        <v>0</v>
      </c>
      <c r="R2462" s="54">
        <f>ROUND((H2462*N2462),2)</f>
        <v>0</v>
      </c>
      <c r="S2462" s="54"/>
      <c r="T2462" s="36"/>
      <c r="XDA2462"/>
      <c r="XDB2462"/>
      <c r="XDC2462"/>
      <c r="XDD2462"/>
      <c r="XDE2462"/>
      <c r="XDF2462"/>
      <c r="XDG2462"/>
      <c r="XDH2462"/>
      <c r="XDI2462"/>
      <c r="XDJ2462"/>
      <c r="XDK2462"/>
      <c r="XDL2462"/>
      <c r="XDM2462"/>
      <c r="XDN2462"/>
      <c r="XDO2462"/>
      <c r="XDP2462"/>
      <c r="XDQ2462"/>
      <c r="XDR2462"/>
      <c r="XDS2462"/>
      <c r="XDT2462"/>
      <c r="XDU2462"/>
      <c r="XDV2462"/>
      <c r="XDW2462"/>
      <c r="XDX2462"/>
      <c r="XDY2462"/>
      <c r="XDZ2462"/>
      <c r="XEA2462"/>
      <c r="XEB2462"/>
      <c r="XEC2462"/>
      <c r="XED2462"/>
      <c r="XEE2462"/>
      <c r="XEF2462"/>
      <c r="XEG2462"/>
      <c r="XEH2462"/>
      <c r="XEI2462"/>
      <c r="XEJ2462"/>
      <c r="XEK2462"/>
      <c r="XEL2462"/>
      <c r="XEM2462"/>
      <c r="XEN2462"/>
      <c r="XEO2462"/>
      <c r="XEP2462"/>
      <c r="XEQ2462"/>
      <c r="XER2462"/>
      <c r="XES2462"/>
      <c r="XET2462"/>
      <c r="XEU2462"/>
      <c r="XEV2462"/>
      <c r="XEW2462"/>
      <c r="XEX2462"/>
      <c r="XEY2462"/>
      <c r="XEZ2462"/>
      <c r="XFA2462"/>
      <c r="XFB2462"/>
      <c r="XFC2462"/>
    </row>
    <row r="2463" spans="1:20 16329:16383" s="38" customFormat="1" ht="29.1" customHeight="1" outlineLevel="2" x14ac:dyDescent="0.25">
      <c r="A2463" s="44" t="s">
        <v>4458</v>
      </c>
      <c r="B2463" s="45" t="s">
        <v>4459</v>
      </c>
      <c r="C2463" s="45" t="s">
        <v>4453</v>
      </c>
      <c r="D2463" s="4" t="s">
        <v>4460</v>
      </c>
      <c r="E2463" s="4"/>
      <c r="F2463" s="46"/>
      <c r="G2463" s="45" t="s">
        <v>29</v>
      </c>
      <c r="H2463" s="47"/>
      <c r="I2463" s="36"/>
      <c r="J2463" s="47"/>
      <c r="K2463" s="48"/>
      <c r="L2463" s="48"/>
      <c r="M2463" s="48"/>
      <c r="N2463" s="48"/>
      <c r="O2463" s="48">
        <f>O2464+O2465</f>
        <v>0</v>
      </c>
      <c r="P2463" s="48">
        <f>P2464+P2465</f>
        <v>0</v>
      </c>
      <c r="Q2463" s="48">
        <f>Q2464+Q2465</f>
        <v>0</v>
      </c>
      <c r="R2463" s="48">
        <f>R2464+R2465</f>
        <v>0</v>
      </c>
      <c r="S2463" s="48"/>
      <c r="T2463" s="36"/>
      <c r="XDA2463"/>
      <c r="XDB2463"/>
      <c r="XDC2463"/>
      <c r="XDD2463"/>
      <c r="XDE2463"/>
      <c r="XDF2463"/>
      <c r="XDG2463"/>
      <c r="XDH2463"/>
      <c r="XDI2463"/>
      <c r="XDJ2463"/>
      <c r="XDK2463"/>
      <c r="XDL2463"/>
      <c r="XDM2463"/>
      <c r="XDN2463"/>
      <c r="XDO2463"/>
      <c r="XDP2463"/>
      <c r="XDQ2463"/>
      <c r="XDR2463"/>
      <c r="XDS2463"/>
      <c r="XDT2463"/>
      <c r="XDU2463"/>
      <c r="XDV2463"/>
      <c r="XDW2463"/>
      <c r="XDX2463"/>
      <c r="XDY2463"/>
      <c r="XDZ2463"/>
      <c r="XEA2463"/>
      <c r="XEB2463"/>
      <c r="XEC2463"/>
      <c r="XED2463"/>
      <c r="XEE2463"/>
      <c r="XEF2463"/>
      <c r="XEG2463"/>
      <c r="XEH2463"/>
      <c r="XEI2463"/>
      <c r="XEJ2463"/>
      <c r="XEK2463"/>
      <c r="XEL2463"/>
      <c r="XEM2463"/>
      <c r="XEN2463"/>
      <c r="XEO2463"/>
      <c r="XEP2463"/>
      <c r="XEQ2463"/>
      <c r="XER2463"/>
      <c r="XES2463"/>
      <c r="XET2463"/>
      <c r="XEU2463"/>
      <c r="XEV2463"/>
      <c r="XEW2463"/>
      <c r="XEX2463"/>
      <c r="XEY2463"/>
      <c r="XEZ2463"/>
      <c r="XFA2463"/>
      <c r="XFB2463"/>
      <c r="XFC2463"/>
    </row>
    <row r="2464" spans="1:20 16329:16383" s="38" customFormat="1" ht="29.1" customHeight="1" outlineLevel="3" x14ac:dyDescent="0.25">
      <c r="A2464" s="49" t="s">
        <v>4461</v>
      </c>
      <c r="B2464" s="50"/>
      <c r="C2464" s="50"/>
      <c r="D2464" s="3" t="s">
        <v>4462</v>
      </c>
      <c r="E2464" s="3"/>
      <c r="F2464" s="51"/>
      <c r="G2464" s="50" t="s">
        <v>29</v>
      </c>
      <c r="H2464" s="52">
        <f>1</f>
        <v>1</v>
      </c>
      <c r="I2464" s="36"/>
      <c r="J2464" s="52">
        <v>1</v>
      </c>
      <c r="K2464" s="53">
        <f>0</f>
        <v>0</v>
      </c>
      <c r="L2464" s="53">
        <f>0</f>
        <v>0</v>
      </c>
      <c r="M2464" s="53">
        <f>0</f>
        <v>0</v>
      </c>
      <c r="N2464" s="54">
        <f>SUM(K2464:M2464)</f>
        <v>0</v>
      </c>
      <c r="O2464" s="54">
        <f>ROUND((H2464*K2464),2)</f>
        <v>0</v>
      </c>
      <c r="P2464" s="54">
        <f>ROUND((H2464*L2464),2)</f>
        <v>0</v>
      </c>
      <c r="Q2464" s="54">
        <f>ROUND((H2464*M2464),2)</f>
        <v>0</v>
      </c>
      <c r="R2464" s="54">
        <f>ROUND((H2464*N2464),2)</f>
        <v>0</v>
      </c>
      <c r="S2464" s="54"/>
      <c r="T2464" s="36"/>
      <c r="XDA2464"/>
      <c r="XDB2464"/>
      <c r="XDC2464"/>
      <c r="XDD2464"/>
      <c r="XDE2464"/>
      <c r="XDF2464"/>
      <c r="XDG2464"/>
      <c r="XDH2464"/>
      <c r="XDI2464"/>
      <c r="XDJ2464"/>
      <c r="XDK2464"/>
      <c r="XDL2464"/>
      <c r="XDM2464"/>
      <c r="XDN2464"/>
      <c r="XDO2464"/>
      <c r="XDP2464"/>
      <c r="XDQ2464"/>
      <c r="XDR2464"/>
      <c r="XDS2464"/>
      <c r="XDT2464"/>
      <c r="XDU2464"/>
      <c r="XDV2464"/>
      <c r="XDW2464"/>
      <c r="XDX2464"/>
      <c r="XDY2464"/>
      <c r="XDZ2464"/>
      <c r="XEA2464"/>
      <c r="XEB2464"/>
      <c r="XEC2464"/>
      <c r="XED2464"/>
      <c r="XEE2464"/>
      <c r="XEF2464"/>
      <c r="XEG2464"/>
      <c r="XEH2464"/>
      <c r="XEI2464"/>
      <c r="XEJ2464"/>
      <c r="XEK2464"/>
      <c r="XEL2464"/>
      <c r="XEM2464"/>
      <c r="XEN2464"/>
      <c r="XEO2464"/>
      <c r="XEP2464"/>
      <c r="XEQ2464"/>
      <c r="XER2464"/>
      <c r="XES2464"/>
      <c r="XET2464"/>
      <c r="XEU2464"/>
      <c r="XEV2464"/>
      <c r="XEW2464"/>
      <c r="XEX2464"/>
      <c r="XEY2464"/>
      <c r="XEZ2464"/>
      <c r="XFA2464"/>
      <c r="XFB2464"/>
      <c r="XFC2464"/>
    </row>
    <row r="2465" spans="1:20 16329:16383" s="38" customFormat="1" ht="29.1" customHeight="1" outlineLevel="3" x14ac:dyDescent="0.25">
      <c r="A2465" s="49" t="s">
        <v>4463</v>
      </c>
      <c r="B2465" s="50"/>
      <c r="C2465" s="50"/>
      <c r="D2465" s="3" t="s">
        <v>4464</v>
      </c>
      <c r="E2465" s="3"/>
      <c r="F2465" s="51"/>
      <c r="G2465" s="50" t="s">
        <v>29</v>
      </c>
      <c r="H2465" s="52">
        <f>1</f>
        <v>1</v>
      </c>
      <c r="I2465" s="36"/>
      <c r="J2465" s="52">
        <v>1</v>
      </c>
      <c r="K2465" s="53">
        <f>0</f>
        <v>0</v>
      </c>
      <c r="L2465" s="53">
        <f>0</f>
        <v>0</v>
      </c>
      <c r="M2465" s="53">
        <f>0</f>
        <v>0</v>
      </c>
      <c r="N2465" s="54">
        <f>SUM(K2465:M2465)</f>
        <v>0</v>
      </c>
      <c r="O2465" s="54">
        <f>ROUND((H2465*K2465),2)</f>
        <v>0</v>
      </c>
      <c r="P2465" s="54">
        <f>ROUND((H2465*L2465),2)</f>
        <v>0</v>
      </c>
      <c r="Q2465" s="54">
        <f>ROUND((H2465*M2465),2)</f>
        <v>0</v>
      </c>
      <c r="R2465" s="54">
        <f>ROUND((H2465*N2465),2)</f>
        <v>0</v>
      </c>
      <c r="S2465" s="54"/>
      <c r="T2465" s="36"/>
      <c r="XDA2465"/>
      <c r="XDB2465"/>
      <c r="XDC2465"/>
      <c r="XDD2465"/>
      <c r="XDE2465"/>
      <c r="XDF2465"/>
      <c r="XDG2465"/>
      <c r="XDH2465"/>
      <c r="XDI2465"/>
      <c r="XDJ2465"/>
      <c r="XDK2465"/>
      <c r="XDL2465"/>
      <c r="XDM2465"/>
      <c r="XDN2465"/>
      <c r="XDO2465"/>
      <c r="XDP2465"/>
      <c r="XDQ2465"/>
      <c r="XDR2465"/>
      <c r="XDS2465"/>
      <c r="XDT2465"/>
      <c r="XDU2465"/>
      <c r="XDV2465"/>
      <c r="XDW2465"/>
      <c r="XDX2465"/>
      <c r="XDY2465"/>
      <c r="XDZ2465"/>
      <c r="XEA2465"/>
      <c r="XEB2465"/>
      <c r="XEC2465"/>
      <c r="XED2465"/>
      <c r="XEE2465"/>
      <c r="XEF2465"/>
      <c r="XEG2465"/>
      <c r="XEH2465"/>
      <c r="XEI2465"/>
      <c r="XEJ2465"/>
      <c r="XEK2465"/>
      <c r="XEL2465"/>
      <c r="XEM2465"/>
      <c r="XEN2465"/>
      <c r="XEO2465"/>
      <c r="XEP2465"/>
      <c r="XEQ2465"/>
      <c r="XER2465"/>
      <c r="XES2465"/>
      <c r="XET2465"/>
      <c r="XEU2465"/>
      <c r="XEV2465"/>
      <c r="XEW2465"/>
      <c r="XEX2465"/>
      <c r="XEY2465"/>
      <c r="XEZ2465"/>
      <c r="XFA2465"/>
      <c r="XFB2465"/>
      <c r="XFC2465"/>
    </row>
    <row r="2466" spans="1:20 16329:16383" s="38" customFormat="1" ht="29.1" customHeight="1" outlineLevel="2" x14ac:dyDescent="0.25">
      <c r="A2466" s="44" t="s">
        <v>4465</v>
      </c>
      <c r="B2466" s="45" t="s">
        <v>4466</v>
      </c>
      <c r="C2466" s="45" t="s">
        <v>4453</v>
      </c>
      <c r="D2466" s="4" t="s">
        <v>4467</v>
      </c>
      <c r="E2466" s="4"/>
      <c r="F2466" s="46"/>
      <c r="G2466" s="45" t="s">
        <v>29</v>
      </c>
      <c r="H2466" s="47"/>
      <c r="I2466" s="36"/>
      <c r="J2466" s="47"/>
      <c r="K2466" s="48"/>
      <c r="L2466" s="48"/>
      <c r="M2466" s="48"/>
      <c r="N2466" s="48"/>
      <c r="O2466" s="48">
        <f>SUM(O2467:O2481)</f>
        <v>0</v>
      </c>
      <c r="P2466" s="48">
        <f>SUM(P2467:P2481)</f>
        <v>0</v>
      </c>
      <c r="Q2466" s="48">
        <f>SUM(Q2467:Q2481)</f>
        <v>0</v>
      </c>
      <c r="R2466" s="48">
        <f>SUM(R2467:R2481)</f>
        <v>0</v>
      </c>
      <c r="S2466" s="48"/>
      <c r="T2466" s="36"/>
      <c r="XDA2466"/>
      <c r="XDB2466"/>
      <c r="XDC2466"/>
      <c r="XDD2466"/>
      <c r="XDE2466"/>
      <c r="XDF2466"/>
      <c r="XDG2466"/>
      <c r="XDH2466"/>
      <c r="XDI2466"/>
      <c r="XDJ2466"/>
      <c r="XDK2466"/>
      <c r="XDL2466"/>
      <c r="XDM2466"/>
      <c r="XDN2466"/>
      <c r="XDO2466"/>
      <c r="XDP2466"/>
      <c r="XDQ2466"/>
      <c r="XDR2466"/>
      <c r="XDS2466"/>
      <c r="XDT2466"/>
      <c r="XDU2466"/>
      <c r="XDV2466"/>
      <c r="XDW2466"/>
      <c r="XDX2466"/>
      <c r="XDY2466"/>
      <c r="XDZ2466"/>
      <c r="XEA2466"/>
      <c r="XEB2466"/>
      <c r="XEC2466"/>
      <c r="XED2466"/>
      <c r="XEE2466"/>
      <c r="XEF2466"/>
      <c r="XEG2466"/>
      <c r="XEH2466"/>
      <c r="XEI2466"/>
      <c r="XEJ2466"/>
      <c r="XEK2466"/>
      <c r="XEL2466"/>
      <c r="XEM2466"/>
      <c r="XEN2466"/>
      <c r="XEO2466"/>
      <c r="XEP2466"/>
      <c r="XEQ2466"/>
      <c r="XER2466"/>
      <c r="XES2466"/>
      <c r="XET2466"/>
      <c r="XEU2466"/>
      <c r="XEV2466"/>
      <c r="XEW2466"/>
      <c r="XEX2466"/>
      <c r="XEY2466"/>
      <c r="XEZ2466"/>
      <c r="XFA2466"/>
      <c r="XFB2466"/>
      <c r="XFC2466"/>
    </row>
    <row r="2467" spans="1:20 16329:16383" s="38" customFormat="1" ht="29.1" customHeight="1" outlineLevel="3" x14ac:dyDescent="0.25">
      <c r="A2467" s="49" t="s">
        <v>4468</v>
      </c>
      <c r="B2467" s="50"/>
      <c r="C2467" s="50"/>
      <c r="D2467" s="3" t="s">
        <v>4469</v>
      </c>
      <c r="E2467" s="3"/>
      <c r="F2467" s="51"/>
      <c r="G2467" s="50" t="s">
        <v>134</v>
      </c>
      <c r="H2467" s="52">
        <f>1</f>
        <v>1</v>
      </c>
      <c r="I2467" s="36"/>
      <c r="J2467" s="52">
        <v>1</v>
      </c>
      <c r="K2467" s="53">
        <f>0</f>
        <v>0</v>
      </c>
      <c r="L2467" s="53">
        <f>0</f>
        <v>0</v>
      </c>
      <c r="M2467" s="53">
        <f>0</f>
        <v>0</v>
      </c>
      <c r="N2467" s="54">
        <f t="shared" ref="N2467:N2481" si="464">SUM(K2467:M2467)</f>
        <v>0</v>
      </c>
      <c r="O2467" s="54">
        <f t="shared" ref="O2467:O2481" si="465">ROUND((H2467*K2467),2)</f>
        <v>0</v>
      </c>
      <c r="P2467" s="54">
        <f t="shared" ref="P2467:P2481" si="466">ROUND((H2467*L2467),2)</f>
        <v>0</v>
      </c>
      <c r="Q2467" s="54">
        <f t="shared" ref="Q2467:Q2481" si="467">ROUND((H2467*M2467),2)</f>
        <v>0</v>
      </c>
      <c r="R2467" s="54">
        <f t="shared" ref="R2467:R2481" si="468">ROUND((H2467*N2467),2)</f>
        <v>0</v>
      </c>
      <c r="S2467" s="54"/>
      <c r="T2467" s="36"/>
      <c r="XDA2467"/>
      <c r="XDB2467"/>
      <c r="XDC2467"/>
      <c r="XDD2467"/>
      <c r="XDE2467"/>
      <c r="XDF2467"/>
      <c r="XDG2467"/>
      <c r="XDH2467"/>
      <c r="XDI2467"/>
      <c r="XDJ2467"/>
      <c r="XDK2467"/>
      <c r="XDL2467"/>
      <c r="XDM2467"/>
      <c r="XDN2467"/>
      <c r="XDO2467"/>
      <c r="XDP2467"/>
      <c r="XDQ2467"/>
      <c r="XDR2467"/>
      <c r="XDS2467"/>
      <c r="XDT2467"/>
      <c r="XDU2467"/>
      <c r="XDV2467"/>
      <c r="XDW2467"/>
      <c r="XDX2467"/>
      <c r="XDY2467"/>
      <c r="XDZ2467"/>
      <c r="XEA2467"/>
      <c r="XEB2467"/>
      <c r="XEC2467"/>
      <c r="XED2467"/>
      <c r="XEE2467"/>
      <c r="XEF2467"/>
      <c r="XEG2467"/>
      <c r="XEH2467"/>
      <c r="XEI2467"/>
      <c r="XEJ2467"/>
      <c r="XEK2467"/>
      <c r="XEL2467"/>
      <c r="XEM2467"/>
      <c r="XEN2467"/>
      <c r="XEO2467"/>
      <c r="XEP2467"/>
      <c r="XEQ2467"/>
      <c r="XER2467"/>
      <c r="XES2467"/>
      <c r="XET2467"/>
      <c r="XEU2467"/>
      <c r="XEV2467"/>
      <c r="XEW2467"/>
      <c r="XEX2467"/>
      <c r="XEY2467"/>
      <c r="XEZ2467"/>
      <c r="XFA2467"/>
      <c r="XFB2467"/>
      <c r="XFC2467"/>
    </row>
    <row r="2468" spans="1:20 16329:16383" s="38" customFormat="1" ht="29.1" customHeight="1" outlineLevel="3" x14ac:dyDescent="0.25">
      <c r="A2468" s="49" t="s">
        <v>4470</v>
      </c>
      <c r="B2468" s="50"/>
      <c r="C2468" s="50"/>
      <c r="D2468" s="3" t="s">
        <v>4471</v>
      </c>
      <c r="E2468" s="3"/>
      <c r="F2468" s="51"/>
      <c r="G2468" s="50" t="s">
        <v>134</v>
      </c>
      <c r="H2468" s="52">
        <f>1</f>
        <v>1</v>
      </c>
      <c r="I2468" s="36"/>
      <c r="J2468" s="52">
        <v>1</v>
      </c>
      <c r="K2468" s="53">
        <f>0</f>
        <v>0</v>
      </c>
      <c r="L2468" s="53">
        <f>0</f>
        <v>0</v>
      </c>
      <c r="M2468" s="53">
        <f>0</f>
        <v>0</v>
      </c>
      <c r="N2468" s="54">
        <f t="shared" si="464"/>
        <v>0</v>
      </c>
      <c r="O2468" s="54">
        <f t="shared" si="465"/>
        <v>0</v>
      </c>
      <c r="P2468" s="54">
        <f t="shared" si="466"/>
        <v>0</v>
      </c>
      <c r="Q2468" s="54">
        <f t="shared" si="467"/>
        <v>0</v>
      </c>
      <c r="R2468" s="54">
        <f t="shared" si="468"/>
        <v>0</v>
      </c>
      <c r="S2468" s="54"/>
      <c r="T2468" s="36"/>
      <c r="XDA2468"/>
      <c r="XDB2468"/>
      <c r="XDC2468"/>
      <c r="XDD2468"/>
      <c r="XDE2468"/>
      <c r="XDF2468"/>
      <c r="XDG2468"/>
      <c r="XDH2468"/>
      <c r="XDI2468"/>
      <c r="XDJ2468"/>
      <c r="XDK2468"/>
      <c r="XDL2468"/>
      <c r="XDM2468"/>
      <c r="XDN2468"/>
      <c r="XDO2468"/>
      <c r="XDP2468"/>
      <c r="XDQ2468"/>
      <c r="XDR2468"/>
      <c r="XDS2468"/>
      <c r="XDT2468"/>
      <c r="XDU2468"/>
      <c r="XDV2468"/>
      <c r="XDW2468"/>
      <c r="XDX2468"/>
      <c r="XDY2468"/>
      <c r="XDZ2468"/>
      <c r="XEA2468"/>
      <c r="XEB2468"/>
      <c r="XEC2468"/>
      <c r="XED2468"/>
      <c r="XEE2468"/>
      <c r="XEF2468"/>
      <c r="XEG2468"/>
      <c r="XEH2468"/>
      <c r="XEI2468"/>
      <c r="XEJ2468"/>
      <c r="XEK2468"/>
      <c r="XEL2468"/>
      <c r="XEM2468"/>
      <c r="XEN2468"/>
      <c r="XEO2468"/>
      <c r="XEP2468"/>
      <c r="XEQ2468"/>
      <c r="XER2468"/>
      <c r="XES2468"/>
      <c r="XET2468"/>
      <c r="XEU2468"/>
      <c r="XEV2468"/>
      <c r="XEW2468"/>
      <c r="XEX2468"/>
      <c r="XEY2468"/>
      <c r="XEZ2468"/>
      <c r="XFA2468"/>
      <c r="XFB2468"/>
      <c r="XFC2468"/>
    </row>
    <row r="2469" spans="1:20 16329:16383" s="38" customFormat="1" ht="29.1" customHeight="1" outlineLevel="3" x14ac:dyDescent="0.25">
      <c r="A2469" s="49" t="s">
        <v>4472</v>
      </c>
      <c r="B2469" s="50"/>
      <c r="C2469" s="50"/>
      <c r="D2469" s="3" t="s">
        <v>4473</v>
      </c>
      <c r="E2469" s="3"/>
      <c r="F2469" s="51"/>
      <c r="G2469" s="50" t="s">
        <v>134</v>
      </c>
      <c r="H2469" s="52">
        <f>1</f>
        <v>1</v>
      </c>
      <c r="I2469" s="36"/>
      <c r="J2469" s="52">
        <v>1</v>
      </c>
      <c r="K2469" s="53">
        <f>0</f>
        <v>0</v>
      </c>
      <c r="L2469" s="53">
        <f>0</f>
        <v>0</v>
      </c>
      <c r="M2469" s="53">
        <f>0</f>
        <v>0</v>
      </c>
      <c r="N2469" s="54">
        <f t="shared" si="464"/>
        <v>0</v>
      </c>
      <c r="O2469" s="54">
        <f t="shared" si="465"/>
        <v>0</v>
      </c>
      <c r="P2469" s="54">
        <f t="shared" si="466"/>
        <v>0</v>
      </c>
      <c r="Q2469" s="54">
        <f t="shared" si="467"/>
        <v>0</v>
      </c>
      <c r="R2469" s="54">
        <f t="shared" si="468"/>
        <v>0</v>
      </c>
      <c r="S2469" s="54"/>
      <c r="T2469" s="36"/>
      <c r="XDA2469"/>
      <c r="XDB2469"/>
      <c r="XDC2469"/>
      <c r="XDD2469"/>
      <c r="XDE2469"/>
      <c r="XDF2469"/>
      <c r="XDG2469"/>
      <c r="XDH2469"/>
      <c r="XDI2469"/>
      <c r="XDJ2469"/>
      <c r="XDK2469"/>
      <c r="XDL2469"/>
      <c r="XDM2469"/>
      <c r="XDN2469"/>
      <c r="XDO2469"/>
      <c r="XDP2469"/>
      <c r="XDQ2469"/>
      <c r="XDR2469"/>
      <c r="XDS2469"/>
      <c r="XDT2469"/>
      <c r="XDU2469"/>
      <c r="XDV2469"/>
      <c r="XDW2469"/>
      <c r="XDX2469"/>
      <c r="XDY2469"/>
      <c r="XDZ2469"/>
      <c r="XEA2469"/>
      <c r="XEB2469"/>
      <c r="XEC2469"/>
      <c r="XED2469"/>
      <c r="XEE2469"/>
      <c r="XEF2469"/>
      <c r="XEG2469"/>
      <c r="XEH2469"/>
      <c r="XEI2469"/>
      <c r="XEJ2469"/>
      <c r="XEK2469"/>
      <c r="XEL2469"/>
      <c r="XEM2469"/>
      <c r="XEN2469"/>
      <c r="XEO2469"/>
      <c r="XEP2469"/>
      <c r="XEQ2469"/>
      <c r="XER2469"/>
      <c r="XES2469"/>
      <c r="XET2469"/>
      <c r="XEU2469"/>
      <c r="XEV2469"/>
      <c r="XEW2469"/>
      <c r="XEX2469"/>
      <c r="XEY2469"/>
      <c r="XEZ2469"/>
      <c r="XFA2469"/>
      <c r="XFB2469"/>
      <c r="XFC2469"/>
    </row>
    <row r="2470" spans="1:20 16329:16383" s="38" customFormat="1" ht="29.1" customHeight="1" outlineLevel="3" x14ac:dyDescent="0.25">
      <c r="A2470" s="49" t="s">
        <v>4474</v>
      </c>
      <c r="B2470" s="50"/>
      <c r="C2470" s="50"/>
      <c r="D2470" s="3" t="s">
        <v>4475</v>
      </c>
      <c r="E2470" s="3"/>
      <c r="F2470" s="51"/>
      <c r="G2470" s="50" t="s">
        <v>134</v>
      </c>
      <c r="H2470" s="52">
        <f>1</f>
        <v>1</v>
      </c>
      <c r="I2470" s="36"/>
      <c r="J2470" s="52">
        <v>1</v>
      </c>
      <c r="K2470" s="53">
        <f>0</f>
        <v>0</v>
      </c>
      <c r="L2470" s="53">
        <f>0</f>
        <v>0</v>
      </c>
      <c r="M2470" s="53">
        <f>0</f>
        <v>0</v>
      </c>
      <c r="N2470" s="54">
        <f t="shared" si="464"/>
        <v>0</v>
      </c>
      <c r="O2470" s="54">
        <f t="shared" si="465"/>
        <v>0</v>
      </c>
      <c r="P2470" s="54">
        <f t="shared" si="466"/>
        <v>0</v>
      </c>
      <c r="Q2470" s="54">
        <f t="shared" si="467"/>
        <v>0</v>
      </c>
      <c r="R2470" s="54">
        <f t="shared" si="468"/>
        <v>0</v>
      </c>
      <c r="S2470" s="54"/>
      <c r="T2470" s="36"/>
      <c r="XDA2470"/>
      <c r="XDB2470"/>
      <c r="XDC2470"/>
      <c r="XDD2470"/>
      <c r="XDE2470"/>
      <c r="XDF2470"/>
      <c r="XDG2470"/>
      <c r="XDH2470"/>
      <c r="XDI2470"/>
      <c r="XDJ2470"/>
      <c r="XDK2470"/>
      <c r="XDL2470"/>
      <c r="XDM2470"/>
      <c r="XDN2470"/>
      <c r="XDO2470"/>
      <c r="XDP2470"/>
      <c r="XDQ2470"/>
      <c r="XDR2470"/>
      <c r="XDS2470"/>
      <c r="XDT2470"/>
      <c r="XDU2470"/>
      <c r="XDV2470"/>
      <c r="XDW2470"/>
      <c r="XDX2470"/>
      <c r="XDY2470"/>
      <c r="XDZ2470"/>
      <c r="XEA2470"/>
      <c r="XEB2470"/>
      <c r="XEC2470"/>
      <c r="XED2470"/>
      <c r="XEE2470"/>
      <c r="XEF2470"/>
      <c r="XEG2470"/>
      <c r="XEH2470"/>
      <c r="XEI2470"/>
      <c r="XEJ2470"/>
      <c r="XEK2470"/>
      <c r="XEL2470"/>
      <c r="XEM2470"/>
      <c r="XEN2470"/>
      <c r="XEO2470"/>
      <c r="XEP2470"/>
      <c r="XEQ2470"/>
      <c r="XER2470"/>
      <c r="XES2470"/>
      <c r="XET2470"/>
      <c r="XEU2470"/>
      <c r="XEV2470"/>
      <c r="XEW2470"/>
      <c r="XEX2470"/>
      <c r="XEY2470"/>
      <c r="XEZ2470"/>
      <c r="XFA2470"/>
      <c r="XFB2470"/>
      <c r="XFC2470"/>
    </row>
    <row r="2471" spans="1:20 16329:16383" s="38" customFormat="1" ht="29.1" customHeight="1" outlineLevel="3" x14ac:dyDescent="0.25">
      <c r="A2471" s="49" t="s">
        <v>4476</v>
      </c>
      <c r="B2471" s="50"/>
      <c r="C2471" s="50"/>
      <c r="D2471" s="3" t="s">
        <v>4477</v>
      </c>
      <c r="E2471" s="3"/>
      <c r="F2471" s="51"/>
      <c r="G2471" s="50" t="s">
        <v>134</v>
      </c>
      <c r="H2471" s="52">
        <f>1</f>
        <v>1</v>
      </c>
      <c r="I2471" s="36"/>
      <c r="J2471" s="52">
        <v>1</v>
      </c>
      <c r="K2471" s="53">
        <f>0</f>
        <v>0</v>
      </c>
      <c r="L2471" s="53">
        <f>0</f>
        <v>0</v>
      </c>
      <c r="M2471" s="53">
        <f>0</f>
        <v>0</v>
      </c>
      <c r="N2471" s="54">
        <f t="shared" si="464"/>
        <v>0</v>
      </c>
      <c r="O2471" s="54">
        <f t="shared" si="465"/>
        <v>0</v>
      </c>
      <c r="P2471" s="54">
        <f t="shared" si="466"/>
        <v>0</v>
      </c>
      <c r="Q2471" s="54">
        <f t="shared" si="467"/>
        <v>0</v>
      </c>
      <c r="R2471" s="54">
        <f t="shared" si="468"/>
        <v>0</v>
      </c>
      <c r="S2471" s="54"/>
      <c r="T2471" s="36"/>
      <c r="XDA2471"/>
      <c r="XDB2471"/>
      <c r="XDC2471"/>
      <c r="XDD2471"/>
      <c r="XDE2471"/>
      <c r="XDF2471"/>
      <c r="XDG2471"/>
      <c r="XDH2471"/>
      <c r="XDI2471"/>
      <c r="XDJ2471"/>
      <c r="XDK2471"/>
      <c r="XDL2471"/>
      <c r="XDM2471"/>
      <c r="XDN2471"/>
      <c r="XDO2471"/>
      <c r="XDP2471"/>
      <c r="XDQ2471"/>
      <c r="XDR2471"/>
      <c r="XDS2471"/>
      <c r="XDT2471"/>
      <c r="XDU2471"/>
      <c r="XDV2471"/>
      <c r="XDW2471"/>
      <c r="XDX2471"/>
      <c r="XDY2471"/>
      <c r="XDZ2471"/>
      <c r="XEA2471"/>
      <c r="XEB2471"/>
      <c r="XEC2471"/>
      <c r="XED2471"/>
      <c r="XEE2471"/>
      <c r="XEF2471"/>
      <c r="XEG2471"/>
      <c r="XEH2471"/>
      <c r="XEI2471"/>
      <c r="XEJ2471"/>
      <c r="XEK2471"/>
      <c r="XEL2471"/>
      <c r="XEM2471"/>
      <c r="XEN2471"/>
      <c r="XEO2471"/>
      <c r="XEP2471"/>
      <c r="XEQ2471"/>
      <c r="XER2471"/>
      <c r="XES2471"/>
      <c r="XET2471"/>
      <c r="XEU2471"/>
      <c r="XEV2471"/>
      <c r="XEW2471"/>
      <c r="XEX2471"/>
      <c r="XEY2471"/>
      <c r="XEZ2471"/>
      <c r="XFA2471"/>
      <c r="XFB2471"/>
      <c r="XFC2471"/>
    </row>
    <row r="2472" spans="1:20 16329:16383" s="38" customFormat="1" ht="29.1" customHeight="1" outlineLevel="3" x14ac:dyDescent="0.25">
      <c r="A2472" s="49" t="s">
        <v>4478</v>
      </c>
      <c r="B2472" s="50"/>
      <c r="C2472" s="50"/>
      <c r="D2472" s="3" t="s">
        <v>4479</v>
      </c>
      <c r="E2472" s="3"/>
      <c r="F2472" s="51"/>
      <c r="G2472" s="50" t="s">
        <v>134</v>
      </c>
      <c r="H2472" s="52">
        <f>1</f>
        <v>1</v>
      </c>
      <c r="I2472" s="36"/>
      <c r="J2472" s="52">
        <v>1</v>
      </c>
      <c r="K2472" s="53">
        <f>0</f>
        <v>0</v>
      </c>
      <c r="L2472" s="53">
        <f>0</f>
        <v>0</v>
      </c>
      <c r="M2472" s="53">
        <f>0</f>
        <v>0</v>
      </c>
      <c r="N2472" s="54">
        <f t="shared" si="464"/>
        <v>0</v>
      </c>
      <c r="O2472" s="54">
        <f t="shared" si="465"/>
        <v>0</v>
      </c>
      <c r="P2472" s="54">
        <f t="shared" si="466"/>
        <v>0</v>
      </c>
      <c r="Q2472" s="54">
        <f t="shared" si="467"/>
        <v>0</v>
      </c>
      <c r="R2472" s="54">
        <f t="shared" si="468"/>
        <v>0</v>
      </c>
      <c r="S2472" s="54"/>
      <c r="T2472" s="36"/>
      <c r="XDA2472"/>
      <c r="XDB2472"/>
      <c r="XDC2472"/>
      <c r="XDD2472"/>
      <c r="XDE2472"/>
      <c r="XDF2472"/>
      <c r="XDG2472"/>
      <c r="XDH2472"/>
      <c r="XDI2472"/>
      <c r="XDJ2472"/>
      <c r="XDK2472"/>
      <c r="XDL2472"/>
      <c r="XDM2472"/>
      <c r="XDN2472"/>
      <c r="XDO2472"/>
      <c r="XDP2472"/>
      <c r="XDQ2472"/>
      <c r="XDR2472"/>
      <c r="XDS2472"/>
      <c r="XDT2472"/>
      <c r="XDU2472"/>
      <c r="XDV2472"/>
      <c r="XDW2472"/>
      <c r="XDX2472"/>
      <c r="XDY2472"/>
      <c r="XDZ2472"/>
      <c r="XEA2472"/>
      <c r="XEB2472"/>
      <c r="XEC2472"/>
      <c r="XED2472"/>
      <c r="XEE2472"/>
      <c r="XEF2472"/>
      <c r="XEG2472"/>
      <c r="XEH2472"/>
      <c r="XEI2472"/>
      <c r="XEJ2472"/>
      <c r="XEK2472"/>
      <c r="XEL2472"/>
      <c r="XEM2472"/>
      <c r="XEN2472"/>
      <c r="XEO2472"/>
      <c r="XEP2472"/>
      <c r="XEQ2472"/>
      <c r="XER2472"/>
      <c r="XES2472"/>
      <c r="XET2472"/>
      <c r="XEU2472"/>
      <c r="XEV2472"/>
      <c r="XEW2472"/>
      <c r="XEX2472"/>
      <c r="XEY2472"/>
      <c r="XEZ2472"/>
      <c r="XFA2472"/>
      <c r="XFB2472"/>
      <c r="XFC2472"/>
    </row>
    <row r="2473" spans="1:20 16329:16383" s="38" customFormat="1" ht="29.1" customHeight="1" outlineLevel="3" x14ac:dyDescent="0.25">
      <c r="A2473" s="49" t="s">
        <v>4480</v>
      </c>
      <c r="B2473" s="50"/>
      <c r="C2473" s="50"/>
      <c r="D2473" s="3" t="s">
        <v>4481</v>
      </c>
      <c r="E2473" s="3"/>
      <c r="F2473" s="51"/>
      <c r="G2473" s="50" t="s">
        <v>134</v>
      </c>
      <c r="H2473" s="52">
        <f>1</f>
        <v>1</v>
      </c>
      <c r="I2473" s="36"/>
      <c r="J2473" s="52">
        <v>1</v>
      </c>
      <c r="K2473" s="53">
        <f>0</f>
        <v>0</v>
      </c>
      <c r="L2473" s="53">
        <f>0</f>
        <v>0</v>
      </c>
      <c r="M2473" s="53">
        <f>0</f>
        <v>0</v>
      </c>
      <c r="N2473" s="54">
        <f t="shared" si="464"/>
        <v>0</v>
      </c>
      <c r="O2473" s="54">
        <f t="shared" si="465"/>
        <v>0</v>
      </c>
      <c r="P2473" s="54">
        <f t="shared" si="466"/>
        <v>0</v>
      </c>
      <c r="Q2473" s="54">
        <f t="shared" si="467"/>
        <v>0</v>
      </c>
      <c r="R2473" s="54">
        <f t="shared" si="468"/>
        <v>0</v>
      </c>
      <c r="S2473" s="54"/>
      <c r="T2473" s="36"/>
      <c r="XDA2473"/>
      <c r="XDB2473"/>
      <c r="XDC2473"/>
      <c r="XDD2473"/>
      <c r="XDE2473"/>
      <c r="XDF2473"/>
      <c r="XDG2473"/>
      <c r="XDH2473"/>
      <c r="XDI2473"/>
      <c r="XDJ2473"/>
      <c r="XDK2473"/>
      <c r="XDL2473"/>
      <c r="XDM2473"/>
      <c r="XDN2473"/>
      <c r="XDO2473"/>
      <c r="XDP2473"/>
      <c r="XDQ2473"/>
      <c r="XDR2473"/>
      <c r="XDS2473"/>
      <c r="XDT2473"/>
      <c r="XDU2473"/>
      <c r="XDV2473"/>
      <c r="XDW2473"/>
      <c r="XDX2473"/>
      <c r="XDY2473"/>
      <c r="XDZ2473"/>
      <c r="XEA2473"/>
      <c r="XEB2473"/>
      <c r="XEC2473"/>
      <c r="XED2473"/>
      <c r="XEE2473"/>
      <c r="XEF2473"/>
      <c r="XEG2473"/>
      <c r="XEH2473"/>
      <c r="XEI2473"/>
      <c r="XEJ2473"/>
      <c r="XEK2473"/>
      <c r="XEL2473"/>
      <c r="XEM2473"/>
      <c r="XEN2473"/>
      <c r="XEO2473"/>
      <c r="XEP2473"/>
      <c r="XEQ2473"/>
      <c r="XER2473"/>
      <c r="XES2473"/>
      <c r="XET2473"/>
      <c r="XEU2473"/>
      <c r="XEV2473"/>
      <c r="XEW2473"/>
      <c r="XEX2473"/>
      <c r="XEY2473"/>
      <c r="XEZ2473"/>
      <c r="XFA2473"/>
      <c r="XFB2473"/>
      <c r="XFC2473"/>
    </row>
    <row r="2474" spans="1:20 16329:16383" s="38" customFormat="1" ht="29.1" customHeight="1" outlineLevel="3" x14ac:dyDescent="0.25">
      <c r="A2474" s="49" t="s">
        <v>4482</v>
      </c>
      <c r="B2474" s="50"/>
      <c r="C2474" s="50"/>
      <c r="D2474" s="3" t="s">
        <v>4483</v>
      </c>
      <c r="E2474" s="3"/>
      <c r="F2474" s="51"/>
      <c r="G2474" s="50" t="s">
        <v>134</v>
      </c>
      <c r="H2474" s="52">
        <f>1</f>
        <v>1</v>
      </c>
      <c r="I2474" s="36"/>
      <c r="J2474" s="52">
        <v>1</v>
      </c>
      <c r="K2474" s="53">
        <f>0</f>
        <v>0</v>
      </c>
      <c r="L2474" s="53">
        <f>0</f>
        <v>0</v>
      </c>
      <c r="M2474" s="53">
        <f>0</f>
        <v>0</v>
      </c>
      <c r="N2474" s="54">
        <f t="shared" si="464"/>
        <v>0</v>
      </c>
      <c r="O2474" s="54">
        <f t="shared" si="465"/>
        <v>0</v>
      </c>
      <c r="P2474" s="54">
        <f t="shared" si="466"/>
        <v>0</v>
      </c>
      <c r="Q2474" s="54">
        <f t="shared" si="467"/>
        <v>0</v>
      </c>
      <c r="R2474" s="54">
        <f t="shared" si="468"/>
        <v>0</v>
      </c>
      <c r="S2474" s="54"/>
      <c r="T2474" s="36"/>
      <c r="XDA2474"/>
      <c r="XDB2474"/>
      <c r="XDC2474"/>
      <c r="XDD2474"/>
      <c r="XDE2474"/>
      <c r="XDF2474"/>
      <c r="XDG2474"/>
      <c r="XDH2474"/>
      <c r="XDI2474"/>
      <c r="XDJ2474"/>
      <c r="XDK2474"/>
      <c r="XDL2474"/>
      <c r="XDM2474"/>
      <c r="XDN2474"/>
      <c r="XDO2474"/>
      <c r="XDP2474"/>
      <c r="XDQ2474"/>
      <c r="XDR2474"/>
      <c r="XDS2474"/>
      <c r="XDT2474"/>
      <c r="XDU2474"/>
      <c r="XDV2474"/>
      <c r="XDW2474"/>
      <c r="XDX2474"/>
      <c r="XDY2474"/>
      <c r="XDZ2474"/>
      <c r="XEA2474"/>
      <c r="XEB2474"/>
      <c r="XEC2474"/>
      <c r="XED2474"/>
      <c r="XEE2474"/>
      <c r="XEF2474"/>
      <c r="XEG2474"/>
      <c r="XEH2474"/>
      <c r="XEI2474"/>
      <c r="XEJ2474"/>
      <c r="XEK2474"/>
      <c r="XEL2474"/>
      <c r="XEM2474"/>
      <c r="XEN2474"/>
      <c r="XEO2474"/>
      <c r="XEP2474"/>
      <c r="XEQ2474"/>
      <c r="XER2474"/>
      <c r="XES2474"/>
      <c r="XET2474"/>
      <c r="XEU2474"/>
      <c r="XEV2474"/>
      <c r="XEW2474"/>
      <c r="XEX2474"/>
      <c r="XEY2474"/>
      <c r="XEZ2474"/>
      <c r="XFA2474"/>
      <c r="XFB2474"/>
      <c r="XFC2474"/>
    </row>
    <row r="2475" spans="1:20 16329:16383" s="38" customFormat="1" ht="29.1" customHeight="1" outlineLevel="3" x14ac:dyDescent="0.25">
      <c r="A2475" s="49" t="s">
        <v>4484</v>
      </c>
      <c r="B2475" s="50"/>
      <c r="C2475" s="50"/>
      <c r="D2475" s="3" t="s">
        <v>4485</v>
      </c>
      <c r="E2475" s="3"/>
      <c r="F2475" s="51"/>
      <c r="G2475" s="50" t="s">
        <v>134</v>
      </c>
      <c r="H2475" s="52">
        <f>1</f>
        <v>1</v>
      </c>
      <c r="I2475" s="36"/>
      <c r="J2475" s="52">
        <v>1</v>
      </c>
      <c r="K2475" s="53">
        <f>0</f>
        <v>0</v>
      </c>
      <c r="L2475" s="53">
        <f>0</f>
        <v>0</v>
      </c>
      <c r="M2475" s="53">
        <f>0</f>
        <v>0</v>
      </c>
      <c r="N2475" s="54">
        <f t="shared" si="464"/>
        <v>0</v>
      </c>
      <c r="O2475" s="54">
        <f t="shared" si="465"/>
        <v>0</v>
      </c>
      <c r="P2475" s="54">
        <f t="shared" si="466"/>
        <v>0</v>
      </c>
      <c r="Q2475" s="54">
        <f t="shared" si="467"/>
        <v>0</v>
      </c>
      <c r="R2475" s="54">
        <f t="shared" si="468"/>
        <v>0</v>
      </c>
      <c r="S2475" s="54"/>
      <c r="T2475" s="36"/>
      <c r="XDA2475"/>
      <c r="XDB2475"/>
      <c r="XDC2475"/>
      <c r="XDD2475"/>
      <c r="XDE2475"/>
      <c r="XDF2475"/>
      <c r="XDG2475"/>
      <c r="XDH2475"/>
      <c r="XDI2475"/>
      <c r="XDJ2475"/>
      <c r="XDK2475"/>
      <c r="XDL2475"/>
      <c r="XDM2475"/>
      <c r="XDN2475"/>
      <c r="XDO2475"/>
      <c r="XDP2475"/>
      <c r="XDQ2475"/>
      <c r="XDR2475"/>
      <c r="XDS2475"/>
      <c r="XDT2475"/>
      <c r="XDU2475"/>
      <c r="XDV2475"/>
      <c r="XDW2475"/>
      <c r="XDX2475"/>
      <c r="XDY2475"/>
      <c r="XDZ2475"/>
      <c r="XEA2475"/>
      <c r="XEB2475"/>
      <c r="XEC2475"/>
      <c r="XED2475"/>
      <c r="XEE2475"/>
      <c r="XEF2475"/>
      <c r="XEG2475"/>
      <c r="XEH2475"/>
      <c r="XEI2475"/>
      <c r="XEJ2475"/>
      <c r="XEK2475"/>
      <c r="XEL2475"/>
      <c r="XEM2475"/>
      <c r="XEN2475"/>
      <c r="XEO2475"/>
      <c r="XEP2475"/>
      <c r="XEQ2475"/>
      <c r="XER2475"/>
      <c r="XES2475"/>
      <c r="XET2475"/>
      <c r="XEU2475"/>
      <c r="XEV2475"/>
      <c r="XEW2475"/>
      <c r="XEX2475"/>
      <c r="XEY2475"/>
      <c r="XEZ2475"/>
      <c r="XFA2475"/>
      <c r="XFB2475"/>
      <c r="XFC2475"/>
    </row>
    <row r="2476" spans="1:20 16329:16383" s="38" customFormat="1" ht="29.1" customHeight="1" outlineLevel="3" x14ac:dyDescent="0.25">
      <c r="A2476" s="49" t="s">
        <v>4486</v>
      </c>
      <c r="B2476" s="50"/>
      <c r="C2476" s="50"/>
      <c r="D2476" s="3" t="s">
        <v>4473</v>
      </c>
      <c r="E2476" s="3"/>
      <c r="F2476" s="51"/>
      <c r="G2476" s="50" t="s">
        <v>134</v>
      </c>
      <c r="H2476" s="52">
        <f>1</f>
        <v>1</v>
      </c>
      <c r="I2476" s="36"/>
      <c r="J2476" s="52">
        <v>1</v>
      </c>
      <c r="K2476" s="53">
        <f>0</f>
        <v>0</v>
      </c>
      <c r="L2476" s="53">
        <f>0</f>
        <v>0</v>
      </c>
      <c r="M2476" s="53">
        <f>0</f>
        <v>0</v>
      </c>
      <c r="N2476" s="54">
        <f t="shared" si="464"/>
        <v>0</v>
      </c>
      <c r="O2476" s="54">
        <f t="shared" si="465"/>
        <v>0</v>
      </c>
      <c r="P2476" s="54">
        <f t="shared" si="466"/>
        <v>0</v>
      </c>
      <c r="Q2476" s="54">
        <f t="shared" si="467"/>
        <v>0</v>
      </c>
      <c r="R2476" s="54">
        <f t="shared" si="468"/>
        <v>0</v>
      </c>
      <c r="S2476" s="54"/>
      <c r="T2476" s="36"/>
      <c r="XDA2476"/>
      <c r="XDB2476"/>
      <c r="XDC2476"/>
      <c r="XDD2476"/>
      <c r="XDE2476"/>
      <c r="XDF2476"/>
      <c r="XDG2476"/>
      <c r="XDH2476"/>
      <c r="XDI2476"/>
      <c r="XDJ2476"/>
      <c r="XDK2476"/>
      <c r="XDL2476"/>
      <c r="XDM2476"/>
      <c r="XDN2476"/>
      <c r="XDO2476"/>
      <c r="XDP2476"/>
      <c r="XDQ2476"/>
      <c r="XDR2476"/>
      <c r="XDS2476"/>
      <c r="XDT2476"/>
      <c r="XDU2476"/>
      <c r="XDV2476"/>
      <c r="XDW2476"/>
      <c r="XDX2476"/>
      <c r="XDY2476"/>
      <c r="XDZ2476"/>
      <c r="XEA2476"/>
      <c r="XEB2476"/>
      <c r="XEC2476"/>
      <c r="XED2476"/>
      <c r="XEE2476"/>
      <c r="XEF2476"/>
      <c r="XEG2476"/>
      <c r="XEH2476"/>
      <c r="XEI2476"/>
      <c r="XEJ2476"/>
      <c r="XEK2476"/>
      <c r="XEL2476"/>
      <c r="XEM2476"/>
      <c r="XEN2476"/>
      <c r="XEO2476"/>
      <c r="XEP2476"/>
      <c r="XEQ2476"/>
      <c r="XER2476"/>
      <c r="XES2476"/>
      <c r="XET2476"/>
      <c r="XEU2476"/>
      <c r="XEV2476"/>
      <c r="XEW2476"/>
      <c r="XEX2476"/>
      <c r="XEY2476"/>
      <c r="XEZ2476"/>
      <c r="XFA2476"/>
      <c r="XFB2476"/>
      <c r="XFC2476"/>
    </row>
    <row r="2477" spans="1:20 16329:16383" s="38" customFormat="1" ht="29.1" customHeight="1" outlineLevel="3" x14ac:dyDescent="0.25">
      <c r="A2477" s="49" t="s">
        <v>4487</v>
      </c>
      <c r="B2477" s="50"/>
      <c r="C2477" s="50"/>
      <c r="D2477" s="3" t="s">
        <v>4488</v>
      </c>
      <c r="E2477" s="3"/>
      <c r="F2477" s="51"/>
      <c r="G2477" s="50" t="s">
        <v>134</v>
      </c>
      <c r="H2477" s="52">
        <f>1</f>
        <v>1</v>
      </c>
      <c r="I2477" s="36"/>
      <c r="J2477" s="52">
        <v>1</v>
      </c>
      <c r="K2477" s="53">
        <f>0</f>
        <v>0</v>
      </c>
      <c r="L2477" s="53">
        <f>0</f>
        <v>0</v>
      </c>
      <c r="M2477" s="53">
        <f>0</f>
        <v>0</v>
      </c>
      <c r="N2477" s="54">
        <f t="shared" si="464"/>
        <v>0</v>
      </c>
      <c r="O2477" s="54">
        <f t="shared" si="465"/>
        <v>0</v>
      </c>
      <c r="P2477" s="54">
        <f t="shared" si="466"/>
        <v>0</v>
      </c>
      <c r="Q2477" s="54">
        <f t="shared" si="467"/>
        <v>0</v>
      </c>
      <c r="R2477" s="54">
        <f t="shared" si="468"/>
        <v>0</v>
      </c>
      <c r="S2477" s="54"/>
      <c r="T2477" s="36"/>
      <c r="XDA2477"/>
      <c r="XDB2477"/>
      <c r="XDC2477"/>
      <c r="XDD2477"/>
      <c r="XDE2477"/>
      <c r="XDF2477"/>
      <c r="XDG2477"/>
      <c r="XDH2477"/>
      <c r="XDI2477"/>
      <c r="XDJ2477"/>
      <c r="XDK2477"/>
      <c r="XDL2477"/>
      <c r="XDM2477"/>
      <c r="XDN2477"/>
      <c r="XDO2477"/>
      <c r="XDP2477"/>
      <c r="XDQ2477"/>
      <c r="XDR2477"/>
      <c r="XDS2477"/>
      <c r="XDT2477"/>
      <c r="XDU2477"/>
      <c r="XDV2477"/>
      <c r="XDW2477"/>
      <c r="XDX2477"/>
      <c r="XDY2477"/>
      <c r="XDZ2477"/>
      <c r="XEA2477"/>
      <c r="XEB2477"/>
      <c r="XEC2477"/>
      <c r="XED2477"/>
      <c r="XEE2477"/>
      <c r="XEF2477"/>
      <c r="XEG2477"/>
      <c r="XEH2477"/>
      <c r="XEI2477"/>
      <c r="XEJ2477"/>
      <c r="XEK2477"/>
      <c r="XEL2477"/>
      <c r="XEM2477"/>
      <c r="XEN2477"/>
      <c r="XEO2477"/>
      <c r="XEP2477"/>
      <c r="XEQ2477"/>
      <c r="XER2477"/>
      <c r="XES2477"/>
      <c r="XET2477"/>
      <c r="XEU2477"/>
      <c r="XEV2477"/>
      <c r="XEW2477"/>
      <c r="XEX2477"/>
      <c r="XEY2477"/>
      <c r="XEZ2477"/>
      <c r="XFA2477"/>
      <c r="XFB2477"/>
      <c r="XFC2477"/>
    </row>
    <row r="2478" spans="1:20 16329:16383" s="38" customFormat="1" ht="29.1" customHeight="1" outlineLevel="3" x14ac:dyDescent="0.25">
      <c r="A2478" s="49" t="s">
        <v>4489</v>
      </c>
      <c r="B2478" s="50"/>
      <c r="C2478" s="50"/>
      <c r="D2478" s="3" t="s">
        <v>4490</v>
      </c>
      <c r="E2478" s="3"/>
      <c r="F2478" s="51"/>
      <c r="G2478" s="50" t="s">
        <v>117</v>
      </c>
      <c r="H2478" s="52">
        <f>1</f>
        <v>1</v>
      </c>
      <c r="I2478" s="36"/>
      <c r="J2478" s="52">
        <v>1</v>
      </c>
      <c r="K2478" s="53">
        <f>0</f>
        <v>0</v>
      </c>
      <c r="L2478" s="53">
        <f>0</f>
        <v>0</v>
      </c>
      <c r="M2478" s="53">
        <f>0</f>
        <v>0</v>
      </c>
      <c r="N2478" s="54">
        <f t="shared" si="464"/>
        <v>0</v>
      </c>
      <c r="O2478" s="54">
        <f t="shared" si="465"/>
        <v>0</v>
      </c>
      <c r="P2478" s="54">
        <f t="shared" si="466"/>
        <v>0</v>
      </c>
      <c r="Q2478" s="54">
        <f t="shared" si="467"/>
        <v>0</v>
      </c>
      <c r="R2478" s="54">
        <f t="shared" si="468"/>
        <v>0</v>
      </c>
      <c r="S2478" s="54"/>
      <c r="T2478" s="36"/>
      <c r="XDA2478"/>
      <c r="XDB2478"/>
      <c r="XDC2478"/>
      <c r="XDD2478"/>
      <c r="XDE2478"/>
      <c r="XDF2478"/>
      <c r="XDG2478"/>
      <c r="XDH2478"/>
      <c r="XDI2478"/>
      <c r="XDJ2478"/>
      <c r="XDK2478"/>
      <c r="XDL2478"/>
      <c r="XDM2478"/>
      <c r="XDN2478"/>
      <c r="XDO2478"/>
      <c r="XDP2478"/>
      <c r="XDQ2478"/>
      <c r="XDR2478"/>
      <c r="XDS2478"/>
      <c r="XDT2478"/>
      <c r="XDU2478"/>
      <c r="XDV2478"/>
      <c r="XDW2478"/>
      <c r="XDX2478"/>
      <c r="XDY2478"/>
      <c r="XDZ2478"/>
      <c r="XEA2478"/>
      <c r="XEB2478"/>
      <c r="XEC2478"/>
      <c r="XED2478"/>
      <c r="XEE2478"/>
      <c r="XEF2478"/>
      <c r="XEG2478"/>
      <c r="XEH2478"/>
      <c r="XEI2478"/>
      <c r="XEJ2478"/>
      <c r="XEK2478"/>
      <c r="XEL2478"/>
      <c r="XEM2478"/>
      <c r="XEN2478"/>
      <c r="XEO2478"/>
      <c r="XEP2478"/>
      <c r="XEQ2478"/>
      <c r="XER2478"/>
      <c r="XES2478"/>
      <c r="XET2478"/>
      <c r="XEU2478"/>
      <c r="XEV2478"/>
      <c r="XEW2478"/>
      <c r="XEX2478"/>
      <c r="XEY2478"/>
      <c r="XEZ2478"/>
      <c r="XFA2478"/>
      <c r="XFB2478"/>
      <c r="XFC2478"/>
    </row>
    <row r="2479" spans="1:20 16329:16383" s="38" customFormat="1" ht="29.1" customHeight="1" outlineLevel="3" x14ac:dyDescent="0.25">
      <c r="A2479" s="49" t="s">
        <v>4491</v>
      </c>
      <c r="B2479" s="50"/>
      <c r="C2479" s="50"/>
      <c r="D2479" s="3" t="s">
        <v>4492</v>
      </c>
      <c r="E2479" s="3"/>
      <c r="F2479" s="51"/>
      <c r="G2479" s="50" t="s">
        <v>117</v>
      </c>
      <c r="H2479" s="52">
        <f>1</f>
        <v>1</v>
      </c>
      <c r="I2479" s="36"/>
      <c r="J2479" s="52">
        <v>1</v>
      </c>
      <c r="K2479" s="53">
        <f>0</f>
        <v>0</v>
      </c>
      <c r="L2479" s="53">
        <f>0</f>
        <v>0</v>
      </c>
      <c r="M2479" s="53">
        <f>0</f>
        <v>0</v>
      </c>
      <c r="N2479" s="54">
        <f t="shared" si="464"/>
        <v>0</v>
      </c>
      <c r="O2479" s="54">
        <f t="shared" si="465"/>
        <v>0</v>
      </c>
      <c r="P2479" s="54">
        <f t="shared" si="466"/>
        <v>0</v>
      </c>
      <c r="Q2479" s="54">
        <f t="shared" si="467"/>
        <v>0</v>
      </c>
      <c r="R2479" s="54">
        <f t="shared" si="468"/>
        <v>0</v>
      </c>
      <c r="S2479" s="54"/>
      <c r="T2479" s="36"/>
      <c r="XDA2479"/>
      <c r="XDB2479"/>
      <c r="XDC2479"/>
      <c r="XDD2479"/>
      <c r="XDE2479"/>
      <c r="XDF2479"/>
      <c r="XDG2479"/>
      <c r="XDH2479"/>
      <c r="XDI2479"/>
      <c r="XDJ2479"/>
      <c r="XDK2479"/>
      <c r="XDL2479"/>
      <c r="XDM2479"/>
      <c r="XDN2479"/>
      <c r="XDO2479"/>
      <c r="XDP2479"/>
      <c r="XDQ2479"/>
      <c r="XDR2479"/>
      <c r="XDS2479"/>
      <c r="XDT2479"/>
      <c r="XDU2479"/>
      <c r="XDV2479"/>
      <c r="XDW2479"/>
      <c r="XDX2479"/>
      <c r="XDY2479"/>
      <c r="XDZ2479"/>
      <c r="XEA2479"/>
      <c r="XEB2479"/>
      <c r="XEC2479"/>
      <c r="XED2479"/>
      <c r="XEE2479"/>
      <c r="XEF2479"/>
      <c r="XEG2479"/>
      <c r="XEH2479"/>
      <c r="XEI2479"/>
      <c r="XEJ2479"/>
      <c r="XEK2479"/>
      <c r="XEL2479"/>
      <c r="XEM2479"/>
      <c r="XEN2479"/>
      <c r="XEO2479"/>
      <c r="XEP2479"/>
      <c r="XEQ2479"/>
      <c r="XER2479"/>
      <c r="XES2479"/>
      <c r="XET2479"/>
      <c r="XEU2479"/>
      <c r="XEV2479"/>
      <c r="XEW2479"/>
      <c r="XEX2479"/>
      <c r="XEY2479"/>
      <c r="XEZ2479"/>
      <c r="XFA2479"/>
      <c r="XFB2479"/>
      <c r="XFC2479"/>
    </row>
    <row r="2480" spans="1:20 16329:16383" s="38" customFormat="1" ht="29.1" customHeight="1" outlineLevel="3" x14ac:dyDescent="0.25">
      <c r="A2480" s="49" t="s">
        <v>4493</v>
      </c>
      <c r="B2480" s="50"/>
      <c r="C2480" s="50"/>
      <c r="D2480" s="3" t="s">
        <v>4494</v>
      </c>
      <c r="E2480" s="3"/>
      <c r="F2480" s="51"/>
      <c r="G2480" s="50" t="s">
        <v>117</v>
      </c>
      <c r="H2480" s="52">
        <f>1</f>
        <v>1</v>
      </c>
      <c r="I2480" s="36"/>
      <c r="J2480" s="52">
        <v>1</v>
      </c>
      <c r="K2480" s="53">
        <f>0</f>
        <v>0</v>
      </c>
      <c r="L2480" s="53">
        <f>0</f>
        <v>0</v>
      </c>
      <c r="M2480" s="53">
        <f>0</f>
        <v>0</v>
      </c>
      <c r="N2480" s="54">
        <f t="shared" si="464"/>
        <v>0</v>
      </c>
      <c r="O2480" s="54">
        <f t="shared" si="465"/>
        <v>0</v>
      </c>
      <c r="P2480" s="54">
        <f t="shared" si="466"/>
        <v>0</v>
      </c>
      <c r="Q2480" s="54">
        <f t="shared" si="467"/>
        <v>0</v>
      </c>
      <c r="R2480" s="54">
        <f t="shared" si="468"/>
        <v>0</v>
      </c>
      <c r="S2480" s="54"/>
      <c r="T2480" s="36"/>
      <c r="XDA2480"/>
      <c r="XDB2480"/>
      <c r="XDC2480"/>
      <c r="XDD2480"/>
      <c r="XDE2480"/>
      <c r="XDF2480"/>
      <c r="XDG2480"/>
      <c r="XDH2480"/>
      <c r="XDI2480"/>
      <c r="XDJ2480"/>
      <c r="XDK2480"/>
      <c r="XDL2480"/>
      <c r="XDM2480"/>
      <c r="XDN2480"/>
      <c r="XDO2480"/>
      <c r="XDP2480"/>
      <c r="XDQ2480"/>
      <c r="XDR2480"/>
      <c r="XDS2480"/>
      <c r="XDT2480"/>
      <c r="XDU2480"/>
      <c r="XDV2480"/>
      <c r="XDW2480"/>
      <c r="XDX2480"/>
      <c r="XDY2480"/>
      <c r="XDZ2480"/>
      <c r="XEA2480"/>
      <c r="XEB2480"/>
      <c r="XEC2480"/>
      <c r="XED2480"/>
      <c r="XEE2480"/>
      <c r="XEF2480"/>
      <c r="XEG2480"/>
      <c r="XEH2480"/>
      <c r="XEI2480"/>
      <c r="XEJ2480"/>
      <c r="XEK2480"/>
      <c r="XEL2480"/>
      <c r="XEM2480"/>
      <c r="XEN2480"/>
      <c r="XEO2480"/>
      <c r="XEP2480"/>
      <c r="XEQ2480"/>
      <c r="XER2480"/>
      <c r="XES2480"/>
      <c r="XET2480"/>
      <c r="XEU2480"/>
      <c r="XEV2480"/>
      <c r="XEW2480"/>
      <c r="XEX2480"/>
      <c r="XEY2480"/>
      <c r="XEZ2480"/>
      <c r="XFA2480"/>
      <c r="XFB2480"/>
      <c r="XFC2480"/>
    </row>
    <row r="2481" spans="1:20 16329:16383" s="38" customFormat="1" ht="29.1" customHeight="1" outlineLevel="3" x14ac:dyDescent="0.25">
      <c r="A2481" s="49" t="s">
        <v>4495</v>
      </c>
      <c r="B2481" s="50"/>
      <c r="C2481" s="50"/>
      <c r="D2481" s="3" t="s">
        <v>3991</v>
      </c>
      <c r="E2481" s="3"/>
      <c r="F2481" s="51"/>
      <c r="G2481" s="50" t="s">
        <v>102</v>
      </c>
      <c r="H2481" s="52">
        <f>1</f>
        <v>1</v>
      </c>
      <c r="I2481" s="36"/>
      <c r="J2481" s="52">
        <v>1</v>
      </c>
      <c r="K2481" s="53">
        <f>0</f>
        <v>0</v>
      </c>
      <c r="L2481" s="53">
        <f>0</f>
        <v>0</v>
      </c>
      <c r="M2481" s="53">
        <f>0</f>
        <v>0</v>
      </c>
      <c r="N2481" s="54">
        <f t="shared" si="464"/>
        <v>0</v>
      </c>
      <c r="O2481" s="54">
        <f t="shared" si="465"/>
        <v>0</v>
      </c>
      <c r="P2481" s="54">
        <f t="shared" si="466"/>
        <v>0</v>
      </c>
      <c r="Q2481" s="54">
        <f t="shared" si="467"/>
        <v>0</v>
      </c>
      <c r="R2481" s="54">
        <f t="shared" si="468"/>
        <v>0</v>
      </c>
      <c r="S2481" s="54"/>
      <c r="T2481" s="36"/>
      <c r="XDA2481"/>
      <c r="XDB2481"/>
      <c r="XDC2481"/>
      <c r="XDD2481"/>
      <c r="XDE2481"/>
      <c r="XDF2481"/>
      <c r="XDG2481"/>
      <c r="XDH2481"/>
      <c r="XDI2481"/>
      <c r="XDJ2481"/>
      <c r="XDK2481"/>
      <c r="XDL2481"/>
      <c r="XDM2481"/>
      <c r="XDN2481"/>
      <c r="XDO2481"/>
      <c r="XDP2481"/>
      <c r="XDQ2481"/>
      <c r="XDR2481"/>
      <c r="XDS2481"/>
      <c r="XDT2481"/>
      <c r="XDU2481"/>
      <c r="XDV2481"/>
      <c r="XDW2481"/>
      <c r="XDX2481"/>
      <c r="XDY2481"/>
      <c r="XDZ2481"/>
      <c r="XEA2481"/>
      <c r="XEB2481"/>
      <c r="XEC2481"/>
      <c r="XED2481"/>
      <c r="XEE2481"/>
      <c r="XEF2481"/>
      <c r="XEG2481"/>
      <c r="XEH2481"/>
      <c r="XEI2481"/>
      <c r="XEJ2481"/>
      <c r="XEK2481"/>
      <c r="XEL2481"/>
      <c r="XEM2481"/>
      <c r="XEN2481"/>
      <c r="XEO2481"/>
      <c r="XEP2481"/>
      <c r="XEQ2481"/>
      <c r="XER2481"/>
      <c r="XES2481"/>
      <c r="XET2481"/>
      <c r="XEU2481"/>
      <c r="XEV2481"/>
      <c r="XEW2481"/>
      <c r="XEX2481"/>
      <c r="XEY2481"/>
      <c r="XEZ2481"/>
      <c r="XFA2481"/>
      <c r="XFB2481"/>
      <c r="XFC2481"/>
    </row>
    <row r="2482" spans="1:20 16329:16383" s="38" customFormat="1" ht="29.1" customHeight="1" outlineLevel="1" x14ac:dyDescent="0.25">
      <c r="A2482" s="39" t="s">
        <v>4496</v>
      </c>
      <c r="B2482" s="40" t="s">
        <v>54</v>
      </c>
      <c r="C2482" s="40" t="s">
        <v>4497</v>
      </c>
      <c r="D2482" s="5" t="s">
        <v>4498</v>
      </c>
      <c r="E2482" s="5"/>
      <c r="F2482" s="41"/>
      <c r="G2482" s="40" t="s">
        <v>29</v>
      </c>
      <c r="H2482" s="42"/>
      <c r="I2482" s="36"/>
      <c r="J2482" s="42"/>
      <c r="K2482" s="43"/>
      <c r="L2482" s="43"/>
      <c r="M2482" s="43"/>
      <c r="N2482" s="43"/>
      <c r="O2482" s="43">
        <f>O2483+O2500+O2502+O2506</f>
        <v>0</v>
      </c>
      <c r="P2482" s="43">
        <f>P2483+P2500+P2502+P2506</f>
        <v>0</v>
      </c>
      <c r="Q2482" s="43">
        <f>Q2483+Q2500+Q2502+Q2506</f>
        <v>0</v>
      </c>
      <c r="R2482" s="43">
        <f>R2483+R2500+R2502+R2506</f>
        <v>0</v>
      </c>
      <c r="S2482" s="43"/>
      <c r="T2482" s="36"/>
      <c r="XDA2482"/>
      <c r="XDB2482"/>
      <c r="XDC2482"/>
      <c r="XDD2482"/>
      <c r="XDE2482"/>
      <c r="XDF2482"/>
      <c r="XDG2482"/>
      <c r="XDH2482"/>
      <c r="XDI2482"/>
      <c r="XDJ2482"/>
      <c r="XDK2482"/>
      <c r="XDL2482"/>
      <c r="XDM2482"/>
      <c r="XDN2482"/>
      <c r="XDO2482"/>
      <c r="XDP2482"/>
      <c r="XDQ2482"/>
      <c r="XDR2482"/>
      <c r="XDS2482"/>
      <c r="XDT2482"/>
      <c r="XDU2482"/>
      <c r="XDV2482"/>
      <c r="XDW2482"/>
      <c r="XDX2482"/>
      <c r="XDY2482"/>
      <c r="XDZ2482"/>
      <c r="XEA2482"/>
      <c r="XEB2482"/>
      <c r="XEC2482"/>
      <c r="XED2482"/>
      <c r="XEE2482"/>
      <c r="XEF2482"/>
      <c r="XEG2482"/>
      <c r="XEH2482"/>
      <c r="XEI2482"/>
      <c r="XEJ2482"/>
      <c r="XEK2482"/>
      <c r="XEL2482"/>
      <c r="XEM2482"/>
      <c r="XEN2482"/>
      <c r="XEO2482"/>
      <c r="XEP2482"/>
      <c r="XEQ2482"/>
      <c r="XER2482"/>
      <c r="XES2482"/>
      <c r="XET2482"/>
      <c r="XEU2482"/>
      <c r="XEV2482"/>
      <c r="XEW2482"/>
      <c r="XEX2482"/>
      <c r="XEY2482"/>
      <c r="XEZ2482"/>
      <c r="XFA2482"/>
      <c r="XFB2482"/>
      <c r="XFC2482"/>
    </row>
    <row r="2483" spans="1:20 16329:16383" s="38" customFormat="1" ht="29.1" customHeight="1" outlineLevel="2" x14ac:dyDescent="0.25">
      <c r="A2483" s="44" t="s">
        <v>4499</v>
      </c>
      <c r="B2483" s="45" t="s">
        <v>4500</v>
      </c>
      <c r="C2483" s="45" t="s">
        <v>4501</v>
      </c>
      <c r="D2483" s="4" t="s">
        <v>4502</v>
      </c>
      <c r="E2483" s="4"/>
      <c r="F2483" s="46"/>
      <c r="G2483" s="45" t="s">
        <v>29</v>
      </c>
      <c r="H2483" s="47"/>
      <c r="I2483" s="36"/>
      <c r="J2483" s="47"/>
      <c r="K2483" s="48"/>
      <c r="L2483" s="48"/>
      <c r="M2483" s="48"/>
      <c r="N2483" s="48"/>
      <c r="O2483" s="48">
        <f>SUM(O2484:O2499)</f>
        <v>0</v>
      </c>
      <c r="P2483" s="48">
        <f>SUM(P2484:P2499)</f>
        <v>0</v>
      </c>
      <c r="Q2483" s="48">
        <f>SUM(Q2484:Q2499)</f>
        <v>0</v>
      </c>
      <c r="R2483" s="48">
        <f>SUM(R2484:R2499)</f>
        <v>0</v>
      </c>
      <c r="S2483" s="48"/>
      <c r="T2483" s="36"/>
      <c r="XDA2483"/>
      <c r="XDB2483"/>
      <c r="XDC2483"/>
      <c r="XDD2483"/>
      <c r="XDE2483"/>
      <c r="XDF2483"/>
      <c r="XDG2483"/>
      <c r="XDH2483"/>
      <c r="XDI2483"/>
      <c r="XDJ2483"/>
      <c r="XDK2483"/>
      <c r="XDL2483"/>
      <c r="XDM2483"/>
      <c r="XDN2483"/>
      <c r="XDO2483"/>
      <c r="XDP2483"/>
      <c r="XDQ2483"/>
      <c r="XDR2483"/>
      <c r="XDS2483"/>
      <c r="XDT2483"/>
      <c r="XDU2483"/>
      <c r="XDV2483"/>
      <c r="XDW2483"/>
      <c r="XDX2483"/>
      <c r="XDY2483"/>
      <c r="XDZ2483"/>
      <c r="XEA2483"/>
      <c r="XEB2483"/>
      <c r="XEC2483"/>
      <c r="XED2483"/>
      <c r="XEE2483"/>
      <c r="XEF2483"/>
      <c r="XEG2483"/>
      <c r="XEH2483"/>
      <c r="XEI2483"/>
      <c r="XEJ2483"/>
      <c r="XEK2483"/>
      <c r="XEL2483"/>
      <c r="XEM2483"/>
      <c r="XEN2483"/>
      <c r="XEO2483"/>
      <c r="XEP2483"/>
      <c r="XEQ2483"/>
      <c r="XER2483"/>
      <c r="XES2483"/>
      <c r="XET2483"/>
      <c r="XEU2483"/>
      <c r="XEV2483"/>
      <c r="XEW2483"/>
      <c r="XEX2483"/>
      <c r="XEY2483"/>
      <c r="XEZ2483"/>
      <c r="XFA2483"/>
      <c r="XFB2483"/>
      <c r="XFC2483"/>
    </row>
    <row r="2484" spans="1:20 16329:16383" s="38" customFormat="1" ht="29.1" customHeight="1" outlineLevel="3" x14ac:dyDescent="0.25">
      <c r="A2484" s="49" t="s">
        <v>4503</v>
      </c>
      <c r="B2484" s="50"/>
      <c r="C2484" s="50"/>
      <c r="D2484" s="3" t="s">
        <v>4504</v>
      </c>
      <c r="E2484" s="3"/>
      <c r="F2484" s="51"/>
      <c r="G2484" s="50" t="s">
        <v>134</v>
      </c>
      <c r="H2484" s="52">
        <f>1</f>
        <v>1</v>
      </c>
      <c r="I2484" s="36"/>
      <c r="J2484" s="52">
        <v>1</v>
      </c>
      <c r="K2484" s="53">
        <f>0</f>
        <v>0</v>
      </c>
      <c r="L2484" s="53">
        <f>0</f>
        <v>0</v>
      </c>
      <c r="M2484" s="53">
        <f>0</f>
        <v>0</v>
      </c>
      <c r="N2484" s="54">
        <f t="shared" ref="N2484:N2499" si="469">SUM(K2484:M2484)</f>
        <v>0</v>
      </c>
      <c r="O2484" s="54">
        <f t="shared" ref="O2484:O2499" si="470">ROUND((H2484*K2484),2)</f>
        <v>0</v>
      </c>
      <c r="P2484" s="54">
        <f t="shared" ref="P2484:P2499" si="471">ROUND((H2484*L2484),2)</f>
        <v>0</v>
      </c>
      <c r="Q2484" s="54">
        <f t="shared" ref="Q2484:Q2499" si="472">ROUND((H2484*M2484),2)</f>
        <v>0</v>
      </c>
      <c r="R2484" s="54">
        <f t="shared" ref="R2484:R2499" si="473">ROUND((H2484*N2484),2)</f>
        <v>0</v>
      </c>
      <c r="S2484" s="54"/>
      <c r="T2484" s="36"/>
      <c r="XDA2484"/>
      <c r="XDB2484"/>
      <c r="XDC2484"/>
      <c r="XDD2484"/>
      <c r="XDE2484"/>
      <c r="XDF2484"/>
      <c r="XDG2484"/>
      <c r="XDH2484"/>
      <c r="XDI2484"/>
      <c r="XDJ2484"/>
      <c r="XDK2484"/>
      <c r="XDL2484"/>
      <c r="XDM2484"/>
      <c r="XDN2484"/>
      <c r="XDO2484"/>
      <c r="XDP2484"/>
      <c r="XDQ2484"/>
      <c r="XDR2484"/>
      <c r="XDS2484"/>
      <c r="XDT2484"/>
      <c r="XDU2484"/>
      <c r="XDV2484"/>
      <c r="XDW2484"/>
      <c r="XDX2484"/>
      <c r="XDY2484"/>
      <c r="XDZ2484"/>
      <c r="XEA2484"/>
      <c r="XEB2484"/>
      <c r="XEC2484"/>
      <c r="XED2484"/>
      <c r="XEE2484"/>
      <c r="XEF2484"/>
      <c r="XEG2484"/>
      <c r="XEH2484"/>
      <c r="XEI2484"/>
      <c r="XEJ2484"/>
      <c r="XEK2484"/>
      <c r="XEL2484"/>
      <c r="XEM2484"/>
      <c r="XEN2484"/>
      <c r="XEO2484"/>
      <c r="XEP2484"/>
      <c r="XEQ2484"/>
      <c r="XER2484"/>
      <c r="XES2484"/>
      <c r="XET2484"/>
      <c r="XEU2484"/>
      <c r="XEV2484"/>
      <c r="XEW2484"/>
      <c r="XEX2484"/>
      <c r="XEY2484"/>
      <c r="XEZ2484"/>
      <c r="XFA2484"/>
      <c r="XFB2484"/>
      <c r="XFC2484"/>
    </row>
    <row r="2485" spans="1:20 16329:16383" s="38" customFormat="1" ht="29.1" customHeight="1" outlineLevel="3" x14ac:dyDescent="0.25">
      <c r="A2485" s="49" t="s">
        <v>4505</v>
      </c>
      <c r="B2485" s="50"/>
      <c r="C2485" s="50"/>
      <c r="D2485" s="3" t="s">
        <v>4506</v>
      </c>
      <c r="E2485" s="3"/>
      <c r="F2485" s="51"/>
      <c r="G2485" s="50" t="s">
        <v>134</v>
      </c>
      <c r="H2485" s="52">
        <f>1</f>
        <v>1</v>
      </c>
      <c r="I2485" s="36"/>
      <c r="J2485" s="52">
        <v>1</v>
      </c>
      <c r="K2485" s="53">
        <f>0</f>
        <v>0</v>
      </c>
      <c r="L2485" s="53">
        <f>0</f>
        <v>0</v>
      </c>
      <c r="M2485" s="53">
        <f>0</f>
        <v>0</v>
      </c>
      <c r="N2485" s="54">
        <f t="shared" si="469"/>
        <v>0</v>
      </c>
      <c r="O2485" s="54">
        <f t="shared" si="470"/>
        <v>0</v>
      </c>
      <c r="P2485" s="54">
        <f t="shared" si="471"/>
        <v>0</v>
      </c>
      <c r="Q2485" s="54">
        <f t="shared" si="472"/>
        <v>0</v>
      </c>
      <c r="R2485" s="54">
        <f t="shared" si="473"/>
        <v>0</v>
      </c>
      <c r="S2485" s="54"/>
      <c r="T2485" s="36"/>
      <c r="XDA2485"/>
      <c r="XDB2485"/>
      <c r="XDC2485"/>
      <c r="XDD2485"/>
      <c r="XDE2485"/>
      <c r="XDF2485"/>
      <c r="XDG2485"/>
      <c r="XDH2485"/>
      <c r="XDI2485"/>
      <c r="XDJ2485"/>
      <c r="XDK2485"/>
      <c r="XDL2485"/>
      <c r="XDM2485"/>
      <c r="XDN2485"/>
      <c r="XDO2485"/>
      <c r="XDP2485"/>
      <c r="XDQ2485"/>
      <c r="XDR2485"/>
      <c r="XDS2485"/>
      <c r="XDT2485"/>
      <c r="XDU2485"/>
      <c r="XDV2485"/>
      <c r="XDW2485"/>
      <c r="XDX2485"/>
      <c r="XDY2485"/>
      <c r="XDZ2485"/>
      <c r="XEA2485"/>
      <c r="XEB2485"/>
      <c r="XEC2485"/>
      <c r="XED2485"/>
      <c r="XEE2485"/>
      <c r="XEF2485"/>
      <c r="XEG2485"/>
      <c r="XEH2485"/>
      <c r="XEI2485"/>
      <c r="XEJ2485"/>
      <c r="XEK2485"/>
      <c r="XEL2485"/>
      <c r="XEM2485"/>
      <c r="XEN2485"/>
      <c r="XEO2485"/>
      <c r="XEP2485"/>
      <c r="XEQ2485"/>
      <c r="XER2485"/>
      <c r="XES2485"/>
      <c r="XET2485"/>
      <c r="XEU2485"/>
      <c r="XEV2485"/>
      <c r="XEW2485"/>
      <c r="XEX2485"/>
      <c r="XEY2485"/>
      <c r="XEZ2485"/>
      <c r="XFA2485"/>
      <c r="XFB2485"/>
      <c r="XFC2485"/>
    </row>
    <row r="2486" spans="1:20 16329:16383" s="38" customFormat="1" ht="29.1" customHeight="1" outlineLevel="3" x14ac:dyDescent="0.25">
      <c r="A2486" s="49" t="s">
        <v>4507</v>
      </c>
      <c r="B2486" s="50"/>
      <c r="C2486" s="50"/>
      <c r="D2486" s="3" t="s">
        <v>4508</v>
      </c>
      <c r="E2486" s="3"/>
      <c r="F2486" s="51"/>
      <c r="G2486" s="50" t="s">
        <v>134</v>
      </c>
      <c r="H2486" s="52">
        <f>1</f>
        <v>1</v>
      </c>
      <c r="I2486" s="36"/>
      <c r="J2486" s="52">
        <v>1</v>
      </c>
      <c r="K2486" s="53">
        <f>0</f>
        <v>0</v>
      </c>
      <c r="L2486" s="53">
        <f>0</f>
        <v>0</v>
      </c>
      <c r="M2486" s="53">
        <f>0</f>
        <v>0</v>
      </c>
      <c r="N2486" s="54">
        <f t="shared" si="469"/>
        <v>0</v>
      </c>
      <c r="O2486" s="54">
        <f t="shared" si="470"/>
        <v>0</v>
      </c>
      <c r="P2486" s="54">
        <f t="shared" si="471"/>
        <v>0</v>
      </c>
      <c r="Q2486" s="54">
        <f t="shared" si="472"/>
        <v>0</v>
      </c>
      <c r="R2486" s="54">
        <f t="shared" si="473"/>
        <v>0</v>
      </c>
      <c r="S2486" s="54"/>
      <c r="T2486" s="36"/>
      <c r="XDA2486"/>
      <c r="XDB2486"/>
      <c r="XDC2486"/>
      <c r="XDD2486"/>
      <c r="XDE2486"/>
      <c r="XDF2486"/>
      <c r="XDG2486"/>
      <c r="XDH2486"/>
      <c r="XDI2486"/>
      <c r="XDJ2486"/>
      <c r="XDK2486"/>
      <c r="XDL2486"/>
      <c r="XDM2486"/>
      <c r="XDN2486"/>
      <c r="XDO2486"/>
      <c r="XDP2486"/>
      <c r="XDQ2486"/>
      <c r="XDR2486"/>
      <c r="XDS2486"/>
      <c r="XDT2486"/>
      <c r="XDU2486"/>
      <c r="XDV2486"/>
      <c r="XDW2486"/>
      <c r="XDX2486"/>
      <c r="XDY2486"/>
      <c r="XDZ2486"/>
      <c r="XEA2486"/>
      <c r="XEB2486"/>
      <c r="XEC2486"/>
      <c r="XED2486"/>
      <c r="XEE2486"/>
      <c r="XEF2486"/>
      <c r="XEG2486"/>
      <c r="XEH2486"/>
      <c r="XEI2486"/>
      <c r="XEJ2486"/>
      <c r="XEK2486"/>
      <c r="XEL2486"/>
      <c r="XEM2486"/>
      <c r="XEN2486"/>
      <c r="XEO2486"/>
      <c r="XEP2486"/>
      <c r="XEQ2486"/>
      <c r="XER2486"/>
      <c r="XES2486"/>
      <c r="XET2486"/>
      <c r="XEU2486"/>
      <c r="XEV2486"/>
      <c r="XEW2486"/>
      <c r="XEX2486"/>
      <c r="XEY2486"/>
      <c r="XEZ2486"/>
      <c r="XFA2486"/>
      <c r="XFB2486"/>
      <c r="XFC2486"/>
    </row>
    <row r="2487" spans="1:20 16329:16383" s="38" customFormat="1" ht="29.1" customHeight="1" outlineLevel="3" x14ac:dyDescent="0.25">
      <c r="A2487" s="49" t="s">
        <v>4509</v>
      </c>
      <c r="B2487" s="50"/>
      <c r="C2487" s="50"/>
      <c r="D2487" s="3" t="s">
        <v>4510</v>
      </c>
      <c r="E2487" s="3"/>
      <c r="F2487" s="51"/>
      <c r="G2487" s="50" t="s">
        <v>134</v>
      </c>
      <c r="H2487" s="52">
        <f>1</f>
        <v>1</v>
      </c>
      <c r="I2487" s="36"/>
      <c r="J2487" s="52">
        <v>1</v>
      </c>
      <c r="K2487" s="53">
        <f>0</f>
        <v>0</v>
      </c>
      <c r="L2487" s="53">
        <f>0</f>
        <v>0</v>
      </c>
      <c r="M2487" s="53">
        <f>0</f>
        <v>0</v>
      </c>
      <c r="N2487" s="54">
        <f t="shared" si="469"/>
        <v>0</v>
      </c>
      <c r="O2487" s="54">
        <f t="shared" si="470"/>
        <v>0</v>
      </c>
      <c r="P2487" s="54">
        <f t="shared" si="471"/>
        <v>0</v>
      </c>
      <c r="Q2487" s="54">
        <f t="shared" si="472"/>
        <v>0</v>
      </c>
      <c r="R2487" s="54">
        <f t="shared" si="473"/>
        <v>0</v>
      </c>
      <c r="S2487" s="54"/>
      <c r="T2487" s="36"/>
      <c r="XDA2487"/>
      <c r="XDB2487"/>
      <c r="XDC2487"/>
      <c r="XDD2487"/>
      <c r="XDE2487"/>
      <c r="XDF2487"/>
      <c r="XDG2487"/>
      <c r="XDH2487"/>
      <c r="XDI2487"/>
      <c r="XDJ2487"/>
      <c r="XDK2487"/>
      <c r="XDL2487"/>
      <c r="XDM2487"/>
      <c r="XDN2487"/>
      <c r="XDO2487"/>
      <c r="XDP2487"/>
      <c r="XDQ2487"/>
      <c r="XDR2487"/>
      <c r="XDS2487"/>
      <c r="XDT2487"/>
      <c r="XDU2487"/>
      <c r="XDV2487"/>
      <c r="XDW2487"/>
      <c r="XDX2487"/>
      <c r="XDY2487"/>
      <c r="XDZ2487"/>
      <c r="XEA2487"/>
      <c r="XEB2487"/>
      <c r="XEC2487"/>
      <c r="XED2487"/>
      <c r="XEE2487"/>
      <c r="XEF2487"/>
      <c r="XEG2487"/>
      <c r="XEH2487"/>
      <c r="XEI2487"/>
      <c r="XEJ2487"/>
      <c r="XEK2487"/>
      <c r="XEL2487"/>
      <c r="XEM2487"/>
      <c r="XEN2487"/>
      <c r="XEO2487"/>
      <c r="XEP2487"/>
      <c r="XEQ2487"/>
      <c r="XER2487"/>
      <c r="XES2487"/>
      <c r="XET2487"/>
      <c r="XEU2487"/>
      <c r="XEV2487"/>
      <c r="XEW2487"/>
      <c r="XEX2487"/>
      <c r="XEY2487"/>
      <c r="XEZ2487"/>
      <c r="XFA2487"/>
      <c r="XFB2487"/>
      <c r="XFC2487"/>
    </row>
    <row r="2488" spans="1:20 16329:16383" s="38" customFormat="1" ht="29.1" customHeight="1" outlineLevel="3" x14ac:dyDescent="0.25">
      <c r="A2488" s="49" t="s">
        <v>4511</v>
      </c>
      <c r="B2488" s="50"/>
      <c r="C2488" s="50"/>
      <c r="D2488" s="3" t="s">
        <v>4512</v>
      </c>
      <c r="E2488" s="3"/>
      <c r="F2488" s="51"/>
      <c r="G2488" s="50" t="s">
        <v>134</v>
      </c>
      <c r="H2488" s="52">
        <f>1</f>
        <v>1</v>
      </c>
      <c r="I2488" s="36"/>
      <c r="J2488" s="52">
        <v>1</v>
      </c>
      <c r="K2488" s="53">
        <f>0</f>
        <v>0</v>
      </c>
      <c r="L2488" s="53">
        <f>0</f>
        <v>0</v>
      </c>
      <c r="M2488" s="53">
        <f>0</f>
        <v>0</v>
      </c>
      <c r="N2488" s="54">
        <f t="shared" si="469"/>
        <v>0</v>
      </c>
      <c r="O2488" s="54">
        <f t="shared" si="470"/>
        <v>0</v>
      </c>
      <c r="P2488" s="54">
        <f t="shared" si="471"/>
        <v>0</v>
      </c>
      <c r="Q2488" s="54">
        <f t="shared" si="472"/>
        <v>0</v>
      </c>
      <c r="R2488" s="54">
        <f t="shared" si="473"/>
        <v>0</v>
      </c>
      <c r="S2488" s="54"/>
      <c r="T2488" s="36"/>
      <c r="XDA2488"/>
      <c r="XDB2488"/>
      <c r="XDC2488"/>
      <c r="XDD2488"/>
      <c r="XDE2488"/>
      <c r="XDF2488"/>
      <c r="XDG2488"/>
      <c r="XDH2488"/>
      <c r="XDI2488"/>
      <c r="XDJ2488"/>
      <c r="XDK2488"/>
      <c r="XDL2488"/>
      <c r="XDM2488"/>
      <c r="XDN2488"/>
      <c r="XDO2488"/>
      <c r="XDP2488"/>
      <c r="XDQ2488"/>
      <c r="XDR2488"/>
      <c r="XDS2488"/>
      <c r="XDT2488"/>
      <c r="XDU2488"/>
      <c r="XDV2488"/>
      <c r="XDW2488"/>
      <c r="XDX2488"/>
      <c r="XDY2488"/>
      <c r="XDZ2488"/>
      <c r="XEA2488"/>
      <c r="XEB2488"/>
      <c r="XEC2488"/>
      <c r="XED2488"/>
      <c r="XEE2488"/>
      <c r="XEF2488"/>
      <c r="XEG2488"/>
      <c r="XEH2488"/>
      <c r="XEI2488"/>
      <c r="XEJ2488"/>
      <c r="XEK2488"/>
      <c r="XEL2488"/>
      <c r="XEM2488"/>
      <c r="XEN2488"/>
      <c r="XEO2488"/>
      <c r="XEP2488"/>
      <c r="XEQ2488"/>
      <c r="XER2488"/>
      <c r="XES2488"/>
      <c r="XET2488"/>
      <c r="XEU2488"/>
      <c r="XEV2488"/>
      <c r="XEW2488"/>
      <c r="XEX2488"/>
      <c r="XEY2488"/>
      <c r="XEZ2488"/>
      <c r="XFA2488"/>
      <c r="XFB2488"/>
      <c r="XFC2488"/>
    </row>
    <row r="2489" spans="1:20 16329:16383" s="38" customFormat="1" ht="29.1" customHeight="1" outlineLevel="3" x14ac:dyDescent="0.25">
      <c r="A2489" s="49" t="s">
        <v>4513</v>
      </c>
      <c r="B2489" s="50"/>
      <c r="C2489" s="50"/>
      <c r="D2489" s="3" t="s">
        <v>4514</v>
      </c>
      <c r="E2489" s="3"/>
      <c r="F2489" s="51"/>
      <c r="G2489" s="50" t="s">
        <v>134</v>
      </c>
      <c r="H2489" s="52">
        <f>1</f>
        <v>1</v>
      </c>
      <c r="I2489" s="36"/>
      <c r="J2489" s="52">
        <v>1</v>
      </c>
      <c r="K2489" s="53">
        <f>0</f>
        <v>0</v>
      </c>
      <c r="L2489" s="53">
        <f>0</f>
        <v>0</v>
      </c>
      <c r="M2489" s="53">
        <f>0</f>
        <v>0</v>
      </c>
      <c r="N2489" s="54">
        <f t="shared" si="469"/>
        <v>0</v>
      </c>
      <c r="O2489" s="54">
        <f t="shared" si="470"/>
        <v>0</v>
      </c>
      <c r="P2489" s="54">
        <f t="shared" si="471"/>
        <v>0</v>
      </c>
      <c r="Q2489" s="54">
        <f t="shared" si="472"/>
        <v>0</v>
      </c>
      <c r="R2489" s="54">
        <f t="shared" si="473"/>
        <v>0</v>
      </c>
      <c r="S2489" s="54"/>
      <c r="T2489" s="36"/>
      <c r="XDA2489"/>
      <c r="XDB2489"/>
      <c r="XDC2489"/>
      <c r="XDD2489"/>
      <c r="XDE2489"/>
      <c r="XDF2489"/>
      <c r="XDG2489"/>
      <c r="XDH2489"/>
      <c r="XDI2489"/>
      <c r="XDJ2489"/>
      <c r="XDK2489"/>
      <c r="XDL2489"/>
      <c r="XDM2489"/>
      <c r="XDN2489"/>
      <c r="XDO2489"/>
      <c r="XDP2489"/>
      <c r="XDQ2489"/>
      <c r="XDR2489"/>
      <c r="XDS2489"/>
      <c r="XDT2489"/>
      <c r="XDU2489"/>
      <c r="XDV2489"/>
      <c r="XDW2489"/>
      <c r="XDX2489"/>
      <c r="XDY2489"/>
      <c r="XDZ2489"/>
      <c r="XEA2489"/>
      <c r="XEB2489"/>
      <c r="XEC2489"/>
      <c r="XED2489"/>
      <c r="XEE2489"/>
      <c r="XEF2489"/>
      <c r="XEG2489"/>
      <c r="XEH2489"/>
      <c r="XEI2489"/>
      <c r="XEJ2489"/>
      <c r="XEK2489"/>
      <c r="XEL2489"/>
      <c r="XEM2489"/>
      <c r="XEN2489"/>
      <c r="XEO2489"/>
      <c r="XEP2489"/>
      <c r="XEQ2489"/>
      <c r="XER2489"/>
      <c r="XES2489"/>
      <c r="XET2489"/>
      <c r="XEU2489"/>
      <c r="XEV2489"/>
      <c r="XEW2489"/>
      <c r="XEX2489"/>
      <c r="XEY2489"/>
      <c r="XEZ2489"/>
      <c r="XFA2489"/>
      <c r="XFB2489"/>
      <c r="XFC2489"/>
    </row>
    <row r="2490" spans="1:20 16329:16383" s="38" customFormat="1" ht="29.1" customHeight="1" outlineLevel="3" x14ac:dyDescent="0.25">
      <c r="A2490" s="49" t="s">
        <v>4515</v>
      </c>
      <c r="B2490" s="50"/>
      <c r="C2490" s="50"/>
      <c r="D2490" s="3" t="s">
        <v>4516</v>
      </c>
      <c r="E2490" s="3"/>
      <c r="F2490" s="51"/>
      <c r="G2490" s="50" t="s">
        <v>134</v>
      </c>
      <c r="H2490" s="52">
        <f>1</f>
        <v>1</v>
      </c>
      <c r="I2490" s="36"/>
      <c r="J2490" s="52">
        <v>1</v>
      </c>
      <c r="K2490" s="53">
        <f>0</f>
        <v>0</v>
      </c>
      <c r="L2490" s="53">
        <f>0</f>
        <v>0</v>
      </c>
      <c r="M2490" s="53">
        <f>0</f>
        <v>0</v>
      </c>
      <c r="N2490" s="54">
        <f t="shared" si="469"/>
        <v>0</v>
      </c>
      <c r="O2490" s="54">
        <f t="shared" si="470"/>
        <v>0</v>
      </c>
      <c r="P2490" s="54">
        <f t="shared" si="471"/>
        <v>0</v>
      </c>
      <c r="Q2490" s="54">
        <f t="shared" si="472"/>
        <v>0</v>
      </c>
      <c r="R2490" s="54">
        <f t="shared" si="473"/>
        <v>0</v>
      </c>
      <c r="S2490" s="54"/>
      <c r="T2490" s="36"/>
      <c r="XDA2490"/>
      <c r="XDB2490"/>
      <c r="XDC2490"/>
      <c r="XDD2490"/>
      <c r="XDE2490"/>
      <c r="XDF2490"/>
      <c r="XDG2490"/>
      <c r="XDH2490"/>
      <c r="XDI2490"/>
      <c r="XDJ2490"/>
      <c r="XDK2490"/>
      <c r="XDL2490"/>
      <c r="XDM2490"/>
      <c r="XDN2490"/>
      <c r="XDO2490"/>
      <c r="XDP2490"/>
      <c r="XDQ2490"/>
      <c r="XDR2490"/>
      <c r="XDS2490"/>
      <c r="XDT2490"/>
      <c r="XDU2490"/>
      <c r="XDV2490"/>
      <c r="XDW2490"/>
      <c r="XDX2490"/>
      <c r="XDY2490"/>
      <c r="XDZ2490"/>
      <c r="XEA2490"/>
      <c r="XEB2490"/>
      <c r="XEC2490"/>
      <c r="XED2490"/>
      <c r="XEE2490"/>
      <c r="XEF2490"/>
      <c r="XEG2490"/>
      <c r="XEH2490"/>
      <c r="XEI2490"/>
      <c r="XEJ2490"/>
      <c r="XEK2490"/>
      <c r="XEL2490"/>
      <c r="XEM2490"/>
      <c r="XEN2490"/>
      <c r="XEO2490"/>
      <c r="XEP2490"/>
      <c r="XEQ2490"/>
      <c r="XER2490"/>
      <c r="XES2490"/>
      <c r="XET2490"/>
      <c r="XEU2490"/>
      <c r="XEV2490"/>
      <c r="XEW2490"/>
      <c r="XEX2490"/>
      <c r="XEY2490"/>
      <c r="XEZ2490"/>
      <c r="XFA2490"/>
      <c r="XFB2490"/>
      <c r="XFC2490"/>
    </row>
    <row r="2491" spans="1:20 16329:16383" s="38" customFormat="1" ht="29.1" customHeight="1" outlineLevel="3" x14ac:dyDescent="0.25">
      <c r="A2491" s="49" t="s">
        <v>4517</v>
      </c>
      <c r="B2491" s="50"/>
      <c r="C2491" s="50"/>
      <c r="D2491" s="3" t="s">
        <v>4518</v>
      </c>
      <c r="E2491" s="3"/>
      <c r="F2491" s="51"/>
      <c r="G2491" s="50" t="s">
        <v>134</v>
      </c>
      <c r="H2491" s="52">
        <f>1</f>
        <v>1</v>
      </c>
      <c r="I2491" s="36"/>
      <c r="J2491" s="52">
        <v>1</v>
      </c>
      <c r="K2491" s="53">
        <f>0</f>
        <v>0</v>
      </c>
      <c r="L2491" s="53">
        <f>0</f>
        <v>0</v>
      </c>
      <c r="M2491" s="53">
        <f>0</f>
        <v>0</v>
      </c>
      <c r="N2491" s="54">
        <f t="shared" si="469"/>
        <v>0</v>
      </c>
      <c r="O2491" s="54">
        <f t="shared" si="470"/>
        <v>0</v>
      </c>
      <c r="P2491" s="54">
        <f t="shared" si="471"/>
        <v>0</v>
      </c>
      <c r="Q2491" s="54">
        <f t="shared" si="472"/>
        <v>0</v>
      </c>
      <c r="R2491" s="54">
        <f t="shared" si="473"/>
        <v>0</v>
      </c>
      <c r="S2491" s="54"/>
      <c r="T2491" s="36"/>
      <c r="XDA2491"/>
      <c r="XDB2491"/>
      <c r="XDC2491"/>
      <c r="XDD2491"/>
      <c r="XDE2491"/>
      <c r="XDF2491"/>
      <c r="XDG2491"/>
      <c r="XDH2491"/>
      <c r="XDI2491"/>
      <c r="XDJ2491"/>
      <c r="XDK2491"/>
      <c r="XDL2491"/>
      <c r="XDM2491"/>
      <c r="XDN2491"/>
      <c r="XDO2491"/>
      <c r="XDP2491"/>
      <c r="XDQ2491"/>
      <c r="XDR2491"/>
      <c r="XDS2491"/>
      <c r="XDT2491"/>
      <c r="XDU2491"/>
      <c r="XDV2491"/>
      <c r="XDW2491"/>
      <c r="XDX2491"/>
      <c r="XDY2491"/>
      <c r="XDZ2491"/>
      <c r="XEA2491"/>
      <c r="XEB2491"/>
      <c r="XEC2491"/>
      <c r="XED2491"/>
      <c r="XEE2491"/>
      <c r="XEF2491"/>
      <c r="XEG2491"/>
      <c r="XEH2491"/>
      <c r="XEI2491"/>
      <c r="XEJ2491"/>
      <c r="XEK2491"/>
      <c r="XEL2491"/>
      <c r="XEM2491"/>
      <c r="XEN2491"/>
      <c r="XEO2491"/>
      <c r="XEP2491"/>
      <c r="XEQ2491"/>
      <c r="XER2491"/>
      <c r="XES2491"/>
      <c r="XET2491"/>
      <c r="XEU2491"/>
      <c r="XEV2491"/>
      <c r="XEW2491"/>
      <c r="XEX2491"/>
      <c r="XEY2491"/>
      <c r="XEZ2491"/>
      <c r="XFA2491"/>
      <c r="XFB2491"/>
      <c r="XFC2491"/>
    </row>
    <row r="2492" spans="1:20 16329:16383" s="38" customFormat="1" ht="29.1" customHeight="1" outlineLevel="3" x14ac:dyDescent="0.25">
      <c r="A2492" s="49" t="s">
        <v>4519</v>
      </c>
      <c r="B2492" s="50"/>
      <c r="C2492" s="50"/>
      <c r="D2492" s="3" t="s">
        <v>4520</v>
      </c>
      <c r="E2492" s="3"/>
      <c r="F2492" s="51"/>
      <c r="G2492" s="50" t="s">
        <v>134</v>
      </c>
      <c r="H2492" s="52">
        <f>1</f>
        <v>1</v>
      </c>
      <c r="I2492" s="36"/>
      <c r="J2492" s="52">
        <v>1</v>
      </c>
      <c r="K2492" s="53">
        <f>0</f>
        <v>0</v>
      </c>
      <c r="L2492" s="53">
        <f>0</f>
        <v>0</v>
      </c>
      <c r="M2492" s="53">
        <f>0</f>
        <v>0</v>
      </c>
      <c r="N2492" s="54">
        <f t="shared" si="469"/>
        <v>0</v>
      </c>
      <c r="O2492" s="54">
        <f t="shared" si="470"/>
        <v>0</v>
      </c>
      <c r="P2492" s="54">
        <f t="shared" si="471"/>
        <v>0</v>
      </c>
      <c r="Q2492" s="54">
        <f t="shared" si="472"/>
        <v>0</v>
      </c>
      <c r="R2492" s="54">
        <f t="shared" si="473"/>
        <v>0</v>
      </c>
      <c r="S2492" s="54"/>
      <c r="T2492" s="36"/>
      <c r="XDA2492"/>
      <c r="XDB2492"/>
      <c r="XDC2492"/>
      <c r="XDD2492"/>
      <c r="XDE2492"/>
      <c r="XDF2492"/>
      <c r="XDG2492"/>
      <c r="XDH2492"/>
      <c r="XDI2492"/>
      <c r="XDJ2492"/>
      <c r="XDK2492"/>
      <c r="XDL2492"/>
      <c r="XDM2492"/>
      <c r="XDN2492"/>
      <c r="XDO2492"/>
      <c r="XDP2492"/>
      <c r="XDQ2492"/>
      <c r="XDR2492"/>
      <c r="XDS2492"/>
      <c r="XDT2492"/>
      <c r="XDU2492"/>
      <c r="XDV2492"/>
      <c r="XDW2492"/>
      <c r="XDX2492"/>
      <c r="XDY2492"/>
      <c r="XDZ2492"/>
      <c r="XEA2492"/>
      <c r="XEB2492"/>
      <c r="XEC2492"/>
      <c r="XED2492"/>
      <c r="XEE2492"/>
      <c r="XEF2492"/>
      <c r="XEG2492"/>
      <c r="XEH2492"/>
      <c r="XEI2492"/>
      <c r="XEJ2492"/>
      <c r="XEK2492"/>
      <c r="XEL2492"/>
      <c r="XEM2492"/>
      <c r="XEN2492"/>
      <c r="XEO2492"/>
      <c r="XEP2492"/>
      <c r="XEQ2492"/>
      <c r="XER2492"/>
      <c r="XES2492"/>
      <c r="XET2492"/>
      <c r="XEU2492"/>
      <c r="XEV2492"/>
      <c r="XEW2492"/>
      <c r="XEX2492"/>
      <c r="XEY2492"/>
      <c r="XEZ2492"/>
      <c r="XFA2492"/>
      <c r="XFB2492"/>
      <c r="XFC2492"/>
    </row>
    <row r="2493" spans="1:20 16329:16383" s="38" customFormat="1" ht="29.1" customHeight="1" outlineLevel="3" x14ac:dyDescent="0.25">
      <c r="A2493" s="49" t="s">
        <v>4521</v>
      </c>
      <c r="B2493" s="50"/>
      <c r="C2493" s="50"/>
      <c r="D2493" s="3" t="s">
        <v>4522</v>
      </c>
      <c r="E2493" s="3"/>
      <c r="F2493" s="51"/>
      <c r="G2493" s="50" t="s">
        <v>134</v>
      </c>
      <c r="H2493" s="52">
        <f>1</f>
        <v>1</v>
      </c>
      <c r="I2493" s="36"/>
      <c r="J2493" s="52">
        <v>1</v>
      </c>
      <c r="K2493" s="53">
        <f>0</f>
        <v>0</v>
      </c>
      <c r="L2493" s="53">
        <f>0</f>
        <v>0</v>
      </c>
      <c r="M2493" s="53">
        <f>0</f>
        <v>0</v>
      </c>
      <c r="N2493" s="54">
        <f t="shared" si="469"/>
        <v>0</v>
      </c>
      <c r="O2493" s="54">
        <f t="shared" si="470"/>
        <v>0</v>
      </c>
      <c r="P2493" s="54">
        <f t="shared" si="471"/>
        <v>0</v>
      </c>
      <c r="Q2493" s="54">
        <f t="shared" si="472"/>
        <v>0</v>
      </c>
      <c r="R2493" s="54">
        <f t="shared" si="473"/>
        <v>0</v>
      </c>
      <c r="S2493" s="54"/>
      <c r="T2493" s="36"/>
      <c r="XDA2493"/>
      <c r="XDB2493"/>
      <c r="XDC2493"/>
      <c r="XDD2493"/>
      <c r="XDE2493"/>
      <c r="XDF2493"/>
      <c r="XDG2493"/>
      <c r="XDH2493"/>
      <c r="XDI2493"/>
      <c r="XDJ2493"/>
      <c r="XDK2493"/>
      <c r="XDL2493"/>
      <c r="XDM2493"/>
      <c r="XDN2493"/>
      <c r="XDO2493"/>
      <c r="XDP2493"/>
      <c r="XDQ2493"/>
      <c r="XDR2493"/>
      <c r="XDS2493"/>
      <c r="XDT2493"/>
      <c r="XDU2493"/>
      <c r="XDV2493"/>
      <c r="XDW2493"/>
      <c r="XDX2493"/>
      <c r="XDY2493"/>
      <c r="XDZ2493"/>
      <c r="XEA2493"/>
      <c r="XEB2493"/>
      <c r="XEC2493"/>
      <c r="XED2493"/>
      <c r="XEE2493"/>
      <c r="XEF2493"/>
      <c r="XEG2493"/>
      <c r="XEH2493"/>
      <c r="XEI2493"/>
      <c r="XEJ2493"/>
      <c r="XEK2493"/>
      <c r="XEL2493"/>
      <c r="XEM2493"/>
      <c r="XEN2493"/>
      <c r="XEO2493"/>
      <c r="XEP2493"/>
      <c r="XEQ2493"/>
      <c r="XER2493"/>
      <c r="XES2493"/>
      <c r="XET2493"/>
      <c r="XEU2493"/>
      <c r="XEV2493"/>
      <c r="XEW2493"/>
      <c r="XEX2493"/>
      <c r="XEY2493"/>
      <c r="XEZ2493"/>
      <c r="XFA2493"/>
      <c r="XFB2493"/>
      <c r="XFC2493"/>
    </row>
    <row r="2494" spans="1:20 16329:16383" s="38" customFormat="1" ht="29.1" customHeight="1" outlineLevel="3" x14ac:dyDescent="0.25">
      <c r="A2494" s="49" t="s">
        <v>4523</v>
      </c>
      <c r="B2494" s="50"/>
      <c r="C2494" s="50"/>
      <c r="D2494" s="3" t="s">
        <v>4524</v>
      </c>
      <c r="E2494" s="3"/>
      <c r="F2494" s="51"/>
      <c r="G2494" s="50" t="s">
        <v>134</v>
      </c>
      <c r="H2494" s="52">
        <f>1</f>
        <v>1</v>
      </c>
      <c r="I2494" s="36"/>
      <c r="J2494" s="52">
        <v>1</v>
      </c>
      <c r="K2494" s="53">
        <f>0</f>
        <v>0</v>
      </c>
      <c r="L2494" s="53">
        <f>0</f>
        <v>0</v>
      </c>
      <c r="M2494" s="53">
        <f>0</f>
        <v>0</v>
      </c>
      <c r="N2494" s="54">
        <f t="shared" si="469"/>
        <v>0</v>
      </c>
      <c r="O2494" s="54">
        <f t="shared" si="470"/>
        <v>0</v>
      </c>
      <c r="P2494" s="54">
        <f t="shared" si="471"/>
        <v>0</v>
      </c>
      <c r="Q2494" s="54">
        <f t="shared" si="472"/>
        <v>0</v>
      </c>
      <c r="R2494" s="54">
        <f t="shared" si="473"/>
        <v>0</v>
      </c>
      <c r="S2494" s="54"/>
      <c r="T2494" s="36"/>
      <c r="XDA2494"/>
      <c r="XDB2494"/>
      <c r="XDC2494"/>
      <c r="XDD2494"/>
      <c r="XDE2494"/>
      <c r="XDF2494"/>
      <c r="XDG2494"/>
      <c r="XDH2494"/>
      <c r="XDI2494"/>
      <c r="XDJ2494"/>
      <c r="XDK2494"/>
      <c r="XDL2494"/>
      <c r="XDM2494"/>
      <c r="XDN2494"/>
      <c r="XDO2494"/>
      <c r="XDP2494"/>
      <c r="XDQ2494"/>
      <c r="XDR2494"/>
      <c r="XDS2494"/>
      <c r="XDT2494"/>
      <c r="XDU2494"/>
      <c r="XDV2494"/>
      <c r="XDW2494"/>
      <c r="XDX2494"/>
      <c r="XDY2494"/>
      <c r="XDZ2494"/>
      <c r="XEA2494"/>
      <c r="XEB2494"/>
      <c r="XEC2494"/>
      <c r="XED2494"/>
      <c r="XEE2494"/>
      <c r="XEF2494"/>
      <c r="XEG2494"/>
      <c r="XEH2494"/>
      <c r="XEI2494"/>
      <c r="XEJ2494"/>
      <c r="XEK2494"/>
      <c r="XEL2494"/>
      <c r="XEM2494"/>
      <c r="XEN2494"/>
      <c r="XEO2494"/>
      <c r="XEP2494"/>
      <c r="XEQ2494"/>
      <c r="XER2494"/>
      <c r="XES2494"/>
      <c r="XET2494"/>
      <c r="XEU2494"/>
      <c r="XEV2494"/>
      <c r="XEW2494"/>
      <c r="XEX2494"/>
      <c r="XEY2494"/>
      <c r="XEZ2494"/>
      <c r="XFA2494"/>
      <c r="XFB2494"/>
      <c r="XFC2494"/>
    </row>
    <row r="2495" spans="1:20 16329:16383" s="38" customFormat="1" ht="29.1" customHeight="1" outlineLevel="3" x14ac:dyDescent="0.25">
      <c r="A2495" s="49" t="s">
        <v>4525</v>
      </c>
      <c r="B2495" s="50"/>
      <c r="C2495" s="50"/>
      <c r="D2495" s="3" t="s">
        <v>4526</v>
      </c>
      <c r="E2495" s="3"/>
      <c r="F2495" s="51"/>
      <c r="G2495" s="50" t="s">
        <v>134</v>
      </c>
      <c r="H2495" s="52">
        <f>1</f>
        <v>1</v>
      </c>
      <c r="I2495" s="36"/>
      <c r="J2495" s="52">
        <v>1</v>
      </c>
      <c r="K2495" s="53">
        <f>0</f>
        <v>0</v>
      </c>
      <c r="L2495" s="53">
        <f>0</f>
        <v>0</v>
      </c>
      <c r="M2495" s="53">
        <f>0</f>
        <v>0</v>
      </c>
      <c r="N2495" s="54">
        <f t="shared" si="469"/>
        <v>0</v>
      </c>
      <c r="O2495" s="54">
        <f t="shared" si="470"/>
        <v>0</v>
      </c>
      <c r="P2495" s="54">
        <f t="shared" si="471"/>
        <v>0</v>
      </c>
      <c r="Q2495" s="54">
        <f t="shared" si="472"/>
        <v>0</v>
      </c>
      <c r="R2495" s="54">
        <f t="shared" si="473"/>
        <v>0</v>
      </c>
      <c r="S2495" s="54"/>
      <c r="T2495" s="36"/>
      <c r="XDA2495"/>
      <c r="XDB2495"/>
      <c r="XDC2495"/>
      <c r="XDD2495"/>
      <c r="XDE2495"/>
      <c r="XDF2495"/>
      <c r="XDG2495"/>
      <c r="XDH2495"/>
      <c r="XDI2495"/>
      <c r="XDJ2495"/>
      <c r="XDK2495"/>
      <c r="XDL2495"/>
      <c r="XDM2495"/>
      <c r="XDN2495"/>
      <c r="XDO2495"/>
      <c r="XDP2495"/>
      <c r="XDQ2495"/>
      <c r="XDR2495"/>
      <c r="XDS2495"/>
      <c r="XDT2495"/>
      <c r="XDU2495"/>
      <c r="XDV2495"/>
      <c r="XDW2495"/>
      <c r="XDX2495"/>
      <c r="XDY2495"/>
      <c r="XDZ2495"/>
      <c r="XEA2495"/>
      <c r="XEB2495"/>
      <c r="XEC2495"/>
      <c r="XED2495"/>
      <c r="XEE2495"/>
      <c r="XEF2495"/>
      <c r="XEG2495"/>
      <c r="XEH2495"/>
      <c r="XEI2495"/>
      <c r="XEJ2495"/>
      <c r="XEK2495"/>
      <c r="XEL2495"/>
      <c r="XEM2495"/>
      <c r="XEN2495"/>
      <c r="XEO2495"/>
      <c r="XEP2495"/>
      <c r="XEQ2495"/>
      <c r="XER2495"/>
      <c r="XES2495"/>
      <c r="XET2495"/>
      <c r="XEU2495"/>
      <c r="XEV2495"/>
      <c r="XEW2495"/>
      <c r="XEX2495"/>
      <c r="XEY2495"/>
      <c r="XEZ2495"/>
      <c r="XFA2495"/>
      <c r="XFB2495"/>
      <c r="XFC2495"/>
    </row>
    <row r="2496" spans="1:20 16329:16383" s="38" customFormat="1" ht="29.1" customHeight="1" outlineLevel="3" x14ac:dyDescent="0.25">
      <c r="A2496" s="49" t="s">
        <v>4527</v>
      </c>
      <c r="B2496" s="50"/>
      <c r="C2496" s="50"/>
      <c r="D2496" s="3" t="s">
        <v>4528</v>
      </c>
      <c r="E2496" s="3"/>
      <c r="F2496" s="51"/>
      <c r="G2496" s="50" t="s">
        <v>134</v>
      </c>
      <c r="H2496" s="52">
        <f>1</f>
        <v>1</v>
      </c>
      <c r="I2496" s="36"/>
      <c r="J2496" s="52">
        <v>1</v>
      </c>
      <c r="K2496" s="53">
        <f>0</f>
        <v>0</v>
      </c>
      <c r="L2496" s="53">
        <f>0</f>
        <v>0</v>
      </c>
      <c r="M2496" s="53">
        <f>0</f>
        <v>0</v>
      </c>
      <c r="N2496" s="54">
        <f t="shared" si="469"/>
        <v>0</v>
      </c>
      <c r="O2496" s="54">
        <f t="shared" si="470"/>
        <v>0</v>
      </c>
      <c r="P2496" s="54">
        <f t="shared" si="471"/>
        <v>0</v>
      </c>
      <c r="Q2496" s="54">
        <f t="shared" si="472"/>
        <v>0</v>
      </c>
      <c r="R2496" s="54">
        <f t="shared" si="473"/>
        <v>0</v>
      </c>
      <c r="S2496" s="54"/>
      <c r="T2496" s="36"/>
      <c r="XDA2496"/>
      <c r="XDB2496"/>
      <c r="XDC2496"/>
      <c r="XDD2496"/>
      <c r="XDE2496"/>
      <c r="XDF2496"/>
      <c r="XDG2496"/>
      <c r="XDH2496"/>
      <c r="XDI2496"/>
      <c r="XDJ2496"/>
      <c r="XDK2496"/>
      <c r="XDL2496"/>
      <c r="XDM2496"/>
      <c r="XDN2496"/>
      <c r="XDO2496"/>
      <c r="XDP2496"/>
      <c r="XDQ2496"/>
      <c r="XDR2496"/>
      <c r="XDS2496"/>
      <c r="XDT2496"/>
      <c r="XDU2496"/>
      <c r="XDV2496"/>
      <c r="XDW2496"/>
      <c r="XDX2496"/>
      <c r="XDY2496"/>
      <c r="XDZ2496"/>
      <c r="XEA2496"/>
      <c r="XEB2496"/>
      <c r="XEC2496"/>
      <c r="XED2496"/>
      <c r="XEE2496"/>
      <c r="XEF2496"/>
      <c r="XEG2496"/>
      <c r="XEH2496"/>
      <c r="XEI2496"/>
      <c r="XEJ2496"/>
      <c r="XEK2496"/>
      <c r="XEL2496"/>
      <c r="XEM2496"/>
      <c r="XEN2496"/>
      <c r="XEO2496"/>
      <c r="XEP2496"/>
      <c r="XEQ2496"/>
      <c r="XER2496"/>
      <c r="XES2496"/>
      <c r="XET2496"/>
      <c r="XEU2496"/>
      <c r="XEV2496"/>
      <c r="XEW2496"/>
      <c r="XEX2496"/>
      <c r="XEY2496"/>
      <c r="XEZ2496"/>
      <c r="XFA2496"/>
      <c r="XFB2496"/>
      <c r="XFC2496"/>
    </row>
    <row r="2497" spans="1:20 16329:16383" s="38" customFormat="1" ht="29.1" customHeight="1" outlineLevel="3" x14ac:dyDescent="0.25">
      <c r="A2497" s="49" t="s">
        <v>4529</v>
      </c>
      <c r="B2497" s="50"/>
      <c r="C2497" s="50"/>
      <c r="D2497" s="3" t="s">
        <v>4530</v>
      </c>
      <c r="E2497" s="3"/>
      <c r="F2497" s="51"/>
      <c r="G2497" s="50" t="s">
        <v>29</v>
      </c>
      <c r="H2497" s="52">
        <f>1</f>
        <v>1</v>
      </c>
      <c r="I2497" s="36"/>
      <c r="J2497" s="52">
        <v>1</v>
      </c>
      <c r="K2497" s="53">
        <f>0</f>
        <v>0</v>
      </c>
      <c r="L2497" s="53">
        <f>0</f>
        <v>0</v>
      </c>
      <c r="M2497" s="53">
        <f>0</f>
        <v>0</v>
      </c>
      <c r="N2497" s="54">
        <f t="shared" si="469"/>
        <v>0</v>
      </c>
      <c r="O2497" s="54">
        <f t="shared" si="470"/>
        <v>0</v>
      </c>
      <c r="P2497" s="54">
        <f t="shared" si="471"/>
        <v>0</v>
      </c>
      <c r="Q2497" s="54">
        <f t="shared" si="472"/>
        <v>0</v>
      </c>
      <c r="R2497" s="54">
        <f t="shared" si="473"/>
        <v>0</v>
      </c>
      <c r="S2497" s="54"/>
      <c r="T2497" s="36"/>
      <c r="XDA2497"/>
      <c r="XDB2497"/>
      <c r="XDC2497"/>
      <c r="XDD2497"/>
      <c r="XDE2497"/>
      <c r="XDF2497"/>
      <c r="XDG2497"/>
      <c r="XDH2497"/>
      <c r="XDI2497"/>
      <c r="XDJ2497"/>
      <c r="XDK2497"/>
      <c r="XDL2497"/>
      <c r="XDM2497"/>
      <c r="XDN2497"/>
      <c r="XDO2497"/>
      <c r="XDP2497"/>
      <c r="XDQ2497"/>
      <c r="XDR2497"/>
      <c r="XDS2497"/>
      <c r="XDT2497"/>
      <c r="XDU2497"/>
      <c r="XDV2497"/>
      <c r="XDW2497"/>
      <c r="XDX2497"/>
      <c r="XDY2497"/>
      <c r="XDZ2497"/>
      <c r="XEA2497"/>
      <c r="XEB2497"/>
      <c r="XEC2497"/>
      <c r="XED2497"/>
      <c r="XEE2497"/>
      <c r="XEF2497"/>
      <c r="XEG2497"/>
      <c r="XEH2497"/>
      <c r="XEI2497"/>
      <c r="XEJ2497"/>
      <c r="XEK2497"/>
      <c r="XEL2497"/>
      <c r="XEM2497"/>
      <c r="XEN2497"/>
      <c r="XEO2497"/>
      <c r="XEP2497"/>
      <c r="XEQ2497"/>
      <c r="XER2497"/>
      <c r="XES2497"/>
      <c r="XET2497"/>
      <c r="XEU2497"/>
      <c r="XEV2497"/>
      <c r="XEW2497"/>
      <c r="XEX2497"/>
      <c r="XEY2497"/>
      <c r="XEZ2497"/>
      <c r="XFA2497"/>
      <c r="XFB2497"/>
      <c r="XFC2497"/>
    </row>
    <row r="2498" spans="1:20 16329:16383" s="38" customFormat="1" ht="29.1" customHeight="1" outlineLevel="3" x14ac:dyDescent="0.25">
      <c r="A2498" s="49" t="s">
        <v>4531</v>
      </c>
      <c r="B2498" s="50"/>
      <c r="C2498" s="50"/>
      <c r="D2498" s="3" t="s">
        <v>4532</v>
      </c>
      <c r="E2498" s="3"/>
      <c r="F2498" s="51"/>
      <c r="G2498" s="50" t="s">
        <v>194</v>
      </c>
      <c r="H2498" s="52">
        <f>1</f>
        <v>1</v>
      </c>
      <c r="I2498" s="36"/>
      <c r="J2498" s="52">
        <v>1</v>
      </c>
      <c r="K2498" s="53">
        <f>0</f>
        <v>0</v>
      </c>
      <c r="L2498" s="53">
        <f>0</f>
        <v>0</v>
      </c>
      <c r="M2498" s="53">
        <f>0</f>
        <v>0</v>
      </c>
      <c r="N2498" s="54">
        <f t="shared" si="469"/>
        <v>0</v>
      </c>
      <c r="O2498" s="54">
        <f t="shared" si="470"/>
        <v>0</v>
      </c>
      <c r="P2498" s="54">
        <f t="shared" si="471"/>
        <v>0</v>
      </c>
      <c r="Q2498" s="54">
        <f t="shared" si="472"/>
        <v>0</v>
      </c>
      <c r="R2498" s="54">
        <f t="shared" si="473"/>
        <v>0</v>
      </c>
      <c r="S2498" s="54"/>
      <c r="T2498" s="36"/>
      <c r="XDA2498"/>
      <c r="XDB2498"/>
      <c r="XDC2498"/>
      <c r="XDD2498"/>
      <c r="XDE2498"/>
      <c r="XDF2498"/>
      <c r="XDG2498"/>
      <c r="XDH2498"/>
      <c r="XDI2498"/>
      <c r="XDJ2498"/>
      <c r="XDK2498"/>
      <c r="XDL2498"/>
      <c r="XDM2498"/>
      <c r="XDN2498"/>
      <c r="XDO2498"/>
      <c r="XDP2498"/>
      <c r="XDQ2498"/>
      <c r="XDR2498"/>
      <c r="XDS2498"/>
      <c r="XDT2498"/>
      <c r="XDU2498"/>
      <c r="XDV2498"/>
      <c r="XDW2498"/>
      <c r="XDX2498"/>
      <c r="XDY2498"/>
      <c r="XDZ2498"/>
      <c r="XEA2498"/>
      <c r="XEB2498"/>
      <c r="XEC2498"/>
      <c r="XED2498"/>
      <c r="XEE2498"/>
      <c r="XEF2498"/>
      <c r="XEG2498"/>
      <c r="XEH2498"/>
      <c r="XEI2498"/>
      <c r="XEJ2498"/>
      <c r="XEK2498"/>
      <c r="XEL2498"/>
      <c r="XEM2498"/>
      <c r="XEN2498"/>
      <c r="XEO2498"/>
      <c r="XEP2498"/>
      <c r="XEQ2498"/>
      <c r="XER2498"/>
      <c r="XES2498"/>
      <c r="XET2498"/>
      <c r="XEU2498"/>
      <c r="XEV2498"/>
      <c r="XEW2498"/>
      <c r="XEX2498"/>
      <c r="XEY2498"/>
      <c r="XEZ2498"/>
      <c r="XFA2498"/>
      <c r="XFB2498"/>
      <c r="XFC2498"/>
    </row>
    <row r="2499" spans="1:20 16329:16383" s="38" customFormat="1" ht="29.1" customHeight="1" outlineLevel="3" x14ac:dyDescent="0.25">
      <c r="A2499" s="49" t="s">
        <v>4533</v>
      </c>
      <c r="B2499" s="50"/>
      <c r="C2499" s="50"/>
      <c r="D2499" s="3" t="s">
        <v>4534</v>
      </c>
      <c r="E2499" s="3"/>
      <c r="F2499" s="51" t="s">
        <v>4535</v>
      </c>
      <c r="G2499" s="50" t="s">
        <v>194</v>
      </c>
      <c r="H2499" s="52">
        <f>1</f>
        <v>1</v>
      </c>
      <c r="I2499" s="36"/>
      <c r="J2499" s="52">
        <v>1</v>
      </c>
      <c r="K2499" s="53">
        <f>0</f>
        <v>0</v>
      </c>
      <c r="L2499" s="53">
        <f>0</f>
        <v>0</v>
      </c>
      <c r="M2499" s="53">
        <f>0</f>
        <v>0</v>
      </c>
      <c r="N2499" s="54">
        <f t="shared" si="469"/>
        <v>0</v>
      </c>
      <c r="O2499" s="54">
        <f t="shared" si="470"/>
        <v>0</v>
      </c>
      <c r="P2499" s="54">
        <f t="shared" si="471"/>
        <v>0</v>
      </c>
      <c r="Q2499" s="54">
        <f t="shared" si="472"/>
        <v>0</v>
      </c>
      <c r="R2499" s="54">
        <f t="shared" si="473"/>
        <v>0</v>
      </c>
      <c r="S2499" s="54"/>
      <c r="T2499" s="36"/>
      <c r="XDA2499"/>
      <c r="XDB2499"/>
      <c r="XDC2499"/>
      <c r="XDD2499"/>
      <c r="XDE2499"/>
      <c r="XDF2499"/>
      <c r="XDG2499"/>
      <c r="XDH2499"/>
      <c r="XDI2499"/>
      <c r="XDJ2499"/>
      <c r="XDK2499"/>
      <c r="XDL2499"/>
      <c r="XDM2499"/>
      <c r="XDN2499"/>
      <c r="XDO2499"/>
      <c r="XDP2499"/>
      <c r="XDQ2499"/>
      <c r="XDR2499"/>
      <c r="XDS2499"/>
      <c r="XDT2499"/>
      <c r="XDU2499"/>
      <c r="XDV2499"/>
      <c r="XDW2499"/>
      <c r="XDX2499"/>
      <c r="XDY2499"/>
      <c r="XDZ2499"/>
      <c r="XEA2499"/>
      <c r="XEB2499"/>
      <c r="XEC2499"/>
      <c r="XED2499"/>
      <c r="XEE2499"/>
      <c r="XEF2499"/>
      <c r="XEG2499"/>
      <c r="XEH2499"/>
      <c r="XEI2499"/>
      <c r="XEJ2499"/>
      <c r="XEK2499"/>
      <c r="XEL2499"/>
      <c r="XEM2499"/>
      <c r="XEN2499"/>
      <c r="XEO2499"/>
      <c r="XEP2499"/>
      <c r="XEQ2499"/>
      <c r="XER2499"/>
      <c r="XES2499"/>
      <c r="XET2499"/>
      <c r="XEU2499"/>
      <c r="XEV2499"/>
      <c r="XEW2499"/>
      <c r="XEX2499"/>
      <c r="XEY2499"/>
      <c r="XEZ2499"/>
      <c r="XFA2499"/>
      <c r="XFB2499"/>
      <c r="XFC2499"/>
    </row>
    <row r="2500" spans="1:20 16329:16383" s="38" customFormat="1" ht="29.1" customHeight="1" outlineLevel="2" x14ac:dyDescent="0.25">
      <c r="A2500" s="44" t="s">
        <v>4536</v>
      </c>
      <c r="B2500" s="45" t="s">
        <v>4537</v>
      </c>
      <c r="C2500" s="45" t="s">
        <v>4538</v>
      </c>
      <c r="D2500" s="4" t="s">
        <v>4539</v>
      </c>
      <c r="E2500" s="4"/>
      <c r="F2500" s="46"/>
      <c r="G2500" s="45" t="s">
        <v>29</v>
      </c>
      <c r="H2500" s="47"/>
      <c r="I2500" s="36"/>
      <c r="J2500" s="47"/>
      <c r="K2500" s="48"/>
      <c r="L2500" s="48"/>
      <c r="M2500" s="48"/>
      <c r="N2500" s="48"/>
      <c r="O2500" s="48">
        <f>O2501</f>
        <v>0</v>
      </c>
      <c r="P2500" s="48">
        <f>P2501</f>
        <v>0</v>
      </c>
      <c r="Q2500" s="48">
        <f>Q2501</f>
        <v>0</v>
      </c>
      <c r="R2500" s="48">
        <f>R2501</f>
        <v>0</v>
      </c>
      <c r="S2500" s="48"/>
      <c r="T2500" s="36"/>
      <c r="XDA2500"/>
      <c r="XDB2500"/>
      <c r="XDC2500"/>
      <c r="XDD2500"/>
      <c r="XDE2500"/>
      <c r="XDF2500"/>
      <c r="XDG2500"/>
      <c r="XDH2500"/>
      <c r="XDI2500"/>
      <c r="XDJ2500"/>
      <c r="XDK2500"/>
      <c r="XDL2500"/>
      <c r="XDM2500"/>
      <c r="XDN2500"/>
      <c r="XDO2500"/>
      <c r="XDP2500"/>
      <c r="XDQ2500"/>
      <c r="XDR2500"/>
      <c r="XDS2500"/>
      <c r="XDT2500"/>
      <c r="XDU2500"/>
      <c r="XDV2500"/>
      <c r="XDW2500"/>
      <c r="XDX2500"/>
      <c r="XDY2500"/>
      <c r="XDZ2500"/>
      <c r="XEA2500"/>
      <c r="XEB2500"/>
      <c r="XEC2500"/>
      <c r="XED2500"/>
      <c r="XEE2500"/>
      <c r="XEF2500"/>
      <c r="XEG2500"/>
      <c r="XEH2500"/>
      <c r="XEI2500"/>
      <c r="XEJ2500"/>
      <c r="XEK2500"/>
      <c r="XEL2500"/>
      <c r="XEM2500"/>
      <c r="XEN2500"/>
      <c r="XEO2500"/>
      <c r="XEP2500"/>
      <c r="XEQ2500"/>
      <c r="XER2500"/>
      <c r="XES2500"/>
      <c r="XET2500"/>
      <c r="XEU2500"/>
      <c r="XEV2500"/>
      <c r="XEW2500"/>
      <c r="XEX2500"/>
      <c r="XEY2500"/>
      <c r="XEZ2500"/>
      <c r="XFA2500"/>
      <c r="XFB2500"/>
      <c r="XFC2500"/>
    </row>
    <row r="2501" spans="1:20 16329:16383" s="38" customFormat="1" ht="29.1" customHeight="1" outlineLevel="3" x14ac:dyDescent="0.25">
      <c r="A2501" s="49" t="s">
        <v>4540</v>
      </c>
      <c r="B2501" s="50"/>
      <c r="C2501" s="50"/>
      <c r="D2501" s="3" t="s">
        <v>4539</v>
      </c>
      <c r="E2501" s="3"/>
      <c r="F2501" s="51" t="s">
        <v>4541</v>
      </c>
      <c r="G2501" s="50" t="s">
        <v>29</v>
      </c>
      <c r="H2501" s="52">
        <f>1</f>
        <v>1</v>
      </c>
      <c r="I2501" s="36"/>
      <c r="J2501" s="52">
        <v>1</v>
      </c>
      <c r="K2501" s="53">
        <f>0</f>
        <v>0</v>
      </c>
      <c r="L2501" s="53">
        <f>0</f>
        <v>0</v>
      </c>
      <c r="M2501" s="53">
        <f>0</f>
        <v>0</v>
      </c>
      <c r="N2501" s="54">
        <f>SUM(K2501:M2501)</f>
        <v>0</v>
      </c>
      <c r="O2501" s="54">
        <f>ROUND((H2501*K2501),2)</f>
        <v>0</v>
      </c>
      <c r="P2501" s="54">
        <f>ROUND((H2501*L2501),2)</f>
        <v>0</v>
      </c>
      <c r="Q2501" s="54">
        <f>ROUND((H2501*M2501),2)</f>
        <v>0</v>
      </c>
      <c r="R2501" s="54">
        <f>ROUND((H2501*N2501),2)</f>
        <v>0</v>
      </c>
      <c r="S2501" s="54"/>
      <c r="T2501" s="36"/>
      <c r="XDA2501"/>
      <c r="XDB2501"/>
      <c r="XDC2501"/>
      <c r="XDD2501"/>
      <c r="XDE2501"/>
      <c r="XDF2501"/>
      <c r="XDG2501"/>
      <c r="XDH2501"/>
      <c r="XDI2501"/>
      <c r="XDJ2501"/>
      <c r="XDK2501"/>
      <c r="XDL2501"/>
      <c r="XDM2501"/>
      <c r="XDN2501"/>
      <c r="XDO2501"/>
      <c r="XDP2501"/>
      <c r="XDQ2501"/>
      <c r="XDR2501"/>
      <c r="XDS2501"/>
      <c r="XDT2501"/>
      <c r="XDU2501"/>
      <c r="XDV2501"/>
      <c r="XDW2501"/>
      <c r="XDX2501"/>
      <c r="XDY2501"/>
      <c r="XDZ2501"/>
      <c r="XEA2501"/>
      <c r="XEB2501"/>
      <c r="XEC2501"/>
      <c r="XED2501"/>
      <c r="XEE2501"/>
      <c r="XEF2501"/>
      <c r="XEG2501"/>
      <c r="XEH2501"/>
      <c r="XEI2501"/>
      <c r="XEJ2501"/>
      <c r="XEK2501"/>
      <c r="XEL2501"/>
      <c r="XEM2501"/>
      <c r="XEN2501"/>
      <c r="XEO2501"/>
      <c r="XEP2501"/>
      <c r="XEQ2501"/>
      <c r="XER2501"/>
      <c r="XES2501"/>
      <c r="XET2501"/>
      <c r="XEU2501"/>
      <c r="XEV2501"/>
      <c r="XEW2501"/>
      <c r="XEX2501"/>
      <c r="XEY2501"/>
      <c r="XEZ2501"/>
      <c r="XFA2501"/>
      <c r="XFB2501"/>
      <c r="XFC2501"/>
    </row>
    <row r="2502" spans="1:20 16329:16383" s="38" customFormat="1" ht="29.1" customHeight="1" outlineLevel="2" x14ac:dyDescent="0.25">
      <c r="A2502" s="44" t="s">
        <v>4542</v>
      </c>
      <c r="B2502" s="45" t="s">
        <v>4543</v>
      </c>
      <c r="C2502" s="45" t="s">
        <v>4544</v>
      </c>
      <c r="D2502" s="4" t="s">
        <v>4545</v>
      </c>
      <c r="E2502" s="4"/>
      <c r="F2502" s="46"/>
      <c r="G2502" s="45" t="s">
        <v>29</v>
      </c>
      <c r="H2502" s="47"/>
      <c r="I2502" s="36"/>
      <c r="J2502" s="47"/>
      <c r="K2502" s="48"/>
      <c r="L2502" s="48"/>
      <c r="M2502" s="48"/>
      <c r="N2502" s="48"/>
      <c r="O2502" s="48">
        <f>SUM(O2503:O2505)</f>
        <v>0</v>
      </c>
      <c r="P2502" s="48">
        <f>SUM(P2503:P2505)</f>
        <v>0</v>
      </c>
      <c r="Q2502" s="48">
        <f>SUM(Q2503:Q2505)</f>
        <v>0</v>
      </c>
      <c r="R2502" s="48">
        <f>SUM(R2503:R2505)</f>
        <v>0</v>
      </c>
      <c r="S2502" s="48"/>
      <c r="T2502" s="36"/>
      <c r="XDA2502"/>
      <c r="XDB2502"/>
      <c r="XDC2502"/>
      <c r="XDD2502"/>
      <c r="XDE2502"/>
      <c r="XDF2502"/>
      <c r="XDG2502"/>
      <c r="XDH2502"/>
      <c r="XDI2502"/>
      <c r="XDJ2502"/>
      <c r="XDK2502"/>
      <c r="XDL2502"/>
      <c r="XDM2502"/>
      <c r="XDN2502"/>
      <c r="XDO2502"/>
      <c r="XDP2502"/>
      <c r="XDQ2502"/>
      <c r="XDR2502"/>
      <c r="XDS2502"/>
      <c r="XDT2502"/>
      <c r="XDU2502"/>
      <c r="XDV2502"/>
      <c r="XDW2502"/>
      <c r="XDX2502"/>
      <c r="XDY2502"/>
      <c r="XDZ2502"/>
      <c r="XEA2502"/>
      <c r="XEB2502"/>
      <c r="XEC2502"/>
      <c r="XED2502"/>
      <c r="XEE2502"/>
      <c r="XEF2502"/>
      <c r="XEG2502"/>
      <c r="XEH2502"/>
      <c r="XEI2502"/>
      <c r="XEJ2502"/>
      <c r="XEK2502"/>
      <c r="XEL2502"/>
      <c r="XEM2502"/>
      <c r="XEN2502"/>
      <c r="XEO2502"/>
      <c r="XEP2502"/>
      <c r="XEQ2502"/>
      <c r="XER2502"/>
      <c r="XES2502"/>
      <c r="XET2502"/>
      <c r="XEU2502"/>
      <c r="XEV2502"/>
      <c r="XEW2502"/>
      <c r="XEX2502"/>
      <c r="XEY2502"/>
      <c r="XEZ2502"/>
      <c r="XFA2502"/>
      <c r="XFB2502"/>
      <c r="XFC2502"/>
    </row>
    <row r="2503" spans="1:20 16329:16383" s="38" customFormat="1" ht="29.1" customHeight="1" outlineLevel="3" x14ac:dyDescent="0.25">
      <c r="A2503" s="49" t="s">
        <v>4546</v>
      </c>
      <c r="B2503" s="50"/>
      <c r="C2503" s="50"/>
      <c r="D2503" s="3" t="s">
        <v>4547</v>
      </c>
      <c r="E2503" s="3"/>
      <c r="F2503" s="51"/>
      <c r="G2503" s="50" t="s">
        <v>134</v>
      </c>
      <c r="H2503" s="52">
        <f>1</f>
        <v>1</v>
      </c>
      <c r="I2503" s="36"/>
      <c r="J2503" s="52">
        <v>1</v>
      </c>
      <c r="K2503" s="53">
        <f>0</f>
        <v>0</v>
      </c>
      <c r="L2503" s="53">
        <f>0</f>
        <v>0</v>
      </c>
      <c r="M2503" s="53">
        <f>0</f>
        <v>0</v>
      </c>
      <c r="N2503" s="54">
        <f>SUM(K2503:M2503)</f>
        <v>0</v>
      </c>
      <c r="O2503" s="54">
        <f>ROUND((H2503*K2503),2)</f>
        <v>0</v>
      </c>
      <c r="P2503" s="54">
        <f>ROUND((H2503*L2503),2)</f>
        <v>0</v>
      </c>
      <c r="Q2503" s="54">
        <f>ROUND((H2503*M2503),2)</f>
        <v>0</v>
      </c>
      <c r="R2503" s="54">
        <f>ROUND((H2503*N2503),2)</f>
        <v>0</v>
      </c>
      <c r="S2503" s="54"/>
      <c r="T2503" s="36"/>
      <c r="XDA2503"/>
      <c r="XDB2503"/>
      <c r="XDC2503"/>
      <c r="XDD2503"/>
      <c r="XDE2503"/>
      <c r="XDF2503"/>
      <c r="XDG2503"/>
      <c r="XDH2503"/>
      <c r="XDI2503"/>
      <c r="XDJ2503"/>
      <c r="XDK2503"/>
      <c r="XDL2503"/>
      <c r="XDM2503"/>
      <c r="XDN2503"/>
      <c r="XDO2503"/>
      <c r="XDP2503"/>
      <c r="XDQ2503"/>
      <c r="XDR2503"/>
      <c r="XDS2503"/>
      <c r="XDT2503"/>
      <c r="XDU2503"/>
      <c r="XDV2503"/>
      <c r="XDW2503"/>
      <c r="XDX2503"/>
      <c r="XDY2503"/>
      <c r="XDZ2503"/>
      <c r="XEA2503"/>
      <c r="XEB2503"/>
      <c r="XEC2503"/>
      <c r="XED2503"/>
      <c r="XEE2503"/>
      <c r="XEF2503"/>
      <c r="XEG2503"/>
      <c r="XEH2503"/>
      <c r="XEI2503"/>
      <c r="XEJ2503"/>
      <c r="XEK2503"/>
      <c r="XEL2503"/>
      <c r="XEM2503"/>
      <c r="XEN2503"/>
      <c r="XEO2503"/>
      <c r="XEP2503"/>
      <c r="XEQ2503"/>
      <c r="XER2503"/>
      <c r="XES2503"/>
      <c r="XET2503"/>
      <c r="XEU2503"/>
      <c r="XEV2503"/>
      <c r="XEW2503"/>
      <c r="XEX2503"/>
      <c r="XEY2503"/>
      <c r="XEZ2503"/>
      <c r="XFA2503"/>
      <c r="XFB2503"/>
      <c r="XFC2503"/>
    </row>
    <row r="2504" spans="1:20 16329:16383" s="38" customFormat="1" ht="29.1" customHeight="1" outlineLevel="3" x14ac:dyDescent="0.25">
      <c r="A2504" s="49" t="s">
        <v>4548</v>
      </c>
      <c r="B2504" s="50"/>
      <c r="C2504" s="50"/>
      <c r="D2504" s="3" t="s">
        <v>4549</v>
      </c>
      <c r="E2504" s="3"/>
      <c r="F2504" s="51"/>
      <c r="G2504" s="50" t="s">
        <v>134</v>
      </c>
      <c r="H2504" s="52">
        <f>1</f>
        <v>1</v>
      </c>
      <c r="I2504" s="36"/>
      <c r="J2504" s="52">
        <v>1</v>
      </c>
      <c r="K2504" s="53">
        <f>0</f>
        <v>0</v>
      </c>
      <c r="L2504" s="53">
        <f>0</f>
        <v>0</v>
      </c>
      <c r="M2504" s="53">
        <f>0</f>
        <v>0</v>
      </c>
      <c r="N2504" s="54">
        <f>SUM(K2504:M2504)</f>
        <v>0</v>
      </c>
      <c r="O2504" s="54">
        <f>ROUND((H2504*K2504),2)</f>
        <v>0</v>
      </c>
      <c r="P2504" s="54">
        <f>ROUND((H2504*L2504),2)</f>
        <v>0</v>
      </c>
      <c r="Q2504" s="54">
        <f>ROUND((H2504*M2504),2)</f>
        <v>0</v>
      </c>
      <c r="R2504" s="54">
        <f>ROUND((H2504*N2504),2)</f>
        <v>0</v>
      </c>
      <c r="S2504" s="54"/>
      <c r="T2504" s="36"/>
      <c r="XDA2504"/>
      <c r="XDB2504"/>
      <c r="XDC2504"/>
      <c r="XDD2504"/>
      <c r="XDE2504"/>
      <c r="XDF2504"/>
      <c r="XDG2504"/>
      <c r="XDH2504"/>
      <c r="XDI2504"/>
      <c r="XDJ2504"/>
      <c r="XDK2504"/>
      <c r="XDL2504"/>
      <c r="XDM2504"/>
      <c r="XDN2504"/>
      <c r="XDO2504"/>
      <c r="XDP2504"/>
      <c r="XDQ2504"/>
      <c r="XDR2504"/>
      <c r="XDS2504"/>
      <c r="XDT2504"/>
      <c r="XDU2504"/>
      <c r="XDV2504"/>
      <c r="XDW2504"/>
      <c r="XDX2504"/>
      <c r="XDY2504"/>
      <c r="XDZ2504"/>
      <c r="XEA2504"/>
      <c r="XEB2504"/>
      <c r="XEC2504"/>
      <c r="XED2504"/>
      <c r="XEE2504"/>
      <c r="XEF2504"/>
      <c r="XEG2504"/>
      <c r="XEH2504"/>
      <c r="XEI2504"/>
      <c r="XEJ2504"/>
      <c r="XEK2504"/>
      <c r="XEL2504"/>
      <c r="XEM2504"/>
      <c r="XEN2504"/>
      <c r="XEO2504"/>
      <c r="XEP2504"/>
      <c r="XEQ2504"/>
      <c r="XER2504"/>
      <c r="XES2504"/>
      <c r="XET2504"/>
      <c r="XEU2504"/>
      <c r="XEV2504"/>
      <c r="XEW2504"/>
      <c r="XEX2504"/>
      <c r="XEY2504"/>
      <c r="XEZ2504"/>
      <c r="XFA2504"/>
      <c r="XFB2504"/>
      <c r="XFC2504"/>
    </row>
    <row r="2505" spans="1:20 16329:16383" s="38" customFormat="1" ht="29.1" customHeight="1" outlineLevel="3" x14ac:dyDescent="0.25">
      <c r="A2505" s="49" t="s">
        <v>4550</v>
      </c>
      <c r="B2505" s="50"/>
      <c r="C2505" s="50"/>
      <c r="D2505" s="3" t="s">
        <v>4551</v>
      </c>
      <c r="E2505" s="3"/>
      <c r="F2505" s="51"/>
      <c r="G2505" s="50" t="s">
        <v>134</v>
      </c>
      <c r="H2505" s="52">
        <f>1</f>
        <v>1</v>
      </c>
      <c r="I2505" s="36"/>
      <c r="J2505" s="52">
        <v>1</v>
      </c>
      <c r="K2505" s="53">
        <f>0</f>
        <v>0</v>
      </c>
      <c r="L2505" s="53">
        <f>0</f>
        <v>0</v>
      </c>
      <c r="M2505" s="53">
        <f>0</f>
        <v>0</v>
      </c>
      <c r="N2505" s="54">
        <f>SUM(K2505:M2505)</f>
        <v>0</v>
      </c>
      <c r="O2505" s="54">
        <f>ROUND((H2505*K2505),2)</f>
        <v>0</v>
      </c>
      <c r="P2505" s="54">
        <f>ROUND((H2505*L2505),2)</f>
        <v>0</v>
      </c>
      <c r="Q2505" s="54">
        <f>ROUND((H2505*M2505),2)</f>
        <v>0</v>
      </c>
      <c r="R2505" s="54">
        <f>ROUND((H2505*N2505),2)</f>
        <v>0</v>
      </c>
      <c r="S2505" s="54"/>
      <c r="T2505" s="36"/>
      <c r="XDA2505"/>
      <c r="XDB2505"/>
      <c r="XDC2505"/>
      <c r="XDD2505"/>
      <c r="XDE2505"/>
      <c r="XDF2505"/>
      <c r="XDG2505"/>
      <c r="XDH2505"/>
      <c r="XDI2505"/>
      <c r="XDJ2505"/>
      <c r="XDK2505"/>
      <c r="XDL2505"/>
      <c r="XDM2505"/>
      <c r="XDN2505"/>
      <c r="XDO2505"/>
      <c r="XDP2505"/>
      <c r="XDQ2505"/>
      <c r="XDR2505"/>
      <c r="XDS2505"/>
      <c r="XDT2505"/>
      <c r="XDU2505"/>
      <c r="XDV2505"/>
      <c r="XDW2505"/>
      <c r="XDX2505"/>
      <c r="XDY2505"/>
      <c r="XDZ2505"/>
      <c r="XEA2505"/>
      <c r="XEB2505"/>
      <c r="XEC2505"/>
      <c r="XED2505"/>
      <c r="XEE2505"/>
      <c r="XEF2505"/>
      <c r="XEG2505"/>
      <c r="XEH2505"/>
      <c r="XEI2505"/>
      <c r="XEJ2505"/>
      <c r="XEK2505"/>
      <c r="XEL2505"/>
      <c r="XEM2505"/>
      <c r="XEN2505"/>
      <c r="XEO2505"/>
      <c r="XEP2505"/>
      <c r="XEQ2505"/>
      <c r="XER2505"/>
      <c r="XES2505"/>
      <c r="XET2505"/>
      <c r="XEU2505"/>
      <c r="XEV2505"/>
      <c r="XEW2505"/>
      <c r="XEX2505"/>
      <c r="XEY2505"/>
      <c r="XEZ2505"/>
      <c r="XFA2505"/>
      <c r="XFB2505"/>
      <c r="XFC2505"/>
    </row>
    <row r="2506" spans="1:20 16329:16383" s="38" customFormat="1" ht="29.1" customHeight="1" outlineLevel="2" x14ac:dyDescent="0.25">
      <c r="A2506" s="44" t="s">
        <v>4552</v>
      </c>
      <c r="B2506" s="45" t="s">
        <v>4553</v>
      </c>
      <c r="C2506" s="45" t="s">
        <v>4544</v>
      </c>
      <c r="D2506" s="4" t="s">
        <v>4554</v>
      </c>
      <c r="E2506" s="4"/>
      <c r="F2506" s="46"/>
      <c r="G2506" s="45" t="s">
        <v>29</v>
      </c>
      <c r="H2506" s="47"/>
      <c r="I2506" s="36"/>
      <c r="J2506" s="47"/>
      <c r="K2506" s="48"/>
      <c r="L2506" s="48"/>
      <c r="M2506" s="48"/>
      <c r="N2506" s="48"/>
      <c r="O2506" s="48">
        <f>SUM(O2507:O2510)</f>
        <v>0</v>
      </c>
      <c r="P2506" s="48">
        <f>SUM(P2507:P2510)</f>
        <v>0</v>
      </c>
      <c r="Q2506" s="48">
        <f>SUM(Q2507:Q2510)</f>
        <v>0</v>
      </c>
      <c r="R2506" s="48">
        <f>SUM(R2507:R2510)</f>
        <v>0</v>
      </c>
      <c r="S2506" s="48"/>
      <c r="T2506" s="36"/>
      <c r="XDA2506"/>
      <c r="XDB2506"/>
      <c r="XDC2506"/>
      <c r="XDD2506"/>
      <c r="XDE2506"/>
      <c r="XDF2506"/>
      <c r="XDG2506"/>
      <c r="XDH2506"/>
      <c r="XDI2506"/>
      <c r="XDJ2506"/>
      <c r="XDK2506"/>
      <c r="XDL2506"/>
      <c r="XDM2506"/>
      <c r="XDN2506"/>
      <c r="XDO2506"/>
      <c r="XDP2506"/>
      <c r="XDQ2506"/>
      <c r="XDR2506"/>
      <c r="XDS2506"/>
      <c r="XDT2506"/>
      <c r="XDU2506"/>
      <c r="XDV2506"/>
      <c r="XDW2506"/>
      <c r="XDX2506"/>
      <c r="XDY2506"/>
      <c r="XDZ2506"/>
      <c r="XEA2506"/>
      <c r="XEB2506"/>
      <c r="XEC2506"/>
      <c r="XED2506"/>
      <c r="XEE2506"/>
      <c r="XEF2506"/>
      <c r="XEG2506"/>
      <c r="XEH2506"/>
      <c r="XEI2506"/>
      <c r="XEJ2506"/>
      <c r="XEK2506"/>
      <c r="XEL2506"/>
      <c r="XEM2506"/>
      <c r="XEN2506"/>
      <c r="XEO2506"/>
      <c r="XEP2506"/>
      <c r="XEQ2506"/>
      <c r="XER2506"/>
      <c r="XES2506"/>
      <c r="XET2506"/>
      <c r="XEU2506"/>
      <c r="XEV2506"/>
      <c r="XEW2506"/>
      <c r="XEX2506"/>
      <c r="XEY2506"/>
      <c r="XEZ2506"/>
      <c r="XFA2506"/>
      <c r="XFB2506"/>
      <c r="XFC2506"/>
    </row>
    <row r="2507" spans="1:20 16329:16383" s="38" customFormat="1" ht="29.1" customHeight="1" outlineLevel="3" x14ac:dyDescent="0.25">
      <c r="A2507" s="49" t="s">
        <v>4555</v>
      </c>
      <c r="B2507" s="50"/>
      <c r="C2507" s="50"/>
      <c r="D2507" s="3" t="s">
        <v>4556</v>
      </c>
      <c r="E2507" s="3"/>
      <c r="F2507" s="51"/>
      <c r="G2507" s="50" t="s">
        <v>29</v>
      </c>
      <c r="H2507" s="52">
        <f>1</f>
        <v>1</v>
      </c>
      <c r="I2507" s="36"/>
      <c r="J2507" s="52">
        <v>1</v>
      </c>
      <c r="K2507" s="53">
        <f>0</f>
        <v>0</v>
      </c>
      <c r="L2507" s="53">
        <f>0</f>
        <v>0</v>
      </c>
      <c r="M2507" s="53">
        <f>0</f>
        <v>0</v>
      </c>
      <c r="N2507" s="54">
        <f>SUM(K2507:M2507)</f>
        <v>0</v>
      </c>
      <c r="O2507" s="54">
        <f>ROUND((H2507*K2507),2)</f>
        <v>0</v>
      </c>
      <c r="P2507" s="54">
        <f>ROUND((H2507*L2507),2)</f>
        <v>0</v>
      </c>
      <c r="Q2507" s="54">
        <f>ROUND((H2507*M2507),2)</f>
        <v>0</v>
      </c>
      <c r="R2507" s="54">
        <f>ROUND((H2507*N2507),2)</f>
        <v>0</v>
      </c>
      <c r="S2507" s="54"/>
      <c r="T2507" s="36"/>
      <c r="XDA2507"/>
      <c r="XDB2507"/>
      <c r="XDC2507"/>
      <c r="XDD2507"/>
      <c r="XDE2507"/>
      <c r="XDF2507"/>
      <c r="XDG2507"/>
      <c r="XDH2507"/>
      <c r="XDI2507"/>
      <c r="XDJ2507"/>
      <c r="XDK2507"/>
      <c r="XDL2507"/>
      <c r="XDM2507"/>
      <c r="XDN2507"/>
      <c r="XDO2507"/>
      <c r="XDP2507"/>
      <c r="XDQ2507"/>
      <c r="XDR2507"/>
      <c r="XDS2507"/>
      <c r="XDT2507"/>
      <c r="XDU2507"/>
      <c r="XDV2507"/>
      <c r="XDW2507"/>
      <c r="XDX2507"/>
      <c r="XDY2507"/>
      <c r="XDZ2507"/>
      <c r="XEA2507"/>
      <c r="XEB2507"/>
      <c r="XEC2507"/>
      <c r="XED2507"/>
      <c r="XEE2507"/>
      <c r="XEF2507"/>
      <c r="XEG2507"/>
      <c r="XEH2507"/>
      <c r="XEI2507"/>
      <c r="XEJ2507"/>
      <c r="XEK2507"/>
      <c r="XEL2507"/>
      <c r="XEM2507"/>
      <c r="XEN2507"/>
      <c r="XEO2507"/>
      <c r="XEP2507"/>
      <c r="XEQ2507"/>
      <c r="XER2507"/>
      <c r="XES2507"/>
      <c r="XET2507"/>
      <c r="XEU2507"/>
      <c r="XEV2507"/>
      <c r="XEW2507"/>
      <c r="XEX2507"/>
      <c r="XEY2507"/>
      <c r="XEZ2507"/>
      <c r="XFA2507"/>
      <c r="XFB2507"/>
      <c r="XFC2507"/>
    </row>
    <row r="2508" spans="1:20 16329:16383" s="38" customFormat="1" ht="29.1" customHeight="1" outlineLevel="3" x14ac:dyDescent="0.25">
      <c r="A2508" s="49" t="s">
        <v>4557</v>
      </c>
      <c r="B2508" s="50"/>
      <c r="C2508" s="50"/>
      <c r="D2508" s="3" t="s">
        <v>4558</v>
      </c>
      <c r="E2508" s="3"/>
      <c r="F2508" s="51"/>
      <c r="G2508" s="50" t="s">
        <v>134</v>
      </c>
      <c r="H2508" s="52">
        <f>1</f>
        <v>1</v>
      </c>
      <c r="I2508" s="36"/>
      <c r="J2508" s="52">
        <v>1</v>
      </c>
      <c r="K2508" s="53">
        <f>0</f>
        <v>0</v>
      </c>
      <c r="L2508" s="53">
        <f>0</f>
        <v>0</v>
      </c>
      <c r="M2508" s="53">
        <f>0</f>
        <v>0</v>
      </c>
      <c r="N2508" s="54">
        <f>SUM(K2508:M2508)</f>
        <v>0</v>
      </c>
      <c r="O2508" s="54">
        <f>ROUND((H2508*K2508),2)</f>
        <v>0</v>
      </c>
      <c r="P2508" s="54">
        <f>ROUND((H2508*L2508),2)</f>
        <v>0</v>
      </c>
      <c r="Q2508" s="54">
        <f>ROUND((H2508*M2508),2)</f>
        <v>0</v>
      </c>
      <c r="R2508" s="54">
        <f>ROUND((H2508*N2508),2)</f>
        <v>0</v>
      </c>
      <c r="S2508" s="54"/>
      <c r="T2508" s="36"/>
      <c r="XDA2508"/>
      <c r="XDB2508"/>
      <c r="XDC2508"/>
      <c r="XDD2508"/>
      <c r="XDE2508"/>
      <c r="XDF2508"/>
      <c r="XDG2508"/>
      <c r="XDH2508"/>
      <c r="XDI2508"/>
      <c r="XDJ2508"/>
      <c r="XDK2508"/>
      <c r="XDL2508"/>
      <c r="XDM2508"/>
      <c r="XDN2508"/>
      <c r="XDO2508"/>
      <c r="XDP2508"/>
      <c r="XDQ2508"/>
      <c r="XDR2508"/>
      <c r="XDS2508"/>
      <c r="XDT2508"/>
      <c r="XDU2508"/>
      <c r="XDV2508"/>
      <c r="XDW2508"/>
      <c r="XDX2508"/>
      <c r="XDY2508"/>
      <c r="XDZ2508"/>
      <c r="XEA2508"/>
      <c r="XEB2508"/>
      <c r="XEC2508"/>
      <c r="XED2508"/>
      <c r="XEE2508"/>
      <c r="XEF2508"/>
      <c r="XEG2508"/>
      <c r="XEH2508"/>
      <c r="XEI2508"/>
      <c r="XEJ2508"/>
      <c r="XEK2508"/>
      <c r="XEL2508"/>
      <c r="XEM2508"/>
      <c r="XEN2508"/>
      <c r="XEO2508"/>
      <c r="XEP2508"/>
      <c r="XEQ2508"/>
      <c r="XER2508"/>
      <c r="XES2508"/>
      <c r="XET2508"/>
      <c r="XEU2508"/>
      <c r="XEV2508"/>
      <c r="XEW2508"/>
      <c r="XEX2508"/>
      <c r="XEY2508"/>
      <c r="XEZ2508"/>
      <c r="XFA2508"/>
      <c r="XFB2508"/>
      <c r="XFC2508"/>
    </row>
    <row r="2509" spans="1:20 16329:16383" s="38" customFormat="1" ht="29.1" customHeight="1" outlineLevel="3" x14ac:dyDescent="0.25">
      <c r="A2509" s="49" t="s">
        <v>4559</v>
      </c>
      <c r="B2509" s="50"/>
      <c r="C2509" s="50"/>
      <c r="D2509" s="3" t="s">
        <v>4560</v>
      </c>
      <c r="E2509" s="3"/>
      <c r="F2509" s="51"/>
      <c r="G2509" s="50" t="s">
        <v>29</v>
      </c>
      <c r="H2509" s="52">
        <f>1</f>
        <v>1</v>
      </c>
      <c r="I2509" s="36"/>
      <c r="J2509" s="52">
        <v>1</v>
      </c>
      <c r="K2509" s="53">
        <f>0</f>
        <v>0</v>
      </c>
      <c r="L2509" s="53">
        <f>0</f>
        <v>0</v>
      </c>
      <c r="M2509" s="53">
        <f>0</f>
        <v>0</v>
      </c>
      <c r="N2509" s="54">
        <f>SUM(K2509:M2509)</f>
        <v>0</v>
      </c>
      <c r="O2509" s="54">
        <f>ROUND((H2509*K2509),2)</f>
        <v>0</v>
      </c>
      <c r="P2509" s="54">
        <f>ROUND((H2509*L2509),2)</f>
        <v>0</v>
      </c>
      <c r="Q2509" s="54">
        <f>ROUND((H2509*M2509),2)</f>
        <v>0</v>
      </c>
      <c r="R2509" s="54">
        <f>ROUND((H2509*N2509),2)</f>
        <v>0</v>
      </c>
      <c r="S2509" s="54"/>
      <c r="T2509" s="36"/>
      <c r="XDA2509"/>
      <c r="XDB2509"/>
      <c r="XDC2509"/>
      <c r="XDD2509"/>
      <c r="XDE2509"/>
      <c r="XDF2509"/>
      <c r="XDG2509"/>
      <c r="XDH2509"/>
      <c r="XDI2509"/>
      <c r="XDJ2509"/>
      <c r="XDK2509"/>
      <c r="XDL2509"/>
      <c r="XDM2509"/>
      <c r="XDN2509"/>
      <c r="XDO2509"/>
      <c r="XDP2509"/>
      <c r="XDQ2509"/>
      <c r="XDR2509"/>
      <c r="XDS2509"/>
      <c r="XDT2509"/>
      <c r="XDU2509"/>
      <c r="XDV2509"/>
      <c r="XDW2509"/>
      <c r="XDX2509"/>
      <c r="XDY2509"/>
      <c r="XDZ2509"/>
      <c r="XEA2509"/>
      <c r="XEB2509"/>
      <c r="XEC2509"/>
      <c r="XED2509"/>
      <c r="XEE2509"/>
      <c r="XEF2509"/>
      <c r="XEG2509"/>
      <c r="XEH2509"/>
      <c r="XEI2509"/>
      <c r="XEJ2509"/>
      <c r="XEK2509"/>
      <c r="XEL2509"/>
      <c r="XEM2509"/>
      <c r="XEN2509"/>
      <c r="XEO2509"/>
      <c r="XEP2509"/>
      <c r="XEQ2509"/>
      <c r="XER2509"/>
      <c r="XES2509"/>
      <c r="XET2509"/>
      <c r="XEU2509"/>
      <c r="XEV2509"/>
      <c r="XEW2509"/>
      <c r="XEX2509"/>
      <c r="XEY2509"/>
      <c r="XEZ2509"/>
      <c r="XFA2509"/>
      <c r="XFB2509"/>
      <c r="XFC2509"/>
    </row>
    <row r="2510" spans="1:20 16329:16383" s="38" customFormat="1" ht="29.1" customHeight="1" outlineLevel="3" x14ac:dyDescent="0.25">
      <c r="A2510" s="49" t="s">
        <v>4561</v>
      </c>
      <c r="B2510" s="50"/>
      <c r="C2510" s="50"/>
      <c r="D2510" s="3" t="s">
        <v>4562</v>
      </c>
      <c r="E2510" s="3"/>
      <c r="F2510" s="51"/>
      <c r="G2510" s="50" t="s">
        <v>134</v>
      </c>
      <c r="H2510" s="52">
        <f>1</f>
        <v>1</v>
      </c>
      <c r="I2510" s="36"/>
      <c r="J2510" s="52">
        <v>1</v>
      </c>
      <c r="K2510" s="53">
        <f>0</f>
        <v>0</v>
      </c>
      <c r="L2510" s="53">
        <f>0</f>
        <v>0</v>
      </c>
      <c r="M2510" s="53">
        <f>0</f>
        <v>0</v>
      </c>
      <c r="N2510" s="54">
        <f>SUM(K2510:M2510)</f>
        <v>0</v>
      </c>
      <c r="O2510" s="54">
        <f>ROUND((H2510*K2510),2)</f>
        <v>0</v>
      </c>
      <c r="P2510" s="54">
        <f>ROUND((H2510*L2510),2)</f>
        <v>0</v>
      </c>
      <c r="Q2510" s="54">
        <f>ROUND((H2510*M2510),2)</f>
        <v>0</v>
      </c>
      <c r="R2510" s="54">
        <f>ROUND((H2510*N2510),2)</f>
        <v>0</v>
      </c>
      <c r="S2510" s="54"/>
      <c r="T2510" s="36"/>
      <c r="XDA2510"/>
      <c r="XDB2510"/>
      <c r="XDC2510"/>
      <c r="XDD2510"/>
      <c r="XDE2510"/>
      <c r="XDF2510"/>
      <c r="XDG2510"/>
      <c r="XDH2510"/>
      <c r="XDI2510"/>
      <c r="XDJ2510"/>
      <c r="XDK2510"/>
      <c r="XDL2510"/>
      <c r="XDM2510"/>
      <c r="XDN2510"/>
      <c r="XDO2510"/>
      <c r="XDP2510"/>
      <c r="XDQ2510"/>
      <c r="XDR2510"/>
      <c r="XDS2510"/>
      <c r="XDT2510"/>
      <c r="XDU2510"/>
      <c r="XDV2510"/>
      <c r="XDW2510"/>
      <c r="XDX2510"/>
      <c r="XDY2510"/>
      <c r="XDZ2510"/>
      <c r="XEA2510"/>
      <c r="XEB2510"/>
      <c r="XEC2510"/>
      <c r="XED2510"/>
      <c r="XEE2510"/>
      <c r="XEF2510"/>
      <c r="XEG2510"/>
      <c r="XEH2510"/>
      <c r="XEI2510"/>
      <c r="XEJ2510"/>
      <c r="XEK2510"/>
      <c r="XEL2510"/>
      <c r="XEM2510"/>
      <c r="XEN2510"/>
      <c r="XEO2510"/>
      <c r="XEP2510"/>
      <c r="XEQ2510"/>
      <c r="XER2510"/>
      <c r="XES2510"/>
      <c r="XET2510"/>
      <c r="XEU2510"/>
      <c r="XEV2510"/>
      <c r="XEW2510"/>
      <c r="XEX2510"/>
      <c r="XEY2510"/>
      <c r="XEZ2510"/>
      <c r="XFA2510"/>
      <c r="XFB2510"/>
      <c r="XFC2510"/>
    </row>
    <row r="2511" spans="1:20 16329:16383" s="38" customFormat="1" ht="29.1" customHeight="1" outlineLevel="1" x14ac:dyDescent="0.25">
      <c r="A2511" s="39" t="s">
        <v>4563</v>
      </c>
      <c r="B2511" s="40" t="s">
        <v>56</v>
      </c>
      <c r="C2511" s="40" t="s">
        <v>4564</v>
      </c>
      <c r="D2511" s="5" t="s">
        <v>4565</v>
      </c>
      <c r="E2511" s="5"/>
      <c r="F2511" s="41"/>
      <c r="G2511" s="40" t="s">
        <v>102</v>
      </c>
      <c r="H2511" s="42"/>
      <c r="I2511" s="36"/>
      <c r="J2511" s="42"/>
      <c r="K2511" s="43"/>
      <c r="L2511" s="43"/>
      <c r="M2511" s="43"/>
      <c r="N2511" s="43"/>
      <c r="O2511" s="43">
        <f>O2512</f>
        <v>0</v>
      </c>
      <c r="P2511" s="43">
        <f>P2512</f>
        <v>0</v>
      </c>
      <c r="Q2511" s="43">
        <f>Q2512</f>
        <v>0</v>
      </c>
      <c r="R2511" s="43">
        <f>R2512</f>
        <v>0</v>
      </c>
      <c r="S2511" s="43"/>
      <c r="T2511" s="36"/>
      <c r="XDA2511"/>
      <c r="XDB2511"/>
      <c r="XDC2511"/>
      <c r="XDD2511"/>
      <c r="XDE2511"/>
      <c r="XDF2511"/>
      <c r="XDG2511"/>
      <c r="XDH2511"/>
      <c r="XDI2511"/>
      <c r="XDJ2511"/>
      <c r="XDK2511"/>
      <c r="XDL2511"/>
      <c r="XDM2511"/>
      <c r="XDN2511"/>
      <c r="XDO2511"/>
      <c r="XDP2511"/>
      <c r="XDQ2511"/>
      <c r="XDR2511"/>
      <c r="XDS2511"/>
      <c r="XDT2511"/>
      <c r="XDU2511"/>
      <c r="XDV2511"/>
      <c r="XDW2511"/>
      <c r="XDX2511"/>
      <c r="XDY2511"/>
      <c r="XDZ2511"/>
      <c r="XEA2511"/>
      <c r="XEB2511"/>
      <c r="XEC2511"/>
      <c r="XED2511"/>
      <c r="XEE2511"/>
      <c r="XEF2511"/>
      <c r="XEG2511"/>
      <c r="XEH2511"/>
      <c r="XEI2511"/>
      <c r="XEJ2511"/>
      <c r="XEK2511"/>
      <c r="XEL2511"/>
      <c r="XEM2511"/>
      <c r="XEN2511"/>
      <c r="XEO2511"/>
      <c r="XEP2511"/>
      <c r="XEQ2511"/>
      <c r="XER2511"/>
      <c r="XES2511"/>
      <c r="XET2511"/>
      <c r="XEU2511"/>
      <c r="XEV2511"/>
      <c r="XEW2511"/>
      <c r="XEX2511"/>
      <c r="XEY2511"/>
      <c r="XEZ2511"/>
      <c r="XFA2511"/>
      <c r="XFB2511"/>
      <c r="XFC2511"/>
    </row>
    <row r="2512" spans="1:20 16329:16383" s="38" customFormat="1" ht="29.1" customHeight="1" outlineLevel="2" x14ac:dyDescent="0.25">
      <c r="A2512" s="49" t="s">
        <v>4566</v>
      </c>
      <c r="B2512" s="50"/>
      <c r="C2512" s="50"/>
      <c r="D2512" s="3" t="s">
        <v>4565</v>
      </c>
      <c r="E2512" s="3"/>
      <c r="F2512" s="51" t="s">
        <v>4567</v>
      </c>
      <c r="G2512" s="50" t="s">
        <v>29</v>
      </c>
      <c r="H2512" s="52">
        <f>1</f>
        <v>1</v>
      </c>
      <c r="I2512" s="36"/>
      <c r="J2512" s="52">
        <v>1</v>
      </c>
      <c r="K2512" s="53">
        <f>0</f>
        <v>0</v>
      </c>
      <c r="L2512" s="53">
        <f>0</f>
        <v>0</v>
      </c>
      <c r="M2512" s="53">
        <f>0</f>
        <v>0</v>
      </c>
      <c r="N2512" s="54">
        <f>SUM(K2512:M2512)</f>
        <v>0</v>
      </c>
      <c r="O2512" s="54">
        <f>ROUND((H2512*K2512),2)</f>
        <v>0</v>
      </c>
      <c r="P2512" s="54">
        <f>ROUND((H2512*L2512),2)</f>
        <v>0</v>
      </c>
      <c r="Q2512" s="54">
        <f>ROUND((H2512*M2512),2)</f>
        <v>0</v>
      </c>
      <c r="R2512" s="54">
        <f>ROUND((H2512*N2512),2)</f>
        <v>0</v>
      </c>
      <c r="S2512" s="54"/>
      <c r="T2512" s="36"/>
      <c r="XDA2512"/>
      <c r="XDB2512"/>
      <c r="XDC2512"/>
      <c r="XDD2512"/>
      <c r="XDE2512"/>
      <c r="XDF2512"/>
      <c r="XDG2512"/>
      <c r="XDH2512"/>
      <c r="XDI2512"/>
      <c r="XDJ2512"/>
      <c r="XDK2512"/>
      <c r="XDL2512"/>
      <c r="XDM2512"/>
      <c r="XDN2512"/>
      <c r="XDO2512"/>
      <c r="XDP2512"/>
      <c r="XDQ2512"/>
      <c r="XDR2512"/>
      <c r="XDS2512"/>
      <c r="XDT2512"/>
      <c r="XDU2512"/>
      <c r="XDV2512"/>
      <c r="XDW2512"/>
      <c r="XDX2512"/>
      <c r="XDY2512"/>
      <c r="XDZ2512"/>
      <c r="XEA2512"/>
      <c r="XEB2512"/>
      <c r="XEC2512"/>
      <c r="XED2512"/>
      <c r="XEE2512"/>
      <c r="XEF2512"/>
      <c r="XEG2512"/>
      <c r="XEH2512"/>
      <c r="XEI2512"/>
      <c r="XEJ2512"/>
      <c r="XEK2512"/>
      <c r="XEL2512"/>
      <c r="XEM2512"/>
      <c r="XEN2512"/>
      <c r="XEO2512"/>
      <c r="XEP2512"/>
      <c r="XEQ2512"/>
      <c r="XER2512"/>
      <c r="XES2512"/>
      <c r="XET2512"/>
      <c r="XEU2512"/>
      <c r="XEV2512"/>
      <c r="XEW2512"/>
      <c r="XEX2512"/>
      <c r="XEY2512"/>
      <c r="XEZ2512"/>
      <c r="XFA2512"/>
      <c r="XFB2512"/>
      <c r="XFC2512"/>
    </row>
    <row r="2513" spans="1:20 16329:16383" s="38" customFormat="1" ht="29.1" customHeight="1" outlineLevel="1" x14ac:dyDescent="0.25">
      <c r="A2513" s="39" t="s">
        <v>4568</v>
      </c>
      <c r="B2513" s="40" t="s">
        <v>60</v>
      </c>
      <c r="C2513" s="40"/>
      <c r="D2513" s="5" t="s">
        <v>4569</v>
      </c>
      <c r="E2513" s="5"/>
      <c r="F2513" s="41" t="s">
        <v>4570</v>
      </c>
      <c r="G2513" s="40"/>
      <c r="H2513" s="42"/>
      <c r="I2513" s="36"/>
      <c r="J2513" s="42"/>
      <c r="K2513" s="43"/>
      <c r="L2513" s="43"/>
      <c r="M2513" s="43"/>
      <c r="N2513" s="43"/>
      <c r="O2513" s="43">
        <f>O2514+O2539+O2560+O2580+O2582</f>
        <v>0</v>
      </c>
      <c r="P2513" s="43">
        <f>P2514+P2539+P2560+P2580+P2582</f>
        <v>0</v>
      </c>
      <c r="Q2513" s="43">
        <f>Q2514+Q2539+Q2560+Q2580+Q2582</f>
        <v>0</v>
      </c>
      <c r="R2513" s="43">
        <f>R2514+R2539+R2560+R2580+R2582</f>
        <v>0</v>
      </c>
      <c r="S2513" s="43"/>
      <c r="T2513" s="36"/>
      <c r="XDA2513"/>
      <c r="XDB2513"/>
      <c r="XDC2513"/>
      <c r="XDD2513"/>
      <c r="XDE2513"/>
      <c r="XDF2513"/>
      <c r="XDG2513"/>
      <c r="XDH2513"/>
      <c r="XDI2513"/>
      <c r="XDJ2513"/>
      <c r="XDK2513"/>
      <c r="XDL2513"/>
      <c r="XDM2513"/>
      <c r="XDN2513"/>
      <c r="XDO2513"/>
      <c r="XDP2513"/>
      <c r="XDQ2513"/>
      <c r="XDR2513"/>
      <c r="XDS2513"/>
      <c r="XDT2513"/>
      <c r="XDU2513"/>
      <c r="XDV2513"/>
      <c r="XDW2513"/>
      <c r="XDX2513"/>
      <c r="XDY2513"/>
      <c r="XDZ2513"/>
      <c r="XEA2513"/>
      <c r="XEB2513"/>
      <c r="XEC2513"/>
      <c r="XED2513"/>
      <c r="XEE2513"/>
      <c r="XEF2513"/>
      <c r="XEG2513"/>
      <c r="XEH2513"/>
      <c r="XEI2513"/>
      <c r="XEJ2513"/>
      <c r="XEK2513"/>
      <c r="XEL2513"/>
      <c r="XEM2513"/>
      <c r="XEN2513"/>
      <c r="XEO2513"/>
      <c r="XEP2513"/>
      <c r="XEQ2513"/>
      <c r="XER2513"/>
      <c r="XES2513"/>
      <c r="XET2513"/>
      <c r="XEU2513"/>
      <c r="XEV2513"/>
      <c r="XEW2513"/>
      <c r="XEX2513"/>
      <c r="XEY2513"/>
      <c r="XEZ2513"/>
      <c r="XFA2513"/>
      <c r="XFB2513"/>
      <c r="XFC2513"/>
    </row>
    <row r="2514" spans="1:20 16329:16383" s="38" customFormat="1" ht="29.1" customHeight="1" outlineLevel="2" x14ac:dyDescent="0.25">
      <c r="A2514" s="44" t="s">
        <v>4571</v>
      </c>
      <c r="B2514" s="45" t="s">
        <v>4572</v>
      </c>
      <c r="C2514" s="45"/>
      <c r="D2514" s="4" t="s">
        <v>4573</v>
      </c>
      <c r="E2514" s="4"/>
      <c r="F2514" s="46"/>
      <c r="G2514" s="45"/>
      <c r="H2514" s="47"/>
      <c r="I2514" s="36"/>
      <c r="J2514" s="47"/>
      <c r="K2514" s="48"/>
      <c r="L2514" s="48"/>
      <c r="M2514" s="48"/>
      <c r="N2514" s="48"/>
      <c r="O2514" s="48">
        <f>O2515+O2521+O2527+O2533</f>
        <v>0</v>
      </c>
      <c r="P2514" s="48">
        <f>P2515+P2521+P2527+P2533</f>
        <v>0</v>
      </c>
      <c r="Q2514" s="48">
        <f>Q2515+Q2521+Q2527+Q2533</f>
        <v>0</v>
      </c>
      <c r="R2514" s="48">
        <f>R2515+R2521+R2527+R2533</f>
        <v>0</v>
      </c>
      <c r="S2514" s="48"/>
      <c r="T2514" s="36"/>
      <c r="XDA2514"/>
      <c r="XDB2514"/>
      <c r="XDC2514"/>
      <c r="XDD2514"/>
      <c r="XDE2514"/>
      <c r="XDF2514"/>
      <c r="XDG2514"/>
      <c r="XDH2514"/>
      <c r="XDI2514"/>
      <c r="XDJ2514"/>
      <c r="XDK2514"/>
      <c r="XDL2514"/>
      <c r="XDM2514"/>
      <c r="XDN2514"/>
      <c r="XDO2514"/>
      <c r="XDP2514"/>
      <c r="XDQ2514"/>
      <c r="XDR2514"/>
      <c r="XDS2514"/>
      <c r="XDT2514"/>
      <c r="XDU2514"/>
      <c r="XDV2514"/>
      <c r="XDW2514"/>
      <c r="XDX2514"/>
      <c r="XDY2514"/>
      <c r="XDZ2514"/>
      <c r="XEA2514"/>
      <c r="XEB2514"/>
      <c r="XEC2514"/>
      <c r="XED2514"/>
      <c r="XEE2514"/>
      <c r="XEF2514"/>
      <c r="XEG2514"/>
      <c r="XEH2514"/>
      <c r="XEI2514"/>
      <c r="XEJ2514"/>
      <c r="XEK2514"/>
      <c r="XEL2514"/>
      <c r="XEM2514"/>
      <c r="XEN2514"/>
      <c r="XEO2514"/>
      <c r="XEP2514"/>
      <c r="XEQ2514"/>
      <c r="XER2514"/>
      <c r="XES2514"/>
      <c r="XET2514"/>
      <c r="XEU2514"/>
      <c r="XEV2514"/>
      <c r="XEW2514"/>
      <c r="XEX2514"/>
      <c r="XEY2514"/>
      <c r="XEZ2514"/>
      <c r="XFA2514"/>
      <c r="XFB2514"/>
      <c r="XFC2514"/>
    </row>
    <row r="2515" spans="1:20 16329:16383" s="38" customFormat="1" ht="29.1" customHeight="1" outlineLevel="3" x14ac:dyDescent="0.25">
      <c r="A2515" s="55" t="s">
        <v>4574</v>
      </c>
      <c r="B2515" s="56" t="s">
        <v>4575</v>
      </c>
      <c r="C2515" s="56"/>
      <c r="D2515" s="2" t="s">
        <v>857</v>
      </c>
      <c r="E2515" s="2"/>
      <c r="F2515" s="57"/>
      <c r="G2515" s="56"/>
      <c r="H2515" s="58"/>
      <c r="I2515" s="36"/>
      <c r="J2515" s="58"/>
      <c r="K2515" s="59"/>
      <c r="L2515" s="59"/>
      <c r="M2515" s="59"/>
      <c r="N2515" s="59"/>
      <c r="O2515" s="59">
        <f>O2516+O2519</f>
        <v>0</v>
      </c>
      <c r="P2515" s="59">
        <f>P2516+P2519</f>
        <v>0</v>
      </c>
      <c r="Q2515" s="59">
        <f>Q2516+Q2519</f>
        <v>0</v>
      </c>
      <c r="R2515" s="59">
        <f>R2516+R2519</f>
        <v>0</v>
      </c>
      <c r="S2515" s="59"/>
      <c r="T2515" s="36"/>
      <c r="XDA2515"/>
      <c r="XDB2515"/>
      <c r="XDC2515"/>
      <c r="XDD2515"/>
      <c r="XDE2515"/>
      <c r="XDF2515"/>
      <c r="XDG2515"/>
      <c r="XDH2515"/>
      <c r="XDI2515"/>
      <c r="XDJ2515"/>
      <c r="XDK2515"/>
      <c r="XDL2515"/>
      <c r="XDM2515"/>
      <c r="XDN2515"/>
      <c r="XDO2515"/>
      <c r="XDP2515"/>
      <c r="XDQ2515"/>
      <c r="XDR2515"/>
      <c r="XDS2515"/>
      <c r="XDT2515"/>
      <c r="XDU2515"/>
      <c r="XDV2515"/>
      <c r="XDW2515"/>
      <c r="XDX2515"/>
      <c r="XDY2515"/>
      <c r="XDZ2515"/>
      <c r="XEA2515"/>
      <c r="XEB2515"/>
      <c r="XEC2515"/>
      <c r="XED2515"/>
      <c r="XEE2515"/>
      <c r="XEF2515"/>
      <c r="XEG2515"/>
      <c r="XEH2515"/>
      <c r="XEI2515"/>
      <c r="XEJ2515"/>
      <c r="XEK2515"/>
      <c r="XEL2515"/>
      <c r="XEM2515"/>
      <c r="XEN2515"/>
      <c r="XEO2515"/>
      <c r="XEP2515"/>
      <c r="XEQ2515"/>
      <c r="XER2515"/>
      <c r="XES2515"/>
      <c r="XET2515"/>
      <c r="XEU2515"/>
      <c r="XEV2515"/>
      <c r="XEW2515"/>
      <c r="XEX2515"/>
      <c r="XEY2515"/>
      <c r="XEZ2515"/>
      <c r="XFA2515"/>
      <c r="XFB2515"/>
      <c r="XFC2515"/>
    </row>
    <row r="2516" spans="1:20 16329:16383" s="38" customFormat="1" ht="29.1" customHeight="1" outlineLevel="4" x14ac:dyDescent="0.25">
      <c r="A2516" s="60" t="s">
        <v>4576</v>
      </c>
      <c r="B2516" s="61" t="s">
        <v>4577</v>
      </c>
      <c r="C2516" s="61"/>
      <c r="D2516" s="1" t="s">
        <v>4578</v>
      </c>
      <c r="E2516" s="1"/>
      <c r="F2516" s="62"/>
      <c r="G2516" s="61"/>
      <c r="H2516" s="63"/>
      <c r="I2516" s="36"/>
      <c r="J2516" s="63"/>
      <c r="K2516" s="64"/>
      <c r="L2516" s="64"/>
      <c r="M2516" s="64"/>
      <c r="N2516" s="64"/>
      <c r="O2516" s="64">
        <f>O2517+O2518</f>
        <v>0</v>
      </c>
      <c r="P2516" s="64">
        <f>P2517+P2518</f>
        <v>0</v>
      </c>
      <c r="Q2516" s="64">
        <f>Q2517+Q2518</f>
        <v>0</v>
      </c>
      <c r="R2516" s="64">
        <f>R2517+R2518</f>
        <v>0</v>
      </c>
      <c r="S2516" s="64"/>
      <c r="T2516" s="36"/>
      <c r="XDA2516"/>
      <c r="XDB2516"/>
      <c r="XDC2516"/>
      <c r="XDD2516"/>
      <c r="XDE2516"/>
      <c r="XDF2516"/>
      <c r="XDG2516"/>
      <c r="XDH2516"/>
      <c r="XDI2516"/>
      <c r="XDJ2516"/>
      <c r="XDK2516"/>
      <c r="XDL2516"/>
      <c r="XDM2516"/>
      <c r="XDN2516"/>
      <c r="XDO2516"/>
      <c r="XDP2516"/>
      <c r="XDQ2516"/>
      <c r="XDR2516"/>
      <c r="XDS2516"/>
      <c r="XDT2516"/>
      <c r="XDU2516"/>
      <c r="XDV2516"/>
      <c r="XDW2516"/>
      <c r="XDX2516"/>
      <c r="XDY2516"/>
      <c r="XDZ2516"/>
      <c r="XEA2516"/>
      <c r="XEB2516"/>
      <c r="XEC2516"/>
      <c r="XED2516"/>
      <c r="XEE2516"/>
      <c r="XEF2516"/>
      <c r="XEG2516"/>
      <c r="XEH2516"/>
      <c r="XEI2516"/>
      <c r="XEJ2516"/>
      <c r="XEK2516"/>
      <c r="XEL2516"/>
      <c r="XEM2516"/>
      <c r="XEN2516"/>
      <c r="XEO2516"/>
      <c r="XEP2516"/>
      <c r="XEQ2516"/>
      <c r="XER2516"/>
      <c r="XES2516"/>
      <c r="XET2516"/>
      <c r="XEU2516"/>
      <c r="XEV2516"/>
      <c r="XEW2516"/>
      <c r="XEX2516"/>
      <c r="XEY2516"/>
      <c r="XEZ2516"/>
      <c r="XFA2516"/>
      <c r="XFB2516"/>
      <c r="XFC2516"/>
    </row>
    <row r="2517" spans="1:20 16329:16383" s="38" customFormat="1" ht="29.1" customHeight="1" outlineLevel="5" x14ac:dyDescent="0.25">
      <c r="A2517" s="49" t="s">
        <v>4579</v>
      </c>
      <c r="B2517" s="50"/>
      <c r="C2517" s="50"/>
      <c r="D2517" s="3" t="s">
        <v>4580</v>
      </c>
      <c r="E2517" s="3"/>
      <c r="F2517" s="51" t="s">
        <v>4581</v>
      </c>
      <c r="G2517" s="50" t="s">
        <v>194</v>
      </c>
      <c r="H2517" s="52">
        <f>1</f>
        <v>1</v>
      </c>
      <c r="I2517" s="36"/>
      <c r="J2517" s="52">
        <v>1</v>
      </c>
      <c r="K2517" s="53">
        <f>0</f>
        <v>0</v>
      </c>
      <c r="L2517" s="53">
        <f>0</f>
        <v>0</v>
      </c>
      <c r="M2517" s="53">
        <f>0</f>
        <v>0</v>
      </c>
      <c r="N2517" s="54">
        <f>SUM(K2517:M2517)</f>
        <v>0</v>
      </c>
      <c r="O2517" s="54">
        <f>ROUND((H2517*K2517),2)</f>
        <v>0</v>
      </c>
      <c r="P2517" s="54">
        <f>ROUND((H2517*L2517),2)</f>
        <v>0</v>
      </c>
      <c r="Q2517" s="54">
        <f>ROUND((H2517*M2517),2)</f>
        <v>0</v>
      </c>
      <c r="R2517" s="54">
        <f>ROUND((H2517*N2517),2)</f>
        <v>0</v>
      </c>
      <c r="S2517" s="54"/>
      <c r="T2517" s="36"/>
      <c r="XDA2517"/>
      <c r="XDB2517"/>
      <c r="XDC2517"/>
      <c r="XDD2517"/>
      <c r="XDE2517"/>
      <c r="XDF2517"/>
      <c r="XDG2517"/>
      <c r="XDH2517"/>
      <c r="XDI2517"/>
      <c r="XDJ2517"/>
      <c r="XDK2517"/>
      <c r="XDL2517"/>
      <c r="XDM2517"/>
      <c r="XDN2517"/>
      <c r="XDO2517"/>
      <c r="XDP2517"/>
      <c r="XDQ2517"/>
      <c r="XDR2517"/>
      <c r="XDS2517"/>
      <c r="XDT2517"/>
      <c r="XDU2517"/>
      <c r="XDV2517"/>
      <c r="XDW2517"/>
      <c r="XDX2517"/>
      <c r="XDY2517"/>
      <c r="XDZ2517"/>
      <c r="XEA2517"/>
      <c r="XEB2517"/>
      <c r="XEC2517"/>
      <c r="XED2517"/>
      <c r="XEE2517"/>
      <c r="XEF2517"/>
      <c r="XEG2517"/>
      <c r="XEH2517"/>
      <c r="XEI2517"/>
      <c r="XEJ2517"/>
      <c r="XEK2517"/>
      <c r="XEL2517"/>
      <c r="XEM2517"/>
      <c r="XEN2517"/>
      <c r="XEO2517"/>
      <c r="XEP2517"/>
      <c r="XEQ2517"/>
      <c r="XER2517"/>
      <c r="XES2517"/>
      <c r="XET2517"/>
      <c r="XEU2517"/>
      <c r="XEV2517"/>
      <c r="XEW2517"/>
      <c r="XEX2517"/>
      <c r="XEY2517"/>
      <c r="XEZ2517"/>
      <c r="XFA2517"/>
      <c r="XFB2517"/>
      <c r="XFC2517"/>
    </row>
    <row r="2518" spans="1:20 16329:16383" s="38" customFormat="1" ht="29.1" customHeight="1" outlineLevel="5" x14ac:dyDescent="0.25">
      <c r="A2518" s="49" t="s">
        <v>4582</v>
      </c>
      <c r="B2518" s="50"/>
      <c r="C2518" s="50"/>
      <c r="D2518" s="3" t="s">
        <v>4583</v>
      </c>
      <c r="E2518" s="3"/>
      <c r="F2518" s="51" t="s">
        <v>4581</v>
      </c>
      <c r="G2518" s="50" t="s">
        <v>194</v>
      </c>
      <c r="H2518" s="52">
        <f>1</f>
        <v>1</v>
      </c>
      <c r="I2518" s="36"/>
      <c r="J2518" s="52">
        <v>1</v>
      </c>
      <c r="K2518" s="53">
        <f>0</f>
        <v>0</v>
      </c>
      <c r="L2518" s="53">
        <f>0</f>
        <v>0</v>
      </c>
      <c r="M2518" s="53">
        <f>0</f>
        <v>0</v>
      </c>
      <c r="N2518" s="54">
        <f>SUM(K2518:M2518)</f>
        <v>0</v>
      </c>
      <c r="O2518" s="54">
        <f>ROUND((H2518*K2518),2)</f>
        <v>0</v>
      </c>
      <c r="P2518" s="54">
        <f>ROUND((H2518*L2518),2)</f>
        <v>0</v>
      </c>
      <c r="Q2518" s="54">
        <f>ROUND((H2518*M2518),2)</f>
        <v>0</v>
      </c>
      <c r="R2518" s="54">
        <f>ROUND((H2518*N2518),2)</f>
        <v>0</v>
      </c>
      <c r="S2518" s="54"/>
      <c r="T2518" s="36"/>
      <c r="XDA2518"/>
      <c r="XDB2518"/>
      <c r="XDC2518"/>
      <c r="XDD2518"/>
      <c r="XDE2518"/>
      <c r="XDF2518"/>
      <c r="XDG2518"/>
      <c r="XDH2518"/>
      <c r="XDI2518"/>
      <c r="XDJ2518"/>
      <c r="XDK2518"/>
      <c r="XDL2518"/>
      <c r="XDM2518"/>
      <c r="XDN2518"/>
      <c r="XDO2518"/>
      <c r="XDP2518"/>
      <c r="XDQ2518"/>
      <c r="XDR2518"/>
      <c r="XDS2518"/>
      <c r="XDT2518"/>
      <c r="XDU2518"/>
      <c r="XDV2518"/>
      <c r="XDW2518"/>
      <c r="XDX2518"/>
      <c r="XDY2518"/>
      <c r="XDZ2518"/>
      <c r="XEA2518"/>
      <c r="XEB2518"/>
      <c r="XEC2518"/>
      <c r="XED2518"/>
      <c r="XEE2518"/>
      <c r="XEF2518"/>
      <c r="XEG2518"/>
      <c r="XEH2518"/>
      <c r="XEI2518"/>
      <c r="XEJ2518"/>
      <c r="XEK2518"/>
      <c r="XEL2518"/>
      <c r="XEM2518"/>
      <c r="XEN2518"/>
      <c r="XEO2518"/>
      <c r="XEP2518"/>
      <c r="XEQ2518"/>
      <c r="XER2518"/>
      <c r="XES2518"/>
      <c r="XET2518"/>
      <c r="XEU2518"/>
      <c r="XEV2518"/>
      <c r="XEW2518"/>
      <c r="XEX2518"/>
      <c r="XEY2518"/>
      <c r="XEZ2518"/>
      <c r="XFA2518"/>
      <c r="XFB2518"/>
      <c r="XFC2518"/>
    </row>
    <row r="2519" spans="1:20 16329:16383" s="38" customFormat="1" ht="29.1" customHeight="1" outlineLevel="4" x14ac:dyDescent="0.25">
      <c r="A2519" s="60" t="s">
        <v>4584</v>
      </c>
      <c r="B2519" s="61" t="s">
        <v>4585</v>
      </c>
      <c r="C2519" s="61"/>
      <c r="D2519" s="1" t="s">
        <v>4586</v>
      </c>
      <c r="E2519" s="1"/>
      <c r="F2519" s="62"/>
      <c r="G2519" s="61"/>
      <c r="H2519" s="63"/>
      <c r="I2519" s="36"/>
      <c r="J2519" s="63"/>
      <c r="K2519" s="64"/>
      <c r="L2519" s="64"/>
      <c r="M2519" s="64"/>
      <c r="N2519" s="64"/>
      <c r="O2519" s="64">
        <f>O2520</f>
        <v>0</v>
      </c>
      <c r="P2519" s="64">
        <f>P2520</f>
        <v>0</v>
      </c>
      <c r="Q2519" s="64">
        <f>Q2520</f>
        <v>0</v>
      </c>
      <c r="R2519" s="64">
        <f>R2520</f>
        <v>0</v>
      </c>
      <c r="S2519" s="64"/>
      <c r="T2519" s="36"/>
      <c r="XDA2519"/>
      <c r="XDB2519"/>
      <c r="XDC2519"/>
      <c r="XDD2519"/>
      <c r="XDE2519"/>
      <c r="XDF2519"/>
      <c r="XDG2519"/>
      <c r="XDH2519"/>
      <c r="XDI2519"/>
      <c r="XDJ2519"/>
      <c r="XDK2519"/>
      <c r="XDL2519"/>
      <c r="XDM2519"/>
      <c r="XDN2519"/>
      <c r="XDO2519"/>
      <c r="XDP2519"/>
      <c r="XDQ2519"/>
      <c r="XDR2519"/>
      <c r="XDS2519"/>
      <c r="XDT2519"/>
      <c r="XDU2519"/>
      <c r="XDV2519"/>
      <c r="XDW2519"/>
      <c r="XDX2519"/>
      <c r="XDY2519"/>
      <c r="XDZ2519"/>
      <c r="XEA2519"/>
      <c r="XEB2519"/>
      <c r="XEC2519"/>
      <c r="XED2519"/>
      <c r="XEE2519"/>
      <c r="XEF2519"/>
      <c r="XEG2519"/>
      <c r="XEH2519"/>
      <c r="XEI2519"/>
      <c r="XEJ2519"/>
      <c r="XEK2519"/>
      <c r="XEL2519"/>
      <c r="XEM2519"/>
      <c r="XEN2519"/>
      <c r="XEO2519"/>
      <c r="XEP2519"/>
      <c r="XEQ2519"/>
      <c r="XER2519"/>
      <c r="XES2519"/>
      <c r="XET2519"/>
      <c r="XEU2519"/>
      <c r="XEV2519"/>
      <c r="XEW2519"/>
      <c r="XEX2519"/>
      <c r="XEY2519"/>
      <c r="XEZ2519"/>
      <c r="XFA2519"/>
      <c r="XFB2519"/>
      <c r="XFC2519"/>
    </row>
    <row r="2520" spans="1:20 16329:16383" s="38" customFormat="1" ht="29.1" customHeight="1" outlineLevel="5" x14ac:dyDescent="0.25">
      <c r="A2520" s="49" t="s">
        <v>4587</v>
      </c>
      <c r="B2520" s="50"/>
      <c r="C2520" s="50"/>
      <c r="D2520" s="3" t="s">
        <v>4588</v>
      </c>
      <c r="E2520" s="3"/>
      <c r="F2520" s="51"/>
      <c r="G2520" s="50" t="s">
        <v>102</v>
      </c>
      <c r="H2520" s="52">
        <f>1</f>
        <v>1</v>
      </c>
      <c r="I2520" s="36"/>
      <c r="J2520" s="52">
        <v>1</v>
      </c>
      <c r="K2520" s="53">
        <f>0</f>
        <v>0</v>
      </c>
      <c r="L2520" s="53">
        <f>0</f>
        <v>0</v>
      </c>
      <c r="M2520" s="53">
        <f>0</f>
        <v>0</v>
      </c>
      <c r="N2520" s="54">
        <f>SUM(K2520:M2520)</f>
        <v>0</v>
      </c>
      <c r="O2520" s="54">
        <f>ROUND((H2520*K2520),2)</f>
        <v>0</v>
      </c>
      <c r="P2520" s="54">
        <f>ROUND((H2520*L2520),2)</f>
        <v>0</v>
      </c>
      <c r="Q2520" s="54">
        <f>ROUND((H2520*M2520),2)</f>
        <v>0</v>
      </c>
      <c r="R2520" s="54">
        <f>ROUND((H2520*N2520),2)</f>
        <v>0</v>
      </c>
      <c r="S2520" s="54"/>
      <c r="T2520" s="36"/>
      <c r="XDA2520"/>
      <c r="XDB2520"/>
      <c r="XDC2520"/>
      <c r="XDD2520"/>
      <c r="XDE2520"/>
      <c r="XDF2520"/>
      <c r="XDG2520"/>
      <c r="XDH2520"/>
      <c r="XDI2520"/>
      <c r="XDJ2520"/>
      <c r="XDK2520"/>
      <c r="XDL2520"/>
      <c r="XDM2520"/>
      <c r="XDN2520"/>
      <c r="XDO2520"/>
      <c r="XDP2520"/>
      <c r="XDQ2520"/>
      <c r="XDR2520"/>
      <c r="XDS2520"/>
      <c r="XDT2520"/>
      <c r="XDU2520"/>
      <c r="XDV2520"/>
      <c r="XDW2520"/>
      <c r="XDX2520"/>
      <c r="XDY2520"/>
      <c r="XDZ2520"/>
      <c r="XEA2520"/>
      <c r="XEB2520"/>
      <c r="XEC2520"/>
      <c r="XED2520"/>
      <c r="XEE2520"/>
      <c r="XEF2520"/>
      <c r="XEG2520"/>
      <c r="XEH2520"/>
      <c r="XEI2520"/>
      <c r="XEJ2520"/>
      <c r="XEK2520"/>
      <c r="XEL2520"/>
      <c r="XEM2520"/>
      <c r="XEN2520"/>
      <c r="XEO2520"/>
      <c r="XEP2520"/>
      <c r="XEQ2520"/>
      <c r="XER2520"/>
      <c r="XES2520"/>
      <c r="XET2520"/>
      <c r="XEU2520"/>
      <c r="XEV2520"/>
      <c r="XEW2520"/>
      <c r="XEX2520"/>
      <c r="XEY2520"/>
      <c r="XEZ2520"/>
      <c r="XFA2520"/>
      <c r="XFB2520"/>
      <c r="XFC2520"/>
    </row>
    <row r="2521" spans="1:20 16329:16383" s="38" customFormat="1" ht="29.1" customHeight="1" outlineLevel="3" x14ac:dyDescent="0.25">
      <c r="A2521" s="55" t="s">
        <v>4589</v>
      </c>
      <c r="B2521" s="56" t="s">
        <v>4590</v>
      </c>
      <c r="C2521" s="56"/>
      <c r="D2521" s="2" t="s">
        <v>902</v>
      </c>
      <c r="E2521" s="2"/>
      <c r="F2521" s="57"/>
      <c r="G2521" s="56"/>
      <c r="H2521" s="58"/>
      <c r="I2521" s="36"/>
      <c r="J2521" s="58"/>
      <c r="K2521" s="59"/>
      <c r="L2521" s="59"/>
      <c r="M2521" s="59"/>
      <c r="N2521" s="59"/>
      <c r="O2521" s="59">
        <f>O2522+O2525</f>
        <v>0</v>
      </c>
      <c r="P2521" s="59">
        <f>P2522+P2525</f>
        <v>0</v>
      </c>
      <c r="Q2521" s="59">
        <f>Q2522+Q2525</f>
        <v>0</v>
      </c>
      <c r="R2521" s="59">
        <f>R2522+R2525</f>
        <v>0</v>
      </c>
      <c r="S2521" s="59"/>
      <c r="T2521" s="36"/>
      <c r="XDA2521"/>
      <c r="XDB2521"/>
      <c r="XDC2521"/>
      <c r="XDD2521"/>
      <c r="XDE2521"/>
      <c r="XDF2521"/>
      <c r="XDG2521"/>
      <c r="XDH2521"/>
      <c r="XDI2521"/>
      <c r="XDJ2521"/>
      <c r="XDK2521"/>
      <c r="XDL2521"/>
      <c r="XDM2521"/>
      <c r="XDN2521"/>
      <c r="XDO2521"/>
      <c r="XDP2521"/>
      <c r="XDQ2521"/>
      <c r="XDR2521"/>
      <c r="XDS2521"/>
      <c r="XDT2521"/>
      <c r="XDU2521"/>
      <c r="XDV2521"/>
      <c r="XDW2521"/>
      <c r="XDX2521"/>
      <c r="XDY2521"/>
      <c r="XDZ2521"/>
      <c r="XEA2521"/>
      <c r="XEB2521"/>
      <c r="XEC2521"/>
      <c r="XED2521"/>
      <c r="XEE2521"/>
      <c r="XEF2521"/>
      <c r="XEG2521"/>
      <c r="XEH2521"/>
      <c r="XEI2521"/>
      <c r="XEJ2521"/>
      <c r="XEK2521"/>
      <c r="XEL2521"/>
      <c r="XEM2521"/>
      <c r="XEN2521"/>
      <c r="XEO2521"/>
      <c r="XEP2521"/>
      <c r="XEQ2521"/>
      <c r="XER2521"/>
      <c r="XES2521"/>
      <c r="XET2521"/>
      <c r="XEU2521"/>
      <c r="XEV2521"/>
      <c r="XEW2521"/>
      <c r="XEX2521"/>
      <c r="XEY2521"/>
      <c r="XEZ2521"/>
      <c r="XFA2521"/>
      <c r="XFB2521"/>
      <c r="XFC2521"/>
    </row>
    <row r="2522" spans="1:20 16329:16383" s="38" customFormat="1" ht="29.1" customHeight="1" outlineLevel="4" x14ac:dyDescent="0.25">
      <c r="A2522" s="60" t="s">
        <v>4591</v>
      </c>
      <c r="B2522" s="61" t="s">
        <v>4592</v>
      </c>
      <c r="C2522" s="61"/>
      <c r="D2522" s="1" t="s">
        <v>4578</v>
      </c>
      <c r="E2522" s="1"/>
      <c r="F2522" s="62"/>
      <c r="G2522" s="61"/>
      <c r="H2522" s="63"/>
      <c r="I2522" s="36"/>
      <c r="J2522" s="63"/>
      <c r="K2522" s="64"/>
      <c r="L2522" s="64"/>
      <c r="M2522" s="64"/>
      <c r="N2522" s="64"/>
      <c r="O2522" s="64">
        <f>O2523+O2524</f>
        <v>0</v>
      </c>
      <c r="P2522" s="64">
        <f>P2523+P2524</f>
        <v>0</v>
      </c>
      <c r="Q2522" s="64">
        <f>Q2523+Q2524</f>
        <v>0</v>
      </c>
      <c r="R2522" s="64">
        <f>R2523+R2524</f>
        <v>0</v>
      </c>
      <c r="S2522" s="64"/>
      <c r="T2522" s="36"/>
      <c r="XDA2522"/>
      <c r="XDB2522"/>
      <c r="XDC2522"/>
      <c r="XDD2522"/>
      <c r="XDE2522"/>
      <c r="XDF2522"/>
      <c r="XDG2522"/>
      <c r="XDH2522"/>
      <c r="XDI2522"/>
      <c r="XDJ2522"/>
      <c r="XDK2522"/>
      <c r="XDL2522"/>
      <c r="XDM2522"/>
      <c r="XDN2522"/>
      <c r="XDO2522"/>
      <c r="XDP2522"/>
      <c r="XDQ2522"/>
      <c r="XDR2522"/>
      <c r="XDS2522"/>
      <c r="XDT2522"/>
      <c r="XDU2522"/>
      <c r="XDV2522"/>
      <c r="XDW2522"/>
      <c r="XDX2522"/>
      <c r="XDY2522"/>
      <c r="XDZ2522"/>
      <c r="XEA2522"/>
      <c r="XEB2522"/>
      <c r="XEC2522"/>
      <c r="XED2522"/>
      <c r="XEE2522"/>
      <c r="XEF2522"/>
      <c r="XEG2522"/>
      <c r="XEH2522"/>
      <c r="XEI2522"/>
      <c r="XEJ2522"/>
      <c r="XEK2522"/>
      <c r="XEL2522"/>
      <c r="XEM2522"/>
      <c r="XEN2522"/>
      <c r="XEO2522"/>
      <c r="XEP2522"/>
      <c r="XEQ2522"/>
      <c r="XER2522"/>
      <c r="XES2522"/>
      <c r="XET2522"/>
      <c r="XEU2522"/>
      <c r="XEV2522"/>
      <c r="XEW2522"/>
      <c r="XEX2522"/>
      <c r="XEY2522"/>
      <c r="XEZ2522"/>
      <c r="XFA2522"/>
      <c r="XFB2522"/>
      <c r="XFC2522"/>
    </row>
    <row r="2523" spans="1:20 16329:16383" s="38" customFormat="1" ht="29.1" customHeight="1" outlineLevel="5" x14ac:dyDescent="0.25">
      <c r="A2523" s="49" t="s">
        <v>4593</v>
      </c>
      <c r="B2523" s="50"/>
      <c r="C2523" s="50"/>
      <c r="D2523" s="3" t="s">
        <v>4580</v>
      </c>
      <c r="E2523" s="3"/>
      <c r="F2523" s="51" t="s">
        <v>4581</v>
      </c>
      <c r="G2523" s="50" t="s">
        <v>194</v>
      </c>
      <c r="H2523" s="52">
        <f>1</f>
        <v>1</v>
      </c>
      <c r="I2523" s="36"/>
      <c r="J2523" s="52">
        <v>1</v>
      </c>
      <c r="K2523" s="53">
        <f>0</f>
        <v>0</v>
      </c>
      <c r="L2523" s="53">
        <f>0</f>
        <v>0</v>
      </c>
      <c r="M2523" s="53">
        <f>0</f>
        <v>0</v>
      </c>
      <c r="N2523" s="54">
        <f>SUM(K2523:M2523)</f>
        <v>0</v>
      </c>
      <c r="O2523" s="54">
        <f>ROUND((H2523*K2523),2)</f>
        <v>0</v>
      </c>
      <c r="P2523" s="54">
        <f>ROUND((H2523*L2523),2)</f>
        <v>0</v>
      </c>
      <c r="Q2523" s="54">
        <f>ROUND((H2523*M2523),2)</f>
        <v>0</v>
      </c>
      <c r="R2523" s="54">
        <f>ROUND((H2523*N2523),2)</f>
        <v>0</v>
      </c>
      <c r="S2523" s="54"/>
      <c r="T2523" s="36"/>
      <c r="XDA2523"/>
      <c r="XDB2523"/>
      <c r="XDC2523"/>
      <c r="XDD2523"/>
      <c r="XDE2523"/>
      <c r="XDF2523"/>
      <c r="XDG2523"/>
      <c r="XDH2523"/>
      <c r="XDI2523"/>
      <c r="XDJ2523"/>
      <c r="XDK2523"/>
      <c r="XDL2523"/>
      <c r="XDM2523"/>
      <c r="XDN2523"/>
      <c r="XDO2523"/>
      <c r="XDP2523"/>
      <c r="XDQ2523"/>
      <c r="XDR2523"/>
      <c r="XDS2523"/>
      <c r="XDT2523"/>
      <c r="XDU2523"/>
      <c r="XDV2523"/>
      <c r="XDW2523"/>
      <c r="XDX2523"/>
      <c r="XDY2523"/>
      <c r="XDZ2523"/>
      <c r="XEA2523"/>
      <c r="XEB2523"/>
      <c r="XEC2523"/>
      <c r="XED2523"/>
      <c r="XEE2523"/>
      <c r="XEF2523"/>
      <c r="XEG2523"/>
      <c r="XEH2523"/>
      <c r="XEI2523"/>
      <c r="XEJ2523"/>
      <c r="XEK2523"/>
      <c r="XEL2523"/>
      <c r="XEM2523"/>
      <c r="XEN2523"/>
      <c r="XEO2523"/>
      <c r="XEP2523"/>
      <c r="XEQ2523"/>
      <c r="XER2523"/>
      <c r="XES2523"/>
      <c r="XET2523"/>
      <c r="XEU2523"/>
      <c r="XEV2523"/>
      <c r="XEW2523"/>
      <c r="XEX2523"/>
      <c r="XEY2523"/>
      <c r="XEZ2523"/>
      <c r="XFA2523"/>
      <c r="XFB2523"/>
      <c r="XFC2523"/>
    </row>
    <row r="2524" spans="1:20 16329:16383" s="38" customFormat="1" ht="29.1" customHeight="1" outlineLevel="5" x14ac:dyDescent="0.25">
      <c r="A2524" s="49" t="s">
        <v>4594</v>
      </c>
      <c r="B2524" s="50"/>
      <c r="C2524" s="50"/>
      <c r="D2524" s="3" t="s">
        <v>4583</v>
      </c>
      <c r="E2524" s="3"/>
      <c r="F2524" s="51" t="s">
        <v>4581</v>
      </c>
      <c r="G2524" s="50" t="s">
        <v>194</v>
      </c>
      <c r="H2524" s="52">
        <f>1</f>
        <v>1</v>
      </c>
      <c r="I2524" s="36"/>
      <c r="J2524" s="52">
        <v>1</v>
      </c>
      <c r="K2524" s="53">
        <f>0</f>
        <v>0</v>
      </c>
      <c r="L2524" s="53">
        <f>0</f>
        <v>0</v>
      </c>
      <c r="M2524" s="53">
        <f>0</f>
        <v>0</v>
      </c>
      <c r="N2524" s="54">
        <f>SUM(K2524:M2524)</f>
        <v>0</v>
      </c>
      <c r="O2524" s="54">
        <f>ROUND((H2524*K2524),2)</f>
        <v>0</v>
      </c>
      <c r="P2524" s="54">
        <f>ROUND((H2524*L2524),2)</f>
        <v>0</v>
      </c>
      <c r="Q2524" s="54">
        <f>ROUND((H2524*M2524),2)</f>
        <v>0</v>
      </c>
      <c r="R2524" s="54">
        <f>ROUND((H2524*N2524),2)</f>
        <v>0</v>
      </c>
      <c r="S2524" s="54"/>
      <c r="T2524" s="36"/>
      <c r="XDA2524"/>
      <c r="XDB2524"/>
      <c r="XDC2524"/>
      <c r="XDD2524"/>
      <c r="XDE2524"/>
      <c r="XDF2524"/>
      <c r="XDG2524"/>
      <c r="XDH2524"/>
      <c r="XDI2524"/>
      <c r="XDJ2524"/>
      <c r="XDK2524"/>
      <c r="XDL2524"/>
      <c r="XDM2524"/>
      <c r="XDN2524"/>
      <c r="XDO2524"/>
      <c r="XDP2524"/>
      <c r="XDQ2524"/>
      <c r="XDR2524"/>
      <c r="XDS2524"/>
      <c r="XDT2524"/>
      <c r="XDU2524"/>
      <c r="XDV2524"/>
      <c r="XDW2524"/>
      <c r="XDX2524"/>
      <c r="XDY2524"/>
      <c r="XDZ2524"/>
      <c r="XEA2524"/>
      <c r="XEB2524"/>
      <c r="XEC2524"/>
      <c r="XED2524"/>
      <c r="XEE2524"/>
      <c r="XEF2524"/>
      <c r="XEG2524"/>
      <c r="XEH2524"/>
      <c r="XEI2524"/>
      <c r="XEJ2524"/>
      <c r="XEK2524"/>
      <c r="XEL2524"/>
      <c r="XEM2524"/>
      <c r="XEN2524"/>
      <c r="XEO2524"/>
      <c r="XEP2524"/>
      <c r="XEQ2524"/>
      <c r="XER2524"/>
      <c r="XES2524"/>
      <c r="XET2524"/>
      <c r="XEU2524"/>
      <c r="XEV2524"/>
      <c r="XEW2524"/>
      <c r="XEX2524"/>
      <c r="XEY2524"/>
      <c r="XEZ2524"/>
      <c r="XFA2524"/>
      <c r="XFB2524"/>
      <c r="XFC2524"/>
    </row>
    <row r="2525" spans="1:20 16329:16383" s="38" customFormat="1" ht="29.1" customHeight="1" outlineLevel="4" x14ac:dyDescent="0.25">
      <c r="A2525" s="60" t="s">
        <v>4595</v>
      </c>
      <c r="B2525" s="61" t="s">
        <v>4596</v>
      </c>
      <c r="C2525" s="61"/>
      <c r="D2525" s="1" t="s">
        <v>4586</v>
      </c>
      <c r="E2525" s="1"/>
      <c r="F2525" s="62"/>
      <c r="G2525" s="61"/>
      <c r="H2525" s="63"/>
      <c r="I2525" s="36"/>
      <c r="J2525" s="63"/>
      <c r="K2525" s="64"/>
      <c r="L2525" s="64"/>
      <c r="M2525" s="64"/>
      <c r="N2525" s="64"/>
      <c r="O2525" s="64">
        <f>O2526</f>
        <v>0</v>
      </c>
      <c r="P2525" s="64">
        <f>P2526</f>
        <v>0</v>
      </c>
      <c r="Q2525" s="64">
        <f>Q2526</f>
        <v>0</v>
      </c>
      <c r="R2525" s="64">
        <f>R2526</f>
        <v>0</v>
      </c>
      <c r="S2525" s="64"/>
      <c r="T2525" s="36"/>
      <c r="XDA2525"/>
      <c r="XDB2525"/>
      <c r="XDC2525"/>
      <c r="XDD2525"/>
      <c r="XDE2525"/>
      <c r="XDF2525"/>
      <c r="XDG2525"/>
      <c r="XDH2525"/>
      <c r="XDI2525"/>
      <c r="XDJ2525"/>
      <c r="XDK2525"/>
      <c r="XDL2525"/>
      <c r="XDM2525"/>
      <c r="XDN2525"/>
      <c r="XDO2525"/>
      <c r="XDP2525"/>
      <c r="XDQ2525"/>
      <c r="XDR2525"/>
      <c r="XDS2525"/>
      <c r="XDT2525"/>
      <c r="XDU2525"/>
      <c r="XDV2525"/>
      <c r="XDW2525"/>
      <c r="XDX2525"/>
      <c r="XDY2525"/>
      <c r="XDZ2525"/>
      <c r="XEA2525"/>
      <c r="XEB2525"/>
      <c r="XEC2525"/>
      <c r="XED2525"/>
      <c r="XEE2525"/>
      <c r="XEF2525"/>
      <c r="XEG2525"/>
      <c r="XEH2525"/>
      <c r="XEI2525"/>
      <c r="XEJ2525"/>
      <c r="XEK2525"/>
      <c r="XEL2525"/>
      <c r="XEM2525"/>
      <c r="XEN2525"/>
      <c r="XEO2525"/>
      <c r="XEP2525"/>
      <c r="XEQ2525"/>
      <c r="XER2525"/>
      <c r="XES2525"/>
      <c r="XET2525"/>
      <c r="XEU2525"/>
      <c r="XEV2525"/>
      <c r="XEW2525"/>
      <c r="XEX2525"/>
      <c r="XEY2525"/>
      <c r="XEZ2525"/>
      <c r="XFA2525"/>
      <c r="XFB2525"/>
      <c r="XFC2525"/>
    </row>
    <row r="2526" spans="1:20 16329:16383" s="38" customFormat="1" ht="29.1" customHeight="1" outlineLevel="5" x14ac:dyDescent="0.25">
      <c r="A2526" s="49" t="s">
        <v>4597</v>
      </c>
      <c r="B2526" s="50"/>
      <c r="C2526" s="50"/>
      <c r="D2526" s="3" t="s">
        <v>4588</v>
      </c>
      <c r="E2526" s="3"/>
      <c r="F2526" s="51"/>
      <c r="G2526" s="50" t="s">
        <v>102</v>
      </c>
      <c r="H2526" s="52">
        <f>1</f>
        <v>1</v>
      </c>
      <c r="I2526" s="36"/>
      <c r="J2526" s="52">
        <v>1</v>
      </c>
      <c r="K2526" s="53">
        <f>0</f>
        <v>0</v>
      </c>
      <c r="L2526" s="53">
        <f>0</f>
        <v>0</v>
      </c>
      <c r="M2526" s="53">
        <f>0</f>
        <v>0</v>
      </c>
      <c r="N2526" s="54">
        <f>SUM(K2526:M2526)</f>
        <v>0</v>
      </c>
      <c r="O2526" s="54">
        <f>ROUND((H2526*K2526),2)</f>
        <v>0</v>
      </c>
      <c r="P2526" s="54">
        <f>ROUND((H2526*L2526),2)</f>
        <v>0</v>
      </c>
      <c r="Q2526" s="54">
        <f>ROUND((H2526*M2526),2)</f>
        <v>0</v>
      </c>
      <c r="R2526" s="54">
        <f>ROUND((H2526*N2526),2)</f>
        <v>0</v>
      </c>
      <c r="S2526" s="54"/>
      <c r="T2526" s="36"/>
      <c r="XDA2526"/>
      <c r="XDB2526"/>
      <c r="XDC2526"/>
      <c r="XDD2526"/>
      <c r="XDE2526"/>
      <c r="XDF2526"/>
      <c r="XDG2526"/>
      <c r="XDH2526"/>
      <c r="XDI2526"/>
      <c r="XDJ2526"/>
      <c r="XDK2526"/>
      <c r="XDL2526"/>
      <c r="XDM2526"/>
      <c r="XDN2526"/>
      <c r="XDO2526"/>
      <c r="XDP2526"/>
      <c r="XDQ2526"/>
      <c r="XDR2526"/>
      <c r="XDS2526"/>
      <c r="XDT2526"/>
      <c r="XDU2526"/>
      <c r="XDV2526"/>
      <c r="XDW2526"/>
      <c r="XDX2526"/>
      <c r="XDY2526"/>
      <c r="XDZ2526"/>
      <c r="XEA2526"/>
      <c r="XEB2526"/>
      <c r="XEC2526"/>
      <c r="XED2526"/>
      <c r="XEE2526"/>
      <c r="XEF2526"/>
      <c r="XEG2526"/>
      <c r="XEH2526"/>
      <c r="XEI2526"/>
      <c r="XEJ2526"/>
      <c r="XEK2526"/>
      <c r="XEL2526"/>
      <c r="XEM2526"/>
      <c r="XEN2526"/>
      <c r="XEO2526"/>
      <c r="XEP2526"/>
      <c r="XEQ2526"/>
      <c r="XER2526"/>
      <c r="XES2526"/>
      <c r="XET2526"/>
      <c r="XEU2526"/>
      <c r="XEV2526"/>
      <c r="XEW2526"/>
      <c r="XEX2526"/>
      <c r="XEY2526"/>
      <c r="XEZ2526"/>
      <c r="XFA2526"/>
      <c r="XFB2526"/>
      <c r="XFC2526"/>
    </row>
    <row r="2527" spans="1:20 16329:16383" s="38" customFormat="1" ht="29.1" customHeight="1" outlineLevel="3" x14ac:dyDescent="0.25">
      <c r="A2527" s="55" t="s">
        <v>4598</v>
      </c>
      <c r="B2527" s="56" t="s">
        <v>4599</v>
      </c>
      <c r="C2527" s="56"/>
      <c r="D2527" s="2" t="s">
        <v>919</v>
      </c>
      <c r="E2527" s="2"/>
      <c r="F2527" s="57"/>
      <c r="G2527" s="56"/>
      <c r="H2527" s="58"/>
      <c r="I2527" s="36"/>
      <c r="J2527" s="58"/>
      <c r="K2527" s="59"/>
      <c r="L2527" s="59"/>
      <c r="M2527" s="59"/>
      <c r="N2527" s="59"/>
      <c r="O2527" s="59">
        <f>O2528+O2531</f>
        <v>0</v>
      </c>
      <c r="P2527" s="59">
        <f>P2528+P2531</f>
        <v>0</v>
      </c>
      <c r="Q2527" s="59">
        <f>Q2528+Q2531</f>
        <v>0</v>
      </c>
      <c r="R2527" s="59">
        <f>R2528+R2531</f>
        <v>0</v>
      </c>
      <c r="S2527" s="59"/>
      <c r="T2527" s="36"/>
      <c r="XDA2527"/>
      <c r="XDB2527"/>
      <c r="XDC2527"/>
      <c r="XDD2527"/>
      <c r="XDE2527"/>
      <c r="XDF2527"/>
      <c r="XDG2527"/>
      <c r="XDH2527"/>
      <c r="XDI2527"/>
      <c r="XDJ2527"/>
      <c r="XDK2527"/>
      <c r="XDL2527"/>
      <c r="XDM2527"/>
      <c r="XDN2527"/>
      <c r="XDO2527"/>
      <c r="XDP2527"/>
      <c r="XDQ2527"/>
      <c r="XDR2527"/>
      <c r="XDS2527"/>
      <c r="XDT2527"/>
      <c r="XDU2527"/>
      <c r="XDV2527"/>
      <c r="XDW2527"/>
      <c r="XDX2527"/>
      <c r="XDY2527"/>
      <c r="XDZ2527"/>
      <c r="XEA2527"/>
      <c r="XEB2527"/>
      <c r="XEC2527"/>
      <c r="XED2527"/>
      <c r="XEE2527"/>
      <c r="XEF2527"/>
      <c r="XEG2527"/>
      <c r="XEH2527"/>
      <c r="XEI2527"/>
      <c r="XEJ2527"/>
      <c r="XEK2527"/>
      <c r="XEL2527"/>
      <c r="XEM2527"/>
      <c r="XEN2527"/>
      <c r="XEO2527"/>
      <c r="XEP2527"/>
      <c r="XEQ2527"/>
      <c r="XER2527"/>
      <c r="XES2527"/>
      <c r="XET2527"/>
      <c r="XEU2527"/>
      <c r="XEV2527"/>
      <c r="XEW2527"/>
      <c r="XEX2527"/>
      <c r="XEY2527"/>
      <c r="XEZ2527"/>
      <c r="XFA2527"/>
      <c r="XFB2527"/>
      <c r="XFC2527"/>
    </row>
    <row r="2528" spans="1:20 16329:16383" s="38" customFormat="1" ht="29.1" customHeight="1" outlineLevel="4" x14ac:dyDescent="0.25">
      <c r="A2528" s="60" t="s">
        <v>4600</v>
      </c>
      <c r="B2528" s="61" t="s">
        <v>4601</v>
      </c>
      <c r="C2528" s="61"/>
      <c r="D2528" s="1" t="s">
        <v>4578</v>
      </c>
      <c r="E2528" s="1"/>
      <c r="F2528" s="62"/>
      <c r="G2528" s="61"/>
      <c r="H2528" s="63"/>
      <c r="I2528" s="36"/>
      <c r="J2528" s="63"/>
      <c r="K2528" s="64"/>
      <c r="L2528" s="64"/>
      <c r="M2528" s="64"/>
      <c r="N2528" s="64"/>
      <c r="O2528" s="64">
        <f>O2529+O2530</f>
        <v>0</v>
      </c>
      <c r="P2528" s="64">
        <f>P2529+P2530</f>
        <v>0</v>
      </c>
      <c r="Q2528" s="64">
        <f>Q2529+Q2530</f>
        <v>0</v>
      </c>
      <c r="R2528" s="64">
        <f>R2529+R2530</f>
        <v>0</v>
      </c>
      <c r="S2528" s="64"/>
      <c r="T2528" s="36"/>
      <c r="XDA2528"/>
      <c r="XDB2528"/>
      <c r="XDC2528"/>
      <c r="XDD2528"/>
      <c r="XDE2528"/>
      <c r="XDF2528"/>
      <c r="XDG2528"/>
      <c r="XDH2528"/>
      <c r="XDI2528"/>
      <c r="XDJ2528"/>
      <c r="XDK2528"/>
      <c r="XDL2528"/>
      <c r="XDM2528"/>
      <c r="XDN2528"/>
      <c r="XDO2528"/>
      <c r="XDP2528"/>
      <c r="XDQ2528"/>
      <c r="XDR2528"/>
      <c r="XDS2528"/>
      <c r="XDT2528"/>
      <c r="XDU2528"/>
      <c r="XDV2528"/>
      <c r="XDW2528"/>
      <c r="XDX2528"/>
      <c r="XDY2528"/>
      <c r="XDZ2528"/>
      <c r="XEA2528"/>
      <c r="XEB2528"/>
      <c r="XEC2528"/>
      <c r="XED2528"/>
      <c r="XEE2528"/>
      <c r="XEF2528"/>
      <c r="XEG2528"/>
      <c r="XEH2528"/>
      <c r="XEI2528"/>
      <c r="XEJ2528"/>
      <c r="XEK2528"/>
      <c r="XEL2528"/>
      <c r="XEM2528"/>
      <c r="XEN2528"/>
      <c r="XEO2528"/>
      <c r="XEP2528"/>
      <c r="XEQ2528"/>
      <c r="XER2528"/>
      <c r="XES2528"/>
      <c r="XET2528"/>
      <c r="XEU2528"/>
      <c r="XEV2528"/>
      <c r="XEW2528"/>
      <c r="XEX2528"/>
      <c r="XEY2528"/>
      <c r="XEZ2528"/>
      <c r="XFA2528"/>
      <c r="XFB2528"/>
      <c r="XFC2528"/>
    </row>
    <row r="2529" spans="1:20 16329:16383" s="38" customFormat="1" ht="29.1" customHeight="1" outlineLevel="5" x14ac:dyDescent="0.25">
      <c r="A2529" s="49" t="s">
        <v>4602</v>
      </c>
      <c r="B2529" s="50"/>
      <c r="C2529" s="50"/>
      <c r="D2529" s="3" t="s">
        <v>4580</v>
      </c>
      <c r="E2529" s="3"/>
      <c r="F2529" s="51" t="s">
        <v>4581</v>
      </c>
      <c r="G2529" s="50" t="s">
        <v>194</v>
      </c>
      <c r="H2529" s="52">
        <f>1</f>
        <v>1</v>
      </c>
      <c r="I2529" s="36"/>
      <c r="J2529" s="52">
        <v>1</v>
      </c>
      <c r="K2529" s="53">
        <f>0</f>
        <v>0</v>
      </c>
      <c r="L2529" s="53">
        <f>0</f>
        <v>0</v>
      </c>
      <c r="M2529" s="53">
        <f>0</f>
        <v>0</v>
      </c>
      <c r="N2529" s="54">
        <f>SUM(K2529:M2529)</f>
        <v>0</v>
      </c>
      <c r="O2529" s="54">
        <f>ROUND((H2529*K2529),2)</f>
        <v>0</v>
      </c>
      <c r="P2529" s="54">
        <f>ROUND((H2529*L2529),2)</f>
        <v>0</v>
      </c>
      <c r="Q2529" s="54">
        <f>ROUND((H2529*M2529),2)</f>
        <v>0</v>
      </c>
      <c r="R2529" s="54">
        <f>ROUND((H2529*N2529),2)</f>
        <v>0</v>
      </c>
      <c r="S2529" s="54"/>
      <c r="T2529" s="36"/>
      <c r="XDA2529"/>
      <c r="XDB2529"/>
      <c r="XDC2529"/>
      <c r="XDD2529"/>
      <c r="XDE2529"/>
      <c r="XDF2529"/>
      <c r="XDG2529"/>
      <c r="XDH2529"/>
      <c r="XDI2529"/>
      <c r="XDJ2529"/>
      <c r="XDK2529"/>
      <c r="XDL2529"/>
      <c r="XDM2529"/>
      <c r="XDN2529"/>
      <c r="XDO2529"/>
      <c r="XDP2529"/>
      <c r="XDQ2529"/>
      <c r="XDR2529"/>
      <c r="XDS2529"/>
      <c r="XDT2529"/>
      <c r="XDU2529"/>
      <c r="XDV2529"/>
      <c r="XDW2529"/>
      <c r="XDX2529"/>
      <c r="XDY2529"/>
      <c r="XDZ2529"/>
      <c r="XEA2529"/>
      <c r="XEB2529"/>
      <c r="XEC2529"/>
      <c r="XED2529"/>
      <c r="XEE2529"/>
      <c r="XEF2529"/>
      <c r="XEG2529"/>
      <c r="XEH2529"/>
      <c r="XEI2529"/>
      <c r="XEJ2529"/>
      <c r="XEK2529"/>
      <c r="XEL2529"/>
      <c r="XEM2529"/>
      <c r="XEN2529"/>
      <c r="XEO2529"/>
      <c r="XEP2529"/>
      <c r="XEQ2529"/>
      <c r="XER2529"/>
      <c r="XES2529"/>
      <c r="XET2529"/>
      <c r="XEU2529"/>
      <c r="XEV2529"/>
      <c r="XEW2529"/>
      <c r="XEX2529"/>
      <c r="XEY2529"/>
      <c r="XEZ2529"/>
      <c r="XFA2529"/>
      <c r="XFB2529"/>
      <c r="XFC2529"/>
    </row>
    <row r="2530" spans="1:20 16329:16383" s="38" customFormat="1" ht="29.1" customHeight="1" outlineLevel="5" x14ac:dyDescent="0.25">
      <c r="A2530" s="49" t="s">
        <v>4603</v>
      </c>
      <c r="B2530" s="50"/>
      <c r="C2530" s="50"/>
      <c r="D2530" s="3" t="s">
        <v>4583</v>
      </c>
      <c r="E2530" s="3"/>
      <c r="F2530" s="51" t="s">
        <v>4581</v>
      </c>
      <c r="G2530" s="50" t="s">
        <v>194</v>
      </c>
      <c r="H2530" s="52">
        <f>1</f>
        <v>1</v>
      </c>
      <c r="I2530" s="36"/>
      <c r="J2530" s="52">
        <v>1</v>
      </c>
      <c r="K2530" s="53">
        <f>0</f>
        <v>0</v>
      </c>
      <c r="L2530" s="53">
        <f>0</f>
        <v>0</v>
      </c>
      <c r="M2530" s="53">
        <f>0</f>
        <v>0</v>
      </c>
      <c r="N2530" s="54">
        <f>SUM(K2530:M2530)</f>
        <v>0</v>
      </c>
      <c r="O2530" s="54">
        <f>ROUND((H2530*K2530),2)</f>
        <v>0</v>
      </c>
      <c r="P2530" s="54">
        <f>ROUND((H2530*L2530),2)</f>
        <v>0</v>
      </c>
      <c r="Q2530" s="54">
        <f>ROUND((H2530*M2530),2)</f>
        <v>0</v>
      </c>
      <c r="R2530" s="54">
        <f>ROUND((H2530*N2530),2)</f>
        <v>0</v>
      </c>
      <c r="S2530" s="54"/>
      <c r="T2530" s="36"/>
      <c r="XDA2530"/>
      <c r="XDB2530"/>
      <c r="XDC2530"/>
      <c r="XDD2530"/>
      <c r="XDE2530"/>
      <c r="XDF2530"/>
      <c r="XDG2530"/>
      <c r="XDH2530"/>
      <c r="XDI2530"/>
      <c r="XDJ2530"/>
      <c r="XDK2530"/>
      <c r="XDL2530"/>
      <c r="XDM2530"/>
      <c r="XDN2530"/>
      <c r="XDO2530"/>
      <c r="XDP2530"/>
      <c r="XDQ2530"/>
      <c r="XDR2530"/>
      <c r="XDS2530"/>
      <c r="XDT2530"/>
      <c r="XDU2530"/>
      <c r="XDV2530"/>
      <c r="XDW2530"/>
      <c r="XDX2530"/>
      <c r="XDY2530"/>
      <c r="XDZ2530"/>
      <c r="XEA2530"/>
      <c r="XEB2530"/>
      <c r="XEC2530"/>
      <c r="XED2530"/>
      <c r="XEE2530"/>
      <c r="XEF2530"/>
      <c r="XEG2530"/>
      <c r="XEH2530"/>
      <c r="XEI2530"/>
      <c r="XEJ2530"/>
      <c r="XEK2530"/>
      <c r="XEL2530"/>
      <c r="XEM2530"/>
      <c r="XEN2530"/>
      <c r="XEO2530"/>
      <c r="XEP2530"/>
      <c r="XEQ2530"/>
      <c r="XER2530"/>
      <c r="XES2530"/>
      <c r="XET2530"/>
      <c r="XEU2530"/>
      <c r="XEV2530"/>
      <c r="XEW2530"/>
      <c r="XEX2530"/>
      <c r="XEY2530"/>
      <c r="XEZ2530"/>
      <c r="XFA2530"/>
      <c r="XFB2530"/>
      <c r="XFC2530"/>
    </row>
    <row r="2531" spans="1:20 16329:16383" s="38" customFormat="1" ht="29.1" customHeight="1" outlineLevel="4" x14ac:dyDescent="0.25">
      <c r="A2531" s="60" t="s">
        <v>4604</v>
      </c>
      <c r="B2531" s="61" t="s">
        <v>4605</v>
      </c>
      <c r="C2531" s="61"/>
      <c r="D2531" s="1" t="s">
        <v>4586</v>
      </c>
      <c r="E2531" s="1"/>
      <c r="F2531" s="62"/>
      <c r="G2531" s="61"/>
      <c r="H2531" s="63"/>
      <c r="I2531" s="36"/>
      <c r="J2531" s="63"/>
      <c r="K2531" s="64"/>
      <c r="L2531" s="64"/>
      <c r="M2531" s="64"/>
      <c r="N2531" s="64"/>
      <c r="O2531" s="64">
        <f>O2532</f>
        <v>0</v>
      </c>
      <c r="P2531" s="64">
        <f>P2532</f>
        <v>0</v>
      </c>
      <c r="Q2531" s="64">
        <f>Q2532</f>
        <v>0</v>
      </c>
      <c r="R2531" s="64">
        <f>R2532</f>
        <v>0</v>
      </c>
      <c r="S2531" s="64"/>
      <c r="T2531" s="36"/>
      <c r="XDA2531"/>
      <c r="XDB2531"/>
      <c r="XDC2531"/>
      <c r="XDD2531"/>
      <c r="XDE2531"/>
      <c r="XDF2531"/>
      <c r="XDG2531"/>
      <c r="XDH2531"/>
      <c r="XDI2531"/>
      <c r="XDJ2531"/>
      <c r="XDK2531"/>
      <c r="XDL2531"/>
      <c r="XDM2531"/>
      <c r="XDN2531"/>
      <c r="XDO2531"/>
      <c r="XDP2531"/>
      <c r="XDQ2531"/>
      <c r="XDR2531"/>
      <c r="XDS2531"/>
      <c r="XDT2531"/>
      <c r="XDU2531"/>
      <c r="XDV2531"/>
      <c r="XDW2531"/>
      <c r="XDX2531"/>
      <c r="XDY2531"/>
      <c r="XDZ2531"/>
      <c r="XEA2531"/>
      <c r="XEB2531"/>
      <c r="XEC2531"/>
      <c r="XED2531"/>
      <c r="XEE2531"/>
      <c r="XEF2531"/>
      <c r="XEG2531"/>
      <c r="XEH2531"/>
      <c r="XEI2531"/>
      <c r="XEJ2531"/>
      <c r="XEK2531"/>
      <c r="XEL2531"/>
      <c r="XEM2531"/>
      <c r="XEN2531"/>
      <c r="XEO2531"/>
      <c r="XEP2531"/>
      <c r="XEQ2531"/>
      <c r="XER2531"/>
      <c r="XES2531"/>
      <c r="XET2531"/>
      <c r="XEU2531"/>
      <c r="XEV2531"/>
      <c r="XEW2531"/>
      <c r="XEX2531"/>
      <c r="XEY2531"/>
      <c r="XEZ2531"/>
      <c r="XFA2531"/>
      <c r="XFB2531"/>
      <c r="XFC2531"/>
    </row>
    <row r="2532" spans="1:20 16329:16383" s="38" customFormat="1" ht="29.1" customHeight="1" outlineLevel="5" x14ac:dyDescent="0.25">
      <c r="A2532" s="49" t="s">
        <v>4606</v>
      </c>
      <c r="B2532" s="50"/>
      <c r="C2532" s="50"/>
      <c r="D2532" s="3" t="s">
        <v>4588</v>
      </c>
      <c r="E2532" s="3"/>
      <c r="F2532" s="51"/>
      <c r="G2532" s="50" t="s">
        <v>102</v>
      </c>
      <c r="H2532" s="52">
        <f>1</f>
        <v>1</v>
      </c>
      <c r="I2532" s="36"/>
      <c r="J2532" s="52">
        <v>1</v>
      </c>
      <c r="K2532" s="53">
        <f>0</f>
        <v>0</v>
      </c>
      <c r="L2532" s="53">
        <f>0</f>
        <v>0</v>
      </c>
      <c r="M2532" s="53">
        <f>0</f>
        <v>0</v>
      </c>
      <c r="N2532" s="54">
        <f>SUM(K2532:M2532)</f>
        <v>0</v>
      </c>
      <c r="O2532" s="54">
        <f>ROUND((H2532*K2532),2)</f>
        <v>0</v>
      </c>
      <c r="P2532" s="54">
        <f>ROUND((H2532*L2532),2)</f>
        <v>0</v>
      </c>
      <c r="Q2532" s="54">
        <f>ROUND((H2532*M2532),2)</f>
        <v>0</v>
      </c>
      <c r="R2532" s="54">
        <f>ROUND((H2532*N2532),2)</f>
        <v>0</v>
      </c>
      <c r="S2532" s="54"/>
      <c r="T2532" s="36"/>
      <c r="XDA2532"/>
      <c r="XDB2532"/>
      <c r="XDC2532"/>
      <c r="XDD2532"/>
      <c r="XDE2532"/>
      <c r="XDF2532"/>
      <c r="XDG2532"/>
      <c r="XDH2532"/>
      <c r="XDI2532"/>
      <c r="XDJ2532"/>
      <c r="XDK2532"/>
      <c r="XDL2532"/>
      <c r="XDM2532"/>
      <c r="XDN2532"/>
      <c r="XDO2532"/>
      <c r="XDP2532"/>
      <c r="XDQ2532"/>
      <c r="XDR2532"/>
      <c r="XDS2532"/>
      <c r="XDT2532"/>
      <c r="XDU2532"/>
      <c r="XDV2532"/>
      <c r="XDW2532"/>
      <c r="XDX2532"/>
      <c r="XDY2532"/>
      <c r="XDZ2532"/>
      <c r="XEA2532"/>
      <c r="XEB2532"/>
      <c r="XEC2532"/>
      <c r="XED2532"/>
      <c r="XEE2532"/>
      <c r="XEF2532"/>
      <c r="XEG2532"/>
      <c r="XEH2532"/>
      <c r="XEI2532"/>
      <c r="XEJ2532"/>
      <c r="XEK2532"/>
      <c r="XEL2532"/>
      <c r="XEM2532"/>
      <c r="XEN2532"/>
      <c r="XEO2532"/>
      <c r="XEP2532"/>
      <c r="XEQ2532"/>
      <c r="XER2532"/>
      <c r="XES2532"/>
      <c r="XET2532"/>
      <c r="XEU2532"/>
      <c r="XEV2532"/>
      <c r="XEW2532"/>
      <c r="XEX2532"/>
      <c r="XEY2532"/>
      <c r="XEZ2532"/>
      <c r="XFA2532"/>
      <c r="XFB2532"/>
      <c r="XFC2532"/>
    </row>
    <row r="2533" spans="1:20 16329:16383" s="38" customFormat="1" ht="29.1" customHeight="1" outlineLevel="3" x14ac:dyDescent="0.25">
      <c r="A2533" s="55" t="s">
        <v>4607</v>
      </c>
      <c r="B2533" s="56" t="s">
        <v>4608</v>
      </c>
      <c r="C2533" s="56"/>
      <c r="D2533" s="2" t="s">
        <v>956</v>
      </c>
      <c r="E2533" s="2"/>
      <c r="F2533" s="57"/>
      <c r="G2533" s="56"/>
      <c r="H2533" s="58"/>
      <c r="I2533" s="36"/>
      <c r="J2533" s="58"/>
      <c r="K2533" s="59"/>
      <c r="L2533" s="59"/>
      <c r="M2533" s="59"/>
      <c r="N2533" s="59"/>
      <c r="O2533" s="59">
        <f>O2534+O2537</f>
        <v>0</v>
      </c>
      <c r="P2533" s="59">
        <f>P2534+P2537</f>
        <v>0</v>
      </c>
      <c r="Q2533" s="59">
        <f>Q2534+Q2537</f>
        <v>0</v>
      </c>
      <c r="R2533" s="59">
        <f>R2534+R2537</f>
        <v>0</v>
      </c>
      <c r="S2533" s="59"/>
      <c r="T2533" s="36"/>
      <c r="XDA2533"/>
      <c r="XDB2533"/>
      <c r="XDC2533"/>
      <c r="XDD2533"/>
      <c r="XDE2533"/>
      <c r="XDF2533"/>
      <c r="XDG2533"/>
      <c r="XDH2533"/>
      <c r="XDI2533"/>
      <c r="XDJ2533"/>
      <c r="XDK2533"/>
      <c r="XDL2533"/>
      <c r="XDM2533"/>
      <c r="XDN2533"/>
      <c r="XDO2533"/>
      <c r="XDP2533"/>
      <c r="XDQ2533"/>
      <c r="XDR2533"/>
      <c r="XDS2533"/>
      <c r="XDT2533"/>
      <c r="XDU2533"/>
      <c r="XDV2533"/>
      <c r="XDW2533"/>
      <c r="XDX2533"/>
      <c r="XDY2533"/>
      <c r="XDZ2533"/>
      <c r="XEA2533"/>
      <c r="XEB2533"/>
      <c r="XEC2533"/>
      <c r="XED2533"/>
      <c r="XEE2533"/>
      <c r="XEF2533"/>
      <c r="XEG2533"/>
      <c r="XEH2533"/>
      <c r="XEI2533"/>
      <c r="XEJ2533"/>
      <c r="XEK2533"/>
      <c r="XEL2533"/>
      <c r="XEM2533"/>
      <c r="XEN2533"/>
      <c r="XEO2533"/>
      <c r="XEP2533"/>
      <c r="XEQ2533"/>
      <c r="XER2533"/>
      <c r="XES2533"/>
      <c r="XET2533"/>
      <c r="XEU2533"/>
      <c r="XEV2533"/>
      <c r="XEW2533"/>
      <c r="XEX2533"/>
      <c r="XEY2533"/>
      <c r="XEZ2533"/>
      <c r="XFA2533"/>
      <c r="XFB2533"/>
      <c r="XFC2533"/>
    </row>
    <row r="2534" spans="1:20 16329:16383" s="38" customFormat="1" ht="29.1" customHeight="1" outlineLevel="4" x14ac:dyDescent="0.25">
      <c r="A2534" s="60" t="s">
        <v>4609</v>
      </c>
      <c r="B2534" s="61" t="s">
        <v>4610</v>
      </c>
      <c r="C2534" s="61"/>
      <c r="D2534" s="1" t="s">
        <v>4578</v>
      </c>
      <c r="E2534" s="1"/>
      <c r="F2534" s="62"/>
      <c r="G2534" s="61"/>
      <c r="H2534" s="63"/>
      <c r="I2534" s="36"/>
      <c r="J2534" s="63"/>
      <c r="K2534" s="64"/>
      <c r="L2534" s="64"/>
      <c r="M2534" s="64"/>
      <c r="N2534" s="64"/>
      <c r="O2534" s="64">
        <f>O2535+O2536</f>
        <v>0</v>
      </c>
      <c r="P2534" s="64">
        <f>P2535+P2536</f>
        <v>0</v>
      </c>
      <c r="Q2534" s="64">
        <f>Q2535+Q2536</f>
        <v>0</v>
      </c>
      <c r="R2534" s="64">
        <f>R2535+R2536</f>
        <v>0</v>
      </c>
      <c r="S2534" s="64"/>
      <c r="T2534" s="36"/>
      <c r="XDA2534"/>
      <c r="XDB2534"/>
      <c r="XDC2534"/>
      <c r="XDD2534"/>
      <c r="XDE2534"/>
      <c r="XDF2534"/>
      <c r="XDG2534"/>
      <c r="XDH2534"/>
      <c r="XDI2534"/>
      <c r="XDJ2534"/>
      <c r="XDK2534"/>
      <c r="XDL2534"/>
      <c r="XDM2534"/>
      <c r="XDN2534"/>
      <c r="XDO2534"/>
      <c r="XDP2534"/>
      <c r="XDQ2534"/>
      <c r="XDR2534"/>
      <c r="XDS2534"/>
      <c r="XDT2534"/>
      <c r="XDU2534"/>
      <c r="XDV2534"/>
      <c r="XDW2534"/>
      <c r="XDX2534"/>
      <c r="XDY2534"/>
      <c r="XDZ2534"/>
      <c r="XEA2534"/>
      <c r="XEB2534"/>
      <c r="XEC2534"/>
      <c r="XED2534"/>
      <c r="XEE2534"/>
      <c r="XEF2534"/>
      <c r="XEG2534"/>
      <c r="XEH2534"/>
      <c r="XEI2534"/>
      <c r="XEJ2534"/>
      <c r="XEK2534"/>
      <c r="XEL2534"/>
      <c r="XEM2534"/>
      <c r="XEN2534"/>
      <c r="XEO2534"/>
      <c r="XEP2534"/>
      <c r="XEQ2534"/>
      <c r="XER2534"/>
      <c r="XES2534"/>
      <c r="XET2534"/>
      <c r="XEU2534"/>
      <c r="XEV2534"/>
      <c r="XEW2534"/>
      <c r="XEX2534"/>
      <c r="XEY2534"/>
      <c r="XEZ2534"/>
      <c r="XFA2534"/>
      <c r="XFB2534"/>
      <c r="XFC2534"/>
    </row>
    <row r="2535" spans="1:20 16329:16383" s="38" customFormat="1" ht="29.1" customHeight="1" outlineLevel="5" x14ac:dyDescent="0.25">
      <c r="A2535" s="49" t="s">
        <v>4611</v>
      </c>
      <c r="B2535" s="50"/>
      <c r="C2535" s="50"/>
      <c r="D2535" s="3" t="s">
        <v>4580</v>
      </c>
      <c r="E2535" s="3"/>
      <c r="F2535" s="51" t="s">
        <v>4581</v>
      </c>
      <c r="G2535" s="50" t="s">
        <v>102</v>
      </c>
      <c r="H2535" s="52">
        <f>1</f>
        <v>1</v>
      </c>
      <c r="I2535" s="36"/>
      <c r="J2535" s="52">
        <v>1</v>
      </c>
      <c r="K2535" s="53">
        <f>0</f>
        <v>0</v>
      </c>
      <c r="L2535" s="53">
        <f>0</f>
        <v>0</v>
      </c>
      <c r="M2535" s="53">
        <f>0</f>
        <v>0</v>
      </c>
      <c r="N2535" s="54">
        <f>SUM(K2535:M2535)</f>
        <v>0</v>
      </c>
      <c r="O2535" s="54">
        <f>ROUND((H2535*K2535),2)</f>
        <v>0</v>
      </c>
      <c r="P2535" s="54">
        <f>ROUND((H2535*L2535),2)</f>
        <v>0</v>
      </c>
      <c r="Q2535" s="54">
        <f>ROUND((H2535*M2535),2)</f>
        <v>0</v>
      </c>
      <c r="R2535" s="54">
        <f>ROUND((H2535*N2535),2)</f>
        <v>0</v>
      </c>
      <c r="S2535" s="54"/>
      <c r="T2535" s="36"/>
      <c r="XDA2535"/>
      <c r="XDB2535"/>
      <c r="XDC2535"/>
      <c r="XDD2535"/>
      <c r="XDE2535"/>
      <c r="XDF2535"/>
      <c r="XDG2535"/>
      <c r="XDH2535"/>
      <c r="XDI2535"/>
      <c r="XDJ2535"/>
      <c r="XDK2535"/>
      <c r="XDL2535"/>
      <c r="XDM2535"/>
      <c r="XDN2535"/>
      <c r="XDO2535"/>
      <c r="XDP2535"/>
      <c r="XDQ2535"/>
      <c r="XDR2535"/>
      <c r="XDS2535"/>
      <c r="XDT2535"/>
      <c r="XDU2535"/>
      <c r="XDV2535"/>
      <c r="XDW2535"/>
      <c r="XDX2535"/>
      <c r="XDY2535"/>
      <c r="XDZ2535"/>
      <c r="XEA2535"/>
      <c r="XEB2535"/>
      <c r="XEC2535"/>
      <c r="XED2535"/>
      <c r="XEE2535"/>
      <c r="XEF2535"/>
      <c r="XEG2535"/>
      <c r="XEH2535"/>
      <c r="XEI2535"/>
      <c r="XEJ2535"/>
      <c r="XEK2535"/>
      <c r="XEL2535"/>
      <c r="XEM2535"/>
      <c r="XEN2535"/>
      <c r="XEO2535"/>
      <c r="XEP2535"/>
      <c r="XEQ2535"/>
      <c r="XER2535"/>
      <c r="XES2535"/>
      <c r="XET2535"/>
      <c r="XEU2535"/>
      <c r="XEV2535"/>
      <c r="XEW2535"/>
      <c r="XEX2535"/>
      <c r="XEY2535"/>
      <c r="XEZ2535"/>
      <c r="XFA2535"/>
      <c r="XFB2535"/>
      <c r="XFC2535"/>
    </row>
    <row r="2536" spans="1:20 16329:16383" s="38" customFormat="1" ht="29.1" customHeight="1" outlineLevel="5" x14ac:dyDescent="0.25">
      <c r="A2536" s="49" t="s">
        <v>4612</v>
      </c>
      <c r="B2536" s="50"/>
      <c r="C2536" s="50"/>
      <c r="D2536" s="3" t="s">
        <v>4583</v>
      </c>
      <c r="E2536" s="3"/>
      <c r="F2536" s="51" t="s">
        <v>4581</v>
      </c>
      <c r="G2536" s="50" t="s">
        <v>102</v>
      </c>
      <c r="H2536" s="52">
        <f>1</f>
        <v>1</v>
      </c>
      <c r="I2536" s="36"/>
      <c r="J2536" s="52">
        <v>1</v>
      </c>
      <c r="K2536" s="53">
        <f>0</f>
        <v>0</v>
      </c>
      <c r="L2536" s="53">
        <f>0</f>
        <v>0</v>
      </c>
      <c r="M2536" s="53">
        <f>0</f>
        <v>0</v>
      </c>
      <c r="N2536" s="54">
        <f>SUM(K2536:M2536)</f>
        <v>0</v>
      </c>
      <c r="O2536" s="54">
        <f>ROUND((H2536*K2536),2)</f>
        <v>0</v>
      </c>
      <c r="P2536" s="54">
        <f>ROUND((H2536*L2536),2)</f>
        <v>0</v>
      </c>
      <c r="Q2536" s="54">
        <f>ROUND((H2536*M2536),2)</f>
        <v>0</v>
      </c>
      <c r="R2536" s="54">
        <f>ROUND((H2536*N2536),2)</f>
        <v>0</v>
      </c>
      <c r="S2536" s="54"/>
      <c r="T2536" s="36"/>
      <c r="XDA2536"/>
      <c r="XDB2536"/>
      <c r="XDC2536"/>
      <c r="XDD2536"/>
      <c r="XDE2536"/>
      <c r="XDF2536"/>
      <c r="XDG2536"/>
      <c r="XDH2536"/>
      <c r="XDI2536"/>
      <c r="XDJ2536"/>
      <c r="XDK2536"/>
      <c r="XDL2536"/>
      <c r="XDM2536"/>
      <c r="XDN2536"/>
      <c r="XDO2536"/>
      <c r="XDP2536"/>
      <c r="XDQ2536"/>
      <c r="XDR2536"/>
      <c r="XDS2536"/>
      <c r="XDT2536"/>
      <c r="XDU2536"/>
      <c r="XDV2536"/>
      <c r="XDW2536"/>
      <c r="XDX2536"/>
      <c r="XDY2536"/>
      <c r="XDZ2536"/>
      <c r="XEA2536"/>
      <c r="XEB2536"/>
      <c r="XEC2536"/>
      <c r="XED2536"/>
      <c r="XEE2536"/>
      <c r="XEF2536"/>
      <c r="XEG2536"/>
      <c r="XEH2536"/>
      <c r="XEI2536"/>
      <c r="XEJ2536"/>
      <c r="XEK2536"/>
      <c r="XEL2536"/>
      <c r="XEM2536"/>
      <c r="XEN2536"/>
      <c r="XEO2536"/>
      <c r="XEP2536"/>
      <c r="XEQ2536"/>
      <c r="XER2536"/>
      <c r="XES2536"/>
      <c r="XET2536"/>
      <c r="XEU2536"/>
      <c r="XEV2536"/>
      <c r="XEW2536"/>
      <c r="XEX2536"/>
      <c r="XEY2536"/>
      <c r="XEZ2536"/>
      <c r="XFA2536"/>
      <c r="XFB2536"/>
      <c r="XFC2536"/>
    </row>
    <row r="2537" spans="1:20 16329:16383" s="38" customFormat="1" ht="29.1" customHeight="1" outlineLevel="4" x14ac:dyDescent="0.25">
      <c r="A2537" s="60" t="s">
        <v>4613</v>
      </c>
      <c r="B2537" s="61" t="s">
        <v>4614</v>
      </c>
      <c r="C2537" s="61"/>
      <c r="D2537" s="1" t="s">
        <v>4586</v>
      </c>
      <c r="E2537" s="1"/>
      <c r="F2537" s="62"/>
      <c r="G2537" s="61"/>
      <c r="H2537" s="63"/>
      <c r="I2537" s="36"/>
      <c r="J2537" s="63"/>
      <c r="K2537" s="64"/>
      <c r="L2537" s="64"/>
      <c r="M2537" s="64"/>
      <c r="N2537" s="64"/>
      <c r="O2537" s="64">
        <f>O2538</f>
        <v>0</v>
      </c>
      <c r="P2537" s="64">
        <f>P2538</f>
        <v>0</v>
      </c>
      <c r="Q2537" s="64">
        <f>Q2538</f>
        <v>0</v>
      </c>
      <c r="R2537" s="64">
        <f>R2538</f>
        <v>0</v>
      </c>
      <c r="S2537" s="64"/>
      <c r="T2537" s="36"/>
      <c r="XDA2537"/>
      <c r="XDB2537"/>
      <c r="XDC2537"/>
      <c r="XDD2537"/>
      <c r="XDE2537"/>
      <c r="XDF2537"/>
      <c r="XDG2537"/>
      <c r="XDH2537"/>
      <c r="XDI2537"/>
      <c r="XDJ2537"/>
      <c r="XDK2537"/>
      <c r="XDL2537"/>
      <c r="XDM2537"/>
      <c r="XDN2537"/>
      <c r="XDO2537"/>
      <c r="XDP2537"/>
      <c r="XDQ2537"/>
      <c r="XDR2537"/>
      <c r="XDS2537"/>
      <c r="XDT2537"/>
      <c r="XDU2537"/>
      <c r="XDV2537"/>
      <c r="XDW2537"/>
      <c r="XDX2537"/>
      <c r="XDY2537"/>
      <c r="XDZ2537"/>
      <c r="XEA2537"/>
      <c r="XEB2537"/>
      <c r="XEC2537"/>
      <c r="XED2537"/>
      <c r="XEE2537"/>
      <c r="XEF2537"/>
      <c r="XEG2537"/>
      <c r="XEH2537"/>
      <c r="XEI2537"/>
      <c r="XEJ2537"/>
      <c r="XEK2537"/>
      <c r="XEL2537"/>
      <c r="XEM2537"/>
      <c r="XEN2537"/>
      <c r="XEO2537"/>
      <c r="XEP2537"/>
      <c r="XEQ2537"/>
      <c r="XER2537"/>
      <c r="XES2537"/>
      <c r="XET2537"/>
      <c r="XEU2537"/>
      <c r="XEV2537"/>
      <c r="XEW2537"/>
      <c r="XEX2537"/>
      <c r="XEY2537"/>
      <c r="XEZ2537"/>
      <c r="XFA2537"/>
      <c r="XFB2537"/>
      <c r="XFC2537"/>
    </row>
    <row r="2538" spans="1:20 16329:16383" s="38" customFormat="1" ht="29.1" customHeight="1" outlineLevel="5" x14ac:dyDescent="0.25">
      <c r="A2538" s="49" t="s">
        <v>4615</v>
      </c>
      <c r="B2538" s="50"/>
      <c r="C2538" s="50"/>
      <c r="D2538" s="3" t="s">
        <v>4588</v>
      </c>
      <c r="E2538" s="3"/>
      <c r="F2538" s="51"/>
      <c r="G2538" s="50" t="s">
        <v>102</v>
      </c>
      <c r="H2538" s="52">
        <f>1</f>
        <v>1</v>
      </c>
      <c r="I2538" s="36"/>
      <c r="J2538" s="52">
        <v>1</v>
      </c>
      <c r="K2538" s="53">
        <f>0</f>
        <v>0</v>
      </c>
      <c r="L2538" s="53">
        <f>0</f>
        <v>0</v>
      </c>
      <c r="M2538" s="53">
        <f>0</f>
        <v>0</v>
      </c>
      <c r="N2538" s="54">
        <f>SUM(K2538:M2538)</f>
        <v>0</v>
      </c>
      <c r="O2538" s="54">
        <f>ROUND((H2538*K2538),2)</f>
        <v>0</v>
      </c>
      <c r="P2538" s="54">
        <f>ROUND((H2538*L2538),2)</f>
        <v>0</v>
      </c>
      <c r="Q2538" s="54">
        <f>ROUND((H2538*M2538),2)</f>
        <v>0</v>
      </c>
      <c r="R2538" s="54">
        <f>ROUND((H2538*N2538),2)</f>
        <v>0</v>
      </c>
      <c r="S2538" s="54"/>
      <c r="T2538" s="36"/>
      <c r="XDA2538"/>
      <c r="XDB2538"/>
      <c r="XDC2538"/>
      <c r="XDD2538"/>
      <c r="XDE2538"/>
      <c r="XDF2538"/>
      <c r="XDG2538"/>
      <c r="XDH2538"/>
      <c r="XDI2538"/>
      <c r="XDJ2538"/>
      <c r="XDK2538"/>
      <c r="XDL2538"/>
      <c r="XDM2538"/>
      <c r="XDN2538"/>
      <c r="XDO2538"/>
      <c r="XDP2538"/>
      <c r="XDQ2538"/>
      <c r="XDR2538"/>
      <c r="XDS2538"/>
      <c r="XDT2538"/>
      <c r="XDU2538"/>
      <c r="XDV2538"/>
      <c r="XDW2538"/>
      <c r="XDX2538"/>
      <c r="XDY2538"/>
      <c r="XDZ2538"/>
      <c r="XEA2538"/>
      <c r="XEB2538"/>
      <c r="XEC2538"/>
      <c r="XED2538"/>
      <c r="XEE2538"/>
      <c r="XEF2538"/>
      <c r="XEG2538"/>
      <c r="XEH2538"/>
      <c r="XEI2538"/>
      <c r="XEJ2538"/>
      <c r="XEK2538"/>
      <c r="XEL2538"/>
      <c r="XEM2538"/>
      <c r="XEN2538"/>
      <c r="XEO2538"/>
      <c r="XEP2538"/>
      <c r="XEQ2538"/>
      <c r="XER2538"/>
      <c r="XES2538"/>
      <c r="XET2538"/>
      <c r="XEU2538"/>
      <c r="XEV2538"/>
      <c r="XEW2538"/>
      <c r="XEX2538"/>
      <c r="XEY2538"/>
      <c r="XEZ2538"/>
      <c r="XFA2538"/>
      <c r="XFB2538"/>
      <c r="XFC2538"/>
    </row>
    <row r="2539" spans="1:20 16329:16383" s="38" customFormat="1" ht="29.1" customHeight="1" outlineLevel="2" x14ac:dyDescent="0.25">
      <c r="A2539" s="44" t="s">
        <v>4616</v>
      </c>
      <c r="B2539" s="45" t="s">
        <v>4617</v>
      </c>
      <c r="C2539" s="45"/>
      <c r="D2539" s="4" t="s">
        <v>4618</v>
      </c>
      <c r="E2539" s="4"/>
      <c r="F2539" s="46"/>
      <c r="G2539" s="45"/>
      <c r="H2539" s="47"/>
      <c r="I2539" s="36"/>
      <c r="J2539" s="47"/>
      <c r="K2539" s="48"/>
      <c r="L2539" s="48"/>
      <c r="M2539" s="48"/>
      <c r="N2539" s="48"/>
      <c r="O2539" s="48">
        <f>O2540+O2545+O2550+O2555</f>
        <v>0</v>
      </c>
      <c r="P2539" s="48">
        <f>P2540+P2545+P2550+P2555</f>
        <v>0</v>
      </c>
      <c r="Q2539" s="48">
        <f>Q2540+Q2545+Q2550+Q2555</f>
        <v>0</v>
      </c>
      <c r="R2539" s="48">
        <f>R2540+R2545+R2550+R2555</f>
        <v>0</v>
      </c>
      <c r="S2539" s="48"/>
      <c r="T2539" s="36"/>
      <c r="XDA2539"/>
      <c r="XDB2539"/>
      <c r="XDC2539"/>
      <c r="XDD2539"/>
      <c r="XDE2539"/>
      <c r="XDF2539"/>
      <c r="XDG2539"/>
      <c r="XDH2539"/>
      <c r="XDI2539"/>
      <c r="XDJ2539"/>
      <c r="XDK2539"/>
      <c r="XDL2539"/>
      <c r="XDM2539"/>
      <c r="XDN2539"/>
      <c r="XDO2539"/>
      <c r="XDP2539"/>
      <c r="XDQ2539"/>
      <c r="XDR2539"/>
      <c r="XDS2539"/>
      <c r="XDT2539"/>
      <c r="XDU2539"/>
      <c r="XDV2539"/>
      <c r="XDW2539"/>
      <c r="XDX2539"/>
      <c r="XDY2539"/>
      <c r="XDZ2539"/>
      <c r="XEA2539"/>
      <c r="XEB2539"/>
      <c r="XEC2539"/>
      <c r="XED2539"/>
      <c r="XEE2539"/>
      <c r="XEF2539"/>
      <c r="XEG2539"/>
      <c r="XEH2539"/>
      <c r="XEI2539"/>
      <c r="XEJ2539"/>
      <c r="XEK2539"/>
      <c r="XEL2539"/>
      <c r="XEM2539"/>
      <c r="XEN2539"/>
      <c r="XEO2539"/>
      <c r="XEP2539"/>
      <c r="XEQ2539"/>
      <c r="XER2539"/>
      <c r="XES2539"/>
      <c r="XET2539"/>
      <c r="XEU2539"/>
      <c r="XEV2539"/>
      <c r="XEW2539"/>
      <c r="XEX2539"/>
      <c r="XEY2539"/>
      <c r="XEZ2539"/>
      <c r="XFA2539"/>
      <c r="XFB2539"/>
      <c r="XFC2539"/>
    </row>
    <row r="2540" spans="1:20 16329:16383" s="38" customFormat="1" ht="29.1" customHeight="1" outlineLevel="3" x14ac:dyDescent="0.25">
      <c r="A2540" s="55" t="s">
        <v>4619</v>
      </c>
      <c r="B2540" s="56" t="s">
        <v>4620</v>
      </c>
      <c r="C2540" s="56"/>
      <c r="D2540" s="2" t="s">
        <v>857</v>
      </c>
      <c r="E2540" s="2"/>
      <c r="F2540" s="57"/>
      <c r="G2540" s="56"/>
      <c r="H2540" s="58"/>
      <c r="I2540" s="36"/>
      <c r="J2540" s="58"/>
      <c r="K2540" s="59"/>
      <c r="L2540" s="59"/>
      <c r="M2540" s="59"/>
      <c r="N2540" s="59"/>
      <c r="O2540" s="59">
        <f>O2541+O2543</f>
        <v>0</v>
      </c>
      <c r="P2540" s="59">
        <f>P2541+P2543</f>
        <v>0</v>
      </c>
      <c r="Q2540" s="59">
        <f>Q2541+Q2543</f>
        <v>0</v>
      </c>
      <c r="R2540" s="59">
        <f>R2541+R2543</f>
        <v>0</v>
      </c>
      <c r="S2540" s="59"/>
      <c r="T2540" s="36"/>
      <c r="XDA2540"/>
      <c r="XDB2540"/>
      <c r="XDC2540"/>
      <c r="XDD2540"/>
      <c r="XDE2540"/>
      <c r="XDF2540"/>
      <c r="XDG2540"/>
      <c r="XDH2540"/>
      <c r="XDI2540"/>
      <c r="XDJ2540"/>
      <c r="XDK2540"/>
      <c r="XDL2540"/>
      <c r="XDM2540"/>
      <c r="XDN2540"/>
      <c r="XDO2540"/>
      <c r="XDP2540"/>
      <c r="XDQ2540"/>
      <c r="XDR2540"/>
      <c r="XDS2540"/>
      <c r="XDT2540"/>
      <c r="XDU2540"/>
      <c r="XDV2540"/>
      <c r="XDW2540"/>
      <c r="XDX2540"/>
      <c r="XDY2540"/>
      <c r="XDZ2540"/>
      <c r="XEA2540"/>
      <c r="XEB2540"/>
      <c r="XEC2540"/>
      <c r="XED2540"/>
      <c r="XEE2540"/>
      <c r="XEF2540"/>
      <c r="XEG2540"/>
      <c r="XEH2540"/>
      <c r="XEI2540"/>
      <c r="XEJ2540"/>
      <c r="XEK2540"/>
      <c r="XEL2540"/>
      <c r="XEM2540"/>
      <c r="XEN2540"/>
      <c r="XEO2540"/>
      <c r="XEP2540"/>
      <c r="XEQ2540"/>
      <c r="XER2540"/>
      <c r="XES2540"/>
      <c r="XET2540"/>
      <c r="XEU2540"/>
      <c r="XEV2540"/>
      <c r="XEW2540"/>
      <c r="XEX2540"/>
      <c r="XEY2540"/>
      <c r="XEZ2540"/>
      <c r="XFA2540"/>
      <c r="XFB2540"/>
      <c r="XFC2540"/>
    </row>
    <row r="2541" spans="1:20 16329:16383" s="38" customFormat="1" ht="29.1" customHeight="1" outlineLevel="4" x14ac:dyDescent="0.25">
      <c r="A2541" s="60" t="s">
        <v>4621</v>
      </c>
      <c r="B2541" s="61" t="s">
        <v>4622</v>
      </c>
      <c r="C2541" s="61"/>
      <c r="D2541" s="1" t="s">
        <v>4623</v>
      </c>
      <c r="E2541" s="1"/>
      <c r="F2541" s="62"/>
      <c r="G2541" s="61"/>
      <c r="H2541" s="63"/>
      <c r="I2541" s="36"/>
      <c r="J2541" s="63"/>
      <c r="K2541" s="64"/>
      <c r="L2541" s="64"/>
      <c r="M2541" s="64"/>
      <c r="N2541" s="64"/>
      <c r="O2541" s="64">
        <f>O2542</f>
        <v>0</v>
      </c>
      <c r="P2541" s="64">
        <f>P2542</f>
        <v>0</v>
      </c>
      <c r="Q2541" s="64">
        <f>Q2542</f>
        <v>0</v>
      </c>
      <c r="R2541" s="64">
        <f>R2542</f>
        <v>0</v>
      </c>
      <c r="S2541" s="64"/>
      <c r="T2541" s="36"/>
      <c r="XDA2541"/>
      <c r="XDB2541"/>
      <c r="XDC2541"/>
      <c r="XDD2541"/>
      <c r="XDE2541"/>
      <c r="XDF2541"/>
      <c r="XDG2541"/>
      <c r="XDH2541"/>
      <c r="XDI2541"/>
      <c r="XDJ2541"/>
      <c r="XDK2541"/>
      <c r="XDL2541"/>
      <c r="XDM2541"/>
      <c r="XDN2541"/>
      <c r="XDO2541"/>
      <c r="XDP2541"/>
      <c r="XDQ2541"/>
      <c r="XDR2541"/>
      <c r="XDS2541"/>
      <c r="XDT2541"/>
      <c r="XDU2541"/>
      <c r="XDV2541"/>
      <c r="XDW2541"/>
      <c r="XDX2541"/>
      <c r="XDY2541"/>
      <c r="XDZ2541"/>
      <c r="XEA2541"/>
      <c r="XEB2541"/>
      <c r="XEC2541"/>
      <c r="XED2541"/>
      <c r="XEE2541"/>
      <c r="XEF2541"/>
      <c r="XEG2541"/>
      <c r="XEH2541"/>
      <c r="XEI2541"/>
      <c r="XEJ2541"/>
      <c r="XEK2541"/>
      <c r="XEL2541"/>
      <c r="XEM2541"/>
      <c r="XEN2541"/>
      <c r="XEO2541"/>
      <c r="XEP2541"/>
      <c r="XEQ2541"/>
      <c r="XER2541"/>
      <c r="XES2541"/>
      <c r="XET2541"/>
      <c r="XEU2541"/>
      <c r="XEV2541"/>
      <c r="XEW2541"/>
      <c r="XEX2541"/>
      <c r="XEY2541"/>
      <c r="XEZ2541"/>
      <c r="XFA2541"/>
      <c r="XFB2541"/>
      <c r="XFC2541"/>
    </row>
    <row r="2542" spans="1:20 16329:16383" s="38" customFormat="1" ht="29.1" customHeight="1" outlineLevel="5" x14ac:dyDescent="0.25">
      <c r="A2542" s="49" t="s">
        <v>4624</v>
      </c>
      <c r="B2542" s="50"/>
      <c r="C2542" s="50"/>
      <c r="D2542" s="3" t="s">
        <v>4625</v>
      </c>
      <c r="E2542" s="3"/>
      <c r="F2542" s="51"/>
      <c r="G2542" s="50" t="s">
        <v>102</v>
      </c>
      <c r="H2542" s="52">
        <f>1</f>
        <v>1</v>
      </c>
      <c r="I2542" s="36"/>
      <c r="J2542" s="52">
        <v>1</v>
      </c>
      <c r="K2542" s="53">
        <f>0</f>
        <v>0</v>
      </c>
      <c r="L2542" s="53">
        <f>0</f>
        <v>0</v>
      </c>
      <c r="M2542" s="53">
        <f>0</f>
        <v>0</v>
      </c>
      <c r="N2542" s="54">
        <f>SUM(K2542:M2542)</f>
        <v>0</v>
      </c>
      <c r="O2542" s="54">
        <f>ROUND((H2542*K2542),2)</f>
        <v>0</v>
      </c>
      <c r="P2542" s="54">
        <f>ROUND((H2542*L2542),2)</f>
        <v>0</v>
      </c>
      <c r="Q2542" s="54">
        <f>ROUND((H2542*M2542),2)</f>
        <v>0</v>
      </c>
      <c r="R2542" s="54">
        <f>ROUND((H2542*N2542),2)</f>
        <v>0</v>
      </c>
      <c r="S2542" s="54"/>
      <c r="T2542" s="36"/>
      <c r="XDA2542"/>
      <c r="XDB2542"/>
      <c r="XDC2542"/>
      <c r="XDD2542"/>
      <c r="XDE2542"/>
      <c r="XDF2542"/>
      <c r="XDG2542"/>
      <c r="XDH2542"/>
      <c r="XDI2542"/>
      <c r="XDJ2542"/>
      <c r="XDK2542"/>
      <c r="XDL2542"/>
      <c r="XDM2542"/>
      <c r="XDN2542"/>
      <c r="XDO2542"/>
      <c r="XDP2542"/>
      <c r="XDQ2542"/>
      <c r="XDR2542"/>
      <c r="XDS2542"/>
      <c r="XDT2542"/>
      <c r="XDU2542"/>
      <c r="XDV2542"/>
      <c r="XDW2542"/>
      <c r="XDX2542"/>
      <c r="XDY2542"/>
      <c r="XDZ2542"/>
      <c r="XEA2542"/>
      <c r="XEB2542"/>
      <c r="XEC2542"/>
      <c r="XED2542"/>
      <c r="XEE2542"/>
      <c r="XEF2542"/>
      <c r="XEG2542"/>
      <c r="XEH2542"/>
      <c r="XEI2542"/>
      <c r="XEJ2542"/>
      <c r="XEK2542"/>
      <c r="XEL2542"/>
      <c r="XEM2542"/>
      <c r="XEN2542"/>
      <c r="XEO2542"/>
      <c r="XEP2542"/>
      <c r="XEQ2542"/>
      <c r="XER2542"/>
      <c r="XES2542"/>
      <c r="XET2542"/>
      <c r="XEU2542"/>
      <c r="XEV2542"/>
      <c r="XEW2542"/>
      <c r="XEX2542"/>
      <c r="XEY2542"/>
      <c r="XEZ2542"/>
      <c r="XFA2542"/>
      <c r="XFB2542"/>
      <c r="XFC2542"/>
    </row>
    <row r="2543" spans="1:20 16329:16383" s="38" customFormat="1" ht="29.1" customHeight="1" outlineLevel="4" x14ac:dyDescent="0.25">
      <c r="A2543" s="60" t="s">
        <v>4626</v>
      </c>
      <c r="B2543" s="61" t="s">
        <v>4627</v>
      </c>
      <c r="C2543" s="61"/>
      <c r="D2543" s="1" t="s">
        <v>4628</v>
      </c>
      <c r="E2543" s="1"/>
      <c r="F2543" s="62"/>
      <c r="G2543" s="61"/>
      <c r="H2543" s="63"/>
      <c r="I2543" s="36"/>
      <c r="J2543" s="63"/>
      <c r="K2543" s="64"/>
      <c r="L2543" s="64"/>
      <c r="M2543" s="64"/>
      <c r="N2543" s="64"/>
      <c r="O2543" s="64">
        <f>O2544</f>
        <v>0</v>
      </c>
      <c r="P2543" s="64">
        <f>P2544</f>
        <v>0</v>
      </c>
      <c r="Q2543" s="64">
        <f>Q2544</f>
        <v>0</v>
      </c>
      <c r="R2543" s="64">
        <f>R2544</f>
        <v>0</v>
      </c>
      <c r="S2543" s="64"/>
      <c r="T2543" s="36"/>
      <c r="XDA2543"/>
      <c r="XDB2543"/>
      <c r="XDC2543"/>
      <c r="XDD2543"/>
      <c r="XDE2543"/>
      <c r="XDF2543"/>
      <c r="XDG2543"/>
      <c r="XDH2543"/>
      <c r="XDI2543"/>
      <c r="XDJ2543"/>
      <c r="XDK2543"/>
      <c r="XDL2543"/>
      <c r="XDM2543"/>
      <c r="XDN2543"/>
      <c r="XDO2543"/>
      <c r="XDP2543"/>
      <c r="XDQ2543"/>
      <c r="XDR2543"/>
      <c r="XDS2543"/>
      <c r="XDT2543"/>
      <c r="XDU2543"/>
      <c r="XDV2543"/>
      <c r="XDW2543"/>
      <c r="XDX2543"/>
      <c r="XDY2543"/>
      <c r="XDZ2543"/>
      <c r="XEA2543"/>
      <c r="XEB2543"/>
      <c r="XEC2543"/>
      <c r="XED2543"/>
      <c r="XEE2543"/>
      <c r="XEF2543"/>
      <c r="XEG2543"/>
      <c r="XEH2543"/>
      <c r="XEI2543"/>
      <c r="XEJ2543"/>
      <c r="XEK2543"/>
      <c r="XEL2543"/>
      <c r="XEM2543"/>
      <c r="XEN2543"/>
      <c r="XEO2543"/>
      <c r="XEP2543"/>
      <c r="XEQ2543"/>
      <c r="XER2543"/>
      <c r="XES2543"/>
      <c r="XET2543"/>
      <c r="XEU2543"/>
      <c r="XEV2543"/>
      <c r="XEW2543"/>
      <c r="XEX2543"/>
      <c r="XEY2543"/>
      <c r="XEZ2543"/>
      <c r="XFA2543"/>
      <c r="XFB2543"/>
      <c r="XFC2543"/>
    </row>
    <row r="2544" spans="1:20 16329:16383" s="38" customFormat="1" ht="29.1" customHeight="1" outlineLevel="5" x14ac:dyDescent="0.25">
      <c r="A2544" s="49" t="s">
        <v>4629</v>
      </c>
      <c r="B2544" s="50"/>
      <c r="C2544" s="50"/>
      <c r="D2544" s="3" t="s">
        <v>4630</v>
      </c>
      <c r="E2544" s="3"/>
      <c r="F2544" s="51"/>
      <c r="G2544" s="50" t="s">
        <v>102</v>
      </c>
      <c r="H2544" s="52">
        <f>1</f>
        <v>1</v>
      </c>
      <c r="I2544" s="36"/>
      <c r="J2544" s="52">
        <v>1</v>
      </c>
      <c r="K2544" s="53">
        <f>0</f>
        <v>0</v>
      </c>
      <c r="L2544" s="53">
        <f>0</f>
        <v>0</v>
      </c>
      <c r="M2544" s="53">
        <f>0</f>
        <v>0</v>
      </c>
      <c r="N2544" s="54">
        <f>SUM(K2544:M2544)</f>
        <v>0</v>
      </c>
      <c r="O2544" s="54">
        <f>ROUND((H2544*K2544),2)</f>
        <v>0</v>
      </c>
      <c r="P2544" s="54">
        <f>ROUND((H2544*L2544),2)</f>
        <v>0</v>
      </c>
      <c r="Q2544" s="54">
        <f>ROUND((H2544*M2544),2)</f>
        <v>0</v>
      </c>
      <c r="R2544" s="54">
        <f>ROUND((H2544*N2544),2)</f>
        <v>0</v>
      </c>
      <c r="S2544" s="54"/>
      <c r="T2544" s="36"/>
      <c r="XDA2544"/>
      <c r="XDB2544"/>
      <c r="XDC2544"/>
      <c r="XDD2544"/>
      <c r="XDE2544"/>
      <c r="XDF2544"/>
      <c r="XDG2544"/>
      <c r="XDH2544"/>
      <c r="XDI2544"/>
      <c r="XDJ2544"/>
      <c r="XDK2544"/>
      <c r="XDL2544"/>
      <c r="XDM2544"/>
      <c r="XDN2544"/>
      <c r="XDO2544"/>
      <c r="XDP2544"/>
      <c r="XDQ2544"/>
      <c r="XDR2544"/>
      <c r="XDS2544"/>
      <c r="XDT2544"/>
      <c r="XDU2544"/>
      <c r="XDV2544"/>
      <c r="XDW2544"/>
      <c r="XDX2544"/>
      <c r="XDY2544"/>
      <c r="XDZ2544"/>
      <c r="XEA2544"/>
      <c r="XEB2544"/>
      <c r="XEC2544"/>
      <c r="XED2544"/>
      <c r="XEE2544"/>
      <c r="XEF2544"/>
      <c r="XEG2544"/>
      <c r="XEH2544"/>
      <c r="XEI2544"/>
      <c r="XEJ2544"/>
      <c r="XEK2544"/>
      <c r="XEL2544"/>
      <c r="XEM2544"/>
      <c r="XEN2544"/>
      <c r="XEO2544"/>
      <c r="XEP2544"/>
      <c r="XEQ2544"/>
      <c r="XER2544"/>
      <c r="XES2544"/>
      <c r="XET2544"/>
      <c r="XEU2544"/>
      <c r="XEV2544"/>
      <c r="XEW2544"/>
      <c r="XEX2544"/>
      <c r="XEY2544"/>
      <c r="XEZ2544"/>
      <c r="XFA2544"/>
      <c r="XFB2544"/>
      <c r="XFC2544"/>
    </row>
    <row r="2545" spans="1:20 16329:16383" s="38" customFormat="1" ht="29.1" customHeight="1" outlineLevel="3" x14ac:dyDescent="0.25">
      <c r="A2545" s="55" t="s">
        <v>4631</v>
      </c>
      <c r="B2545" s="56" t="s">
        <v>4632</v>
      </c>
      <c r="C2545" s="56"/>
      <c r="D2545" s="2" t="s">
        <v>902</v>
      </c>
      <c r="E2545" s="2"/>
      <c r="F2545" s="57"/>
      <c r="G2545" s="56"/>
      <c r="H2545" s="58"/>
      <c r="I2545" s="36"/>
      <c r="J2545" s="58"/>
      <c r="K2545" s="59"/>
      <c r="L2545" s="59"/>
      <c r="M2545" s="59"/>
      <c r="N2545" s="59"/>
      <c r="O2545" s="59">
        <f>O2546+O2548</f>
        <v>0</v>
      </c>
      <c r="P2545" s="59">
        <f>P2546+P2548</f>
        <v>0</v>
      </c>
      <c r="Q2545" s="59">
        <f>Q2546+Q2548</f>
        <v>0</v>
      </c>
      <c r="R2545" s="59">
        <f>R2546+R2548</f>
        <v>0</v>
      </c>
      <c r="S2545" s="59"/>
      <c r="T2545" s="36"/>
      <c r="XDA2545"/>
      <c r="XDB2545"/>
      <c r="XDC2545"/>
      <c r="XDD2545"/>
      <c r="XDE2545"/>
      <c r="XDF2545"/>
      <c r="XDG2545"/>
      <c r="XDH2545"/>
      <c r="XDI2545"/>
      <c r="XDJ2545"/>
      <c r="XDK2545"/>
      <c r="XDL2545"/>
      <c r="XDM2545"/>
      <c r="XDN2545"/>
      <c r="XDO2545"/>
      <c r="XDP2545"/>
      <c r="XDQ2545"/>
      <c r="XDR2545"/>
      <c r="XDS2545"/>
      <c r="XDT2545"/>
      <c r="XDU2545"/>
      <c r="XDV2545"/>
      <c r="XDW2545"/>
      <c r="XDX2545"/>
      <c r="XDY2545"/>
      <c r="XDZ2545"/>
      <c r="XEA2545"/>
      <c r="XEB2545"/>
      <c r="XEC2545"/>
      <c r="XED2545"/>
      <c r="XEE2545"/>
      <c r="XEF2545"/>
      <c r="XEG2545"/>
      <c r="XEH2545"/>
      <c r="XEI2545"/>
      <c r="XEJ2545"/>
      <c r="XEK2545"/>
      <c r="XEL2545"/>
      <c r="XEM2545"/>
      <c r="XEN2545"/>
      <c r="XEO2545"/>
      <c r="XEP2545"/>
      <c r="XEQ2545"/>
      <c r="XER2545"/>
      <c r="XES2545"/>
      <c r="XET2545"/>
      <c r="XEU2545"/>
      <c r="XEV2545"/>
      <c r="XEW2545"/>
      <c r="XEX2545"/>
      <c r="XEY2545"/>
      <c r="XEZ2545"/>
      <c r="XFA2545"/>
      <c r="XFB2545"/>
      <c r="XFC2545"/>
    </row>
    <row r="2546" spans="1:20 16329:16383" s="38" customFormat="1" ht="29.1" customHeight="1" outlineLevel="4" x14ac:dyDescent="0.25">
      <c r="A2546" s="60" t="s">
        <v>4633</v>
      </c>
      <c r="B2546" s="61" t="s">
        <v>4634</v>
      </c>
      <c r="C2546" s="61"/>
      <c r="D2546" s="1" t="s">
        <v>4623</v>
      </c>
      <c r="E2546" s="1"/>
      <c r="F2546" s="62"/>
      <c r="G2546" s="61"/>
      <c r="H2546" s="63"/>
      <c r="I2546" s="36"/>
      <c r="J2546" s="63"/>
      <c r="K2546" s="64"/>
      <c r="L2546" s="64"/>
      <c r="M2546" s="64"/>
      <c r="N2546" s="64"/>
      <c r="O2546" s="64">
        <f>O2547</f>
        <v>0</v>
      </c>
      <c r="P2546" s="64">
        <f>P2547</f>
        <v>0</v>
      </c>
      <c r="Q2546" s="64">
        <f>Q2547</f>
        <v>0</v>
      </c>
      <c r="R2546" s="64">
        <f>R2547</f>
        <v>0</v>
      </c>
      <c r="S2546" s="64"/>
      <c r="T2546" s="36"/>
      <c r="XDA2546"/>
      <c r="XDB2546"/>
      <c r="XDC2546"/>
      <c r="XDD2546"/>
      <c r="XDE2546"/>
      <c r="XDF2546"/>
      <c r="XDG2546"/>
      <c r="XDH2546"/>
      <c r="XDI2546"/>
      <c r="XDJ2546"/>
      <c r="XDK2546"/>
      <c r="XDL2546"/>
      <c r="XDM2546"/>
      <c r="XDN2546"/>
      <c r="XDO2546"/>
      <c r="XDP2546"/>
      <c r="XDQ2546"/>
      <c r="XDR2546"/>
      <c r="XDS2546"/>
      <c r="XDT2546"/>
      <c r="XDU2546"/>
      <c r="XDV2546"/>
      <c r="XDW2546"/>
      <c r="XDX2546"/>
      <c r="XDY2546"/>
      <c r="XDZ2546"/>
      <c r="XEA2546"/>
      <c r="XEB2546"/>
      <c r="XEC2546"/>
      <c r="XED2546"/>
      <c r="XEE2546"/>
      <c r="XEF2546"/>
      <c r="XEG2546"/>
      <c r="XEH2546"/>
      <c r="XEI2546"/>
      <c r="XEJ2546"/>
      <c r="XEK2546"/>
      <c r="XEL2546"/>
      <c r="XEM2546"/>
      <c r="XEN2546"/>
      <c r="XEO2546"/>
      <c r="XEP2546"/>
      <c r="XEQ2546"/>
      <c r="XER2546"/>
      <c r="XES2546"/>
      <c r="XET2546"/>
      <c r="XEU2546"/>
      <c r="XEV2546"/>
      <c r="XEW2546"/>
      <c r="XEX2546"/>
      <c r="XEY2546"/>
      <c r="XEZ2546"/>
      <c r="XFA2546"/>
      <c r="XFB2546"/>
      <c r="XFC2546"/>
    </row>
    <row r="2547" spans="1:20 16329:16383" s="38" customFormat="1" ht="29.1" customHeight="1" outlineLevel="5" x14ac:dyDescent="0.25">
      <c r="A2547" s="49" t="s">
        <v>4635</v>
      </c>
      <c r="B2547" s="50"/>
      <c r="C2547" s="50"/>
      <c r="D2547" s="3" t="s">
        <v>4625</v>
      </c>
      <c r="E2547" s="3"/>
      <c r="F2547" s="51"/>
      <c r="G2547" s="50" t="s">
        <v>102</v>
      </c>
      <c r="H2547" s="52">
        <f>1</f>
        <v>1</v>
      </c>
      <c r="I2547" s="36"/>
      <c r="J2547" s="52">
        <v>1</v>
      </c>
      <c r="K2547" s="53">
        <f>0</f>
        <v>0</v>
      </c>
      <c r="L2547" s="53">
        <f>0</f>
        <v>0</v>
      </c>
      <c r="M2547" s="53">
        <f>0</f>
        <v>0</v>
      </c>
      <c r="N2547" s="54">
        <f>SUM(K2547:M2547)</f>
        <v>0</v>
      </c>
      <c r="O2547" s="54">
        <f>ROUND((H2547*K2547),2)</f>
        <v>0</v>
      </c>
      <c r="P2547" s="54">
        <f>ROUND((H2547*L2547),2)</f>
        <v>0</v>
      </c>
      <c r="Q2547" s="54">
        <f>ROUND((H2547*M2547),2)</f>
        <v>0</v>
      </c>
      <c r="R2547" s="54">
        <f>ROUND((H2547*N2547),2)</f>
        <v>0</v>
      </c>
      <c r="S2547" s="54"/>
      <c r="T2547" s="36"/>
      <c r="XDA2547"/>
      <c r="XDB2547"/>
      <c r="XDC2547"/>
      <c r="XDD2547"/>
      <c r="XDE2547"/>
      <c r="XDF2547"/>
      <c r="XDG2547"/>
      <c r="XDH2547"/>
      <c r="XDI2547"/>
      <c r="XDJ2547"/>
      <c r="XDK2547"/>
      <c r="XDL2547"/>
      <c r="XDM2547"/>
      <c r="XDN2547"/>
      <c r="XDO2547"/>
      <c r="XDP2547"/>
      <c r="XDQ2547"/>
      <c r="XDR2547"/>
      <c r="XDS2547"/>
      <c r="XDT2547"/>
      <c r="XDU2547"/>
      <c r="XDV2547"/>
      <c r="XDW2547"/>
      <c r="XDX2547"/>
      <c r="XDY2547"/>
      <c r="XDZ2547"/>
      <c r="XEA2547"/>
      <c r="XEB2547"/>
      <c r="XEC2547"/>
      <c r="XED2547"/>
      <c r="XEE2547"/>
      <c r="XEF2547"/>
      <c r="XEG2547"/>
      <c r="XEH2547"/>
      <c r="XEI2547"/>
      <c r="XEJ2547"/>
      <c r="XEK2547"/>
      <c r="XEL2547"/>
      <c r="XEM2547"/>
      <c r="XEN2547"/>
      <c r="XEO2547"/>
      <c r="XEP2547"/>
      <c r="XEQ2547"/>
      <c r="XER2547"/>
      <c r="XES2547"/>
      <c r="XET2547"/>
      <c r="XEU2547"/>
      <c r="XEV2547"/>
      <c r="XEW2547"/>
      <c r="XEX2547"/>
      <c r="XEY2547"/>
      <c r="XEZ2547"/>
      <c r="XFA2547"/>
      <c r="XFB2547"/>
      <c r="XFC2547"/>
    </row>
    <row r="2548" spans="1:20 16329:16383" s="38" customFormat="1" ht="29.1" customHeight="1" outlineLevel="4" x14ac:dyDescent="0.25">
      <c r="A2548" s="60" t="s">
        <v>4636</v>
      </c>
      <c r="B2548" s="61" t="s">
        <v>4637</v>
      </c>
      <c r="C2548" s="61"/>
      <c r="D2548" s="1" t="s">
        <v>4628</v>
      </c>
      <c r="E2548" s="1"/>
      <c r="F2548" s="62"/>
      <c r="G2548" s="61"/>
      <c r="H2548" s="63"/>
      <c r="I2548" s="36"/>
      <c r="J2548" s="63"/>
      <c r="K2548" s="64"/>
      <c r="L2548" s="64"/>
      <c r="M2548" s="64"/>
      <c r="N2548" s="64"/>
      <c r="O2548" s="64">
        <f>O2549</f>
        <v>0</v>
      </c>
      <c r="P2548" s="64">
        <f>P2549</f>
        <v>0</v>
      </c>
      <c r="Q2548" s="64">
        <f>Q2549</f>
        <v>0</v>
      </c>
      <c r="R2548" s="64">
        <f>R2549</f>
        <v>0</v>
      </c>
      <c r="S2548" s="64"/>
      <c r="T2548" s="36"/>
      <c r="XDA2548"/>
      <c r="XDB2548"/>
      <c r="XDC2548"/>
      <c r="XDD2548"/>
      <c r="XDE2548"/>
      <c r="XDF2548"/>
      <c r="XDG2548"/>
      <c r="XDH2548"/>
      <c r="XDI2548"/>
      <c r="XDJ2548"/>
      <c r="XDK2548"/>
      <c r="XDL2548"/>
      <c r="XDM2548"/>
      <c r="XDN2548"/>
      <c r="XDO2548"/>
      <c r="XDP2548"/>
      <c r="XDQ2548"/>
      <c r="XDR2548"/>
      <c r="XDS2548"/>
      <c r="XDT2548"/>
      <c r="XDU2548"/>
      <c r="XDV2548"/>
      <c r="XDW2548"/>
      <c r="XDX2548"/>
      <c r="XDY2548"/>
      <c r="XDZ2548"/>
      <c r="XEA2548"/>
      <c r="XEB2548"/>
      <c r="XEC2548"/>
      <c r="XED2548"/>
      <c r="XEE2548"/>
      <c r="XEF2548"/>
      <c r="XEG2548"/>
      <c r="XEH2548"/>
      <c r="XEI2548"/>
      <c r="XEJ2548"/>
      <c r="XEK2548"/>
      <c r="XEL2548"/>
      <c r="XEM2548"/>
      <c r="XEN2548"/>
      <c r="XEO2548"/>
      <c r="XEP2548"/>
      <c r="XEQ2548"/>
      <c r="XER2548"/>
      <c r="XES2548"/>
      <c r="XET2548"/>
      <c r="XEU2548"/>
      <c r="XEV2548"/>
      <c r="XEW2548"/>
      <c r="XEX2548"/>
      <c r="XEY2548"/>
      <c r="XEZ2548"/>
      <c r="XFA2548"/>
      <c r="XFB2548"/>
      <c r="XFC2548"/>
    </row>
    <row r="2549" spans="1:20 16329:16383" s="38" customFormat="1" ht="29.1" customHeight="1" outlineLevel="5" x14ac:dyDescent="0.25">
      <c r="A2549" s="49" t="s">
        <v>4638</v>
      </c>
      <c r="B2549" s="50"/>
      <c r="C2549" s="50"/>
      <c r="D2549" s="3" t="s">
        <v>4630</v>
      </c>
      <c r="E2549" s="3"/>
      <c r="F2549" s="51"/>
      <c r="G2549" s="50" t="s">
        <v>102</v>
      </c>
      <c r="H2549" s="52">
        <f>1</f>
        <v>1</v>
      </c>
      <c r="I2549" s="36"/>
      <c r="J2549" s="52">
        <v>1</v>
      </c>
      <c r="K2549" s="53">
        <f>0</f>
        <v>0</v>
      </c>
      <c r="L2549" s="53">
        <f>0</f>
        <v>0</v>
      </c>
      <c r="M2549" s="53">
        <f>0</f>
        <v>0</v>
      </c>
      <c r="N2549" s="54">
        <f>SUM(K2549:M2549)</f>
        <v>0</v>
      </c>
      <c r="O2549" s="54">
        <f>ROUND((H2549*K2549),2)</f>
        <v>0</v>
      </c>
      <c r="P2549" s="54">
        <f>ROUND((H2549*L2549),2)</f>
        <v>0</v>
      </c>
      <c r="Q2549" s="54">
        <f>ROUND((H2549*M2549),2)</f>
        <v>0</v>
      </c>
      <c r="R2549" s="54">
        <f>ROUND((H2549*N2549),2)</f>
        <v>0</v>
      </c>
      <c r="S2549" s="54"/>
      <c r="T2549" s="36"/>
      <c r="XDA2549"/>
      <c r="XDB2549"/>
      <c r="XDC2549"/>
      <c r="XDD2549"/>
      <c r="XDE2549"/>
      <c r="XDF2549"/>
      <c r="XDG2549"/>
      <c r="XDH2549"/>
      <c r="XDI2549"/>
      <c r="XDJ2549"/>
      <c r="XDK2549"/>
      <c r="XDL2549"/>
      <c r="XDM2549"/>
      <c r="XDN2549"/>
      <c r="XDO2549"/>
      <c r="XDP2549"/>
      <c r="XDQ2549"/>
      <c r="XDR2549"/>
      <c r="XDS2549"/>
      <c r="XDT2549"/>
      <c r="XDU2549"/>
      <c r="XDV2549"/>
      <c r="XDW2549"/>
      <c r="XDX2549"/>
      <c r="XDY2549"/>
      <c r="XDZ2549"/>
      <c r="XEA2549"/>
      <c r="XEB2549"/>
      <c r="XEC2549"/>
      <c r="XED2549"/>
      <c r="XEE2549"/>
      <c r="XEF2549"/>
      <c r="XEG2549"/>
      <c r="XEH2549"/>
      <c r="XEI2549"/>
      <c r="XEJ2549"/>
      <c r="XEK2549"/>
      <c r="XEL2549"/>
      <c r="XEM2549"/>
      <c r="XEN2549"/>
      <c r="XEO2549"/>
      <c r="XEP2549"/>
      <c r="XEQ2549"/>
      <c r="XER2549"/>
      <c r="XES2549"/>
      <c r="XET2549"/>
      <c r="XEU2549"/>
      <c r="XEV2549"/>
      <c r="XEW2549"/>
      <c r="XEX2549"/>
      <c r="XEY2549"/>
      <c r="XEZ2549"/>
      <c r="XFA2549"/>
      <c r="XFB2549"/>
      <c r="XFC2549"/>
    </row>
    <row r="2550" spans="1:20 16329:16383" s="38" customFormat="1" ht="29.1" customHeight="1" outlineLevel="3" x14ac:dyDescent="0.25">
      <c r="A2550" s="55" t="s">
        <v>4639</v>
      </c>
      <c r="B2550" s="56" t="s">
        <v>4640</v>
      </c>
      <c r="C2550" s="56"/>
      <c r="D2550" s="2" t="s">
        <v>919</v>
      </c>
      <c r="E2550" s="2"/>
      <c r="F2550" s="57"/>
      <c r="G2550" s="56"/>
      <c r="H2550" s="58"/>
      <c r="I2550" s="36"/>
      <c r="J2550" s="58"/>
      <c r="K2550" s="59"/>
      <c r="L2550" s="59"/>
      <c r="M2550" s="59"/>
      <c r="N2550" s="59"/>
      <c r="O2550" s="59">
        <f>O2551+O2553</f>
        <v>0</v>
      </c>
      <c r="P2550" s="59">
        <f>P2551+P2553</f>
        <v>0</v>
      </c>
      <c r="Q2550" s="59">
        <f>Q2551+Q2553</f>
        <v>0</v>
      </c>
      <c r="R2550" s="59">
        <f>R2551+R2553</f>
        <v>0</v>
      </c>
      <c r="S2550" s="59"/>
      <c r="T2550" s="36"/>
      <c r="XDA2550"/>
      <c r="XDB2550"/>
      <c r="XDC2550"/>
      <c r="XDD2550"/>
      <c r="XDE2550"/>
      <c r="XDF2550"/>
      <c r="XDG2550"/>
      <c r="XDH2550"/>
      <c r="XDI2550"/>
      <c r="XDJ2550"/>
      <c r="XDK2550"/>
      <c r="XDL2550"/>
      <c r="XDM2550"/>
      <c r="XDN2550"/>
      <c r="XDO2550"/>
      <c r="XDP2550"/>
      <c r="XDQ2550"/>
      <c r="XDR2550"/>
      <c r="XDS2550"/>
      <c r="XDT2550"/>
      <c r="XDU2550"/>
      <c r="XDV2550"/>
      <c r="XDW2550"/>
      <c r="XDX2550"/>
      <c r="XDY2550"/>
      <c r="XDZ2550"/>
      <c r="XEA2550"/>
      <c r="XEB2550"/>
      <c r="XEC2550"/>
      <c r="XED2550"/>
      <c r="XEE2550"/>
      <c r="XEF2550"/>
      <c r="XEG2550"/>
      <c r="XEH2550"/>
      <c r="XEI2550"/>
      <c r="XEJ2550"/>
      <c r="XEK2550"/>
      <c r="XEL2550"/>
      <c r="XEM2550"/>
      <c r="XEN2550"/>
      <c r="XEO2550"/>
      <c r="XEP2550"/>
      <c r="XEQ2550"/>
      <c r="XER2550"/>
      <c r="XES2550"/>
      <c r="XET2550"/>
      <c r="XEU2550"/>
      <c r="XEV2550"/>
      <c r="XEW2550"/>
      <c r="XEX2550"/>
      <c r="XEY2550"/>
      <c r="XEZ2550"/>
      <c r="XFA2550"/>
      <c r="XFB2550"/>
      <c r="XFC2550"/>
    </row>
    <row r="2551" spans="1:20 16329:16383" s="38" customFormat="1" ht="29.1" customHeight="1" outlineLevel="4" x14ac:dyDescent="0.25">
      <c r="A2551" s="60" t="s">
        <v>4641</v>
      </c>
      <c r="B2551" s="61" t="s">
        <v>4642</v>
      </c>
      <c r="C2551" s="61"/>
      <c r="D2551" s="1" t="s">
        <v>4623</v>
      </c>
      <c r="E2551" s="1"/>
      <c r="F2551" s="62"/>
      <c r="G2551" s="61"/>
      <c r="H2551" s="63"/>
      <c r="I2551" s="36"/>
      <c r="J2551" s="63"/>
      <c r="K2551" s="64"/>
      <c r="L2551" s="64"/>
      <c r="M2551" s="64"/>
      <c r="N2551" s="64"/>
      <c r="O2551" s="64">
        <f>O2552</f>
        <v>0</v>
      </c>
      <c r="P2551" s="64">
        <f>P2552</f>
        <v>0</v>
      </c>
      <c r="Q2551" s="64">
        <f>Q2552</f>
        <v>0</v>
      </c>
      <c r="R2551" s="64">
        <f>R2552</f>
        <v>0</v>
      </c>
      <c r="S2551" s="64"/>
      <c r="T2551" s="36"/>
      <c r="XDA2551"/>
      <c r="XDB2551"/>
      <c r="XDC2551"/>
      <c r="XDD2551"/>
      <c r="XDE2551"/>
      <c r="XDF2551"/>
      <c r="XDG2551"/>
      <c r="XDH2551"/>
      <c r="XDI2551"/>
      <c r="XDJ2551"/>
      <c r="XDK2551"/>
      <c r="XDL2551"/>
      <c r="XDM2551"/>
      <c r="XDN2551"/>
      <c r="XDO2551"/>
      <c r="XDP2551"/>
      <c r="XDQ2551"/>
      <c r="XDR2551"/>
      <c r="XDS2551"/>
      <c r="XDT2551"/>
      <c r="XDU2551"/>
      <c r="XDV2551"/>
      <c r="XDW2551"/>
      <c r="XDX2551"/>
      <c r="XDY2551"/>
      <c r="XDZ2551"/>
      <c r="XEA2551"/>
      <c r="XEB2551"/>
      <c r="XEC2551"/>
      <c r="XED2551"/>
      <c r="XEE2551"/>
      <c r="XEF2551"/>
      <c r="XEG2551"/>
      <c r="XEH2551"/>
      <c r="XEI2551"/>
      <c r="XEJ2551"/>
      <c r="XEK2551"/>
      <c r="XEL2551"/>
      <c r="XEM2551"/>
      <c r="XEN2551"/>
      <c r="XEO2551"/>
      <c r="XEP2551"/>
      <c r="XEQ2551"/>
      <c r="XER2551"/>
      <c r="XES2551"/>
      <c r="XET2551"/>
      <c r="XEU2551"/>
      <c r="XEV2551"/>
      <c r="XEW2551"/>
      <c r="XEX2551"/>
      <c r="XEY2551"/>
      <c r="XEZ2551"/>
      <c r="XFA2551"/>
      <c r="XFB2551"/>
      <c r="XFC2551"/>
    </row>
    <row r="2552" spans="1:20 16329:16383" s="38" customFormat="1" ht="29.1" customHeight="1" outlineLevel="5" x14ac:dyDescent="0.25">
      <c r="A2552" s="49" t="s">
        <v>4643</v>
      </c>
      <c r="B2552" s="50"/>
      <c r="C2552" s="50"/>
      <c r="D2552" s="3" t="s">
        <v>4625</v>
      </c>
      <c r="E2552" s="3"/>
      <c r="F2552" s="51"/>
      <c r="G2552" s="50" t="s">
        <v>102</v>
      </c>
      <c r="H2552" s="52">
        <f>1</f>
        <v>1</v>
      </c>
      <c r="I2552" s="36"/>
      <c r="J2552" s="52">
        <v>1</v>
      </c>
      <c r="K2552" s="53">
        <f>0</f>
        <v>0</v>
      </c>
      <c r="L2552" s="53">
        <f>0</f>
        <v>0</v>
      </c>
      <c r="M2552" s="53">
        <f>0</f>
        <v>0</v>
      </c>
      <c r="N2552" s="54">
        <f>SUM(K2552:M2552)</f>
        <v>0</v>
      </c>
      <c r="O2552" s="54">
        <f>ROUND((H2552*K2552),2)</f>
        <v>0</v>
      </c>
      <c r="P2552" s="54">
        <f>ROUND((H2552*L2552),2)</f>
        <v>0</v>
      </c>
      <c r="Q2552" s="54">
        <f>ROUND((H2552*M2552),2)</f>
        <v>0</v>
      </c>
      <c r="R2552" s="54">
        <f>ROUND((H2552*N2552),2)</f>
        <v>0</v>
      </c>
      <c r="S2552" s="54"/>
      <c r="T2552" s="36"/>
      <c r="XDA2552"/>
      <c r="XDB2552"/>
      <c r="XDC2552"/>
      <c r="XDD2552"/>
      <c r="XDE2552"/>
      <c r="XDF2552"/>
      <c r="XDG2552"/>
      <c r="XDH2552"/>
      <c r="XDI2552"/>
      <c r="XDJ2552"/>
      <c r="XDK2552"/>
      <c r="XDL2552"/>
      <c r="XDM2552"/>
      <c r="XDN2552"/>
      <c r="XDO2552"/>
      <c r="XDP2552"/>
      <c r="XDQ2552"/>
      <c r="XDR2552"/>
      <c r="XDS2552"/>
      <c r="XDT2552"/>
      <c r="XDU2552"/>
      <c r="XDV2552"/>
      <c r="XDW2552"/>
      <c r="XDX2552"/>
      <c r="XDY2552"/>
      <c r="XDZ2552"/>
      <c r="XEA2552"/>
      <c r="XEB2552"/>
      <c r="XEC2552"/>
      <c r="XED2552"/>
      <c r="XEE2552"/>
      <c r="XEF2552"/>
      <c r="XEG2552"/>
      <c r="XEH2552"/>
      <c r="XEI2552"/>
      <c r="XEJ2552"/>
      <c r="XEK2552"/>
      <c r="XEL2552"/>
      <c r="XEM2552"/>
      <c r="XEN2552"/>
      <c r="XEO2552"/>
      <c r="XEP2552"/>
      <c r="XEQ2552"/>
      <c r="XER2552"/>
      <c r="XES2552"/>
      <c r="XET2552"/>
      <c r="XEU2552"/>
      <c r="XEV2552"/>
      <c r="XEW2552"/>
      <c r="XEX2552"/>
      <c r="XEY2552"/>
      <c r="XEZ2552"/>
      <c r="XFA2552"/>
      <c r="XFB2552"/>
      <c r="XFC2552"/>
    </row>
    <row r="2553" spans="1:20 16329:16383" s="38" customFormat="1" ht="29.1" customHeight="1" outlineLevel="4" x14ac:dyDescent="0.25">
      <c r="A2553" s="60" t="s">
        <v>4644</v>
      </c>
      <c r="B2553" s="61" t="s">
        <v>4645</v>
      </c>
      <c r="C2553" s="61"/>
      <c r="D2553" s="1" t="s">
        <v>4628</v>
      </c>
      <c r="E2553" s="1"/>
      <c r="F2553" s="62"/>
      <c r="G2553" s="61"/>
      <c r="H2553" s="63"/>
      <c r="I2553" s="36"/>
      <c r="J2553" s="63"/>
      <c r="K2553" s="64"/>
      <c r="L2553" s="64"/>
      <c r="M2553" s="64"/>
      <c r="N2553" s="64"/>
      <c r="O2553" s="64">
        <f>O2554</f>
        <v>0</v>
      </c>
      <c r="P2553" s="64">
        <f>P2554</f>
        <v>0</v>
      </c>
      <c r="Q2553" s="64">
        <f>Q2554</f>
        <v>0</v>
      </c>
      <c r="R2553" s="64">
        <f>R2554</f>
        <v>0</v>
      </c>
      <c r="S2553" s="64"/>
      <c r="T2553" s="36"/>
      <c r="XDA2553"/>
      <c r="XDB2553"/>
      <c r="XDC2553"/>
      <c r="XDD2553"/>
      <c r="XDE2553"/>
      <c r="XDF2553"/>
      <c r="XDG2553"/>
      <c r="XDH2553"/>
      <c r="XDI2553"/>
      <c r="XDJ2553"/>
      <c r="XDK2553"/>
      <c r="XDL2553"/>
      <c r="XDM2553"/>
      <c r="XDN2553"/>
      <c r="XDO2553"/>
      <c r="XDP2553"/>
      <c r="XDQ2553"/>
      <c r="XDR2553"/>
      <c r="XDS2553"/>
      <c r="XDT2553"/>
      <c r="XDU2553"/>
      <c r="XDV2553"/>
      <c r="XDW2553"/>
      <c r="XDX2553"/>
      <c r="XDY2553"/>
      <c r="XDZ2553"/>
      <c r="XEA2553"/>
      <c r="XEB2553"/>
      <c r="XEC2553"/>
      <c r="XED2553"/>
      <c r="XEE2553"/>
      <c r="XEF2553"/>
      <c r="XEG2553"/>
      <c r="XEH2553"/>
      <c r="XEI2553"/>
      <c r="XEJ2553"/>
      <c r="XEK2553"/>
      <c r="XEL2553"/>
      <c r="XEM2553"/>
      <c r="XEN2553"/>
      <c r="XEO2553"/>
      <c r="XEP2553"/>
      <c r="XEQ2553"/>
      <c r="XER2553"/>
      <c r="XES2553"/>
      <c r="XET2553"/>
      <c r="XEU2553"/>
      <c r="XEV2553"/>
      <c r="XEW2553"/>
      <c r="XEX2553"/>
      <c r="XEY2553"/>
      <c r="XEZ2553"/>
      <c r="XFA2553"/>
      <c r="XFB2553"/>
      <c r="XFC2553"/>
    </row>
    <row r="2554" spans="1:20 16329:16383" s="38" customFormat="1" ht="29.1" customHeight="1" outlineLevel="5" x14ac:dyDescent="0.25">
      <c r="A2554" s="49" t="s">
        <v>4646</v>
      </c>
      <c r="B2554" s="50"/>
      <c r="C2554" s="50"/>
      <c r="D2554" s="3" t="s">
        <v>4630</v>
      </c>
      <c r="E2554" s="3"/>
      <c r="F2554" s="51"/>
      <c r="G2554" s="50" t="s">
        <v>102</v>
      </c>
      <c r="H2554" s="52">
        <f>1</f>
        <v>1</v>
      </c>
      <c r="I2554" s="36"/>
      <c r="J2554" s="52">
        <v>1</v>
      </c>
      <c r="K2554" s="53">
        <f>0</f>
        <v>0</v>
      </c>
      <c r="L2554" s="53">
        <f>0</f>
        <v>0</v>
      </c>
      <c r="M2554" s="53">
        <f>0</f>
        <v>0</v>
      </c>
      <c r="N2554" s="54">
        <f>SUM(K2554:M2554)</f>
        <v>0</v>
      </c>
      <c r="O2554" s="54">
        <f>ROUND((H2554*K2554),2)</f>
        <v>0</v>
      </c>
      <c r="P2554" s="54">
        <f>ROUND((H2554*L2554),2)</f>
        <v>0</v>
      </c>
      <c r="Q2554" s="54">
        <f>ROUND((H2554*M2554),2)</f>
        <v>0</v>
      </c>
      <c r="R2554" s="54">
        <f>ROUND((H2554*N2554),2)</f>
        <v>0</v>
      </c>
      <c r="S2554" s="54"/>
      <c r="T2554" s="36"/>
      <c r="XDA2554"/>
      <c r="XDB2554"/>
      <c r="XDC2554"/>
      <c r="XDD2554"/>
      <c r="XDE2554"/>
      <c r="XDF2554"/>
      <c r="XDG2554"/>
      <c r="XDH2554"/>
      <c r="XDI2554"/>
      <c r="XDJ2554"/>
      <c r="XDK2554"/>
      <c r="XDL2554"/>
      <c r="XDM2554"/>
      <c r="XDN2554"/>
      <c r="XDO2554"/>
      <c r="XDP2554"/>
      <c r="XDQ2554"/>
      <c r="XDR2554"/>
      <c r="XDS2554"/>
      <c r="XDT2554"/>
      <c r="XDU2554"/>
      <c r="XDV2554"/>
      <c r="XDW2554"/>
      <c r="XDX2554"/>
      <c r="XDY2554"/>
      <c r="XDZ2554"/>
      <c r="XEA2554"/>
      <c r="XEB2554"/>
      <c r="XEC2554"/>
      <c r="XED2554"/>
      <c r="XEE2554"/>
      <c r="XEF2554"/>
      <c r="XEG2554"/>
      <c r="XEH2554"/>
      <c r="XEI2554"/>
      <c r="XEJ2554"/>
      <c r="XEK2554"/>
      <c r="XEL2554"/>
      <c r="XEM2554"/>
      <c r="XEN2554"/>
      <c r="XEO2554"/>
      <c r="XEP2554"/>
      <c r="XEQ2554"/>
      <c r="XER2554"/>
      <c r="XES2554"/>
      <c r="XET2554"/>
      <c r="XEU2554"/>
      <c r="XEV2554"/>
      <c r="XEW2554"/>
      <c r="XEX2554"/>
      <c r="XEY2554"/>
      <c r="XEZ2554"/>
      <c r="XFA2554"/>
      <c r="XFB2554"/>
      <c r="XFC2554"/>
    </row>
    <row r="2555" spans="1:20 16329:16383" s="38" customFormat="1" ht="29.1" customHeight="1" outlineLevel="3" x14ac:dyDescent="0.25">
      <c r="A2555" s="55" t="s">
        <v>4647</v>
      </c>
      <c r="B2555" s="56" t="s">
        <v>4648</v>
      </c>
      <c r="C2555" s="56"/>
      <c r="D2555" s="2" t="s">
        <v>956</v>
      </c>
      <c r="E2555" s="2"/>
      <c r="F2555" s="57"/>
      <c r="G2555" s="56"/>
      <c r="H2555" s="58"/>
      <c r="I2555" s="36"/>
      <c r="J2555" s="58"/>
      <c r="K2555" s="59"/>
      <c r="L2555" s="59"/>
      <c r="M2555" s="59"/>
      <c r="N2555" s="59"/>
      <c r="O2555" s="59">
        <f>O2556+O2558</f>
        <v>0</v>
      </c>
      <c r="P2555" s="59">
        <f>P2556+P2558</f>
        <v>0</v>
      </c>
      <c r="Q2555" s="59">
        <f>Q2556+Q2558</f>
        <v>0</v>
      </c>
      <c r="R2555" s="59">
        <f>R2556+R2558</f>
        <v>0</v>
      </c>
      <c r="S2555" s="59"/>
      <c r="T2555" s="36"/>
      <c r="XDA2555"/>
      <c r="XDB2555"/>
      <c r="XDC2555"/>
      <c r="XDD2555"/>
      <c r="XDE2555"/>
      <c r="XDF2555"/>
      <c r="XDG2555"/>
      <c r="XDH2555"/>
      <c r="XDI2555"/>
      <c r="XDJ2555"/>
      <c r="XDK2555"/>
      <c r="XDL2555"/>
      <c r="XDM2555"/>
      <c r="XDN2555"/>
      <c r="XDO2555"/>
      <c r="XDP2555"/>
      <c r="XDQ2555"/>
      <c r="XDR2555"/>
      <c r="XDS2555"/>
      <c r="XDT2555"/>
      <c r="XDU2555"/>
      <c r="XDV2555"/>
      <c r="XDW2555"/>
      <c r="XDX2555"/>
      <c r="XDY2555"/>
      <c r="XDZ2555"/>
      <c r="XEA2555"/>
      <c r="XEB2555"/>
      <c r="XEC2555"/>
      <c r="XED2555"/>
      <c r="XEE2555"/>
      <c r="XEF2555"/>
      <c r="XEG2555"/>
      <c r="XEH2555"/>
      <c r="XEI2555"/>
      <c r="XEJ2555"/>
      <c r="XEK2555"/>
      <c r="XEL2555"/>
      <c r="XEM2555"/>
      <c r="XEN2555"/>
      <c r="XEO2555"/>
      <c r="XEP2555"/>
      <c r="XEQ2555"/>
      <c r="XER2555"/>
      <c r="XES2555"/>
      <c r="XET2555"/>
      <c r="XEU2555"/>
      <c r="XEV2555"/>
      <c r="XEW2555"/>
      <c r="XEX2555"/>
      <c r="XEY2555"/>
      <c r="XEZ2555"/>
      <c r="XFA2555"/>
      <c r="XFB2555"/>
      <c r="XFC2555"/>
    </row>
    <row r="2556" spans="1:20 16329:16383" s="38" customFormat="1" ht="29.1" customHeight="1" outlineLevel="4" x14ac:dyDescent="0.25">
      <c r="A2556" s="60" t="s">
        <v>4649</v>
      </c>
      <c r="B2556" s="61" t="s">
        <v>4650</v>
      </c>
      <c r="C2556" s="61"/>
      <c r="D2556" s="1" t="s">
        <v>4623</v>
      </c>
      <c r="E2556" s="1"/>
      <c r="F2556" s="62"/>
      <c r="G2556" s="61"/>
      <c r="H2556" s="63"/>
      <c r="I2556" s="36"/>
      <c r="J2556" s="63"/>
      <c r="K2556" s="64"/>
      <c r="L2556" s="64"/>
      <c r="M2556" s="64"/>
      <c r="N2556" s="64"/>
      <c r="O2556" s="64">
        <f>O2557</f>
        <v>0</v>
      </c>
      <c r="P2556" s="64">
        <f>P2557</f>
        <v>0</v>
      </c>
      <c r="Q2556" s="64">
        <f>Q2557</f>
        <v>0</v>
      </c>
      <c r="R2556" s="64">
        <f>R2557</f>
        <v>0</v>
      </c>
      <c r="S2556" s="64"/>
      <c r="T2556" s="36"/>
      <c r="XDA2556"/>
      <c r="XDB2556"/>
      <c r="XDC2556"/>
      <c r="XDD2556"/>
      <c r="XDE2556"/>
      <c r="XDF2556"/>
      <c r="XDG2556"/>
      <c r="XDH2556"/>
      <c r="XDI2556"/>
      <c r="XDJ2556"/>
      <c r="XDK2556"/>
      <c r="XDL2556"/>
      <c r="XDM2556"/>
      <c r="XDN2556"/>
      <c r="XDO2556"/>
      <c r="XDP2556"/>
      <c r="XDQ2556"/>
      <c r="XDR2556"/>
      <c r="XDS2556"/>
      <c r="XDT2556"/>
      <c r="XDU2556"/>
      <c r="XDV2556"/>
      <c r="XDW2556"/>
      <c r="XDX2556"/>
      <c r="XDY2556"/>
      <c r="XDZ2556"/>
      <c r="XEA2556"/>
      <c r="XEB2556"/>
      <c r="XEC2556"/>
      <c r="XED2556"/>
      <c r="XEE2556"/>
      <c r="XEF2556"/>
      <c r="XEG2556"/>
      <c r="XEH2556"/>
      <c r="XEI2556"/>
      <c r="XEJ2556"/>
      <c r="XEK2556"/>
      <c r="XEL2556"/>
      <c r="XEM2556"/>
      <c r="XEN2556"/>
      <c r="XEO2556"/>
      <c r="XEP2556"/>
      <c r="XEQ2556"/>
      <c r="XER2556"/>
      <c r="XES2556"/>
      <c r="XET2556"/>
      <c r="XEU2556"/>
      <c r="XEV2556"/>
      <c r="XEW2556"/>
      <c r="XEX2556"/>
      <c r="XEY2556"/>
      <c r="XEZ2556"/>
      <c r="XFA2556"/>
      <c r="XFB2556"/>
      <c r="XFC2556"/>
    </row>
    <row r="2557" spans="1:20 16329:16383" s="38" customFormat="1" ht="29.1" customHeight="1" outlineLevel="5" x14ac:dyDescent="0.25">
      <c r="A2557" s="49" t="s">
        <v>4651</v>
      </c>
      <c r="B2557" s="50"/>
      <c r="C2557" s="50"/>
      <c r="D2557" s="3" t="s">
        <v>4625</v>
      </c>
      <c r="E2557" s="3"/>
      <c r="F2557" s="51"/>
      <c r="G2557" s="50" t="s">
        <v>102</v>
      </c>
      <c r="H2557" s="52">
        <f>1</f>
        <v>1</v>
      </c>
      <c r="I2557" s="36"/>
      <c r="J2557" s="52">
        <v>1</v>
      </c>
      <c r="K2557" s="53">
        <f>0</f>
        <v>0</v>
      </c>
      <c r="L2557" s="53">
        <f>0</f>
        <v>0</v>
      </c>
      <c r="M2557" s="53">
        <f>0</f>
        <v>0</v>
      </c>
      <c r="N2557" s="54">
        <f>SUM(K2557:M2557)</f>
        <v>0</v>
      </c>
      <c r="O2557" s="54">
        <f>ROUND((H2557*K2557),2)</f>
        <v>0</v>
      </c>
      <c r="P2557" s="54">
        <f>ROUND((H2557*L2557),2)</f>
        <v>0</v>
      </c>
      <c r="Q2557" s="54">
        <f>ROUND((H2557*M2557),2)</f>
        <v>0</v>
      </c>
      <c r="R2557" s="54">
        <f>ROUND((H2557*N2557),2)</f>
        <v>0</v>
      </c>
      <c r="S2557" s="54"/>
      <c r="T2557" s="36"/>
      <c r="XDA2557"/>
      <c r="XDB2557"/>
      <c r="XDC2557"/>
      <c r="XDD2557"/>
      <c r="XDE2557"/>
      <c r="XDF2557"/>
      <c r="XDG2557"/>
      <c r="XDH2557"/>
      <c r="XDI2557"/>
      <c r="XDJ2557"/>
      <c r="XDK2557"/>
      <c r="XDL2557"/>
      <c r="XDM2557"/>
      <c r="XDN2557"/>
      <c r="XDO2557"/>
      <c r="XDP2557"/>
      <c r="XDQ2557"/>
      <c r="XDR2557"/>
      <c r="XDS2557"/>
      <c r="XDT2557"/>
      <c r="XDU2557"/>
      <c r="XDV2557"/>
      <c r="XDW2557"/>
      <c r="XDX2557"/>
      <c r="XDY2557"/>
      <c r="XDZ2557"/>
      <c r="XEA2557"/>
      <c r="XEB2557"/>
      <c r="XEC2557"/>
      <c r="XED2557"/>
      <c r="XEE2557"/>
      <c r="XEF2557"/>
      <c r="XEG2557"/>
      <c r="XEH2557"/>
      <c r="XEI2557"/>
      <c r="XEJ2557"/>
      <c r="XEK2557"/>
      <c r="XEL2557"/>
      <c r="XEM2557"/>
      <c r="XEN2557"/>
      <c r="XEO2557"/>
      <c r="XEP2557"/>
      <c r="XEQ2557"/>
      <c r="XER2557"/>
      <c r="XES2557"/>
      <c r="XET2557"/>
      <c r="XEU2557"/>
      <c r="XEV2557"/>
      <c r="XEW2557"/>
      <c r="XEX2557"/>
      <c r="XEY2557"/>
      <c r="XEZ2557"/>
      <c r="XFA2557"/>
      <c r="XFB2557"/>
      <c r="XFC2557"/>
    </row>
    <row r="2558" spans="1:20 16329:16383" s="38" customFormat="1" ht="29.1" customHeight="1" outlineLevel="4" x14ac:dyDescent="0.25">
      <c r="A2558" s="60" t="s">
        <v>4652</v>
      </c>
      <c r="B2558" s="61" t="s">
        <v>4653</v>
      </c>
      <c r="C2558" s="61"/>
      <c r="D2558" s="1" t="s">
        <v>4628</v>
      </c>
      <c r="E2558" s="1"/>
      <c r="F2558" s="62"/>
      <c r="G2558" s="61"/>
      <c r="H2558" s="63"/>
      <c r="I2558" s="36"/>
      <c r="J2558" s="63"/>
      <c r="K2558" s="64"/>
      <c r="L2558" s="64"/>
      <c r="M2558" s="64"/>
      <c r="N2558" s="64"/>
      <c r="O2558" s="64">
        <f>O2559</f>
        <v>0</v>
      </c>
      <c r="P2558" s="64">
        <f>P2559</f>
        <v>0</v>
      </c>
      <c r="Q2558" s="64">
        <f>Q2559</f>
        <v>0</v>
      </c>
      <c r="R2558" s="64">
        <f>R2559</f>
        <v>0</v>
      </c>
      <c r="S2558" s="64"/>
      <c r="T2558" s="36"/>
      <c r="XDA2558"/>
      <c r="XDB2558"/>
      <c r="XDC2558"/>
      <c r="XDD2558"/>
      <c r="XDE2558"/>
      <c r="XDF2558"/>
      <c r="XDG2558"/>
      <c r="XDH2558"/>
      <c r="XDI2558"/>
      <c r="XDJ2558"/>
      <c r="XDK2558"/>
      <c r="XDL2558"/>
      <c r="XDM2558"/>
      <c r="XDN2558"/>
      <c r="XDO2558"/>
      <c r="XDP2558"/>
      <c r="XDQ2558"/>
      <c r="XDR2558"/>
      <c r="XDS2558"/>
      <c r="XDT2558"/>
      <c r="XDU2558"/>
      <c r="XDV2558"/>
      <c r="XDW2558"/>
      <c r="XDX2558"/>
      <c r="XDY2558"/>
      <c r="XDZ2558"/>
      <c r="XEA2558"/>
      <c r="XEB2558"/>
      <c r="XEC2558"/>
      <c r="XED2558"/>
      <c r="XEE2558"/>
      <c r="XEF2558"/>
      <c r="XEG2558"/>
      <c r="XEH2558"/>
      <c r="XEI2558"/>
      <c r="XEJ2558"/>
      <c r="XEK2558"/>
      <c r="XEL2558"/>
      <c r="XEM2558"/>
      <c r="XEN2558"/>
      <c r="XEO2558"/>
      <c r="XEP2558"/>
      <c r="XEQ2558"/>
      <c r="XER2558"/>
      <c r="XES2558"/>
      <c r="XET2558"/>
      <c r="XEU2558"/>
      <c r="XEV2558"/>
      <c r="XEW2558"/>
      <c r="XEX2558"/>
      <c r="XEY2558"/>
      <c r="XEZ2558"/>
      <c r="XFA2558"/>
      <c r="XFB2558"/>
      <c r="XFC2558"/>
    </row>
    <row r="2559" spans="1:20 16329:16383" s="38" customFormat="1" ht="29.1" customHeight="1" outlineLevel="5" x14ac:dyDescent="0.25">
      <c r="A2559" s="49" t="s">
        <v>4654</v>
      </c>
      <c r="B2559" s="50"/>
      <c r="C2559" s="50"/>
      <c r="D2559" s="3" t="s">
        <v>4630</v>
      </c>
      <c r="E2559" s="3"/>
      <c r="F2559" s="51"/>
      <c r="G2559" s="50" t="s">
        <v>102</v>
      </c>
      <c r="H2559" s="52">
        <f>1</f>
        <v>1</v>
      </c>
      <c r="I2559" s="36"/>
      <c r="J2559" s="52">
        <v>1</v>
      </c>
      <c r="K2559" s="53">
        <f>0</f>
        <v>0</v>
      </c>
      <c r="L2559" s="53">
        <f>0</f>
        <v>0</v>
      </c>
      <c r="M2559" s="53">
        <f>0</f>
        <v>0</v>
      </c>
      <c r="N2559" s="54">
        <f>SUM(K2559:M2559)</f>
        <v>0</v>
      </c>
      <c r="O2559" s="54">
        <f>ROUND((H2559*K2559),2)</f>
        <v>0</v>
      </c>
      <c r="P2559" s="54">
        <f>ROUND((H2559*L2559),2)</f>
        <v>0</v>
      </c>
      <c r="Q2559" s="54">
        <f>ROUND((H2559*M2559),2)</f>
        <v>0</v>
      </c>
      <c r="R2559" s="54">
        <f>ROUND((H2559*N2559),2)</f>
        <v>0</v>
      </c>
      <c r="S2559" s="54"/>
      <c r="T2559" s="36"/>
      <c r="XDA2559"/>
      <c r="XDB2559"/>
      <c r="XDC2559"/>
      <c r="XDD2559"/>
      <c r="XDE2559"/>
      <c r="XDF2559"/>
      <c r="XDG2559"/>
      <c r="XDH2559"/>
      <c r="XDI2559"/>
      <c r="XDJ2559"/>
      <c r="XDK2559"/>
      <c r="XDL2559"/>
      <c r="XDM2559"/>
      <c r="XDN2559"/>
      <c r="XDO2559"/>
      <c r="XDP2559"/>
      <c r="XDQ2559"/>
      <c r="XDR2559"/>
      <c r="XDS2559"/>
      <c r="XDT2559"/>
      <c r="XDU2559"/>
      <c r="XDV2559"/>
      <c r="XDW2559"/>
      <c r="XDX2559"/>
      <c r="XDY2559"/>
      <c r="XDZ2559"/>
      <c r="XEA2559"/>
      <c r="XEB2559"/>
      <c r="XEC2559"/>
      <c r="XED2559"/>
      <c r="XEE2559"/>
      <c r="XEF2559"/>
      <c r="XEG2559"/>
      <c r="XEH2559"/>
      <c r="XEI2559"/>
      <c r="XEJ2559"/>
      <c r="XEK2559"/>
      <c r="XEL2559"/>
      <c r="XEM2559"/>
      <c r="XEN2559"/>
      <c r="XEO2559"/>
      <c r="XEP2559"/>
      <c r="XEQ2559"/>
      <c r="XER2559"/>
      <c r="XES2559"/>
      <c r="XET2559"/>
      <c r="XEU2559"/>
      <c r="XEV2559"/>
      <c r="XEW2559"/>
      <c r="XEX2559"/>
      <c r="XEY2559"/>
      <c r="XEZ2559"/>
      <c r="XFA2559"/>
      <c r="XFB2559"/>
      <c r="XFC2559"/>
    </row>
    <row r="2560" spans="1:20 16329:16383" s="38" customFormat="1" ht="29.1" customHeight="1" outlineLevel="2" x14ac:dyDescent="0.25">
      <c r="A2560" s="44" t="s">
        <v>4655</v>
      </c>
      <c r="B2560" s="45" t="s">
        <v>4656</v>
      </c>
      <c r="C2560" s="45"/>
      <c r="D2560" s="4" t="s">
        <v>4657</v>
      </c>
      <c r="E2560" s="4"/>
      <c r="F2560" s="46" t="s">
        <v>4658</v>
      </c>
      <c r="G2560" s="45"/>
      <c r="H2560" s="47"/>
      <c r="I2560" s="36"/>
      <c r="J2560" s="47"/>
      <c r="K2560" s="48"/>
      <c r="L2560" s="48"/>
      <c r="M2560" s="48"/>
      <c r="N2560" s="48"/>
      <c r="O2560" s="48">
        <f>O2561+O2565+O2568+O2574+O2577</f>
        <v>0</v>
      </c>
      <c r="P2560" s="48">
        <f>P2561+P2565+P2568+P2574+P2577</f>
        <v>0</v>
      </c>
      <c r="Q2560" s="48">
        <f>Q2561+Q2565+Q2568+Q2574+Q2577</f>
        <v>0</v>
      </c>
      <c r="R2560" s="48">
        <f>R2561+R2565+R2568+R2574+R2577</f>
        <v>0</v>
      </c>
      <c r="S2560" s="48"/>
      <c r="T2560" s="36"/>
      <c r="XDA2560"/>
      <c r="XDB2560"/>
      <c r="XDC2560"/>
      <c r="XDD2560"/>
      <c r="XDE2560"/>
      <c r="XDF2560"/>
      <c r="XDG2560"/>
      <c r="XDH2560"/>
      <c r="XDI2560"/>
      <c r="XDJ2560"/>
      <c r="XDK2560"/>
      <c r="XDL2560"/>
      <c r="XDM2560"/>
      <c r="XDN2560"/>
      <c r="XDO2560"/>
      <c r="XDP2560"/>
      <c r="XDQ2560"/>
      <c r="XDR2560"/>
      <c r="XDS2560"/>
      <c r="XDT2560"/>
      <c r="XDU2560"/>
      <c r="XDV2560"/>
      <c r="XDW2560"/>
      <c r="XDX2560"/>
      <c r="XDY2560"/>
      <c r="XDZ2560"/>
      <c r="XEA2560"/>
      <c r="XEB2560"/>
      <c r="XEC2560"/>
      <c r="XED2560"/>
      <c r="XEE2560"/>
      <c r="XEF2560"/>
      <c r="XEG2560"/>
      <c r="XEH2560"/>
      <c r="XEI2560"/>
      <c r="XEJ2560"/>
      <c r="XEK2560"/>
      <c r="XEL2560"/>
      <c r="XEM2560"/>
      <c r="XEN2560"/>
      <c r="XEO2560"/>
      <c r="XEP2560"/>
      <c r="XEQ2560"/>
      <c r="XER2560"/>
      <c r="XES2560"/>
      <c r="XET2560"/>
      <c r="XEU2560"/>
      <c r="XEV2560"/>
      <c r="XEW2560"/>
      <c r="XEX2560"/>
      <c r="XEY2560"/>
      <c r="XEZ2560"/>
      <c r="XFA2560"/>
      <c r="XFB2560"/>
      <c r="XFC2560"/>
    </row>
    <row r="2561" spans="1:20 16329:16383" s="38" customFormat="1" ht="29.1" customHeight="1" outlineLevel="3" x14ac:dyDescent="0.25">
      <c r="A2561" s="55" t="s">
        <v>4659</v>
      </c>
      <c r="B2561" s="56" t="s">
        <v>4660</v>
      </c>
      <c r="C2561" s="56"/>
      <c r="D2561" s="2" t="s">
        <v>4661</v>
      </c>
      <c r="E2561" s="2"/>
      <c r="F2561" s="57"/>
      <c r="G2561" s="56"/>
      <c r="H2561" s="58"/>
      <c r="I2561" s="36"/>
      <c r="J2561" s="58"/>
      <c r="K2561" s="59"/>
      <c r="L2561" s="59"/>
      <c r="M2561" s="59"/>
      <c r="N2561" s="59"/>
      <c r="O2561" s="59">
        <f>SUM(O2562:O2564)</f>
        <v>0</v>
      </c>
      <c r="P2561" s="59">
        <f>SUM(P2562:P2564)</f>
        <v>0</v>
      </c>
      <c r="Q2561" s="59">
        <f>SUM(Q2562:Q2564)</f>
        <v>0</v>
      </c>
      <c r="R2561" s="59">
        <f>SUM(R2562:R2564)</f>
        <v>0</v>
      </c>
      <c r="S2561" s="59"/>
      <c r="T2561" s="36"/>
      <c r="XDA2561"/>
      <c r="XDB2561"/>
      <c r="XDC2561"/>
      <c r="XDD2561"/>
      <c r="XDE2561"/>
      <c r="XDF2561"/>
      <c r="XDG2561"/>
      <c r="XDH2561"/>
      <c r="XDI2561"/>
      <c r="XDJ2561"/>
      <c r="XDK2561"/>
      <c r="XDL2561"/>
      <c r="XDM2561"/>
      <c r="XDN2561"/>
      <c r="XDO2561"/>
      <c r="XDP2561"/>
      <c r="XDQ2561"/>
      <c r="XDR2561"/>
      <c r="XDS2561"/>
      <c r="XDT2561"/>
      <c r="XDU2561"/>
      <c r="XDV2561"/>
      <c r="XDW2561"/>
      <c r="XDX2561"/>
      <c r="XDY2561"/>
      <c r="XDZ2561"/>
      <c r="XEA2561"/>
      <c r="XEB2561"/>
      <c r="XEC2561"/>
      <c r="XED2561"/>
      <c r="XEE2561"/>
      <c r="XEF2561"/>
      <c r="XEG2561"/>
      <c r="XEH2561"/>
      <c r="XEI2561"/>
      <c r="XEJ2561"/>
      <c r="XEK2561"/>
      <c r="XEL2561"/>
      <c r="XEM2561"/>
      <c r="XEN2561"/>
      <c r="XEO2561"/>
      <c r="XEP2561"/>
      <c r="XEQ2561"/>
      <c r="XER2561"/>
      <c r="XES2561"/>
      <c r="XET2561"/>
      <c r="XEU2561"/>
      <c r="XEV2561"/>
      <c r="XEW2561"/>
      <c r="XEX2561"/>
      <c r="XEY2561"/>
      <c r="XEZ2561"/>
      <c r="XFA2561"/>
      <c r="XFB2561"/>
      <c r="XFC2561"/>
    </row>
    <row r="2562" spans="1:20 16329:16383" s="38" customFormat="1" ht="29.1" customHeight="1" outlineLevel="4" x14ac:dyDescent="0.25">
      <c r="A2562" s="49" t="s">
        <v>4662</v>
      </c>
      <c r="B2562" s="50"/>
      <c r="C2562" s="50"/>
      <c r="D2562" s="3" t="s">
        <v>4663</v>
      </c>
      <c r="E2562" s="3"/>
      <c r="F2562" s="51" t="s">
        <v>4664</v>
      </c>
      <c r="G2562" s="50" t="s">
        <v>194</v>
      </c>
      <c r="H2562" s="52">
        <f>1</f>
        <v>1</v>
      </c>
      <c r="I2562" s="36"/>
      <c r="J2562" s="52">
        <v>1</v>
      </c>
      <c r="K2562" s="53">
        <f>0</f>
        <v>0</v>
      </c>
      <c r="L2562" s="53">
        <f>0</f>
        <v>0</v>
      </c>
      <c r="M2562" s="53">
        <f>0</f>
        <v>0</v>
      </c>
      <c r="N2562" s="54">
        <f>SUM(K2562:M2562)</f>
        <v>0</v>
      </c>
      <c r="O2562" s="54">
        <f>ROUND((H2562*K2562),2)</f>
        <v>0</v>
      </c>
      <c r="P2562" s="54">
        <f>ROUND((H2562*L2562),2)</f>
        <v>0</v>
      </c>
      <c r="Q2562" s="54">
        <f>ROUND((H2562*M2562),2)</f>
        <v>0</v>
      </c>
      <c r="R2562" s="54">
        <f>ROUND((H2562*N2562),2)</f>
        <v>0</v>
      </c>
      <c r="S2562" s="54"/>
      <c r="T2562" s="36"/>
      <c r="XDA2562"/>
      <c r="XDB2562"/>
      <c r="XDC2562"/>
      <c r="XDD2562"/>
      <c r="XDE2562"/>
      <c r="XDF2562"/>
      <c r="XDG2562"/>
      <c r="XDH2562"/>
      <c r="XDI2562"/>
      <c r="XDJ2562"/>
      <c r="XDK2562"/>
      <c r="XDL2562"/>
      <c r="XDM2562"/>
      <c r="XDN2562"/>
      <c r="XDO2562"/>
      <c r="XDP2562"/>
      <c r="XDQ2562"/>
      <c r="XDR2562"/>
      <c r="XDS2562"/>
      <c r="XDT2562"/>
      <c r="XDU2562"/>
      <c r="XDV2562"/>
      <c r="XDW2562"/>
      <c r="XDX2562"/>
      <c r="XDY2562"/>
      <c r="XDZ2562"/>
      <c r="XEA2562"/>
      <c r="XEB2562"/>
      <c r="XEC2562"/>
      <c r="XED2562"/>
      <c r="XEE2562"/>
      <c r="XEF2562"/>
      <c r="XEG2562"/>
      <c r="XEH2562"/>
      <c r="XEI2562"/>
      <c r="XEJ2562"/>
      <c r="XEK2562"/>
      <c r="XEL2562"/>
      <c r="XEM2562"/>
      <c r="XEN2562"/>
      <c r="XEO2562"/>
      <c r="XEP2562"/>
      <c r="XEQ2562"/>
      <c r="XER2562"/>
      <c r="XES2562"/>
      <c r="XET2562"/>
      <c r="XEU2562"/>
      <c r="XEV2562"/>
      <c r="XEW2562"/>
      <c r="XEX2562"/>
      <c r="XEY2562"/>
      <c r="XEZ2562"/>
      <c r="XFA2562"/>
      <c r="XFB2562"/>
      <c r="XFC2562"/>
    </row>
    <row r="2563" spans="1:20 16329:16383" s="38" customFormat="1" ht="29.1" customHeight="1" outlineLevel="4" x14ac:dyDescent="0.25">
      <c r="A2563" s="49" t="s">
        <v>4665</v>
      </c>
      <c r="B2563" s="50"/>
      <c r="C2563" s="50"/>
      <c r="D2563" s="3" t="s">
        <v>4666</v>
      </c>
      <c r="E2563" s="3"/>
      <c r="F2563" s="51" t="s">
        <v>4667</v>
      </c>
      <c r="G2563" s="50" t="s">
        <v>134</v>
      </c>
      <c r="H2563" s="52">
        <f>1</f>
        <v>1</v>
      </c>
      <c r="I2563" s="36"/>
      <c r="J2563" s="52">
        <v>1</v>
      </c>
      <c r="K2563" s="53">
        <f>0</f>
        <v>0</v>
      </c>
      <c r="L2563" s="53">
        <f>0</f>
        <v>0</v>
      </c>
      <c r="M2563" s="53">
        <f>0</f>
        <v>0</v>
      </c>
      <c r="N2563" s="54">
        <f>SUM(K2563:M2563)</f>
        <v>0</v>
      </c>
      <c r="O2563" s="54">
        <f>ROUND((H2563*K2563),2)</f>
        <v>0</v>
      </c>
      <c r="P2563" s="54">
        <f>ROUND((H2563*L2563),2)</f>
        <v>0</v>
      </c>
      <c r="Q2563" s="54">
        <f>ROUND((H2563*M2563),2)</f>
        <v>0</v>
      </c>
      <c r="R2563" s="54">
        <f>ROUND((H2563*N2563),2)</f>
        <v>0</v>
      </c>
      <c r="S2563" s="54"/>
      <c r="T2563" s="36"/>
      <c r="XDA2563"/>
      <c r="XDB2563"/>
      <c r="XDC2563"/>
      <c r="XDD2563"/>
      <c r="XDE2563"/>
      <c r="XDF2563"/>
      <c r="XDG2563"/>
      <c r="XDH2563"/>
      <c r="XDI2563"/>
      <c r="XDJ2563"/>
      <c r="XDK2563"/>
      <c r="XDL2563"/>
      <c r="XDM2563"/>
      <c r="XDN2563"/>
      <c r="XDO2563"/>
      <c r="XDP2563"/>
      <c r="XDQ2563"/>
      <c r="XDR2563"/>
      <c r="XDS2563"/>
      <c r="XDT2563"/>
      <c r="XDU2563"/>
      <c r="XDV2563"/>
      <c r="XDW2563"/>
      <c r="XDX2563"/>
      <c r="XDY2563"/>
      <c r="XDZ2563"/>
      <c r="XEA2563"/>
      <c r="XEB2563"/>
      <c r="XEC2563"/>
      <c r="XED2563"/>
      <c r="XEE2563"/>
      <c r="XEF2563"/>
      <c r="XEG2563"/>
      <c r="XEH2563"/>
      <c r="XEI2563"/>
      <c r="XEJ2563"/>
      <c r="XEK2563"/>
      <c r="XEL2563"/>
      <c r="XEM2563"/>
      <c r="XEN2563"/>
      <c r="XEO2563"/>
      <c r="XEP2563"/>
      <c r="XEQ2563"/>
      <c r="XER2563"/>
      <c r="XES2563"/>
      <c r="XET2563"/>
      <c r="XEU2563"/>
      <c r="XEV2563"/>
      <c r="XEW2563"/>
      <c r="XEX2563"/>
      <c r="XEY2563"/>
      <c r="XEZ2563"/>
      <c r="XFA2563"/>
      <c r="XFB2563"/>
      <c r="XFC2563"/>
    </row>
    <row r="2564" spans="1:20 16329:16383" s="38" customFormat="1" ht="29.1" customHeight="1" outlineLevel="4" x14ac:dyDescent="0.25">
      <c r="A2564" s="49" t="s">
        <v>4668</v>
      </c>
      <c r="B2564" s="50"/>
      <c r="C2564" s="50"/>
      <c r="D2564" s="3" t="s">
        <v>4669</v>
      </c>
      <c r="E2564" s="3"/>
      <c r="F2564" s="51" t="s">
        <v>4670</v>
      </c>
      <c r="G2564" s="50" t="s">
        <v>134</v>
      </c>
      <c r="H2564" s="52">
        <f>1</f>
        <v>1</v>
      </c>
      <c r="I2564" s="36"/>
      <c r="J2564" s="52">
        <v>1</v>
      </c>
      <c r="K2564" s="53">
        <f>0</f>
        <v>0</v>
      </c>
      <c r="L2564" s="53">
        <f>0</f>
        <v>0</v>
      </c>
      <c r="M2564" s="53">
        <f>0</f>
        <v>0</v>
      </c>
      <c r="N2564" s="54">
        <f>SUM(K2564:M2564)</f>
        <v>0</v>
      </c>
      <c r="O2564" s="54">
        <f>ROUND((H2564*K2564),2)</f>
        <v>0</v>
      </c>
      <c r="P2564" s="54">
        <f>ROUND((H2564*L2564),2)</f>
        <v>0</v>
      </c>
      <c r="Q2564" s="54">
        <f>ROUND((H2564*M2564),2)</f>
        <v>0</v>
      </c>
      <c r="R2564" s="54">
        <f>ROUND((H2564*N2564),2)</f>
        <v>0</v>
      </c>
      <c r="S2564" s="54"/>
      <c r="T2564" s="36"/>
      <c r="XDA2564"/>
      <c r="XDB2564"/>
      <c r="XDC2564"/>
      <c r="XDD2564"/>
      <c r="XDE2564"/>
      <c r="XDF2564"/>
      <c r="XDG2564"/>
      <c r="XDH2564"/>
      <c r="XDI2564"/>
      <c r="XDJ2564"/>
      <c r="XDK2564"/>
      <c r="XDL2564"/>
      <c r="XDM2564"/>
      <c r="XDN2564"/>
      <c r="XDO2564"/>
      <c r="XDP2564"/>
      <c r="XDQ2564"/>
      <c r="XDR2564"/>
      <c r="XDS2564"/>
      <c r="XDT2564"/>
      <c r="XDU2564"/>
      <c r="XDV2564"/>
      <c r="XDW2564"/>
      <c r="XDX2564"/>
      <c r="XDY2564"/>
      <c r="XDZ2564"/>
      <c r="XEA2564"/>
      <c r="XEB2564"/>
      <c r="XEC2564"/>
      <c r="XED2564"/>
      <c r="XEE2564"/>
      <c r="XEF2564"/>
      <c r="XEG2564"/>
      <c r="XEH2564"/>
      <c r="XEI2564"/>
      <c r="XEJ2564"/>
      <c r="XEK2564"/>
      <c r="XEL2564"/>
      <c r="XEM2564"/>
      <c r="XEN2564"/>
      <c r="XEO2564"/>
      <c r="XEP2564"/>
      <c r="XEQ2564"/>
      <c r="XER2564"/>
      <c r="XES2564"/>
      <c r="XET2564"/>
      <c r="XEU2564"/>
      <c r="XEV2564"/>
      <c r="XEW2564"/>
      <c r="XEX2564"/>
      <c r="XEY2564"/>
      <c r="XEZ2564"/>
      <c r="XFA2564"/>
      <c r="XFB2564"/>
      <c r="XFC2564"/>
    </row>
    <row r="2565" spans="1:20 16329:16383" s="38" customFormat="1" ht="29.1" customHeight="1" outlineLevel="3" x14ac:dyDescent="0.25">
      <c r="A2565" s="55" t="s">
        <v>4671</v>
      </c>
      <c r="B2565" s="56" t="s">
        <v>4672</v>
      </c>
      <c r="C2565" s="56"/>
      <c r="D2565" s="2" t="s">
        <v>4673</v>
      </c>
      <c r="E2565" s="2"/>
      <c r="F2565" s="57"/>
      <c r="G2565" s="56"/>
      <c r="H2565" s="58"/>
      <c r="I2565" s="36"/>
      <c r="J2565" s="58"/>
      <c r="K2565" s="59"/>
      <c r="L2565" s="59"/>
      <c r="M2565" s="59"/>
      <c r="N2565" s="59"/>
      <c r="O2565" s="59">
        <f>O2566+O2567</f>
        <v>0</v>
      </c>
      <c r="P2565" s="59">
        <f>P2566+P2567</f>
        <v>0</v>
      </c>
      <c r="Q2565" s="59">
        <f>Q2566+Q2567</f>
        <v>0</v>
      </c>
      <c r="R2565" s="59">
        <f>R2566+R2567</f>
        <v>0</v>
      </c>
      <c r="S2565" s="59"/>
      <c r="T2565" s="36"/>
      <c r="XDA2565"/>
      <c r="XDB2565"/>
      <c r="XDC2565"/>
      <c r="XDD2565"/>
      <c r="XDE2565"/>
      <c r="XDF2565"/>
      <c r="XDG2565"/>
      <c r="XDH2565"/>
      <c r="XDI2565"/>
      <c r="XDJ2565"/>
      <c r="XDK2565"/>
      <c r="XDL2565"/>
      <c r="XDM2565"/>
      <c r="XDN2565"/>
      <c r="XDO2565"/>
      <c r="XDP2565"/>
      <c r="XDQ2565"/>
      <c r="XDR2565"/>
      <c r="XDS2565"/>
      <c r="XDT2565"/>
      <c r="XDU2565"/>
      <c r="XDV2565"/>
      <c r="XDW2565"/>
      <c r="XDX2565"/>
      <c r="XDY2565"/>
      <c r="XDZ2565"/>
      <c r="XEA2565"/>
      <c r="XEB2565"/>
      <c r="XEC2565"/>
      <c r="XED2565"/>
      <c r="XEE2565"/>
      <c r="XEF2565"/>
      <c r="XEG2565"/>
      <c r="XEH2565"/>
      <c r="XEI2565"/>
      <c r="XEJ2565"/>
      <c r="XEK2565"/>
      <c r="XEL2565"/>
      <c r="XEM2565"/>
      <c r="XEN2565"/>
      <c r="XEO2565"/>
      <c r="XEP2565"/>
      <c r="XEQ2565"/>
      <c r="XER2565"/>
      <c r="XES2565"/>
      <c r="XET2565"/>
      <c r="XEU2565"/>
      <c r="XEV2565"/>
      <c r="XEW2565"/>
      <c r="XEX2565"/>
      <c r="XEY2565"/>
      <c r="XEZ2565"/>
      <c r="XFA2565"/>
      <c r="XFB2565"/>
      <c r="XFC2565"/>
    </row>
    <row r="2566" spans="1:20 16329:16383" s="38" customFormat="1" ht="29.1" customHeight="1" outlineLevel="4" x14ac:dyDescent="0.25">
      <c r="A2566" s="49" t="s">
        <v>4674</v>
      </c>
      <c r="B2566" s="50"/>
      <c r="C2566" s="50"/>
      <c r="D2566" s="3" t="s">
        <v>4675</v>
      </c>
      <c r="E2566" s="3"/>
      <c r="F2566" s="51" t="s">
        <v>4664</v>
      </c>
      <c r="G2566" s="50" t="s">
        <v>29</v>
      </c>
      <c r="H2566" s="52">
        <f>1</f>
        <v>1</v>
      </c>
      <c r="I2566" s="36"/>
      <c r="J2566" s="52">
        <v>1</v>
      </c>
      <c r="K2566" s="53">
        <f>0</f>
        <v>0</v>
      </c>
      <c r="L2566" s="53">
        <f>0</f>
        <v>0</v>
      </c>
      <c r="M2566" s="53">
        <f>0</f>
        <v>0</v>
      </c>
      <c r="N2566" s="54">
        <f>SUM(K2566:M2566)</f>
        <v>0</v>
      </c>
      <c r="O2566" s="54">
        <f>ROUND((H2566*K2566),2)</f>
        <v>0</v>
      </c>
      <c r="P2566" s="54">
        <f>ROUND((H2566*L2566),2)</f>
        <v>0</v>
      </c>
      <c r="Q2566" s="54">
        <f>ROUND((H2566*M2566),2)</f>
        <v>0</v>
      </c>
      <c r="R2566" s="54">
        <f>ROUND((H2566*N2566),2)</f>
        <v>0</v>
      </c>
      <c r="S2566" s="54"/>
      <c r="T2566" s="36"/>
      <c r="XDA2566"/>
      <c r="XDB2566"/>
      <c r="XDC2566"/>
      <c r="XDD2566"/>
      <c r="XDE2566"/>
      <c r="XDF2566"/>
      <c r="XDG2566"/>
      <c r="XDH2566"/>
      <c r="XDI2566"/>
      <c r="XDJ2566"/>
      <c r="XDK2566"/>
      <c r="XDL2566"/>
      <c r="XDM2566"/>
      <c r="XDN2566"/>
      <c r="XDO2566"/>
      <c r="XDP2566"/>
      <c r="XDQ2566"/>
      <c r="XDR2566"/>
      <c r="XDS2566"/>
      <c r="XDT2566"/>
      <c r="XDU2566"/>
      <c r="XDV2566"/>
      <c r="XDW2566"/>
      <c r="XDX2566"/>
      <c r="XDY2566"/>
      <c r="XDZ2566"/>
      <c r="XEA2566"/>
      <c r="XEB2566"/>
      <c r="XEC2566"/>
      <c r="XED2566"/>
      <c r="XEE2566"/>
      <c r="XEF2566"/>
      <c r="XEG2566"/>
      <c r="XEH2566"/>
      <c r="XEI2566"/>
      <c r="XEJ2566"/>
      <c r="XEK2566"/>
      <c r="XEL2566"/>
      <c r="XEM2566"/>
      <c r="XEN2566"/>
      <c r="XEO2566"/>
      <c r="XEP2566"/>
      <c r="XEQ2566"/>
      <c r="XER2566"/>
      <c r="XES2566"/>
      <c r="XET2566"/>
      <c r="XEU2566"/>
      <c r="XEV2566"/>
      <c r="XEW2566"/>
      <c r="XEX2566"/>
      <c r="XEY2566"/>
      <c r="XEZ2566"/>
      <c r="XFA2566"/>
      <c r="XFB2566"/>
      <c r="XFC2566"/>
    </row>
    <row r="2567" spans="1:20 16329:16383" s="38" customFormat="1" ht="29.1" customHeight="1" outlineLevel="4" x14ac:dyDescent="0.25">
      <c r="A2567" s="49" t="s">
        <v>4676</v>
      </c>
      <c r="B2567" s="50"/>
      <c r="C2567" s="50"/>
      <c r="D2567" s="3" t="s">
        <v>4677</v>
      </c>
      <c r="E2567" s="3"/>
      <c r="F2567" s="51" t="s">
        <v>4678</v>
      </c>
      <c r="G2567" s="50" t="s">
        <v>134</v>
      </c>
      <c r="H2567" s="52">
        <f>1</f>
        <v>1</v>
      </c>
      <c r="I2567" s="36"/>
      <c r="J2567" s="52">
        <v>1</v>
      </c>
      <c r="K2567" s="53">
        <f>0</f>
        <v>0</v>
      </c>
      <c r="L2567" s="53">
        <f>0</f>
        <v>0</v>
      </c>
      <c r="M2567" s="53">
        <f>0</f>
        <v>0</v>
      </c>
      <c r="N2567" s="54">
        <f>SUM(K2567:M2567)</f>
        <v>0</v>
      </c>
      <c r="O2567" s="54">
        <f>ROUND((H2567*K2567),2)</f>
        <v>0</v>
      </c>
      <c r="P2567" s="54">
        <f>ROUND((H2567*L2567),2)</f>
        <v>0</v>
      </c>
      <c r="Q2567" s="54">
        <f>ROUND((H2567*M2567),2)</f>
        <v>0</v>
      </c>
      <c r="R2567" s="54">
        <f>ROUND((H2567*N2567),2)</f>
        <v>0</v>
      </c>
      <c r="S2567" s="54"/>
      <c r="T2567" s="36"/>
      <c r="XDA2567"/>
      <c r="XDB2567"/>
      <c r="XDC2567"/>
      <c r="XDD2567"/>
      <c r="XDE2567"/>
      <c r="XDF2567"/>
      <c r="XDG2567"/>
      <c r="XDH2567"/>
      <c r="XDI2567"/>
      <c r="XDJ2567"/>
      <c r="XDK2567"/>
      <c r="XDL2567"/>
      <c r="XDM2567"/>
      <c r="XDN2567"/>
      <c r="XDO2567"/>
      <c r="XDP2567"/>
      <c r="XDQ2567"/>
      <c r="XDR2567"/>
      <c r="XDS2567"/>
      <c r="XDT2567"/>
      <c r="XDU2567"/>
      <c r="XDV2567"/>
      <c r="XDW2567"/>
      <c r="XDX2567"/>
      <c r="XDY2567"/>
      <c r="XDZ2567"/>
      <c r="XEA2567"/>
      <c r="XEB2567"/>
      <c r="XEC2567"/>
      <c r="XED2567"/>
      <c r="XEE2567"/>
      <c r="XEF2567"/>
      <c r="XEG2567"/>
      <c r="XEH2567"/>
      <c r="XEI2567"/>
      <c r="XEJ2567"/>
      <c r="XEK2567"/>
      <c r="XEL2567"/>
      <c r="XEM2567"/>
      <c r="XEN2567"/>
      <c r="XEO2567"/>
      <c r="XEP2567"/>
      <c r="XEQ2567"/>
      <c r="XER2567"/>
      <c r="XES2567"/>
      <c r="XET2567"/>
      <c r="XEU2567"/>
      <c r="XEV2567"/>
      <c r="XEW2567"/>
      <c r="XEX2567"/>
      <c r="XEY2567"/>
      <c r="XEZ2567"/>
      <c r="XFA2567"/>
      <c r="XFB2567"/>
      <c r="XFC2567"/>
    </row>
    <row r="2568" spans="1:20 16329:16383" s="38" customFormat="1" ht="29.1" customHeight="1" outlineLevel="3" x14ac:dyDescent="0.25">
      <c r="A2568" s="55" t="s">
        <v>4679</v>
      </c>
      <c r="B2568" s="56" t="s">
        <v>4680</v>
      </c>
      <c r="C2568" s="56"/>
      <c r="D2568" s="2" t="s">
        <v>4681</v>
      </c>
      <c r="E2568" s="2"/>
      <c r="F2568" s="57"/>
      <c r="G2568" s="56"/>
      <c r="H2568" s="58"/>
      <c r="I2568" s="36"/>
      <c r="J2568" s="58"/>
      <c r="K2568" s="59"/>
      <c r="L2568" s="59"/>
      <c r="M2568" s="59"/>
      <c r="N2568" s="59"/>
      <c r="O2568" s="59">
        <f>SUM(O2569:O2573)</f>
        <v>0</v>
      </c>
      <c r="P2568" s="59">
        <f>SUM(P2569:P2573)</f>
        <v>0</v>
      </c>
      <c r="Q2568" s="59">
        <f>SUM(Q2569:Q2573)</f>
        <v>0</v>
      </c>
      <c r="R2568" s="59">
        <f>SUM(R2569:R2573)</f>
        <v>0</v>
      </c>
      <c r="S2568" s="59"/>
      <c r="T2568" s="36"/>
      <c r="XDA2568"/>
      <c r="XDB2568"/>
      <c r="XDC2568"/>
      <c r="XDD2568"/>
      <c r="XDE2568"/>
      <c r="XDF2568"/>
      <c r="XDG2568"/>
      <c r="XDH2568"/>
      <c r="XDI2568"/>
      <c r="XDJ2568"/>
      <c r="XDK2568"/>
      <c r="XDL2568"/>
      <c r="XDM2568"/>
      <c r="XDN2568"/>
      <c r="XDO2568"/>
      <c r="XDP2568"/>
      <c r="XDQ2568"/>
      <c r="XDR2568"/>
      <c r="XDS2568"/>
      <c r="XDT2568"/>
      <c r="XDU2568"/>
      <c r="XDV2568"/>
      <c r="XDW2568"/>
      <c r="XDX2568"/>
      <c r="XDY2568"/>
      <c r="XDZ2568"/>
      <c r="XEA2568"/>
      <c r="XEB2568"/>
      <c r="XEC2568"/>
      <c r="XED2568"/>
      <c r="XEE2568"/>
      <c r="XEF2568"/>
      <c r="XEG2568"/>
      <c r="XEH2568"/>
      <c r="XEI2568"/>
      <c r="XEJ2568"/>
      <c r="XEK2568"/>
      <c r="XEL2568"/>
      <c r="XEM2568"/>
      <c r="XEN2568"/>
      <c r="XEO2568"/>
      <c r="XEP2568"/>
      <c r="XEQ2568"/>
      <c r="XER2568"/>
      <c r="XES2568"/>
      <c r="XET2568"/>
      <c r="XEU2568"/>
      <c r="XEV2568"/>
      <c r="XEW2568"/>
      <c r="XEX2568"/>
      <c r="XEY2568"/>
      <c r="XEZ2568"/>
      <c r="XFA2568"/>
      <c r="XFB2568"/>
      <c r="XFC2568"/>
    </row>
    <row r="2569" spans="1:20 16329:16383" s="38" customFormat="1" ht="29.1" customHeight="1" outlineLevel="4" x14ac:dyDescent="0.25">
      <c r="A2569" s="49" t="s">
        <v>4682</v>
      </c>
      <c r="B2569" s="50"/>
      <c r="C2569" s="50"/>
      <c r="D2569" s="3" t="s">
        <v>4683</v>
      </c>
      <c r="E2569" s="3"/>
      <c r="F2569" s="51" t="s">
        <v>4664</v>
      </c>
      <c r="G2569" s="50" t="s">
        <v>29</v>
      </c>
      <c r="H2569" s="52">
        <f>1</f>
        <v>1</v>
      </c>
      <c r="I2569" s="36"/>
      <c r="J2569" s="52">
        <v>1</v>
      </c>
      <c r="K2569" s="53">
        <f>0</f>
        <v>0</v>
      </c>
      <c r="L2569" s="53">
        <f>0</f>
        <v>0</v>
      </c>
      <c r="M2569" s="53">
        <f>0</f>
        <v>0</v>
      </c>
      <c r="N2569" s="54">
        <f>SUM(K2569:M2569)</f>
        <v>0</v>
      </c>
      <c r="O2569" s="54">
        <f>ROUND((H2569*K2569),2)</f>
        <v>0</v>
      </c>
      <c r="P2569" s="54">
        <f>ROUND((H2569*L2569),2)</f>
        <v>0</v>
      </c>
      <c r="Q2569" s="54">
        <f>ROUND((H2569*M2569),2)</f>
        <v>0</v>
      </c>
      <c r="R2569" s="54">
        <f>ROUND((H2569*N2569),2)</f>
        <v>0</v>
      </c>
      <c r="S2569" s="54"/>
      <c r="T2569" s="36"/>
      <c r="XDA2569"/>
      <c r="XDB2569"/>
      <c r="XDC2569"/>
      <c r="XDD2569"/>
      <c r="XDE2569"/>
      <c r="XDF2569"/>
      <c r="XDG2569"/>
      <c r="XDH2569"/>
      <c r="XDI2569"/>
      <c r="XDJ2569"/>
      <c r="XDK2569"/>
      <c r="XDL2569"/>
      <c r="XDM2569"/>
      <c r="XDN2569"/>
      <c r="XDO2569"/>
      <c r="XDP2569"/>
      <c r="XDQ2569"/>
      <c r="XDR2569"/>
      <c r="XDS2569"/>
      <c r="XDT2569"/>
      <c r="XDU2569"/>
      <c r="XDV2569"/>
      <c r="XDW2569"/>
      <c r="XDX2569"/>
      <c r="XDY2569"/>
      <c r="XDZ2569"/>
      <c r="XEA2569"/>
      <c r="XEB2569"/>
      <c r="XEC2569"/>
      <c r="XED2569"/>
      <c r="XEE2569"/>
      <c r="XEF2569"/>
      <c r="XEG2569"/>
      <c r="XEH2569"/>
      <c r="XEI2569"/>
      <c r="XEJ2569"/>
      <c r="XEK2569"/>
      <c r="XEL2569"/>
      <c r="XEM2569"/>
      <c r="XEN2569"/>
      <c r="XEO2569"/>
      <c r="XEP2569"/>
      <c r="XEQ2569"/>
      <c r="XER2569"/>
      <c r="XES2569"/>
      <c r="XET2569"/>
      <c r="XEU2569"/>
      <c r="XEV2569"/>
      <c r="XEW2569"/>
      <c r="XEX2569"/>
      <c r="XEY2569"/>
      <c r="XEZ2569"/>
      <c r="XFA2569"/>
      <c r="XFB2569"/>
      <c r="XFC2569"/>
    </row>
    <row r="2570" spans="1:20 16329:16383" s="38" customFormat="1" ht="29.1" customHeight="1" outlineLevel="4" x14ac:dyDescent="0.25">
      <c r="A2570" s="49" t="s">
        <v>4684</v>
      </c>
      <c r="B2570" s="50"/>
      <c r="C2570" s="50"/>
      <c r="D2570" s="3" t="s">
        <v>4685</v>
      </c>
      <c r="E2570" s="3"/>
      <c r="F2570" s="51"/>
      <c r="G2570" s="50" t="s">
        <v>29</v>
      </c>
      <c r="H2570" s="52">
        <f>1</f>
        <v>1</v>
      </c>
      <c r="I2570" s="36"/>
      <c r="J2570" s="52">
        <v>1</v>
      </c>
      <c r="K2570" s="53">
        <f>0</f>
        <v>0</v>
      </c>
      <c r="L2570" s="53">
        <f>0</f>
        <v>0</v>
      </c>
      <c r="M2570" s="53">
        <f>0</f>
        <v>0</v>
      </c>
      <c r="N2570" s="54">
        <f>SUM(K2570:M2570)</f>
        <v>0</v>
      </c>
      <c r="O2570" s="54">
        <f>ROUND((H2570*K2570),2)</f>
        <v>0</v>
      </c>
      <c r="P2570" s="54">
        <f>ROUND((H2570*L2570),2)</f>
        <v>0</v>
      </c>
      <c r="Q2570" s="54">
        <f>ROUND((H2570*M2570),2)</f>
        <v>0</v>
      </c>
      <c r="R2570" s="54">
        <f>ROUND((H2570*N2570),2)</f>
        <v>0</v>
      </c>
      <c r="S2570" s="54"/>
      <c r="T2570" s="36"/>
      <c r="XDA2570"/>
      <c r="XDB2570"/>
      <c r="XDC2570"/>
      <c r="XDD2570"/>
      <c r="XDE2570"/>
      <c r="XDF2570"/>
      <c r="XDG2570"/>
      <c r="XDH2570"/>
      <c r="XDI2570"/>
      <c r="XDJ2570"/>
      <c r="XDK2570"/>
      <c r="XDL2570"/>
      <c r="XDM2570"/>
      <c r="XDN2570"/>
      <c r="XDO2570"/>
      <c r="XDP2570"/>
      <c r="XDQ2570"/>
      <c r="XDR2570"/>
      <c r="XDS2570"/>
      <c r="XDT2570"/>
      <c r="XDU2570"/>
      <c r="XDV2570"/>
      <c r="XDW2570"/>
      <c r="XDX2570"/>
      <c r="XDY2570"/>
      <c r="XDZ2570"/>
      <c r="XEA2570"/>
      <c r="XEB2570"/>
      <c r="XEC2570"/>
      <c r="XED2570"/>
      <c r="XEE2570"/>
      <c r="XEF2570"/>
      <c r="XEG2570"/>
      <c r="XEH2570"/>
      <c r="XEI2570"/>
      <c r="XEJ2570"/>
      <c r="XEK2570"/>
      <c r="XEL2570"/>
      <c r="XEM2570"/>
      <c r="XEN2570"/>
      <c r="XEO2570"/>
      <c r="XEP2570"/>
      <c r="XEQ2570"/>
      <c r="XER2570"/>
      <c r="XES2570"/>
      <c r="XET2570"/>
      <c r="XEU2570"/>
      <c r="XEV2570"/>
      <c r="XEW2570"/>
      <c r="XEX2570"/>
      <c r="XEY2570"/>
      <c r="XEZ2570"/>
      <c r="XFA2570"/>
      <c r="XFB2570"/>
      <c r="XFC2570"/>
    </row>
    <row r="2571" spans="1:20 16329:16383" s="38" customFormat="1" ht="29.1" customHeight="1" outlineLevel="4" x14ac:dyDescent="0.25">
      <c r="A2571" s="49" t="s">
        <v>4686</v>
      </c>
      <c r="B2571" s="50"/>
      <c r="C2571" s="50"/>
      <c r="D2571" s="3" t="s">
        <v>4687</v>
      </c>
      <c r="E2571" s="3"/>
      <c r="F2571" s="51"/>
      <c r="G2571" s="50" t="s">
        <v>29</v>
      </c>
      <c r="H2571" s="52">
        <f>1</f>
        <v>1</v>
      </c>
      <c r="I2571" s="36"/>
      <c r="J2571" s="52">
        <v>1</v>
      </c>
      <c r="K2571" s="53">
        <f>0</f>
        <v>0</v>
      </c>
      <c r="L2571" s="53">
        <f>0</f>
        <v>0</v>
      </c>
      <c r="M2571" s="53">
        <f>0</f>
        <v>0</v>
      </c>
      <c r="N2571" s="54">
        <f>SUM(K2571:M2571)</f>
        <v>0</v>
      </c>
      <c r="O2571" s="54">
        <f>ROUND((H2571*K2571),2)</f>
        <v>0</v>
      </c>
      <c r="P2571" s="54">
        <f>ROUND((H2571*L2571),2)</f>
        <v>0</v>
      </c>
      <c r="Q2571" s="54">
        <f>ROUND((H2571*M2571),2)</f>
        <v>0</v>
      </c>
      <c r="R2571" s="54">
        <f>ROUND((H2571*N2571),2)</f>
        <v>0</v>
      </c>
      <c r="S2571" s="54"/>
      <c r="T2571" s="36"/>
      <c r="XDA2571"/>
      <c r="XDB2571"/>
      <c r="XDC2571"/>
      <c r="XDD2571"/>
      <c r="XDE2571"/>
      <c r="XDF2571"/>
      <c r="XDG2571"/>
      <c r="XDH2571"/>
      <c r="XDI2571"/>
      <c r="XDJ2571"/>
      <c r="XDK2571"/>
      <c r="XDL2571"/>
      <c r="XDM2571"/>
      <c r="XDN2571"/>
      <c r="XDO2571"/>
      <c r="XDP2571"/>
      <c r="XDQ2571"/>
      <c r="XDR2571"/>
      <c r="XDS2571"/>
      <c r="XDT2571"/>
      <c r="XDU2571"/>
      <c r="XDV2571"/>
      <c r="XDW2571"/>
      <c r="XDX2571"/>
      <c r="XDY2571"/>
      <c r="XDZ2571"/>
      <c r="XEA2571"/>
      <c r="XEB2571"/>
      <c r="XEC2571"/>
      <c r="XED2571"/>
      <c r="XEE2571"/>
      <c r="XEF2571"/>
      <c r="XEG2571"/>
      <c r="XEH2571"/>
      <c r="XEI2571"/>
      <c r="XEJ2571"/>
      <c r="XEK2571"/>
      <c r="XEL2571"/>
      <c r="XEM2571"/>
      <c r="XEN2571"/>
      <c r="XEO2571"/>
      <c r="XEP2571"/>
      <c r="XEQ2571"/>
      <c r="XER2571"/>
      <c r="XES2571"/>
      <c r="XET2571"/>
      <c r="XEU2571"/>
      <c r="XEV2571"/>
      <c r="XEW2571"/>
      <c r="XEX2571"/>
      <c r="XEY2571"/>
      <c r="XEZ2571"/>
      <c r="XFA2571"/>
      <c r="XFB2571"/>
      <c r="XFC2571"/>
    </row>
    <row r="2572" spans="1:20 16329:16383" s="38" customFormat="1" ht="29.1" customHeight="1" outlineLevel="4" x14ac:dyDescent="0.25">
      <c r="A2572" s="49" t="s">
        <v>4688</v>
      </c>
      <c r="B2572" s="50"/>
      <c r="C2572" s="50"/>
      <c r="D2572" s="3" t="s">
        <v>4689</v>
      </c>
      <c r="E2572" s="3"/>
      <c r="F2572" s="51"/>
      <c r="G2572" s="50" t="s">
        <v>29</v>
      </c>
      <c r="H2572" s="52">
        <f>1</f>
        <v>1</v>
      </c>
      <c r="I2572" s="36"/>
      <c r="J2572" s="52">
        <v>1</v>
      </c>
      <c r="K2572" s="53">
        <f>0</f>
        <v>0</v>
      </c>
      <c r="L2572" s="53">
        <f>0</f>
        <v>0</v>
      </c>
      <c r="M2572" s="53">
        <f>0</f>
        <v>0</v>
      </c>
      <c r="N2572" s="54">
        <f>SUM(K2572:M2572)</f>
        <v>0</v>
      </c>
      <c r="O2572" s="54">
        <f>ROUND((H2572*K2572),2)</f>
        <v>0</v>
      </c>
      <c r="P2572" s="54">
        <f>ROUND((H2572*L2572),2)</f>
        <v>0</v>
      </c>
      <c r="Q2572" s="54">
        <f>ROUND((H2572*M2572),2)</f>
        <v>0</v>
      </c>
      <c r="R2572" s="54">
        <f>ROUND((H2572*N2572),2)</f>
        <v>0</v>
      </c>
      <c r="S2572" s="54"/>
      <c r="T2572" s="36"/>
      <c r="XDA2572"/>
      <c r="XDB2572"/>
      <c r="XDC2572"/>
      <c r="XDD2572"/>
      <c r="XDE2572"/>
      <c r="XDF2572"/>
      <c r="XDG2572"/>
      <c r="XDH2572"/>
      <c r="XDI2572"/>
      <c r="XDJ2572"/>
      <c r="XDK2572"/>
      <c r="XDL2572"/>
      <c r="XDM2572"/>
      <c r="XDN2572"/>
      <c r="XDO2572"/>
      <c r="XDP2572"/>
      <c r="XDQ2572"/>
      <c r="XDR2572"/>
      <c r="XDS2572"/>
      <c r="XDT2572"/>
      <c r="XDU2572"/>
      <c r="XDV2572"/>
      <c r="XDW2572"/>
      <c r="XDX2572"/>
      <c r="XDY2572"/>
      <c r="XDZ2572"/>
      <c r="XEA2572"/>
      <c r="XEB2572"/>
      <c r="XEC2572"/>
      <c r="XED2572"/>
      <c r="XEE2572"/>
      <c r="XEF2572"/>
      <c r="XEG2572"/>
      <c r="XEH2572"/>
      <c r="XEI2572"/>
      <c r="XEJ2572"/>
      <c r="XEK2572"/>
      <c r="XEL2572"/>
      <c r="XEM2572"/>
      <c r="XEN2572"/>
      <c r="XEO2572"/>
      <c r="XEP2572"/>
      <c r="XEQ2572"/>
      <c r="XER2572"/>
      <c r="XES2572"/>
      <c r="XET2572"/>
      <c r="XEU2572"/>
      <c r="XEV2572"/>
      <c r="XEW2572"/>
      <c r="XEX2572"/>
      <c r="XEY2572"/>
      <c r="XEZ2572"/>
      <c r="XFA2572"/>
      <c r="XFB2572"/>
      <c r="XFC2572"/>
    </row>
    <row r="2573" spans="1:20 16329:16383" s="38" customFormat="1" ht="29.1" customHeight="1" outlineLevel="4" x14ac:dyDescent="0.25">
      <c r="A2573" s="49" t="s">
        <v>4690</v>
      </c>
      <c r="B2573" s="50"/>
      <c r="C2573" s="50"/>
      <c r="D2573" s="3" t="s">
        <v>4691</v>
      </c>
      <c r="E2573" s="3"/>
      <c r="F2573" s="51"/>
      <c r="G2573" s="50" t="s">
        <v>29</v>
      </c>
      <c r="H2573" s="52">
        <f>1</f>
        <v>1</v>
      </c>
      <c r="I2573" s="36"/>
      <c r="J2573" s="52">
        <v>1</v>
      </c>
      <c r="K2573" s="53">
        <f>0</f>
        <v>0</v>
      </c>
      <c r="L2573" s="53">
        <f>0</f>
        <v>0</v>
      </c>
      <c r="M2573" s="53">
        <f>0</f>
        <v>0</v>
      </c>
      <c r="N2573" s="54">
        <f>SUM(K2573:M2573)</f>
        <v>0</v>
      </c>
      <c r="O2573" s="54">
        <f>ROUND((H2573*K2573),2)</f>
        <v>0</v>
      </c>
      <c r="P2573" s="54">
        <f>ROUND((H2573*L2573),2)</f>
        <v>0</v>
      </c>
      <c r="Q2573" s="54">
        <f>ROUND((H2573*M2573),2)</f>
        <v>0</v>
      </c>
      <c r="R2573" s="54">
        <f>ROUND((H2573*N2573),2)</f>
        <v>0</v>
      </c>
      <c r="S2573" s="54"/>
      <c r="T2573" s="36"/>
      <c r="XDA2573"/>
      <c r="XDB2573"/>
      <c r="XDC2573"/>
      <c r="XDD2573"/>
      <c r="XDE2573"/>
      <c r="XDF2573"/>
      <c r="XDG2573"/>
      <c r="XDH2573"/>
      <c r="XDI2573"/>
      <c r="XDJ2573"/>
      <c r="XDK2573"/>
      <c r="XDL2573"/>
      <c r="XDM2573"/>
      <c r="XDN2573"/>
      <c r="XDO2573"/>
      <c r="XDP2573"/>
      <c r="XDQ2573"/>
      <c r="XDR2573"/>
      <c r="XDS2573"/>
      <c r="XDT2573"/>
      <c r="XDU2573"/>
      <c r="XDV2573"/>
      <c r="XDW2573"/>
      <c r="XDX2573"/>
      <c r="XDY2573"/>
      <c r="XDZ2573"/>
      <c r="XEA2573"/>
      <c r="XEB2573"/>
      <c r="XEC2573"/>
      <c r="XED2573"/>
      <c r="XEE2573"/>
      <c r="XEF2573"/>
      <c r="XEG2573"/>
      <c r="XEH2573"/>
      <c r="XEI2573"/>
      <c r="XEJ2573"/>
      <c r="XEK2573"/>
      <c r="XEL2573"/>
      <c r="XEM2573"/>
      <c r="XEN2573"/>
      <c r="XEO2573"/>
      <c r="XEP2573"/>
      <c r="XEQ2573"/>
      <c r="XER2573"/>
      <c r="XES2573"/>
      <c r="XET2573"/>
      <c r="XEU2573"/>
      <c r="XEV2573"/>
      <c r="XEW2573"/>
      <c r="XEX2573"/>
      <c r="XEY2573"/>
      <c r="XEZ2573"/>
      <c r="XFA2573"/>
      <c r="XFB2573"/>
      <c r="XFC2573"/>
    </row>
    <row r="2574" spans="1:20 16329:16383" s="38" customFormat="1" ht="29.1" customHeight="1" outlineLevel="3" x14ac:dyDescent="0.25">
      <c r="A2574" s="55" t="s">
        <v>4692</v>
      </c>
      <c r="B2574" s="56" t="s">
        <v>4693</v>
      </c>
      <c r="C2574" s="56"/>
      <c r="D2574" s="2" t="s">
        <v>4694</v>
      </c>
      <c r="E2574" s="2"/>
      <c r="F2574" s="57"/>
      <c r="G2574" s="56"/>
      <c r="H2574" s="58"/>
      <c r="I2574" s="36"/>
      <c r="J2574" s="58"/>
      <c r="K2574" s="59"/>
      <c r="L2574" s="59"/>
      <c r="M2574" s="59"/>
      <c r="N2574" s="59"/>
      <c r="O2574" s="59">
        <f>O2575+O2576</f>
        <v>0</v>
      </c>
      <c r="P2574" s="59">
        <f>P2575+P2576</f>
        <v>0</v>
      </c>
      <c r="Q2574" s="59">
        <f>Q2575+Q2576</f>
        <v>0</v>
      </c>
      <c r="R2574" s="59">
        <f>R2575+R2576</f>
        <v>0</v>
      </c>
      <c r="S2574" s="59"/>
      <c r="T2574" s="36"/>
      <c r="XDA2574"/>
      <c r="XDB2574"/>
      <c r="XDC2574"/>
      <c r="XDD2574"/>
      <c r="XDE2574"/>
      <c r="XDF2574"/>
      <c r="XDG2574"/>
      <c r="XDH2574"/>
      <c r="XDI2574"/>
      <c r="XDJ2574"/>
      <c r="XDK2574"/>
      <c r="XDL2574"/>
      <c r="XDM2574"/>
      <c r="XDN2574"/>
      <c r="XDO2574"/>
      <c r="XDP2574"/>
      <c r="XDQ2574"/>
      <c r="XDR2574"/>
      <c r="XDS2574"/>
      <c r="XDT2574"/>
      <c r="XDU2574"/>
      <c r="XDV2574"/>
      <c r="XDW2574"/>
      <c r="XDX2574"/>
      <c r="XDY2574"/>
      <c r="XDZ2574"/>
      <c r="XEA2574"/>
      <c r="XEB2574"/>
      <c r="XEC2574"/>
      <c r="XED2574"/>
      <c r="XEE2574"/>
      <c r="XEF2574"/>
      <c r="XEG2574"/>
      <c r="XEH2574"/>
      <c r="XEI2574"/>
      <c r="XEJ2574"/>
      <c r="XEK2574"/>
      <c r="XEL2574"/>
      <c r="XEM2574"/>
      <c r="XEN2574"/>
      <c r="XEO2574"/>
      <c r="XEP2574"/>
      <c r="XEQ2574"/>
      <c r="XER2574"/>
      <c r="XES2574"/>
      <c r="XET2574"/>
      <c r="XEU2574"/>
      <c r="XEV2574"/>
      <c r="XEW2574"/>
      <c r="XEX2574"/>
      <c r="XEY2574"/>
      <c r="XEZ2574"/>
      <c r="XFA2574"/>
      <c r="XFB2574"/>
      <c r="XFC2574"/>
    </row>
    <row r="2575" spans="1:20 16329:16383" s="38" customFormat="1" ht="29.1" customHeight="1" outlineLevel="4" x14ac:dyDescent="0.25">
      <c r="A2575" s="49" t="s">
        <v>4695</v>
      </c>
      <c r="B2575" s="50"/>
      <c r="C2575" s="50"/>
      <c r="D2575" s="3" t="s">
        <v>4696</v>
      </c>
      <c r="E2575" s="3"/>
      <c r="F2575" s="51" t="s">
        <v>4664</v>
      </c>
      <c r="G2575" s="50" t="s">
        <v>194</v>
      </c>
      <c r="H2575" s="52">
        <f>1</f>
        <v>1</v>
      </c>
      <c r="I2575" s="36"/>
      <c r="J2575" s="52">
        <v>1</v>
      </c>
      <c r="K2575" s="53">
        <f>0</f>
        <v>0</v>
      </c>
      <c r="L2575" s="53">
        <f>0</f>
        <v>0</v>
      </c>
      <c r="M2575" s="53">
        <f>0</f>
        <v>0</v>
      </c>
      <c r="N2575" s="54">
        <f>SUM(K2575:M2575)</f>
        <v>0</v>
      </c>
      <c r="O2575" s="54">
        <f>ROUND((H2575*K2575),2)</f>
        <v>0</v>
      </c>
      <c r="P2575" s="54">
        <f>ROUND((H2575*L2575),2)</f>
        <v>0</v>
      </c>
      <c r="Q2575" s="54">
        <f>ROUND((H2575*M2575),2)</f>
        <v>0</v>
      </c>
      <c r="R2575" s="54">
        <f>ROUND((H2575*N2575),2)</f>
        <v>0</v>
      </c>
      <c r="S2575" s="54"/>
      <c r="T2575" s="36"/>
      <c r="XDA2575"/>
      <c r="XDB2575"/>
      <c r="XDC2575"/>
      <c r="XDD2575"/>
      <c r="XDE2575"/>
      <c r="XDF2575"/>
      <c r="XDG2575"/>
      <c r="XDH2575"/>
      <c r="XDI2575"/>
      <c r="XDJ2575"/>
      <c r="XDK2575"/>
      <c r="XDL2575"/>
      <c r="XDM2575"/>
      <c r="XDN2575"/>
      <c r="XDO2575"/>
      <c r="XDP2575"/>
      <c r="XDQ2575"/>
      <c r="XDR2575"/>
      <c r="XDS2575"/>
      <c r="XDT2575"/>
      <c r="XDU2575"/>
      <c r="XDV2575"/>
      <c r="XDW2575"/>
      <c r="XDX2575"/>
      <c r="XDY2575"/>
      <c r="XDZ2575"/>
      <c r="XEA2575"/>
      <c r="XEB2575"/>
      <c r="XEC2575"/>
      <c r="XED2575"/>
      <c r="XEE2575"/>
      <c r="XEF2575"/>
      <c r="XEG2575"/>
      <c r="XEH2575"/>
      <c r="XEI2575"/>
      <c r="XEJ2575"/>
      <c r="XEK2575"/>
      <c r="XEL2575"/>
      <c r="XEM2575"/>
      <c r="XEN2575"/>
      <c r="XEO2575"/>
      <c r="XEP2575"/>
      <c r="XEQ2575"/>
      <c r="XER2575"/>
      <c r="XES2575"/>
      <c r="XET2575"/>
      <c r="XEU2575"/>
      <c r="XEV2575"/>
      <c r="XEW2575"/>
      <c r="XEX2575"/>
      <c r="XEY2575"/>
      <c r="XEZ2575"/>
      <c r="XFA2575"/>
      <c r="XFB2575"/>
      <c r="XFC2575"/>
    </row>
    <row r="2576" spans="1:20 16329:16383" s="38" customFormat="1" ht="29.1" customHeight="1" outlineLevel="4" x14ac:dyDescent="0.25">
      <c r="A2576" s="49" t="s">
        <v>4697</v>
      </c>
      <c r="B2576" s="50"/>
      <c r="C2576" s="50"/>
      <c r="D2576" s="3" t="s">
        <v>4698</v>
      </c>
      <c r="E2576" s="3"/>
      <c r="F2576" s="51" t="s">
        <v>4664</v>
      </c>
      <c r="G2576" s="50" t="s">
        <v>194</v>
      </c>
      <c r="H2576" s="52">
        <f>1</f>
        <v>1</v>
      </c>
      <c r="I2576" s="36"/>
      <c r="J2576" s="52">
        <v>1</v>
      </c>
      <c r="K2576" s="53">
        <f>0</f>
        <v>0</v>
      </c>
      <c r="L2576" s="53">
        <f>0</f>
        <v>0</v>
      </c>
      <c r="M2576" s="53">
        <f>0</f>
        <v>0</v>
      </c>
      <c r="N2576" s="54">
        <f>SUM(K2576:M2576)</f>
        <v>0</v>
      </c>
      <c r="O2576" s="54">
        <f>ROUND((H2576*K2576),2)</f>
        <v>0</v>
      </c>
      <c r="P2576" s="54">
        <f>ROUND((H2576*L2576),2)</f>
        <v>0</v>
      </c>
      <c r="Q2576" s="54">
        <f>ROUND((H2576*M2576),2)</f>
        <v>0</v>
      </c>
      <c r="R2576" s="54">
        <f>ROUND((H2576*N2576),2)</f>
        <v>0</v>
      </c>
      <c r="S2576" s="54"/>
      <c r="T2576" s="36"/>
      <c r="XDA2576"/>
      <c r="XDB2576"/>
      <c r="XDC2576"/>
      <c r="XDD2576"/>
      <c r="XDE2576"/>
      <c r="XDF2576"/>
      <c r="XDG2576"/>
      <c r="XDH2576"/>
      <c r="XDI2576"/>
      <c r="XDJ2576"/>
      <c r="XDK2576"/>
      <c r="XDL2576"/>
      <c r="XDM2576"/>
      <c r="XDN2576"/>
      <c r="XDO2576"/>
      <c r="XDP2576"/>
      <c r="XDQ2576"/>
      <c r="XDR2576"/>
      <c r="XDS2576"/>
      <c r="XDT2576"/>
      <c r="XDU2576"/>
      <c r="XDV2576"/>
      <c r="XDW2576"/>
      <c r="XDX2576"/>
      <c r="XDY2576"/>
      <c r="XDZ2576"/>
      <c r="XEA2576"/>
      <c r="XEB2576"/>
      <c r="XEC2576"/>
      <c r="XED2576"/>
      <c r="XEE2576"/>
      <c r="XEF2576"/>
      <c r="XEG2576"/>
      <c r="XEH2576"/>
      <c r="XEI2576"/>
      <c r="XEJ2576"/>
      <c r="XEK2576"/>
      <c r="XEL2576"/>
      <c r="XEM2576"/>
      <c r="XEN2576"/>
      <c r="XEO2576"/>
      <c r="XEP2576"/>
      <c r="XEQ2576"/>
      <c r="XER2576"/>
      <c r="XES2576"/>
      <c r="XET2576"/>
      <c r="XEU2576"/>
      <c r="XEV2576"/>
      <c r="XEW2576"/>
      <c r="XEX2576"/>
      <c r="XEY2576"/>
      <c r="XEZ2576"/>
      <c r="XFA2576"/>
      <c r="XFB2576"/>
      <c r="XFC2576"/>
    </row>
    <row r="2577" spans="1:22 16329:16383" s="38" customFormat="1" ht="29.1" customHeight="1" outlineLevel="3" x14ac:dyDescent="0.25">
      <c r="A2577" s="55" t="s">
        <v>4699</v>
      </c>
      <c r="B2577" s="56" t="s">
        <v>4700</v>
      </c>
      <c r="C2577" s="56"/>
      <c r="D2577" s="2" t="s">
        <v>4701</v>
      </c>
      <c r="E2577" s="2"/>
      <c r="F2577" s="57"/>
      <c r="G2577" s="56"/>
      <c r="H2577" s="58"/>
      <c r="I2577" s="36"/>
      <c r="J2577" s="58"/>
      <c r="K2577" s="59"/>
      <c r="L2577" s="59"/>
      <c r="M2577" s="59"/>
      <c r="N2577" s="59"/>
      <c r="O2577" s="59">
        <f>O2578+O2579</f>
        <v>0</v>
      </c>
      <c r="P2577" s="59">
        <f>P2578+P2579</f>
        <v>0</v>
      </c>
      <c r="Q2577" s="59">
        <f>Q2578+Q2579</f>
        <v>0</v>
      </c>
      <c r="R2577" s="59">
        <f>R2578+R2579</f>
        <v>0</v>
      </c>
      <c r="S2577" s="59"/>
      <c r="T2577" s="36"/>
      <c r="XDA2577"/>
      <c r="XDB2577"/>
      <c r="XDC2577"/>
      <c r="XDD2577"/>
      <c r="XDE2577"/>
      <c r="XDF2577"/>
      <c r="XDG2577"/>
      <c r="XDH2577"/>
      <c r="XDI2577"/>
      <c r="XDJ2577"/>
      <c r="XDK2577"/>
      <c r="XDL2577"/>
      <c r="XDM2577"/>
      <c r="XDN2577"/>
      <c r="XDO2577"/>
      <c r="XDP2577"/>
      <c r="XDQ2577"/>
      <c r="XDR2577"/>
      <c r="XDS2577"/>
      <c r="XDT2577"/>
      <c r="XDU2577"/>
      <c r="XDV2577"/>
      <c r="XDW2577"/>
      <c r="XDX2577"/>
      <c r="XDY2577"/>
      <c r="XDZ2577"/>
      <c r="XEA2577"/>
      <c r="XEB2577"/>
      <c r="XEC2577"/>
      <c r="XED2577"/>
      <c r="XEE2577"/>
      <c r="XEF2577"/>
      <c r="XEG2577"/>
      <c r="XEH2577"/>
      <c r="XEI2577"/>
      <c r="XEJ2577"/>
      <c r="XEK2577"/>
      <c r="XEL2577"/>
      <c r="XEM2577"/>
      <c r="XEN2577"/>
      <c r="XEO2577"/>
      <c r="XEP2577"/>
      <c r="XEQ2577"/>
      <c r="XER2577"/>
      <c r="XES2577"/>
      <c r="XET2577"/>
      <c r="XEU2577"/>
      <c r="XEV2577"/>
      <c r="XEW2577"/>
      <c r="XEX2577"/>
      <c r="XEY2577"/>
      <c r="XEZ2577"/>
      <c r="XFA2577"/>
      <c r="XFB2577"/>
      <c r="XFC2577"/>
    </row>
    <row r="2578" spans="1:22 16329:16383" s="38" customFormat="1" ht="29.1" customHeight="1" outlineLevel="4" x14ac:dyDescent="0.25">
      <c r="A2578" s="49" t="s">
        <v>4702</v>
      </c>
      <c r="B2578" s="50"/>
      <c r="C2578" s="50"/>
      <c r="D2578" s="3" t="s">
        <v>4703</v>
      </c>
      <c r="E2578" s="3"/>
      <c r="F2578" s="51"/>
      <c r="G2578" s="50" t="s">
        <v>29</v>
      </c>
      <c r="H2578" s="52">
        <f>1</f>
        <v>1</v>
      </c>
      <c r="I2578" s="36"/>
      <c r="J2578" s="52">
        <v>1</v>
      </c>
      <c r="K2578" s="53">
        <f>0</f>
        <v>0</v>
      </c>
      <c r="L2578" s="53">
        <f>0</f>
        <v>0</v>
      </c>
      <c r="M2578" s="53">
        <f>0</f>
        <v>0</v>
      </c>
      <c r="N2578" s="54">
        <f>SUM(K2578:M2578)</f>
        <v>0</v>
      </c>
      <c r="O2578" s="54">
        <f>ROUND((H2578*K2578),2)</f>
        <v>0</v>
      </c>
      <c r="P2578" s="54">
        <f>ROUND((H2578*L2578),2)</f>
        <v>0</v>
      </c>
      <c r="Q2578" s="54">
        <f>ROUND((H2578*M2578),2)</f>
        <v>0</v>
      </c>
      <c r="R2578" s="54">
        <f>ROUND((H2578*N2578),2)</f>
        <v>0</v>
      </c>
      <c r="S2578" s="54"/>
      <c r="T2578" s="36"/>
      <c r="XDA2578"/>
      <c r="XDB2578"/>
      <c r="XDC2578"/>
      <c r="XDD2578"/>
      <c r="XDE2578"/>
      <c r="XDF2578"/>
      <c r="XDG2578"/>
      <c r="XDH2578"/>
      <c r="XDI2578"/>
      <c r="XDJ2578"/>
      <c r="XDK2578"/>
      <c r="XDL2578"/>
      <c r="XDM2578"/>
      <c r="XDN2578"/>
      <c r="XDO2578"/>
      <c r="XDP2578"/>
      <c r="XDQ2578"/>
      <c r="XDR2578"/>
      <c r="XDS2578"/>
      <c r="XDT2578"/>
      <c r="XDU2578"/>
      <c r="XDV2578"/>
      <c r="XDW2578"/>
      <c r="XDX2578"/>
      <c r="XDY2578"/>
      <c r="XDZ2578"/>
      <c r="XEA2578"/>
      <c r="XEB2578"/>
      <c r="XEC2578"/>
      <c r="XED2578"/>
      <c r="XEE2578"/>
      <c r="XEF2578"/>
      <c r="XEG2578"/>
      <c r="XEH2578"/>
      <c r="XEI2578"/>
      <c r="XEJ2578"/>
      <c r="XEK2578"/>
      <c r="XEL2578"/>
      <c r="XEM2578"/>
      <c r="XEN2578"/>
      <c r="XEO2578"/>
      <c r="XEP2578"/>
      <c r="XEQ2578"/>
      <c r="XER2578"/>
      <c r="XES2578"/>
      <c r="XET2578"/>
      <c r="XEU2578"/>
      <c r="XEV2578"/>
      <c r="XEW2578"/>
      <c r="XEX2578"/>
      <c r="XEY2578"/>
      <c r="XEZ2578"/>
      <c r="XFA2578"/>
      <c r="XFB2578"/>
      <c r="XFC2578"/>
    </row>
    <row r="2579" spans="1:22 16329:16383" s="38" customFormat="1" ht="29.1" customHeight="1" outlineLevel="4" x14ac:dyDescent="0.25">
      <c r="A2579" s="49" t="s">
        <v>4704</v>
      </c>
      <c r="B2579" s="50"/>
      <c r="C2579" s="50"/>
      <c r="D2579" s="3" t="s">
        <v>4705</v>
      </c>
      <c r="E2579" s="3"/>
      <c r="F2579" s="51" t="s">
        <v>4664</v>
      </c>
      <c r="G2579" s="50" t="s">
        <v>194</v>
      </c>
      <c r="H2579" s="52">
        <f>1</f>
        <v>1</v>
      </c>
      <c r="I2579" s="36"/>
      <c r="J2579" s="52">
        <v>1</v>
      </c>
      <c r="K2579" s="53">
        <f>0</f>
        <v>0</v>
      </c>
      <c r="L2579" s="53">
        <f>0</f>
        <v>0</v>
      </c>
      <c r="M2579" s="53">
        <f>0</f>
        <v>0</v>
      </c>
      <c r="N2579" s="54">
        <f>SUM(K2579:M2579)</f>
        <v>0</v>
      </c>
      <c r="O2579" s="54">
        <f>ROUND((H2579*K2579),2)</f>
        <v>0</v>
      </c>
      <c r="P2579" s="54">
        <f>ROUND((H2579*L2579),2)</f>
        <v>0</v>
      </c>
      <c r="Q2579" s="54">
        <f>ROUND((H2579*M2579),2)</f>
        <v>0</v>
      </c>
      <c r="R2579" s="54">
        <f>ROUND((H2579*N2579),2)</f>
        <v>0</v>
      </c>
      <c r="S2579" s="54"/>
      <c r="T2579" s="36"/>
      <c r="XDA2579"/>
      <c r="XDB2579"/>
      <c r="XDC2579"/>
      <c r="XDD2579"/>
      <c r="XDE2579"/>
      <c r="XDF2579"/>
      <c r="XDG2579"/>
      <c r="XDH2579"/>
      <c r="XDI2579"/>
      <c r="XDJ2579"/>
      <c r="XDK2579"/>
      <c r="XDL2579"/>
      <c r="XDM2579"/>
      <c r="XDN2579"/>
      <c r="XDO2579"/>
      <c r="XDP2579"/>
      <c r="XDQ2579"/>
      <c r="XDR2579"/>
      <c r="XDS2579"/>
      <c r="XDT2579"/>
      <c r="XDU2579"/>
      <c r="XDV2579"/>
      <c r="XDW2579"/>
      <c r="XDX2579"/>
      <c r="XDY2579"/>
      <c r="XDZ2579"/>
      <c r="XEA2579"/>
      <c r="XEB2579"/>
      <c r="XEC2579"/>
      <c r="XED2579"/>
      <c r="XEE2579"/>
      <c r="XEF2579"/>
      <c r="XEG2579"/>
      <c r="XEH2579"/>
      <c r="XEI2579"/>
      <c r="XEJ2579"/>
      <c r="XEK2579"/>
      <c r="XEL2579"/>
      <c r="XEM2579"/>
      <c r="XEN2579"/>
      <c r="XEO2579"/>
      <c r="XEP2579"/>
      <c r="XEQ2579"/>
      <c r="XER2579"/>
      <c r="XES2579"/>
      <c r="XET2579"/>
      <c r="XEU2579"/>
      <c r="XEV2579"/>
      <c r="XEW2579"/>
      <c r="XEX2579"/>
      <c r="XEY2579"/>
      <c r="XEZ2579"/>
      <c r="XFA2579"/>
      <c r="XFB2579"/>
      <c r="XFC2579"/>
    </row>
    <row r="2580" spans="1:22 16329:16383" s="38" customFormat="1" ht="29.1" customHeight="1" outlineLevel="2" x14ac:dyDescent="0.25">
      <c r="A2580" s="44" t="s">
        <v>4706</v>
      </c>
      <c r="B2580" s="45" t="s">
        <v>4707</v>
      </c>
      <c r="C2580" s="45"/>
      <c r="D2580" s="4" t="s">
        <v>4708</v>
      </c>
      <c r="E2580" s="4"/>
      <c r="F2580" s="46"/>
      <c r="G2580" s="45"/>
      <c r="H2580" s="47"/>
      <c r="I2580" s="36"/>
      <c r="J2580" s="47"/>
      <c r="K2580" s="48"/>
      <c r="L2580" s="48"/>
      <c r="M2580" s="48"/>
      <c r="N2580" s="48"/>
      <c r="O2580" s="48">
        <f>O2581</f>
        <v>0</v>
      </c>
      <c r="P2580" s="48">
        <f>P2581</f>
        <v>0</v>
      </c>
      <c r="Q2580" s="48">
        <f>Q2581</f>
        <v>0</v>
      </c>
      <c r="R2580" s="48">
        <f>R2581</f>
        <v>0</v>
      </c>
      <c r="S2580" s="48"/>
      <c r="T2580" s="36"/>
      <c r="XDA2580"/>
      <c r="XDB2580"/>
      <c r="XDC2580"/>
      <c r="XDD2580"/>
      <c r="XDE2580"/>
      <c r="XDF2580"/>
      <c r="XDG2580"/>
      <c r="XDH2580"/>
      <c r="XDI2580"/>
      <c r="XDJ2580"/>
      <c r="XDK2580"/>
      <c r="XDL2580"/>
      <c r="XDM2580"/>
      <c r="XDN2580"/>
      <c r="XDO2580"/>
      <c r="XDP2580"/>
      <c r="XDQ2580"/>
      <c r="XDR2580"/>
      <c r="XDS2580"/>
      <c r="XDT2580"/>
      <c r="XDU2580"/>
      <c r="XDV2580"/>
      <c r="XDW2580"/>
      <c r="XDX2580"/>
      <c r="XDY2580"/>
      <c r="XDZ2580"/>
      <c r="XEA2580"/>
      <c r="XEB2580"/>
      <c r="XEC2580"/>
      <c r="XED2580"/>
      <c r="XEE2580"/>
      <c r="XEF2580"/>
      <c r="XEG2580"/>
      <c r="XEH2580"/>
      <c r="XEI2580"/>
      <c r="XEJ2580"/>
      <c r="XEK2580"/>
      <c r="XEL2580"/>
      <c r="XEM2580"/>
      <c r="XEN2580"/>
      <c r="XEO2580"/>
      <c r="XEP2580"/>
      <c r="XEQ2580"/>
      <c r="XER2580"/>
      <c r="XES2580"/>
      <c r="XET2580"/>
      <c r="XEU2580"/>
      <c r="XEV2580"/>
      <c r="XEW2580"/>
      <c r="XEX2580"/>
      <c r="XEY2580"/>
      <c r="XEZ2580"/>
      <c r="XFA2580"/>
      <c r="XFB2580"/>
      <c r="XFC2580"/>
    </row>
    <row r="2581" spans="1:22 16329:16383" s="38" customFormat="1" ht="29.1" customHeight="1" outlineLevel="3" x14ac:dyDescent="0.25">
      <c r="A2581" s="49" t="s">
        <v>4709</v>
      </c>
      <c r="B2581" s="50"/>
      <c r="C2581" s="50"/>
      <c r="D2581" s="3" t="s">
        <v>4710</v>
      </c>
      <c r="E2581" s="3"/>
      <c r="F2581" s="51"/>
      <c r="G2581" s="50" t="s">
        <v>134</v>
      </c>
      <c r="H2581" s="52">
        <f>1</f>
        <v>1</v>
      </c>
      <c r="I2581" s="36"/>
      <c r="J2581" s="52">
        <v>1</v>
      </c>
      <c r="K2581" s="53">
        <f>0</f>
        <v>0</v>
      </c>
      <c r="L2581" s="53">
        <f>0</f>
        <v>0</v>
      </c>
      <c r="M2581" s="53">
        <f>0</f>
        <v>0</v>
      </c>
      <c r="N2581" s="54">
        <f>SUM(K2581:M2581)</f>
        <v>0</v>
      </c>
      <c r="O2581" s="54">
        <f>ROUND((H2581*K2581),2)</f>
        <v>0</v>
      </c>
      <c r="P2581" s="54">
        <f>ROUND((H2581*L2581),2)</f>
        <v>0</v>
      </c>
      <c r="Q2581" s="54">
        <f>ROUND((H2581*M2581),2)</f>
        <v>0</v>
      </c>
      <c r="R2581" s="54">
        <f>ROUND((H2581*N2581),2)</f>
        <v>0</v>
      </c>
      <c r="S2581" s="54"/>
      <c r="T2581" s="36"/>
      <c r="XDA2581"/>
      <c r="XDB2581"/>
      <c r="XDC2581"/>
      <c r="XDD2581"/>
      <c r="XDE2581"/>
      <c r="XDF2581"/>
      <c r="XDG2581"/>
      <c r="XDH2581"/>
      <c r="XDI2581"/>
      <c r="XDJ2581"/>
      <c r="XDK2581"/>
      <c r="XDL2581"/>
      <c r="XDM2581"/>
      <c r="XDN2581"/>
      <c r="XDO2581"/>
      <c r="XDP2581"/>
      <c r="XDQ2581"/>
      <c r="XDR2581"/>
      <c r="XDS2581"/>
      <c r="XDT2581"/>
      <c r="XDU2581"/>
      <c r="XDV2581"/>
      <c r="XDW2581"/>
      <c r="XDX2581"/>
      <c r="XDY2581"/>
      <c r="XDZ2581"/>
      <c r="XEA2581"/>
      <c r="XEB2581"/>
      <c r="XEC2581"/>
      <c r="XED2581"/>
      <c r="XEE2581"/>
      <c r="XEF2581"/>
      <c r="XEG2581"/>
      <c r="XEH2581"/>
      <c r="XEI2581"/>
      <c r="XEJ2581"/>
      <c r="XEK2581"/>
      <c r="XEL2581"/>
      <c r="XEM2581"/>
      <c r="XEN2581"/>
      <c r="XEO2581"/>
      <c r="XEP2581"/>
      <c r="XEQ2581"/>
      <c r="XER2581"/>
      <c r="XES2581"/>
      <c r="XET2581"/>
      <c r="XEU2581"/>
      <c r="XEV2581"/>
      <c r="XEW2581"/>
      <c r="XEX2581"/>
      <c r="XEY2581"/>
      <c r="XEZ2581"/>
      <c r="XFA2581"/>
      <c r="XFB2581"/>
      <c r="XFC2581"/>
    </row>
    <row r="2582" spans="1:22 16329:16383" s="38" customFormat="1" ht="29.1" customHeight="1" outlineLevel="2" x14ac:dyDescent="0.25">
      <c r="A2582" s="44" t="s">
        <v>4711</v>
      </c>
      <c r="B2582" s="45" t="s">
        <v>4712</v>
      </c>
      <c r="C2582" s="45"/>
      <c r="D2582" s="4" t="s">
        <v>4713</v>
      </c>
      <c r="E2582" s="4"/>
      <c r="F2582" s="46"/>
      <c r="G2582" s="45"/>
      <c r="H2582" s="47"/>
      <c r="I2582" s="36"/>
      <c r="J2582" s="47"/>
      <c r="K2582" s="48"/>
      <c r="L2582" s="48"/>
      <c r="M2582" s="48"/>
      <c r="N2582" s="48"/>
      <c r="O2582" s="48">
        <f>O2583+O2584</f>
        <v>0</v>
      </c>
      <c r="P2582" s="48">
        <f>P2583+P2584</f>
        <v>0</v>
      </c>
      <c r="Q2582" s="48">
        <f>Q2583+Q2584</f>
        <v>0</v>
      </c>
      <c r="R2582" s="48">
        <f>R2583+R2584</f>
        <v>0</v>
      </c>
      <c r="S2582" s="48"/>
      <c r="T2582" s="36"/>
      <c r="XDA2582"/>
      <c r="XDB2582"/>
      <c r="XDC2582"/>
      <c r="XDD2582"/>
      <c r="XDE2582"/>
      <c r="XDF2582"/>
      <c r="XDG2582"/>
      <c r="XDH2582"/>
      <c r="XDI2582"/>
      <c r="XDJ2582"/>
      <c r="XDK2582"/>
      <c r="XDL2582"/>
      <c r="XDM2582"/>
      <c r="XDN2582"/>
      <c r="XDO2582"/>
      <c r="XDP2582"/>
      <c r="XDQ2582"/>
      <c r="XDR2582"/>
      <c r="XDS2582"/>
      <c r="XDT2582"/>
      <c r="XDU2582"/>
      <c r="XDV2582"/>
      <c r="XDW2582"/>
      <c r="XDX2582"/>
      <c r="XDY2582"/>
      <c r="XDZ2582"/>
      <c r="XEA2582"/>
      <c r="XEB2582"/>
      <c r="XEC2582"/>
      <c r="XED2582"/>
      <c r="XEE2582"/>
      <c r="XEF2582"/>
      <c r="XEG2582"/>
      <c r="XEH2582"/>
      <c r="XEI2582"/>
      <c r="XEJ2582"/>
      <c r="XEK2582"/>
      <c r="XEL2582"/>
      <c r="XEM2582"/>
      <c r="XEN2582"/>
      <c r="XEO2582"/>
      <c r="XEP2582"/>
      <c r="XEQ2582"/>
      <c r="XER2582"/>
      <c r="XES2582"/>
      <c r="XET2582"/>
      <c r="XEU2582"/>
      <c r="XEV2582"/>
      <c r="XEW2582"/>
      <c r="XEX2582"/>
      <c r="XEY2582"/>
      <c r="XEZ2582"/>
      <c r="XFA2582"/>
      <c r="XFB2582"/>
      <c r="XFC2582"/>
    </row>
    <row r="2583" spans="1:22 16329:16383" s="38" customFormat="1" ht="29.1" customHeight="1" outlineLevel="3" x14ac:dyDescent="0.25">
      <c r="A2583" s="49" t="s">
        <v>4714</v>
      </c>
      <c r="B2583" s="50"/>
      <c r="C2583" s="50"/>
      <c r="D2583" s="3" t="s">
        <v>4715</v>
      </c>
      <c r="E2583" s="3"/>
      <c r="F2583" s="51"/>
      <c r="G2583" s="50" t="s">
        <v>29</v>
      </c>
      <c r="H2583" s="52">
        <f>1</f>
        <v>1</v>
      </c>
      <c r="I2583" s="36"/>
      <c r="J2583" s="52">
        <v>1</v>
      </c>
      <c r="K2583" s="53">
        <f>0</f>
        <v>0</v>
      </c>
      <c r="L2583" s="53">
        <f>0</f>
        <v>0</v>
      </c>
      <c r="M2583" s="53">
        <f>0</f>
        <v>0</v>
      </c>
      <c r="N2583" s="54">
        <f>SUM(K2583:M2583)</f>
        <v>0</v>
      </c>
      <c r="O2583" s="54">
        <f>ROUND((H2583*K2583),2)</f>
        <v>0</v>
      </c>
      <c r="P2583" s="54">
        <f>ROUND((H2583*L2583),2)</f>
        <v>0</v>
      </c>
      <c r="Q2583" s="54">
        <f>ROUND((H2583*M2583),2)</f>
        <v>0</v>
      </c>
      <c r="R2583" s="54">
        <f>ROUND((H2583*N2583),2)</f>
        <v>0</v>
      </c>
      <c r="S2583" s="54"/>
      <c r="T2583" s="36"/>
      <c r="XDA2583"/>
      <c r="XDB2583"/>
      <c r="XDC2583"/>
      <c r="XDD2583"/>
      <c r="XDE2583"/>
      <c r="XDF2583"/>
      <c r="XDG2583"/>
      <c r="XDH2583"/>
      <c r="XDI2583"/>
      <c r="XDJ2583"/>
      <c r="XDK2583"/>
      <c r="XDL2583"/>
      <c r="XDM2583"/>
      <c r="XDN2583"/>
      <c r="XDO2583"/>
      <c r="XDP2583"/>
      <c r="XDQ2583"/>
      <c r="XDR2583"/>
      <c r="XDS2583"/>
      <c r="XDT2583"/>
      <c r="XDU2583"/>
      <c r="XDV2583"/>
      <c r="XDW2583"/>
      <c r="XDX2583"/>
      <c r="XDY2583"/>
      <c r="XDZ2583"/>
      <c r="XEA2583"/>
      <c r="XEB2583"/>
      <c r="XEC2583"/>
      <c r="XED2583"/>
      <c r="XEE2583"/>
      <c r="XEF2583"/>
      <c r="XEG2583"/>
      <c r="XEH2583"/>
      <c r="XEI2583"/>
      <c r="XEJ2583"/>
      <c r="XEK2583"/>
      <c r="XEL2583"/>
      <c r="XEM2583"/>
      <c r="XEN2583"/>
      <c r="XEO2583"/>
      <c r="XEP2583"/>
      <c r="XEQ2583"/>
      <c r="XER2583"/>
      <c r="XES2583"/>
      <c r="XET2583"/>
      <c r="XEU2583"/>
      <c r="XEV2583"/>
      <c r="XEW2583"/>
      <c r="XEX2583"/>
      <c r="XEY2583"/>
      <c r="XEZ2583"/>
      <c r="XFA2583"/>
      <c r="XFB2583"/>
      <c r="XFC2583"/>
    </row>
    <row r="2584" spans="1:22 16329:16383" s="38" customFormat="1" ht="29.1" customHeight="1" outlineLevel="3" x14ac:dyDescent="0.25">
      <c r="A2584" s="49" t="s">
        <v>4716</v>
      </c>
      <c r="B2584" s="50"/>
      <c r="C2584" s="50"/>
      <c r="D2584" s="3" t="s">
        <v>4717</v>
      </c>
      <c r="E2584" s="3"/>
      <c r="F2584" s="51"/>
      <c r="G2584" s="50" t="s">
        <v>29</v>
      </c>
      <c r="H2584" s="52">
        <f>1</f>
        <v>1</v>
      </c>
      <c r="I2584" s="36"/>
      <c r="J2584" s="52">
        <v>1</v>
      </c>
      <c r="K2584" s="53">
        <f>0</f>
        <v>0</v>
      </c>
      <c r="L2584" s="53">
        <f>0</f>
        <v>0</v>
      </c>
      <c r="M2584" s="53">
        <f>0</f>
        <v>0</v>
      </c>
      <c r="N2584" s="54">
        <f>SUM(K2584:M2584)</f>
        <v>0</v>
      </c>
      <c r="O2584" s="54">
        <f>ROUND((H2584*K2584),2)</f>
        <v>0</v>
      </c>
      <c r="P2584" s="54">
        <f>ROUND((H2584*L2584),2)</f>
        <v>0</v>
      </c>
      <c r="Q2584" s="54">
        <f>ROUND((H2584*M2584),2)</f>
        <v>0</v>
      </c>
      <c r="R2584" s="54">
        <f>ROUND((H2584*N2584),2)</f>
        <v>0</v>
      </c>
      <c r="S2584" s="54"/>
      <c r="T2584" s="36"/>
      <c r="XDA2584"/>
      <c r="XDB2584"/>
      <c r="XDC2584"/>
      <c r="XDD2584"/>
      <c r="XDE2584"/>
      <c r="XDF2584"/>
      <c r="XDG2584"/>
      <c r="XDH2584"/>
      <c r="XDI2584"/>
      <c r="XDJ2584"/>
      <c r="XDK2584"/>
      <c r="XDL2584"/>
      <c r="XDM2584"/>
      <c r="XDN2584"/>
      <c r="XDO2584"/>
      <c r="XDP2584"/>
      <c r="XDQ2584"/>
      <c r="XDR2584"/>
      <c r="XDS2584"/>
      <c r="XDT2584"/>
      <c r="XDU2584"/>
      <c r="XDV2584"/>
      <c r="XDW2584"/>
      <c r="XDX2584"/>
      <c r="XDY2584"/>
      <c r="XDZ2584"/>
      <c r="XEA2584"/>
      <c r="XEB2584"/>
      <c r="XEC2584"/>
      <c r="XED2584"/>
      <c r="XEE2584"/>
      <c r="XEF2584"/>
      <c r="XEG2584"/>
      <c r="XEH2584"/>
      <c r="XEI2584"/>
      <c r="XEJ2584"/>
      <c r="XEK2584"/>
      <c r="XEL2584"/>
      <c r="XEM2584"/>
      <c r="XEN2584"/>
      <c r="XEO2584"/>
      <c r="XEP2584"/>
      <c r="XEQ2584"/>
      <c r="XER2584"/>
      <c r="XES2584"/>
      <c r="XET2584"/>
      <c r="XEU2584"/>
      <c r="XEV2584"/>
      <c r="XEW2584"/>
      <c r="XEX2584"/>
      <c r="XEY2584"/>
      <c r="XEZ2584"/>
      <c r="XFA2584"/>
      <c r="XFB2584"/>
      <c r="XFC2584"/>
    </row>
    <row r="2585" spans="1:22 16329:16383" s="38" customFormat="1" ht="29.1" customHeight="1" outlineLevel="1" x14ac:dyDescent="0.25">
      <c r="A2585" s="39" t="s">
        <v>4718</v>
      </c>
      <c r="B2585" s="40" t="s">
        <v>62</v>
      </c>
      <c r="C2585" s="40"/>
      <c r="D2585" s="5" t="s">
        <v>4719</v>
      </c>
      <c r="E2585" s="5"/>
      <c r="F2585" s="41" t="s">
        <v>4720</v>
      </c>
      <c r="G2585" s="40" t="s">
        <v>102</v>
      </c>
      <c r="H2585" s="42">
        <f>79252.3</f>
        <v>79252.3</v>
      </c>
      <c r="I2585" s="36"/>
      <c r="J2585" s="42">
        <v>79252.3</v>
      </c>
      <c r="K2585" s="43">
        <f>ROUND((O2585/H2585),2)</f>
        <v>0</v>
      </c>
      <c r="L2585" s="43">
        <f>ROUND((P2585/H2585),2)</f>
        <v>0</v>
      </c>
      <c r="M2585" s="43">
        <f>ROUND((Q2585/H2585),2)</f>
        <v>0</v>
      </c>
      <c r="N2585" s="43">
        <f>ROUND((R2585/H2585),2)</f>
        <v>0</v>
      </c>
      <c r="O2585" s="43">
        <f>O2586</f>
        <v>0</v>
      </c>
      <c r="P2585" s="43">
        <f>P2586</f>
        <v>0</v>
      </c>
      <c r="Q2585" s="43">
        <f>Q2586</f>
        <v>0</v>
      </c>
      <c r="R2585" s="43">
        <f>R2586</f>
        <v>0</v>
      </c>
      <c r="S2585" s="43"/>
      <c r="T2585" s="36"/>
      <c r="XDA2585"/>
      <c r="XDB2585"/>
      <c r="XDC2585"/>
      <c r="XDD2585"/>
      <c r="XDE2585"/>
      <c r="XDF2585"/>
      <c r="XDG2585"/>
      <c r="XDH2585"/>
      <c r="XDI2585"/>
      <c r="XDJ2585"/>
      <c r="XDK2585"/>
      <c r="XDL2585"/>
      <c r="XDM2585"/>
      <c r="XDN2585"/>
      <c r="XDO2585"/>
      <c r="XDP2585"/>
      <c r="XDQ2585"/>
      <c r="XDR2585"/>
      <c r="XDS2585"/>
      <c r="XDT2585"/>
      <c r="XDU2585"/>
      <c r="XDV2585"/>
      <c r="XDW2585"/>
      <c r="XDX2585"/>
      <c r="XDY2585"/>
      <c r="XDZ2585"/>
      <c r="XEA2585"/>
      <c r="XEB2585"/>
      <c r="XEC2585"/>
      <c r="XED2585"/>
      <c r="XEE2585"/>
      <c r="XEF2585"/>
      <c r="XEG2585"/>
      <c r="XEH2585"/>
      <c r="XEI2585"/>
      <c r="XEJ2585"/>
      <c r="XEK2585"/>
      <c r="XEL2585"/>
      <c r="XEM2585"/>
      <c r="XEN2585"/>
      <c r="XEO2585"/>
      <c r="XEP2585"/>
      <c r="XEQ2585"/>
      <c r="XER2585"/>
      <c r="XES2585"/>
      <c r="XET2585"/>
      <c r="XEU2585"/>
      <c r="XEV2585"/>
      <c r="XEW2585"/>
      <c r="XEX2585"/>
      <c r="XEY2585"/>
      <c r="XEZ2585"/>
      <c r="XFA2585"/>
      <c r="XFB2585"/>
      <c r="XFC2585"/>
    </row>
    <row r="2586" spans="1:22 16329:16383" s="38" customFormat="1" ht="29.1" customHeight="1" outlineLevel="2" x14ac:dyDescent="0.25">
      <c r="A2586" s="49" t="s">
        <v>4721</v>
      </c>
      <c r="B2586" s="50"/>
      <c r="C2586" s="50"/>
      <c r="D2586" s="3" t="s">
        <v>4722</v>
      </c>
      <c r="E2586" s="3"/>
      <c r="F2586" s="51"/>
      <c r="G2586" s="50" t="s">
        <v>102</v>
      </c>
      <c r="H2586" s="52">
        <f>79252.3</f>
        <v>79252.3</v>
      </c>
      <c r="I2586" s="36"/>
      <c r="J2586" s="52">
        <v>79252.3</v>
      </c>
      <c r="K2586" s="53">
        <f>0</f>
        <v>0</v>
      </c>
      <c r="L2586" s="53">
        <f>0</f>
        <v>0</v>
      </c>
      <c r="M2586" s="53">
        <f>0</f>
        <v>0</v>
      </c>
      <c r="N2586" s="54">
        <f>SUM(K2586:M2586)</f>
        <v>0</v>
      </c>
      <c r="O2586" s="54">
        <f>ROUND((H2586*K2586),2)</f>
        <v>0</v>
      </c>
      <c r="P2586" s="54">
        <f>ROUND((H2586*L2586),2)</f>
        <v>0</v>
      </c>
      <c r="Q2586" s="54">
        <f>ROUND((H2586*M2586),2)</f>
        <v>0</v>
      </c>
      <c r="R2586" s="54">
        <f>ROUND((H2586*N2586),2)</f>
        <v>0</v>
      </c>
      <c r="S2586" s="54"/>
      <c r="T2586" s="36"/>
      <c r="XDA2586"/>
      <c r="XDB2586"/>
      <c r="XDC2586"/>
      <c r="XDD2586"/>
      <c r="XDE2586"/>
      <c r="XDF2586"/>
      <c r="XDG2586"/>
      <c r="XDH2586"/>
      <c r="XDI2586"/>
      <c r="XDJ2586"/>
      <c r="XDK2586"/>
      <c r="XDL2586"/>
      <c r="XDM2586"/>
      <c r="XDN2586"/>
      <c r="XDO2586"/>
      <c r="XDP2586"/>
      <c r="XDQ2586"/>
      <c r="XDR2586"/>
      <c r="XDS2586"/>
      <c r="XDT2586"/>
      <c r="XDU2586"/>
      <c r="XDV2586"/>
      <c r="XDW2586"/>
      <c r="XDX2586"/>
      <c r="XDY2586"/>
      <c r="XDZ2586"/>
      <c r="XEA2586"/>
      <c r="XEB2586"/>
      <c r="XEC2586"/>
      <c r="XED2586"/>
      <c r="XEE2586"/>
      <c r="XEF2586"/>
      <c r="XEG2586"/>
      <c r="XEH2586"/>
      <c r="XEI2586"/>
      <c r="XEJ2586"/>
      <c r="XEK2586"/>
      <c r="XEL2586"/>
      <c r="XEM2586"/>
      <c r="XEN2586"/>
      <c r="XEO2586"/>
      <c r="XEP2586"/>
      <c r="XEQ2586"/>
      <c r="XER2586"/>
      <c r="XES2586"/>
      <c r="XET2586"/>
      <c r="XEU2586"/>
      <c r="XEV2586"/>
      <c r="XEW2586"/>
      <c r="XEX2586"/>
      <c r="XEY2586"/>
      <c r="XEZ2586"/>
      <c r="XFA2586"/>
      <c r="XFB2586"/>
      <c r="XFC2586"/>
    </row>
    <row r="2587" spans="1:22 16329:16383" ht="22.35" customHeight="1" x14ac:dyDescent="0.25">
      <c r="A2587" s="100" t="s">
        <v>4723</v>
      </c>
      <c r="B2587" s="100"/>
      <c r="C2587" s="100"/>
      <c r="D2587" s="100"/>
      <c r="E2587" s="100"/>
      <c r="F2587" s="75"/>
      <c r="G2587" s="76"/>
      <c r="H2587" s="77"/>
      <c r="I2587" s="30"/>
      <c r="J2587" s="77"/>
      <c r="K2587" s="77"/>
      <c r="L2587" s="77"/>
      <c r="M2587" s="77"/>
      <c r="N2587" s="77"/>
      <c r="O2587" s="77">
        <f>O11</f>
        <v>0</v>
      </c>
      <c r="P2587" s="77">
        <f>P11</f>
        <v>0</v>
      </c>
      <c r="Q2587" s="77">
        <f>Q11</f>
        <v>0</v>
      </c>
      <c r="R2587" s="77">
        <f>R11</f>
        <v>0</v>
      </c>
      <c r="S2587" s="77"/>
      <c r="T2587" s="30"/>
    </row>
    <row r="2588" spans="1:22 16329:16383" ht="30.6" customHeight="1" x14ac:dyDescent="0.25">
      <c r="A2588" s="101" t="s">
        <v>4724</v>
      </c>
      <c r="B2588" s="101"/>
      <c r="C2588" s="101"/>
      <c r="D2588" s="101"/>
      <c r="E2588" s="101"/>
      <c r="F2588" s="78"/>
      <c r="G2588" s="79"/>
      <c r="H2588" s="80"/>
      <c r="I2588" s="81"/>
      <c r="J2588" s="80"/>
      <c r="K2588" s="80"/>
      <c r="L2588" s="80"/>
      <c r="M2588" s="80"/>
      <c r="N2588" s="80"/>
      <c r="O2588" s="80"/>
      <c r="P2588" s="80"/>
      <c r="Q2588" s="80"/>
      <c r="R2588" s="82"/>
      <c r="S2588" s="82"/>
      <c r="T2588" s="30"/>
    </row>
    <row r="2589" spans="1:22 16329:16383" ht="30.6" customHeight="1" x14ac:dyDescent="0.25">
      <c r="A2589" s="101" t="s">
        <v>4725</v>
      </c>
      <c r="B2589" s="101"/>
      <c r="C2589" s="101"/>
      <c r="D2589" s="101"/>
      <c r="E2589" s="101"/>
      <c r="F2589" s="78"/>
      <c r="G2589" s="78"/>
      <c r="H2589" s="78"/>
      <c r="I2589" s="81"/>
      <c r="J2589" s="80"/>
      <c r="K2589" s="80"/>
      <c r="L2589" s="80"/>
      <c r="M2589" s="80"/>
      <c r="N2589" s="80"/>
      <c r="O2589" s="80">
        <f>O2587+-1*0</f>
        <v>0</v>
      </c>
      <c r="P2589" s="80">
        <f>P2587+-1*0</f>
        <v>0</v>
      </c>
      <c r="Q2589" s="80">
        <f>Q2587+-1*0</f>
        <v>0</v>
      </c>
      <c r="R2589" s="82">
        <f>R2587+-1*0</f>
        <v>0</v>
      </c>
      <c r="S2589" s="82"/>
      <c r="T2589" s="30"/>
    </row>
    <row r="2590" spans="1:22 16329:16383" ht="15.75" x14ac:dyDescent="0.25">
      <c r="A2590" s="83"/>
      <c r="B2590" s="83"/>
      <c r="C2590" s="83"/>
      <c r="D2590" s="83"/>
      <c r="E2590" s="83"/>
      <c r="F2590" s="83"/>
      <c r="G2590" s="30"/>
      <c r="H2590" s="84"/>
      <c r="I2590" s="30"/>
      <c r="J2590" s="84"/>
      <c r="K2590" s="84"/>
      <c r="L2590" s="84"/>
      <c r="M2590" s="84"/>
      <c r="N2590" s="84"/>
      <c r="O2590" s="84"/>
      <c r="P2590" s="84"/>
      <c r="Q2590" s="84"/>
      <c r="R2590" s="84"/>
      <c r="S2590" s="84"/>
      <c r="T2590" s="30"/>
      <c r="U2590" s="85"/>
      <c r="V2590" s="85"/>
    </row>
    <row r="2591" spans="1:22 16329:16383" ht="15.75" x14ac:dyDescent="0.25">
      <c r="A2591" s="86"/>
      <c r="B2591" s="87"/>
      <c r="C2591" s="87"/>
      <c r="D2591" s="87"/>
      <c r="E2591" s="87"/>
      <c r="F2591" s="87"/>
      <c r="G2591" s="86"/>
      <c r="H2591" s="88"/>
      <c r="I2591" s="89"/>
      <c r="J2591" s="90"/>
      <c r="K2591" s="90"/>
      <c r="L2591" s="90"/>
      <c r="M2591" s="90"/>
      <c r="N2591" s="90"/>
      <c r="O2591" s="91"/>
      <c r="P2591" s="90"/>
      <c r="Q2591" s="90"/>
      <c r="R2591" s="90"/>
      <c r="S2591" s="90"/>
      <c r="T2591" s="30"/>
      <c r="U2591" s="92"/>
      <c r="V2591" s="92"/>
    </row>
    <row r="2592" spans="1:22 16329:16383" ht="15.75" x14ac:dyDescent="0.25">
      <c r="A2592" s="93"/>
      <c r="B2592" s="94"/>
      <c r="C2592" s="94"/>
      <c r="D2592" s="94"/>
      <c r="E2592" s="94"/>
      <c r="F2592" s="94"/>
      <c r="G2592" s="94"/>
      <c r="H2592" s="95"/>
      <c r="I2592" s="89"/>
      <c r="J2592" s="96"/>
      <c r="K2592" s="96"/>
      <c r="L2592" s="96"/>
      <c r="M2592" s="96"/>
      <c r="N2592" s="97"/>
      <c r="O2592" s="96"/>
      <c r="P2592" s="96"/>
      <c r="Q2592" s="96"/>
      <c r="R2592" s="97"/>
      <c r="S2592" s="97"/>
      <c r="T2592" s="89"/>
      <c r="U2592" s="94"/>
      <c r="V2592" s="94"/>
    </row>
    <row r="2593" spans="1:22" ht="15.75" x14ac:dyDescent="0.25">
      <c r="A2593" s="93"/>
      <c r="B2593" s="94"/>
      <c r="C2593" s="94"/>
      <c r="D2593" s="94"/>
      <c r="E2593" s="94"/>
      <c r="F2593" s="94"/>
      <c r="G2593" s="94"/>
      <c r="H2593" s="95"/>
      <c r="I2593" s="89"/>
      <c r="J2593" s="96"/>
      <c r="K2593" s="96"/>
      <c r="L2593" s="96"/>
      <c r="M2593" s="96"/>
      <c r="N2593" s="97"/>
      <c r="O2593" s="96"/>
      <c r="P2593" s="96"/>
      <c r="Q2593" s="96"/>
      <c r="R2593" s="97"/>
      <c r="S2593" s="97"/>
      <c r="T2593" s="89"/>
      <c r="U2593" s="94"/>
      <c r="V2593" s="94"/>
    </row>
    <row r="2594" spans="1:22" ht="15.75" x14ac:dyDescent="0.25">
      <c r="A2594" s="93"/>
      <c r="B2594" s="94"/>
      <c r="C2594" s="94"/>
      <c r="D2594" s="94"/>
      <c r="E2594" s="94"/>
      <c r="F2594" s="94"/>
      <c r="G2594" s="94"/>
      <c r="H2594" s="95"/>
      <c r="I2594" s="89"/>
      <c r="J2594" s="96"/>
      <c r="K2594" s="96"/>
      <c r="L2594" s="96"/>
      <c r="M2594" s="96"/>
      <c r="N2594" s="97"/>
      <c r="O2594" s="96"/>
      <c r="P2594" s="96"/>
      <c r="Q2594" s="96"/>
      <c r="R2594" s="97"/>
      <c r="S2594" s="97"/>
      <c r="T2594" s="89"/>
      <c r="U2594" s="94"/>
      <c r="V2594" s="94"/>
    </row>
  </sheetData>
  <mergeCells count="2600">
    <mergeCell ref="D2578:E2578"/>
    <mergeCell ref="D2579:E2579"/>
    <mergeCell ref="D2580:E2580"/>
    <mergeCell ref="D2581:E2581"/>
    <mergeCell ref="D2582:E2582"/>
    <mergeCell ref="D2583:E2583"/>
    <mergeCell ref="D2584:E2584"/>
    <mergeCell ref="D2585:E2585"/>
    <mergeCell ref="D2586:E2586"/>
    <mergeCell ref="A2587:E2587"/>
    <mergeCell ref="A2588:E2588"/>
    <mergeCell ref="A2589:E2589"/>
    <mergeCell ref="D2561:E2561"/>
    <mergeCell ref="D2562:E2562"/>
    <mergeCell ref="D2563:E2563"/>
    <mergeCell ref="D2564:E2564"/>
    <mergeCell ref="D2565:E2565"/>
    <mergeCell ref="D2566:E2566"/>
    <mergeCell ref="D2567:E2567"/>
    <mergeCell ref="D2568:E2568"/>
    <mergeCell ref="D2569:E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44:E2544"/>
    <mergeCell ref="D2545:E2545"/>
    <mergeCell ref="D2546:E2546"/>
    <mergeCell ref="D2547:E2547"/>
    <mergeCell ref="D2548:E2548"/>
    <mergeCell ref="D2549:E2549"/>
    <mergeCell ref="D2550:E2550"/>
    <mergeCell ref="D2551:E2551"/>
    <mergeCell ref="D2552:E2552"/>
    <mergeCell ref="D2553:E2553"/>
    <mergeCell ref="D2554:E2554"/>
    <mergeCell ref="D2555:E2555"/>
    <mergeCell ref="D2556:E2556"/>
    <mergeCell ref="D2557:E2557"/>
    <mergeCell ref="D2558:E2558"/>
    <mergeCell ref="D2559:E2559"/>
    <mergeCell ref="D2560:E2560"/>
    <mergeCell ref="D2527:E2527"/>
    <mergeCell ref="D2528:E2528"/>
    <mergeCell ref="D2529:E2529"/>
    <mergeCell ref="D2530:E2530"/>
    <mergeCell ref="D2531:E2531"/>
    <mergeCell ref="D2532:E2532"/>
    <mergeCell ref="D2533:E2533"/>
    <mergeCell ref="D2534:E2534"/>
    <mergeCell ref="D2535:E2535"/>
    <mergeCell ref="D2536:E2536"/>
    <mergeCell ref="D2537:E2537"/>
    <mergeCell ref="D2538:E2538"/>
    <mergeCell ref="D2539:E2539"/>
    <mergeCell ref="D2540:E2540"/>
    <mergeCell ref="D2541:E2541"/>
    <mergeCell ref="D2542:E2542"/>
    <mergeCell ref="D2543:E2543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D2508:E2508"/>
    <mergeCell ref="D2509:E2509"/>
    <mergeCell ref="D2476:E2476"/>
    <mergeCell ref="D2477:E2477"/>
    <mergeCell ref="D2478:E2478"/>
    <mergeCell ref="D2479:E2479"/>
    <mergeCell ref="D2480:E2480"/>
    <mergeCell ref="D2481:E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D2491:E2491"/>
    <mergeCell ref="D2492:E2492"/>
    <mergeCell ref="D2459:E2459"/>
    <mergeCell ref="D2460:E2460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42:E2442"/>
    <mergeCell ref="D2443:E2443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D2457:E2457"/>
    <mergeCell ref="D2458:E2458"/>
    <mergeCell ref="D2425:E2425"/>
    <mergeCell ref="D2426:E2426"/>
    <mergeCell ref="D2427:E2427"/>
    <mergeCell ref="D2428:E2428"/>
    <mergeCell ref="D2429:E2429"/>
    <mergeCell ref="D2430:E2430"/>
    <mergeCell ref="D2431:E2431"/>
    <mergeCell ref="D2432:E2432"/>
    <mergeCell ref="D2433:E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08:E2408"/>
    <mergeCell ref="D2409:E2409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D2424:E2424"/>
    <mergeCell ref="D2391:E2391"/>
    <mergeCell ref="D2392:E2392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374:E2374"/>
    <mergeCell ref="D2375:E2375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D2388:E2388"/>
    <mergeCell ref="D2389:E2389"/>
    <mergeCell ref="D2390:E2390"/>
    <mergeCell ref="D2357:E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D2369:E2369"/>
    <mergeCell ref="D2370:E2370"/>
    <mergeCell ref="D2371:E2371"/>
    <mergeCell ref="D2372:E2372"/>
    <mergeCell ref="D2373:E2373"/>
    <mergeCell ref="D2340:E2340"/>
    <mergeCell ref="D2341:E2341"/>
    <mergeCell ref="D2342:E2342"/>
    <mergeCell ref="D2343:E2343"/>
    <mergeCell ref="D2344:E2344"/>
    <mergeCell ref="D2345:E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06:E2306"/>
    <mergeCell ref="D2307:E2307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D2320:E2320"/>
    <mergeCell ref="D2321:E2321"/>
    <mergeCell ref="D2322:E2322"/>
    <mergeCell ref="D2289:E2289"/>
    <mergeCell ref="D2290:E2290"/>
    <mergeCell ref="D2291:E2291"/>
    <mergeCell ref="D2292:E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272:E2272"/>
    <mergeCell ref="D2273:E2273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55:E2255"/>
    <mergeCell ref="D2256:E2256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D2238:E2238"/>
    <mergeCell ref="D2239:E2239"/>
    <mergeCell ref="D2240:E2240"/>
    <mergeCell ref="D2241:E2241"/>
    <mergeCell ref="D2242:E2242"/>
    <mergeCell ref="D2243:E2243"/>
    <mergeCell ref="D2244:E2244"/>
    <mergeCell ref="D2245:E2245"/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D2221:E2221"/>
    <mergeCell ref="D2222:E2222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04:E2204"/>
    <mergeCell ref="D2205:E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D2200:E2200"/>
    <mergeCell ref="D2201:E2201"/>
    <mergeCell ref="D2202:E2202"/>
    <mergeCell ref="D2203:E2203"/>
    <mergeCell ref="D2170:E2170"/>
    <mergeCell ref="D2171:E2171"/>
    <mergeCell ref="D2172:E2172"/>
    <mergeCell ref="D2173:E2173"/>
    <mergeCell ref="D2174:E2174"/>
    <mergeCell ref="D2175:E2175"/>
    <mergeCell ref="D2176:E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53:E2153"/>
    <mergeCell ref="D2154:E2154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36:E2136"/>
    <mergeCell ref="D2137:E2137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19:E2119"/>
    <mergeCell ref="D2120:E2120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02:E2102"/>
    <mergeCell ref="D2103:E2103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D2114:E2114"/>
    <mergeCell ref="D2115:E2115"/>
    <mergeCell ref="D2116:E2116"/>
    <mergeCell ref="D2117:E2117"/>
    <mergeCell ref="D2118:E2118"/>
    <mergeCell ref="D2085:E2085"/>
    <mergeCell ref="D2086:E2086"/>
    <mergeCell ref="D2087:E2087"/>
    <mergeCell ref="D2088:E2088"/>
    <mergeCell ref="D2089:E2089"/>
    <mergeCell ref="D2090:E2090"/>
    <mergeCell ref="D2091:E2091"/>
    <mergeCell ref="D2092:E2092"/>
    <mergeCell ref="D2093:E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068:E2068"/>
    <mergeCell ref="D2069:E2069"/>
    <mergeCell ref="D2070:E2070"/>
    <mergeCell ref="D2071:E2071"/>
    <mergeCell ref="D2072:E2072"/>
    <mergeCell ref="D2073:E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51:E2051"/>
    <mergeCell ref="D2052:E2052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34:E2034"/>
    <mergeCell ref="D2035:E2035"/>
    <mergeCell ref="D2036:E2036"/>
    <mergeCell ref="D2037:E2037"/>
    <mergeCell ref="D2038:E2038"/>
    <mergeCell ref="D2039:E2039"/>
    <mergeCell ref="D2040:E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00:E2000"/>
    <mergeCell ref="D2001:E2001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1983:E1983"/>
    <mergeCell ref="D1984:E1984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D1993:E1993"/>
    <mergeCell ref="D1994:E1994"/>
    <mergeCell ref="D1995:E1995"/>
    <mergeCell ref="D1996:E1996"/>
    <mergeCell ref="D1997:E1997"/>
    <mergeCell ref="D1998:E1998"/>
    <mergeCell ref="D1999:E1999"/>
    <mergeCell ref="D1966:E1966"/>
    <mergeCell ref="D1967:E1967"/>
    <mergeCell ref="D1968:E1968"/>
    <mergeCell ref="D1969:E1969"/>
    <mergeCell ref="D1970:E1970"/>
    <mergeCell ref="D1971:E1971"/>
    <mergeCell ref="D1972:E1972"/>
    <mergeCell ref="D1973:E1973"/>
    <mergeCell ref="D1974:E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49:E1949"/>
    <mergeCell ref="D1950:E1950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32:E1932"/>
    <mergeCell ref="D1933:E1933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D1948:E1948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D1911:E1911"/>
    <mergeCell ref="D1912:E1912"/>
    <mergeCell ref="D1913:E1913"/>
    <mergeCell ref="D1914:E1914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D1843:E1843"/>
    <mergeCell ref="D1844:E1844"/>
    <mergeCell ref="D1845:E1845"/>
    <mergeCell ref="D1846:E1846"/>
    <mergeCell ref="D1813:E1813"/>
    <mergeCell ref="D1814:E1814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796:E1796"/>
    <mergeCell ref="D1797:E1797"/>
    <mergeCell ref="D1798:E1798"/>
    <mergeCell ref="D1799:E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D1812:E1812"/>
    <mergeCell ref="D1779:E1779"/>
    <mergeCell ref="D1780:E1780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62:E1762"/>
    <mergeCell ref="D1763:E1763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45:E1745"/>
    <mergeCell ref="D1746:E1746"/>
    <mergeCell ref="D1747:E1747"/>
    <mergeCell ref="D1748:E1748"/>
    <mergeCell ref="D1749:E1749"/>
    <mergeCell ref="D1750:E1750"/>
    <mergeCell ref="D1751:E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D1760:E1760"/>
    <mergeCell ref="D1761:E1761"/>
    <mergeCell ref="D1728:E1728"/>
    <mergeCell ref="D1729:E1729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E1741"/>
    <mergeCell ref="D1742:E1742"/>
    <mergeCell ref="D1743:E1743"/>
    <mergeCell ref="D1744:E1744"/>
    <mergeCell ref="D1711:E1711"/>
    <mergeCell ref="D1712:E1712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D1724:E1724"/>
    <mergeCell ref="D1725:E1725"/>
    <mergeCell ref="D1726:E1726"/>
    <mergeCell ref="D1727:E1727"/>
    <mergeCell ref="D1694:E1694"/>
    <mergeCell ref="D1695:E1695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0:E1710"/>
    <mergeCell ref="D1677:E1677"/>
    <mergeCell ref="D1678:E1678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D1643:E1643"/>
    <mergeCell ref="D1644:E1644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54:E1654"/>
    <mergeCell ref="D1655:E1655"/>
    <mergeCell ref="D1656:E1656"/>
    <mergeCell ref="D1657:E1657"/>
    <mergeCell ref="D1658:E1658"/>
    <mergeCell ref="D1659:E1659"/>
    <mergeCell ref="D1626:E1626"/>
    <mergeCell ref="D1627:E1627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D1604:E1604"/>
    <mergeCell ref="D1605:E1605"/>
    <mergeCell ref="D1606:E1606"/>
    <mergeCell ref="D1607:E1607"/>
    <mergeCell ref="D1608:E1608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D1590:E1590"/>
    <mergeCell ref="D1591:E1591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E1570"/>
    <mergeCell ref="D1571:E1571"/>
    <mergeCell ref="D1572:E1572"/>
    <mergeCell ref="D1573:E1573"/>
    <mergeCell ref="D1574:E1574"/>
    <mergeCell ref="D1541:E1541"/>
    <mergeCell ref="D1542:E1542"/>
    <mergeCell ref="D1543:E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490:E1490"/>
    <mergeCell ref="D1491:E1491"/>
    <mergeCell ref="D1492:E1492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A2:C2"/>
    <mergeCell ref="D2:E2"/>
    <mergeCell ref="A3:C3"/>
    <mergeCell ref="D3:E3"/>
    <mergeCell ref="A4:C4"/>
    <mergeCell ref="D4:E4"/>
    <mergeCell ref="G6:H6"/>
    <mergeCell ref="J6:S6"/>
    <mergeCell ref="G7:H7"/>
    <mergeCell ref="J7:S7"/>
    <mergeCell ref="G8:H8"/>
    <mergeCell ref="J8:S8"/>
    <mergeCell ref="A9:A10"/>
    <mergeCell ref="B9:B10"/>
    <mergeCell ref="C9:C10"/>
    <mergeCell ref="D9:E10"/>
    <mergeCell ref="F9:F10"/>
    <mergeCell ref="G9:G10"/>
    <mergeCell ref="H9:H10"/>
    <mergeCell ref="K9:N9"/>
    <mergeCell ref="O9:R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Certified Windows</dc:creator>
  <dc:description/>
  <cp:lastModifiedBy>Пашаев Анзаур Аскерович</cp:lastModifiedBy>
  <cp:revision>368</cp:revision>
  <dcterms:created xsi:type="dcterms:W3CDTF">2020-05-28T09:43:20Z</dcterms:created>
  <dcterms:modified xsi:type="dcterms:W3CDTF">2026-05-13T12:09:57Z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commentColumnIndex">
    <vt:lpwstr>19</vt:lpwstr>
  </property>
  <property fmtid="{D5CDD505-2E9C-101B-9397-08002B2CF9AE}" pid="7" name="firstRowsToSkipMinusOneRowIndex">
    <vt:lpwstr>9</vt:lpwstr>
  </property>
  <property fmtid="{D5CDD505-2E9C-101B-9397-08002B2CF9AE}" pid="8" name="goodsPriceColumnIndex">
    <vt:lpwstr>10</vt:lpwstr>
  </property>
  <property fmtid="{D5CDD505-2E9C-101B-9397-08002B2CF9AE}" pid="9" name="lastRowsToSkipRowIndex">
    <vt:lpwstr>2586</vt:lpwstr>
  </property>
  <property fmtid="{D5CDD505-2E9C-101B-9397-08002B2CF9AE}" pid="10" name="overheadPriceColumnIndex">
    <vt:lpwstr>12</vt:lpwstr>
  </property>
  <property fmtid="{D5CDD505-2E9C-101B-9397-08002B2CF9AE}" pid="11" name="quantityColumnIndex">
    <vt:lpwstr>9</vt:lpwstr>
  </property>
  <property fmtid="{D5CDD505-2E9C-101B-9397-08002B2CF9AE}" pid="12" name="validityColumnIndex">
    <vt:lpwstr>0</vt:lpwstr>
  </property>
  <property fmtid="{D5CDD505-2E9C-101B-9397-08002B2CF9AE}" pid="13" name="worksPriceColumnIndex">
    <vt:lpwstr>11</vt:lpwstr>
  </property>
</Properties>
</file>